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4.xml" ContentType="application/vnd.openxmlformats-officedocument.spreadsheetml.worksheet+xml"/>
  <Override PartName="/xl/comments/comment3.xml" ContentType="application/vnd.openxmlformats-officedocument.spreadsheetml.comments+xml"/>
  <Override PartName="/xl/worksheets/sheet15.xml" ContentType="application/vnd.openxmlformats-officedocument.spreadsheetml.worksheet+xml"/>
  <Override PartName="/xl/comments/comment4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comments/comment5.xml" ContentType="application/vnd.openxmlformats-officedocument.spreadsheetml.comments+xml"/>
  <Override PartName="/xl/worksheets/sheet23.xml" ContentType="application/vnd.openxmlformats-officedocument.spreadsheetml.worksheet+xml"/>
  <Override PartName="/xl/comments/comment6.xml" ContentType="application/vnd.openxmlformats-officedocument.spreadsheetml.comments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CALISANLAR" sheetId="12" state="visible" r:id="rId12"/>
    <sheet xmlns:r="http://schemas.openxmlformats.org/officeDocument/2006/relationships" name="URUNLER" sheetId="13" state="visible" r:id="rId13"/>
    <sheet xmlns:r="http://schemas.openxmlformats.org/officeDocument/2006/relationships" name="MOTOR" sheetId="14" state="visible" r:id="rId14"/>
    <sheet xmlns:r="http://schemas.openxmlformats.org/officeDocument/2006/relationships" name="KONTROL" sheetId="15" state="visible" r:id="rId15"/>
    <sheet xmlns:r="http://schemas.openxmlformats.org/officeDocument/2006/relationships" name="KARAR" sheetId="16" state="visible" r:id="rId16"/>
    <sheet xmlns:r="http://schemas.openxmlformats.org/officeDocument/2006/relationships" name="SENARYO_DUYARLILIK" sheetId="17" state="visible" r:id="rId17"/>
    <sheet xmlns:r="http://schemas.openxmlformats.org/officeDocument/2006/relationships" name="RAPOR" sheetId="18" state="visible" r:id="rId18"/>
    <sheet xmlns:r="http://schemas.openxmlformats.org/officeDocument/2006/relationships" name="ORNEK_VERI" sheetId="19" state="visible" r:id="rId19"/>
    <sheet xmlns:r="http://schemas.openxmlformats.org/officeDocument/2006/relationships" name="AKIS" sheetId="20" state="visible" r:id="rId20"/>
    <sheet xmlns:r="http://schemas.openxmlformats.org/officeDocument/2006/relationships" name="DEGISIKLIK_KAYDI" sheetId="21" state="visible" r:id="rId21"/>
    <sheet xmlns:r="http://schemas.openxmlformats.org/officeDocument/2006/relationships" name="LISTELER" sheetId="22" state="visible" r:id="rId22"/>
    <sheet xmlns:r="http://schemas.openxmlformats.org/officeDocument/2006/relationships" name="AYARLAR" sheetId="23" state="visible" r:id="rId23"/>
    <sheet xmlns:r="http://schemas.openxmlformats.org/officeDocument/2006/relationships" name="KILAVUZ" sheetId="24" state="visible" r:id="rId24"/>
  </sheets>
  <definedNames>
    <definedName name="AnomaliCalisanAdedi" hidden="0" function="0" vbProcedure="0">MOTOR!$B$20</definedName>
    <definedName name="AnomaliOrani" hidden="0" function="0" vbProcedure="0">MOTOR!$B$21</definedName>
    <definedName name="AsgariUcretEski" hidden="0" function="0" vbProcedure="0">AYARLAR!$C$8</definedName>
    <definedName name="AsgariUcretYeni" hidden="0" function="0" vbProcedure="0">AYARLAR!$C$9</definedName>
    <definedName name="AsgariUcretZamOrani" hidden="0" function="0" vbProcedure="0">MOTOR!$B$14</definedName>
    <definedName name="AylikIscilikYuku" hidden="0" function="0" vbProcedure="0">MOTOR!$B$17</definedName>
    <definedName name="BolumPaydaTaban" hidden="0" function="0" vbProcedure="0">AYARLAR!$C$16</definedName>
    <definedName name="ButceEtkiEsikOran" hidden="0" function="0" vbProcedure="0">AYARLAR!$C$34</definedName>
    <definedName name="ButceInceleEsikOran" hidden="0" function="0" vbProcedure="0">AYARLAR!$C$33</definedName>
    <definedName name="DoluGirisHucre" hidden="0" function="0" vbProcedure="0">KONTROL!$B$21</definedName>
    <definedName name="DurumKontrol" hidden="0" function="0" vbProcedure="0">KONTROL!$B$24</definedName>
    <definedName name="DuyarliDegisim" hidden="0" function="0" vbProcedure="0">AYARLAR!$C$25</definedName>
    <definedName name="FAIL_Sayisi" hidden="0" function="0" vbProcedure="0">KONTROL!$B$17</definedName>
    <definedName name="firmaUnvani" hidden="0" function="0" vbProcedure="0">AYARLAR!$C$6</definedName>
    <definedName name="FiyatYansitmaEsik" hidden="0" function="0" vbProcedure="0">AYARLAR!$C$18</definedName>
    <definedName name="FiyatYansitmaKazanci" hidden="0" function="0" vbProcedure="0">MOTOR!$B$19</definedName>
    <definedName name="FiyatYansitmaOrani" hidden="0" function="0" vbProcedure="0">MOTOR!$B$18</definedName>
    <definedName name="GunlukCalismaSaat" hidden="0" function="0" vbProcedure="0">AYARLAR!$C$15</definedName>
    <definedName name="HhiYuksekEsik" hidden="0" function="0" vbProcedure="0">AYARLAR!$C$35</definedName>
    <definedName name="IskontoOrani" hidden="0" function="0" vbProcedure="0">AYARLAR!$C$28</definedName>
    <definedName name="IssizlikIsciOran" hidden="0" function="0" vbProcedure="0">AYARLAR!$C$13</definedName>
    <definedName name="IssizlikIsverenOran" hidden="0" function="0" vbProcedure="0">AYARLAR!$C$11</definedName>
    <definedName name="KararGerekce" hidden="0" function="0" vbProcedure="0">KARAR!$B$12</definedName>
    <definedName name="KararSonuc" hidden="0" function="0" vbProcedure="0">KARAR!$B$11</definedName>
    <definedName name="KayitKapasite" hidden="0" function="0" vbProcedure="0">AYARLAR!$C$32</definedName>
    <definedName name="KidemSinirGun" hidden="0" function="0" vbProcedure="0">AYARLAR!$C$29</definedName>
    <definedName name="MaliyetArtisEsik" hidden="0" function="0" vbProcedure="0">AYARLAR!$C$17</definedName>
    <definedName name="MaliyetArtisOrani" hidden="0" function="0" vbProcedure="0">MOTOR!$B$13</definedName>
    <definedName name="modulI1MaliyetTahminOrta" hidden="0" function="0" vbProcedure="0">MOTOR!$B$36</definedName>
    <definedName name="modulI1MaliyetTahminYorum" hidden="0" function="0" vbProcedure="0">MOTOR!$C$54</definedName>
    <definedName name="modulI2MaliyetP90" hidden="0" function="0" vbProcedure="0">MOTOR!$B$37</definedName>
    <definedName name="modulI2MaliyetP90Yorum" hidden="0" function="0" vbProcedure="0">MOTOR!$C$55</definedName>
    <definedName name="modulI3MaliyetNpv" hidden="0" function="0" vbProcedure="0">MOTOR!$B$38</definedName>
    <definedName name="modulI3MaliyetNpvYorum" hidden="0" function="0" vbProcedure="0">MOTOR!$C$56</definedName>
    <definedName name="modulI7AcikKopru" hidden="0" function="0" vbProcedure="0">MOTOR!$B$39</definedName>
    <definedName name="modulI7AcikYorum" hidden="0" function="0" vbProcedure="0">MOTOR!$C$57</definedName>
    <definedName name="modulO1AnomaliOran" hidden="0" function="0" vbProcedure="0">MOTOR!$B$30</definedName>
    <definedName name="modulO1AnomaliYorum" hidden="0" function="0" vbProcedure="0">MOTOR!$C$48</definedName>
    <definedName name="modulO2TornadoYorum" hidden="0" function="0" vbProcedure="0">MOTOR!$C$49</definedName>
    <definedName name="modulO2TornadoZirve" hidden="0" function="0" vbProcedure="0">MOTOR!$B$31</definedName>
    <definedName name="modulO3SenaryoBazFark" hidden="0" function="0" vbProcedure="0">MOTOR!$B$32</definedName>
    <definedName name="modulO3SenaryoYorum" hidden="0" function="0" vbProcedure="0">MOTOR!$C$50</definedName>
    <definedName name="modulO4NakitEtkiOran" hidden="0" function="0" vbProcedure="0">MOTOR!$B$33</definedName>
    <definedName name="modulO4NakitEtkiYorum" hidden="0" function="0" vbProcedure="0">MOTOR!$C$51</definedName>
    <definedName name="modulO6MaliyetHhi" hidden="0" function="0" vbProcedure="0">MOTOR!$B$34</definedName>
    <definedName name="modulO6MaliyetHhiYorum" hidden="0" function="0" vbProcedure="0">MOTOR!$C$52</definedName>
    <definedName name="modulO8KaliteSkoru" hidden="0" function="0" vbProcedure="0">MOTOR!$B$35</definedName>
    <definedName name="modulO8KaliteYorum" hidden="0" function="0" vbProcedure="0">MOTOR!$C$53</definedName>
    <definedName name="modulT1KidemOrt" hidden="0" function="0" vbProcedure="0">MOTOR!$B$25</definedName>
    <definedName name="modulT1KidemYorum" hidden="0" function="0" vbProcedure="0">MOTOR!$C$42</definedName>
    <definedName name="modulT2UcretEgim" hidden="0" function="0" vbProcedure="0">MOTOR!$B$26</definedName>
    <definedName name="modulT2UcretEgimYorum" hidden="0" function="0" vbProcedure="0">MOTOR!$C$43</definedName>
    <definedName name="modulT3MaliyetParetoPay" hidden="0" function="0" vbProcedure="0">MOTOR!$B$27</definedName>
    <definedName name="modulT3MaliyetParetoYorum" hidden="0" function="0" vbProcedure="0">MOTOR!$C$44</definedName>
    <definedName name="modulT4DonemFark" hidden="0" function="0" vbProcedure="0">MOTOR!$B$40</definedName>
    <definedName name="modulT4DonemFarkYorum" hidden="0" function="0" vbProcedure="0">MOTOR!$C$45</definedName>
    <definedName name="modulT5MutabakatFark" hidden="0" function="0" vbProcedure="0">MOTOR!$B$28</definedName>
    <definedName name="modulT5MutabakatYorum" hidden="0" function="0" vbProcedure="0">MOTOR!$C$46</definedName>
    <definedName name="modulT6BasabasUcretYuku" hidden="0" function="0" vbProcedure="0">MOTOR!$B$29</definedName>
    <definedName name="modulT6BasabasYorum" hidden="0" function="0" vbProcedure="0">MOTOR!$C$47</definedName>
    <definedName name="NpvEsikOran" hidden="0" function="0" vbProcedure="0">AYARLAR!$C$36</definedName>
    <definedName name="OrtalamaCalisanZamOrani" hidden="0" function="0" vbProcedure="0">MOTOR!$B$15</definedName>
    <definedName name="OrtalamaZamOncesiBrutUcret" hidden="0" function="0" vbProcedure="0">MOTOR!$B$22</definedName>
    <definedName name="P90Kuantil" hidden="0" function="0" vbProcedure="0">AYARLAR!$C$27</definedName>
    <definedName name="ParetoEsikOran" hidden="0" function="0" vbProcedure="0">AYARLAR!$C$26</definedName>
    <definedName name="PASS_Sayisi" hidden="0" function="0" vbProcedure="0">KONTROL!$B$16</definedName>
    <definedName name="raporTarihi" hidden="0" function="0" vbProcedure="0">AYARLAR!$C$7</definedName>
    <definedName name="SenaryoIyimserKat" hidden="0" function="0" vbProcedure="0">AYARLAR!$C$24</definedName>
    <definedName name="SenaryoKotumserKat" hidden="0" function="0" vbProcedure="0">AYARLAR!$C$23</definedName>
    <definedName name="SenaryoMaliyetBaz" hidden="0" function="0" vbProcedure="0">SENARYO_DUYARLILIK!$C$7</definedName>
    <definedName name="SenaryoMaliyetIyimser" hidden="0" function="0" vbProcedure="0">SENARYO_DUYARLILIK!$D$7</definedName>
    <definedName name="SenaryoMaliyetKotumser" hidden="0" function="0" vbProcedure="0">SENARYO_DUYARLILIK!$B$7</definedName>
    <definedName name="SenaryoYansitmaIyimser" hidden="0" function="0" vbProcedure="0">SENARYO_DUYARLILIK!$D$8</definedName>
    <definedName name="SenaryoYansitmaKotumser" hidden="0" function="0" vbProcedure="0">SENARYO_DUYARLILIK!$B$8</definedName>
    <definedName name="SgkIsciOran" hidden="0" function="0" vbProcedure="0">AYARLAR!$C$12</definedName>
    <definedName name="SgkIsverenOran" hidden="0" function="0" vbProcedure="0">AYARLAR!$C$10</definedName>
    <definedName name="ToplamAylikSatisHasilati" hidden="0" function="0" vbProcedure="0">MOTOR!$B$16</definedName>
    <definedName name="ToplamCalisanSayisi" hidden="0" function="0" vbProcedure="0">MOTOR!$B$7</definedName>
    <definedName name="ToplamMaliyetArtis" hidden="0" function="0" vbProcedure="0">MOTOR!$B$12</definedName>
    <definedName name="UcretAnomaliZEsik" hidden="0" function="0" vbProcedure="0">AYARLAR!$C$19</definedName>
    <definedName name="UcretHesaplamaGun" hidden="0" function="0" vbProcedure="0">AYARLAR!$C$14</definedName>
    <definedName name="VeriKaliteFailCeza" hidden="0" function="0" vbProcedure="0">AYARLAR!$C$31</definedName>
    <definedName name="VeriKaliteIyiEsik" hidden="0" function="0" vbProcedure="0">AYARLAR!$C$20</definedName>
    <definedName name="VeriKaliteOrtaEsik" hidden="0" function="0" vbProcedure="0">AYARLAR!$C$21</definedName>
    <definedName name="VeriKaliteSeviyesi" hidden="0" function="0" vbProcedure="0">KONTROL!$B$20</definedName>
    <definedName name="VeriKaliteSkoru" hidden="0" function="0" vbProcedure="0">KONTROL!$B$19</definedName>
    <definedName name="VeriKaliteTaban" hidden="0" function="0" vbProcedure="0">AYARLAR!$C$30</definedName>
    <definedName name="VeriKaliteUyariCeza" hidden="0" function="0" vbProcedure="0">AYARLAR!$C$22</definedName>
    <definedName name="WARN_Sayisi" hidden="0" function="0" vbProcedure="0">KONTROL!$B$18</definedName>
    <definedName name="ZamOncesiBrutUcret" hidden="0" function="0" vbProcedure="0">MOTOR!$B$8</definedName>
    <definedName name="ZamOncesiIsverenMaliyeti" hidden="0" function="0" vbProcedure="0">MOTOR!$B$10</definedName>
    <definedName name="ZamSonrasiBrutUcret" hidden="0" function="0" vbProcedure="0">MOTOR!$B$9</definedName>
    <definedName name="ZamSonrasiIsverenMaliyeti" hidden="0" function="0" vbProcedure="0">MOTOR!$B$11</definedName>
    <definedName name="_xlnm.Print_Area" localSheetId="17">'RAPOR'!$A$1:$F$40</definedName>
    <definedName name="UcretTurleri" localSheetId="21" hidden="0" function="0" vbProcedure="0">LISTELER!$A$6:$A$8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7">
    <numFmt numFmtId="164" formatCode="&quot;₺ &quot;#,##0;[RED]&quot;(₺ &quot;#,##0\);\-"/>
    <numFmt numFmtId="165" formatCode="0.0%;[RED]\(0.0%\);\-"/>
    <numFmt numFmtId="166" formatCode="dd/mm/yyyy"/>
    <numFmt numFmtId="167" formatCode="#,##0 &quot;TL&quot;"/>
    <numFmt numFmtId="168" formatCode="0.0%"/>
    <numFmt numFmtId="169" formatCode="₺#,##0"/>
    <numFmt numFmtId="170" formatCode="0.00&quot;x&quot;"/>
  </numFmts>
  <fonts count="13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FFFFFF"/>
      <sz val="17"/>
    </font>
    <font>
      <name val="Segoe UI"/>
      <charset val="1"/>
      <family val="0"/>
      <b val="1"/>
      <color rgb="FF1F4E79"/>
      <sz val="13"/>
    </font>
    <font>
      <name val="Segoe UI"/>
      <charset val="1"/>
      <family val="0"/>
      <color rgb="FF595959"/>
      <sz val="11"/>
    </font>
    <font>
      <name val="Segoe UI"/>
      <charset val="1"/>
      <family val="0"/>
      <b val="1"/>
      <color rgb="FF000000"/>
      <sz val="11"/>
    </font>
    <font>
      <name val="Segoe UI"/>
      <charset val="1"/>
      <family val="0"/>
      <color rgb="FFB3261E"/>
      <sz val="10"/>
    </font>
    <font>
      <name val="Segoe UI"/>
      <charset val="1"/>
      <family val="0"/>
      <b val="1"/>
      <color rgb="FF1F4E79"/>
      <sz val="10"/>
    </font>
    <font>
      <name val="Segoe UI"/>
      <charset val="1"/>
      <family val="0"/>
      <color rgb="FF595959"/>
      <sz val="9"/>
    </font>
    <font>
      <name val="Segoe UI"/>
      <charset val="1"/>
      <family val="0"/>
      <b val="1"/>
      <color rgb="FF0F2742"/>
      <sz val="13"/>
    </font>
    <font>
      <name val="Segoe UI"/>
      <charset val="1"/>
      <family val="0"/>
      <color rgb="FF333333"/>
      <sz val="10"/>
    </font>
    <font>
      <name val="Segoe UI"/>
      <charset val="1"/>
      <family val="0"/>
      <b val="1"/>
      <color rgb="FFB3261E"/>
      <sz val="12"/>
    </font>
    <font>
      <name val="Segoe UI"/>
      <charset val="1"/>
      <family val="0"/>
      <color rgb="FF1F4E79"/>
      <sz val="10"/>
    </font>
    <font>
      <name val="Segoe UI"/>
      <charset val="1"/>
      <family val="0"/>
      <b val="1"/>
      <color rgb="FFFFFFFF"/>
      <sz val="14"/>
    </font>
    <font>
      <name val="Segoe UI"/>
      <charset val="1"/>
      <family val="0"/>
      <b val="1"/>
      <color rgb="FF0F2742"/>
      <sz val="12"/>
    </font>
    <font>
      <name val="Segoe UI"/>
      <charset val="1"/>
      <family val="0"/>
      <color rgb="FF595959"/>
      <sz val="10"/>
    </font>
    <font>
      <name val="Segoe UI"/>
      <charset val="1"/>
      <family val="0"/>
      <b val="1"/>
      <color rgb="FFFFFFFF"/>
      <sz val="10"/>
    </font>
    <font>
      <name val="Arial"/>
      <family val="2"/>
      <sz val="10"/>
    </font>
    <font>
      <name val="Segoe UI"/>
      <charset val="1"/>
      <family val="0"/>
      <b val="1"/>
      <color rgb="FF000000"/>
      <sz val="10"/>
    </font>
    <font>
      <name val="Segoe UI"/>
      <charset val="1"/>
      <family val="0"/>
      <color rgb="FF006100"/>
      <sz val="10"/>
    </font>
    <font>
      <name val="Segoe UI"/>
      <charset val="1"/>
      <family val="0"/>
      <color rgb="FF1F4E79"/>
      <sz val="9"/>
    </font>
    <font>
      <name val="Segoe UI"/>
      <charset val="1"/>
      <family val="0"/>
      <color rgb="FF000000"/>
      <sz val="10"/>
    </font>
    <font>
      <name val="Segoe UI"/>
      <charset val="1"/>
      <family val="0"/>
      <b val="1"/>
      <color rgb="FF000000"/>
      <sz val="13"/>
    </font>
    <font>
      <name val="Segoe UI"/>
      <charset val="1"/>
      <family val="0"/>
      <b val="1"/>
      <color rgb="FF0F2742"/>
      <sz val="14"/>
    </font>
    <font>
      <name val="Segoe UI"/>
      <charset val="1"/>
      <family val="0"/>
      <b val="1"/>
      <color rgb="FF0F2742"/>
      <sz val="10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Segoe UI"/>
      <charset val="1"/>
      <family val="0"/>
      <b val="1"/>
      <color rgb="FFFFFFFF"/>
      <sz val="13"/>
    </font>
    <font>
      <name val="Segoe UI"/>
      <charset val="1"/>
      <family val="0"/>
      <b val="1"/>
      <color rgb="FF006100"/>
      <sz val="13"/>
    </font>
    <font>
      <name val="Segoe UI"/>
      <charset val="1"/>
      <family val="0"/>
      <color rgb="FF000000"/>
      <sz val="9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  <font>
      <name val="Segoe UI"/>
      <color rgb="00334155"/>
      <sz val="8.5"/>
    </font>
    <font>
      <name val="Segoe UI"/>
      <b val="1"/>
      <color rgb="0064748B"/>
      <sz val="8.5"/>
    </font>
    <font>
      <name val="Segoe UI"/>
      <b val="1"/>
      <color rgb="001E40AF"/>
      <sz val="7.5"/>
    </font>
    <font>
      <name val="Segoe UI"/>
      <b val="1"/>
      <color rgb="000F172A"/>
      <sz val="20"/>
    </font>
    <font>
      <name val="Segoe UI"/>
      <b val="1"/>
      <color rgb="00B91C1C"/>
      <sz val="7.5"/>
    </font>
    <font>
      <name val="Segoe UI"/>
      <b val="1"/>
      <color rgb="00DC2626"/>
      <sz val="20"/>
    </font>
    <font>
      <name val="Segoe UI"/>
      <b val="1"/>
      <color rgb="0015803D"/>
      <sz val="7.5"/>
    </font>
    <font>
      <name val="Segoe UI"/>
      <b val="1"/>
      <color rgb="00475569"/>
      <sz val="7.5"/>
    </font>
    <font>
      <name val="Segoe UI"/>
      <b val="1"/>
      <color rgb="000F172A"/>
      <sz val="10.5"/>
    </font>
    <font>
      <name val="Segoe UI"/>
      <b val="1"/>
      <color rgb="0015803D"/>
      <sz val="8"/>
    </font>
    <font>
      <name val="Segoe UI"/>
      <b val="1"/>
      <color rgb="00475569"/>
      <sz val="8.5"/>
    </font>
    <font>
      <name val="Segoe UI"/>
      <color rgb="000F172A"/>
      <sz val="9"/>
    </font>
    <font>
      <name val="Segoe UI"/>
      <color rgb="00475569"/>
      <sz val="8.5"/>
    </font>
    <font>
      <name val="Segoe UI"/>
      <b val="1"/>
      <color rgb="00166534"/>
      <sz val="8"/>
    </font>
    <font>
      <name val="Segoe UI"/>
      <b val="1"/>
      <color rgb="001E40AF"/>
      <sz val="8"/>
    </font>
    <font>
      <name val="Segoe UI"/>
      <b val="1"/>
      <color rgb="0092400E"/>
      <sz val="8"/>
    </font>
    <font>
      <name val="Segoe UI"/>
      <b val="1"/>
      <color rgb="00115E59"/>
      <sz val="8"/>
    </font>
    <font>
      <name val="Segoe UI"/>
      <b val="1"/>
      <color rgb="0038BDF8"/>
      <sz val="9.5"/>
    </font>
    <font>
      <name val="Segoe UI"/>
      <b val="1"/>
      <color rgb="00F87171"/>
      <sz val="9.5"/>
    </font>
    <font>
      <name val="Segoe UI"/>
      <b val="1"/>
      <color rgb="0034D399"/>
      <sz val="8"/>
    </font>
    <font>
      <name val="Segoe UI"/>
      <b val="1"/>
      <color rgb="000F172A"/>
      <sz val="9.5"/>
    </font>
    <font>
      <name val="Segoe UI"/>
      <b val="1"/>
      <color rgb="00059669"/>
      <sz val="8.5"/>
    </font>
    <font>
      <name val="Segoe UI"/>
      <b val="1"/>
      <color rgb="000284C7"/>
      <sz val="8.5"/>
    </font>
    <font>
      <name val="Segoe UI"/>
      <b val="1"/>
      <color rgb="00D97706"/>
      <sz val="8.5"/>
    </font>
    <font>
      <name val="Segoe UI"/>
      <b val="1"/>
      <color rgb="008B5CF6"/>
      <sz val="8.5"/>
    </font>
    <font>
      <name val="Segoe UI"/>
      <b val="1"/>
      <color rgb="00059669"/>
      <sz val="8"/>
    </font>
    <font>
      <name val="Segoe UI"/>
      <b val="1"/>
      <color rgb="00A7F3D0"/>
      <sz val="7.5"/>
    </font>
    <font>
      <name val="Segoe UI"/>
      <b val="1"/>
      <color rgb="00FFFFFF"/>
      <sz val="10"/>
    </font>
    <font>
      <name val="Segoe UI"/>
      <b val="1"/>
      <color rgb="00065F46"/>
      <sz val="8.5"/>
    </font>
    <font>
      <name val="Segoe UI"/>
      <b val="1"/>
      <color rgb="00991B1B"/>
      <sz val="9.5"/>
    </font>
    <font>
      <name val="Segoe UI"/>
      <color rgb="00475569"/>
      <sz val="9"/>
    </font>
    <font>
      <name val="Segoe UI"/>
      <b val="1"/>
      <color rgb="00DC2626"/>
      <sz val="9.5"/>
    </font>
    <font>
      <name val="Segoe UI"/>
      <b val="1"/>
      <color rgb="00059669"/>
      <sz val="9.5"/>
    </font>
    <font>
      <name val="Segoe UI"/>
      <b val="1"/>
      <color rgb="00B91C1C"/>
      <sz val="8.5"/>
    </font>
    <font>
      <name val="Segoe UI"/>
      <b val="1"/>
      <color rgb="001E40AF"/>
      <sz val="9.5"/>
    </font>
    <font>
      <name val="Segoe UI"/>
      <b val="1"/>
      <color rgb="002563EB"/>
      <sz val="9.5"/>
    </font>
  </fonts>
  <fills count="41">
    <fill>
      <patternFill/>
    </fill>
    <fill>
      <patternFill patternType="gray125"/>
    </fill>
    <fill>
      <patternFill patternType="solid">
        <fgColor rgb="FF0F2742"/>
        <bgColor rgb="FF333333"/>
      </patternFill>
    </fill>
    <fill>
      <patternFill patternType="solid">
        <fgColor rgb="FFDDEBF7"/>
        <bgColor rgb="FFE2EFDA"/>
      </patternFill>
    </fill>
    <fill>
      <patternFill patternType="solid">
        <fgColor rgb="FF1F4E79"/>
        <bgColor rgb="FF333333"/>
      </patternFill>
    </fill>
    <fill>
      <patternFill patternType="solid">
        <fgColor rgb="FFFFF2CC"/>
        <bgColor rgb="FFFDE9E9"/>
      </patternFill>
    </fill>
    <fill>
      <patternFill patternType="solid">
        <fgColor rgb="FFF2F2F2"/>
        <bgColor rgb="FFFDE9E9"/>
      </patternFill>
    </fill>
    <fill>
      <patternFill patternType="solid">
        <fgColor rgb="FFB08948"/>
        <bgColor rgb="FF878787"/>
      </patternFill>
    </fill>
    <fill>
      <patternFill patternType="solid">
        <fgColor rgb="FFB3261E"/>
        <bgColor rgb="FF993366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  <fill>
      <patternFill patternType="solid">
        <fgColor rgb="00DCFCE7"/>
        <bgColor rgb="00DCFCE7"/>
      </patternFill>
    </fill>
    <fill>
      <patternFill patternType="solid">
        <fgColor rgb="00F1F5F9"/>
        <bgColor rgb="00F1F5F9"/>
      </patternFill>
    </fill>
    <fill>
      <patternFill patternType="solid">
        <fgColor rgb="00CCFBF1"/>
        <bgColor rgb="00CCFBF1"/>
      </patternFill>
    </fill>
    <fill>
      <patternFill patternType="solid">
        <fgColor rgb="00F0FDF4"/>
        <bgColor rgb="00F0FDF4"/>
      </patternFill>
    </fill>
  </fills>
  <borders count="70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  <border>
      <left style="medium">
        <color rgb="001E3A8A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 style="medium">
        <color rgb="001E3A8A"/>
      </left>
      <right/>
      <top/>
      <bottom/>
    </border>
    <border>
      <left/>
      <right/>
      <top/>
      <bottom/>
    </border>
    <border>
      <left/>
      <right style="thin">
        <color rgb="00E2E8F0"/>
      </right>
      <top/>
      <bottom/>
    </border>
    <border>
      <left style="medium">
        <color rgb="001E3A8A"/>
      </left>
      <right/>
      <top/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 style="medium">
        <color rgb="00DC2626"/>
      </left>
      <right/>
      <top style="thin">
        <color rgb="00E2E8F0"/>
      </top>
      <bottom/>
    </border>
    <border>
      <left style="medium">
        <color rgb="00DC2626"/>
      </left>
      <right/>
      <top/>
      <bottom/>
    </border>
    <border>
      <left style="medium">
        <color rgb="00DC2626"/>
      </left>
      <right/>
      <top/>
      <bottom style="thin">
        <color rgb="00E2E8F0"/>
      </bottom>
    </border>
    <border>
      <left style="medium">
        <color rgb="00059669"/>
      </left>
      <right/>
      <top style="thin">
        <color rgb="00E2E8F0"/>
      </top>
      <bottom/>
    </border>
    <border>
      <left style="medium">
        <color rgb="00059669"/>
      </left>
      <right/>
      <top/>
      <bottom/>
    </border>
    <border>
      <left style="medium">
        <color rgb="00059669"/>
      </left>
      <right/>
      <top/>
      <bottom style="thin">
        <color rgb="00E2E8F0"/>
      </bottom>
    </border>
    <border>
      <left style="medium">
        <color rgb="000284C7"/>
      </left>
      <right/>
      <top style="thin">
        <color rgb="00E2E8F0"/>
      </top>
      <bottom/>
    </border>
    <border>
      <left style="medium">
        <color rgb="000284C7"/>
      </left>
      <right/>
      <top/>
      <bottom/>
    </border>
    <border>
      <left style="medium">
        <color rgb="000284C7"/>
      </left>
      <right/>
      <top/>
      <bottom style="thin">
        <color rgb="00E2E8F0"/>
      </bottom>
    </border>
    <border>
      <left style="thin">
        <color rgb="00334155"/>
      </left>
      <right style="thin">
        <color rgb="00334155"/>
      </right>
      <top style="thin">
        <color rgb="000F172A"/>
      </top>
      <bottom style="thin">
        <color rgb="000F172A"/>
      </bottom>
    </border>
    <border>
      <left style="thin">
        <color rgb="00334155"/>
      </left>
      <right style="thin">
        <color rgb="00334155"/>
      </right>
      <top style="medium">
        <color rgb="00334155"/>
      </top>
      <bottom style="medium">
        <color rgb="000F172A"/>
      </bottom>
    </border>
    <border>
      <left style="thin">
        <color rgb="00E2E8F0"/>
      </left>
      <right/>
      <top style="thin">
        <color rgb="00E2E8F0"/>
      </top>
      <bottom/>
    </border>
    <border>
      <left style="thin">
        <color rgb="00E2E8F0"/>
      </left>
      <right/>
      <top/>
      <bottom/>
    </border>
    <border>
      <left style="thin">
        <color rgb="00E2E8F0"/>
      </left>
      <right/>
      <top/>
      <bottom style="thin">
        <color rgb="00E2E8F0"/>
      </bottom>
    </border>
    <border>
      <left style="thin">
        <color rgb="00065F46"/>
      </left>
      <right/>
      <top style="thin">
        <color rgb="00065F46"/>
      </top>
      <bottom/>
    </border>
    <border>
      <left/>
      <right/>
      <top style="thin">
        <color rgb="00065F46"/>
      </top>
      <bottom/>
    </border>
    <border>
      <left/>
      <right style="thin">
        <color rgb="00065F46"/>
      </right>
      <top style="thin">
        <color rgb="00065F46"/>
      </top>
      <bottom/>
    </border>
    <border>
      <left style="thin">
        <color rgb="00065F46"/>
      </left>
      <right/>
      <top/>
      <bottom/>
    </border>
    <border>
      <left/>
      <right style="thin">
        <color rgb="00065F46"/>
      </right>
      <top/>
      <bottom/>
    </border>
    <border>
      <left style="thin">
        <color rgb="00FECACA"/>
      </left>
      <right/>
      <top style="thin">
        <color rgb="00FECACA"/>
      </top>
      <bottom style="thin">
        <color rgb="00FECACA"/>
      </bottom>
    </border>
    <border>
      <left style="thin">
        <color rgb="00FECACA"/>
      </left>
      <right/>
      <top/>
      <bottom/>
    </border>
    <border>
      <left/>
      <right style="thin">
        <color rgb="00FECACA"/>
      </right>
      <top/>
      <bottom/>
    </border>
    <border>
      <left style="thin">
        <color rgb="00FCA5A5"/>
      </left>
      <right/>
      <top style="thin">
        <color rgb="00FCA5A5"/>
      </top>
      <bottom style="thin">
        <color rgb="00FCA5A5"/>
      </bottom>
    </border>
    <border>
      <left style="thin">
        <color rgb="00BFDBFE"/>
      </left>
      <right/>
      <top style="thin">
        <color rgb="00BFDBFE"/>
      </top>
      <bottom style="thin">
        <color rgb="00BFDBFE"/>
      </bottom>
    </border>
    <border>
      <left style="thin">
        <color rgb="00BFDBFE"/>
      </left>
      <right/>
      <top/>
      <bottom/>
    </border>
    <border>
      <left/>
      <right style="thin">
        <color rgb="00BFDBFE"/>
      </right>
      <top/>
      <bottom/>
    </border>
    <border>
      <left style="thin">
        <color rgb="0093C5FD"/>
      </left>
      <right/>
      <top style="thin">
        <color rgb="0093C5FD"/>
      </top>
      <bottom style="thin">
        <color rgb="0093C5FD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8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/>
    </xf>
    <xf numFmtId="0" fontId="14" fillId="3" borderId="0" applyAlignment="1" pivotButton="0" quotePrefix="0" xfId="0">
      <alignment horizontal="left" vertical="center" indent="1"/>
    </xf>
    <xf numFmtId="0" fontId="15" fillId="2" borderId="0" applyAlignment="1" pivotButton="0" quotePrefix="0" xfId="0">
      <alignment horizontal="left" vertical="center" indent="1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 wrapText="1"/>
    </xf>
    <xf numFmtId="0" fontId="18" fillId="4" borderId="0" applyAlignment="1" pivotButton="0" quotePrefix="0" xfId="0">
      <alignment horizontal="center" vertical="center" wrapText="1"/>
    </xf>
    <xf numFmtId="0" fontId="0" fillId="0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applyProtection="1" pivotButton="0" quotePrefix="0" xfId="0">
      <alignment horizontal="general" vertical="bottom"/>
      <protection locked="0" hidden="0"/>
    </xf>
    <xf numFmtId="165" fontId="0" fillId="5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pivotButton="0" quotePrefix="0" xfId="0">
      <alignment horizontal="general" vertical="bottom"/>
    </xf>
    <xf numFmtId="165" fontId="0" fillId="0" borderId="0" applyAlignment="1" applyProtection="1" pivotButton="0" quotePrefix="0" xfId="0">
      <alignment horizontal="general" vertical="bottom"/>
      <protection locked="0" hidden="0"/>
    </xf>
    <xf numFmtId="0" fontId="0" fillId="5" borderId="0" applyAlignment="1" applyProtection="1" pivotButton="0" quotePrefix="0" xfId="0">
      <alignment horizontal="general" vertical="bottom"/>
      <protection locked="0" hidden="0"/>
    </xf>
    <xf numFmtId="3" fontId="0" fillId="0" borderId="0" applyAlignment="1" applyProtection="1" pivotButton="0" quotePrefix="0" xfId="0">
      <alignment horizontal="general" vertical="bottom"/>
      <protection locked="0" hidden="0"/>
    </xf>
    <xf numFmtId="0" fontId="16" fillId="0" borderId="0" applyAlignment="1" pivotButton="0" quotePrefix="0" xfId="0">
      <alignment horizontal="left" vertical="center"/>
    </xf>
    <xf numFmtId="0" fontId="7" fillId="6" borderId="0" applyAlignment="1" pivotButton="0" quotePrefix="0" xfId="0">
      <alignment horizontal="left" vertical="center"/>
    </xf>
    <xf numFmtId="0" fontId="20" fillId="6" borderId="0" applyAlignment="1" pivotButton="0" quotePrefix="0" xfId="0">
      <alignment horizontal="left" vertical="center"/>
    </xf>
    <xf numFmtId="3" fontId="21" fillId="0" borderId="0" applyAlignment="1" pivotButton="0" quotePrefix="0" xfId="0">
      <alignment horizontal="left" vertical="center"/>
    </xf>
    <xf numFmtId="164" fontId="21" fillId="0" borderId="0" applyAlignment="1" pivotButton="0" quotePrefix="0" xfId="0">
      <alignment horizontal="left" vertical="center"/>
    </xf>
    <xf numFmtId="165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 wrapText="1"/>
    </xf>
    <xf numFmtId="0" fontId="21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3" fontId="23" fillId="0" borderId="0" applyAlignment="1" pivotButton="0" quotePrefix="0" xfId="0">
      <alignment horizontal="left" vertical="center"/>
    </xf>
    <xf numFmtId="165" fontId="23" fillId="0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center" vertical="center"/>
    </xf>
    <xf numFmtId="0" fontId="23" fillId="0" borderId="0" applyAlignment="1" pivotButton="0" quotePrefix="0" xfId="0">
      <alignment horizontal="left" vertical="center" wrapText="1"/>
    </xf>
    <xf numFmtId="0" fontId="23" fillId="0" borderId="0" applyAlignment="1" pivotButton="0" quotePrefix="0" xfId="0">
      <alignment horizontal="left" vertical="center" wrapText="1"/>
    </xf>
    <xf numFmtId="0" fontId="25" fillId="0" borderId="0" applyAlignment="1" pivotButton="0" quotePrefix="0" xfId="0">
      <alignment horizontal="left" vertical="center"/>
    </xf>
    <xf numFmtId="0" fontId="18" fillId="2" borderId="0" applyAlignment="1" pivotButton="0" quotePrefix="0" xfId="0">
      <alignment horizontal="center" vertical="center"/>
    </xf>
    <xf numFmtId="0" fontId="18" fillId="4" borderId="0" applyAlignment="1" pivotButton="0" quotePrefix="0" xfId="0">
      <alignment horizontal="center" vertical="center"/>
    </xf>
    <xf numFmtId="0" fontId="18" fillId="7" borderId="0" applyAlignment="1" pivotButton="0" quotePrefix="0" xfId="0">
      <alignment horizontal="center" vertical="center"/>
    </xf>
    <xf numFmtId="0" fontId="18" fillId="8" borderId="0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26" fillId="0" borderId="0" applyAlignment="1" pivotButton="0" quotePrefix="0" xfId="0">
      <alignment horizontal="left" vertical="center"/>
    </xf>
    <xf numFmtId="0" fontId="7" fillId="6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left" vertical="center"/>
    </xf>
    <xf numFmtId="165" fontId="0" fillId="0" borderId="0" applyAlignment="1" pivotButton="0" quotePrefix="0" xfId="0">
      <alignment horizontal="general" vertical="bottom"/>
    </xf>
    <xf numFmtId="0" fontId="29" fillId="2" borderId="0" applyAlignment="1" pivotButton="0" quotePrefix="0" xfId="0">
      <alignment horizontal="left" vertical="center" indent="1"/>
    </xf>
    <xf numFmtId="166" fontId="21" fillId="0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30" fillId="0" borderId="0" applyAlignment="1" pivotButton="0" quotePrefix="0" xfId="0">
      <alignment horizontal="left" vertical="center"/>
    </xf>
    <xf numFmtId="0" fontId="23" fillId="6" borderId="0" applyAlignment="1" pivotButton="0" quotePrefix="0" xfId="0">
      <alignment horizontal="left" vertical="center" wrapText="1"/>
    </xf>
    <xf numFmtId="0" fontId="23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14" fillId="5" borderId="0" applyAlignment="1" applyProtection="1" pivotButton="0" quotePrefix="0" xfId="0">
      <alignment horizontal="left" vertical="center"/>
      <protection locked="0" hidden="0"/>
    </xf>
    <xf numFmtId="0" fontId="31" fillId="0" borderId="0" applyAlignment="1" pivotButton="0" quotePrefix="0" xfId="0">
      <alignment horizontal="left" vertical="center"/>
    </xf>
    <xf numFmtId="0" fontId="22" fillId="5" borderId="0" applyAlignment="1" applyProtection="1" pivotButton="0" quotePrefix="0" xfId="0">
      <alignment horizontal="left" vertical="center"/>
      <protection locked="0" hidden="0"/>
    </xf>
    <xf numFmtId="0" fontId="31" fillId="0" borderId="0" applyAlignment="1" pivotButton="0" quotePrefix="0" xfId="0">
      <alignment horizontal="left" vertical="center" wrapText="1"/>
    </xf>
    <xf numFmtId="0" fontId="31" fillId="0" borderId="0" applyAlignment="1" pivotButton="0" quotePrefix="0" xfId="0">
      <alignment horizontal="center" vertical="center"/>
    </xf>
    <xf numFmtId="166" fontId="31" fillId="0" borderId="0" applyAlignment="1" pivotButton="0" quotePrefix="0" xfId="0">
      <alignment horizontal="left" vertical="center"/>
    </xf>
    <xf numFmtId="164" fontId="22" fillId="5" borderId="0" applyAlignment="1" applyProtection="1" pivotButton="0" quotePrefix="0" xfId="0">
      <alignment horizontal="left" vertical="center"/>
      <protection locked="0" hidden="0"/>
    </xf>
    <xf numFmtId="165" fontId="22" fillId="5" borderId="0" applyAlignment="1" applyProtection="1" pivotButton="0" quotePrefix="0" xfId="0">
      <alignment horizontal="left" vertical="center"/>
      <protection locked="0" hidden="0"/>
    </xf>
    <xf numFmtId="4" fontId="22" fillId="5" borderId="0" applyAlignment="1" applyProtection="1" pivotButton="0" quotePrefix="0" xfId="0">
      <alignment horizontal="left" vertical="center"/>
      <protection locked="0" hidden="0"/>
    </xf>
    <xf numFmtId="0" fontId="0" fillId="0" borderId="0" pivotButton="0" quotePrefix="0" xfId="0"/>
    <xf numFmtId="0" fontId="32" fillId="9" borderId="0" applyAlignment="1" pivotButton="0" quotePrefix="0" xfId="0">
      <alignment horizontal="center" vertical="center"/>
    </xf>
    <xf numFmtId="0" fontId="33" fillId="0" borderId="0" applyAlignment="1" pivotButton="0" quotePrefix="0" xfId="0">
      <alignment horizontal="center" vertical="center"/>
    </xf>
    <xf numFmtId="0" fontId="34" fillId="0" borderId="0" pivotButton="0" quotePrefix="0" xfId="0"/>
    <xf numFmtId="0" fontId="40" fillId="0" borderId="0" pivotButton="0" quotePrefix="0" xfId="0"/>
    <xf numFmtId="0" fontId="35" fillId="0" borderId="0" applyAlignment="1" pivotButton="0" quotePrefix="0" xfId="0">
      <alignment vertical="center"/>
    </xf>
    <xf numFmtId="0" fontId="38" fillId="0" borderId="0" applyAlignment="1" pivotButton="0" quotePrefix="0" xfId="0">
      <alignment vertical="center"/>
    </xf>
    <xf numFmtId="0" fontId="40" fillId="10" borderId="0" applyAlignment="1" pivotButton="0" quotePrefix="0" xfId="0">
      <alignment horizontal="center" vertical="center" wrapText="1"/>
    </xf>
    <xf numFmtId="0" fontId="36" fillId="0" borderId="0" pivotButton="0" quotePrefix="0" xfId="0"/>
    <xf numFmtId="0" fontId="37" fillId="0" borderId="0" pivotButton="0" quotePrefix="0" xfId="0"/>
    <xf numFmtId="0" fontId="39" fillId="0" borderId="0" pivotButton="0" quotePrefix="0" xfId="0"/>
    <xf numFmtId="0" fontId="41" fillId="0" borderId="0" pivotButton="0" quotePrefix="0" xfId="0"/>
    <xf numFmtId="0" fontId="42" fillId="9" borderId="0" applyAlignment="1" pivotButton="0" quotePrefix="0" xfId="0">
      <alignment horizontal="center" vertical="center"/>
    </xf>
    <xf numFmtId="0" fontId="43" fillId="0" borderId="0" pivotButton="0" quotePrefix="0" xfId="0"/>
    <xf numFmtId="167" fontId="43" fillId="0" borderId="0" pivotButton="0" quotePrefix="0" xfId="0"/>
    <xf numFmtId="167" fontId="44" fillId="0" borderId="0" pivotButton="0" quotePrefix="0" xfId="0"/>
    <xf numFmtId="168" fontId="43" fillId="0" borderId="0" pivotButton="0" quotePrefix="0" xfId="0"/>
    <xf numFmtId="0" fontId="45" fillId="0" borderId="0" pivotButton="0" quotePrefix="0" xfId="0"/>
    <xf numFmtId="0" fontId="46" fillId="0" borderId="0" pivotButton="0" quotePrefix="0" xfId="0"/>
    <xf numFmtId="0" fontId="47" fillId="9" borderId="0" applyAlignment="1" pivotButton="0" quotePrefix="0" xfId="0">
      <alignment horizontal="center" vertical="center"/>
    </xf>
    <xf numFmtId="0" fontId="42" fillId="9" borderId="0" applyAlignment="1" pivotButton="0" quotePrefix="0" xfId="0">
      <alignment horizontal="center"/>
    </xf>
    <xf numFmtId="0" fontId="44" fillId="0" borderId="0" pivotButton="0" quotePrefix="0" xfId="0"/>
    <xf numFmtId="0" fontId="48" fillId="11" borderId="1" pivotButton="0" quotePrefix="0" xfId="0"/>
    <xf numFmtId="0" fontId="49" fillId="0" borderId="0" pivotButton="0" quotePrefix="0" xfId="0"/>
    <xf numFmtId="0" fontId="50" fillId="0" borderId="0" pivotButton="0" quotePrefix="0" xfId="0"/>
    <xf numFmtId="0" fontId="43" fillId="0" borderId="0" applyAlignment="1" pivotButton="0" quotePrefix="0" xfId="0">
      <alignment wrapText="1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/>
    </xf>
    <xf numFmtId="0" fontId="14" fillId="3" borderId="0" applyAlignment="1" pivotButton="0" quotePrefix="0" xfId="0">
      <alignment horizontal="left" vertical="center" indent="1"/>
    </xf>
    <xf numFmtId="0" fontId="15" fillId="2" borderId="0" applyAlignment="1" pivotButton="0" quotePrefix="0" xfId="0">
      <alignment horizontal="left" vertical="center" indent="1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 wrapText="1"/>
    </xf>
    <xf numFmtId="0" fontId="18" fillId="4" borderId="0" applyAlignment="1" pivotButton="0" quotePrefix="0" xfId="0">
      <alignment horizontal="center" vertical="center" wrapText="1"/>
    </xf>
    <xf numFmtId="0" fontId="0" fillId="0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applyProtection="1" pivotButton="0" quotePrefix="0" xfId="0">
      <alignment horizontal="general" vertical="bottom"/>
      <protection locked="0" hidden="0"/>
    </xf>
    <xf numFmtId="165" fontId="0" fillId="5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pivotButton="0" quotePrefix="0" xfId="0">
      <alignment horizontal="general" vertical="bottom"/>
    </xf>
    <xf numFmtId="165" fontId="0" fillId="0" borderId="0" applyAlignment="1" applyProtection="1" pivotButton="0" quotePrefix="0" xfId="0">
      <alignment horizontal="general" vertical="bottom"/>
      <protection locked="0" hidden="0"/>
    </xf>
    <xf numFmtId="0" fontId="0" fillId="5" borderId="0" applyAlignment="1" applyProtection="1" pivotButton="0" quotePrefix="0" xfId="0">
      <alignment horizontal="general" vertical="bottom"/>
      <protection locked="0" hidden="0"/>
    </xf>
    <xf numFmtId="3" fontId="0" fillId="0" borderId="0" applyAlignment="1" applyProtection="1" pivotButton="0" quotePrefix="0" xfId="0">
      <alignment horizontal="general" vertical="bottom"/>
      <protection locked="0" hidden="0"/>
    </xf>
    <xf numFmtId="0" fontId="7" fillId="6" borderId="0" applyAlignment="1" pivotButton="0" quotePrefix="0" xfId="0">
      <alignment horizontal="left" vertical="center"/>
    </xf>
    <xf numFmtId="0" fontId="20" fillId="6" borderId="0" applyAlignment="1" pivotButton="0" quotePrefix="0" xfId="0">
      <alignment horizontal="left" vertical="center"/>
    </xf>
    <xf numFmtId="3" fontId="21" fillId="0" borderId="0" applyAlignment="1" pivotButton="0" quotePrefix="0" xfId="0">
      <alignment horizontal="left" vertical="center"/>
    </xf>
    <xf numFmtId="164" fontId="21" fillId="0" borderId="0" applyAlignment="1" pivotButton="0" quotePrefix="0" xfId="0">
      <alignment horizontal="left" vertical="center"/>
    </xf>
    <xf numFmtId="165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 wrapText="1"/>
    </xf>
    <xf numFmtId="0" fontId="21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3" fontId="23" fillId="0" borderId="0" applyAlignment="1" pivotButton="0" quotePrefix="0" xfId="0">
      <alignment horizontal="left" vertical="center"/>
    </xf>
    <xf numFmtId="165" fontId="23" fillId="0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center" vertical="center"/>
    </xf>
    <xf numFmtId="0" fontId="23" fillId="0" borderId="0" applyAlignment="1" pivotButton="0" quotePrefix="0" xfId="0">
      <alignment horizontal="left" vertical="center" wrapText="1"/>
    </xf>
    <xf numFmtId="0" fontId="25" fillId="0" borderId="0" applyAlignment="1" pivotButton="0" quotePrefix="0" xfId="0">
      <alignment horizontal="left" vertical="center"/>
    </xf>
    <xf numFmtId="0" fontId="18" fillId="2" borderId="0" applyAlignment="1" pivotButton="0" quotePrefix="0" xfId="0">
      <alignment horizontal="center" vertical="center"/>
    </xf>
    <xf numFmtId="0" fontId="18" fillId="4" borderId="0" applyAlignment="1" pivotButton="0" quotePrefix="0" xfId="0">
      <alignment horizontal="center" vertical="center"/>
    </xf>
    <xf numFmtId="0" fontId="18" fillId="7" borderId="0" applyAlignment="1" pivotButton="0" quotePrefix="0" xfId="0">
      <alignment horizontal="center" vertical="center"/>
    </xf>
    <xf numFmtId="0" fontId="18" fillId="8" borderId="0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26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left" vertical="center"/>
    </xf>
    <xf numFmtId="165" fontId="0" fillId="0" borderId="0" applyAlignment="1" pivotButton="0" quotePrefix="0" xfId="0">
      <alignment horizontal="general" vertical="bottom"/>
    </xf>
    <xf numFmtId="0" fontId="29" fillId="2" borderId="0" applyAlignment="1" pivotButton="0" quotePrefix="0" xfId="0">
      <alignment horizontal="left" vertical="center" indent="1"/>
    </xf>
    <xf numFmtId="166" fontId="21" fillId="0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30" fillId="0" borderId="0" applyAlignment="1" pivotButton="0" quotePrefix="0" xfId="0">
      <alignment horizontal="left" vertical="center"/>
    </xf>
    <xf numFmtId="0" fontId="23" fillId="6" borderId="0" applyAlignment="1" pivotButton="0" quotePrefix="0" xfId="0">
      <alignment horizontal="left" vertical="center" wrapText="1"/>
    </xf>
    <xf numFmtId="0" fontId="23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14" fillId="5" borderId="0" applyAlignment="1" applyProtection="1" pivotButton="0" quotePrefix="0" xfId="0">
      <alignment horizontal="left" vertical="center"/>
      <protection locked="0" hidden="0"/>
    </xf>
    <xf numFmtId="0" fontId="31" fillId="0" borderId="0" applyAlignment="1" pivotButton="0" quotePrefix="0" xfId="0">
      <alignment horizontal="left" vertical="center"/>
    </xf>
    <xf numFmtId="0" fontId="22" fillId="5" borderId="0" applyAlignment="1" applyProtection="1" pivotButton="0" quotePrefix="0" xfId="0">
      <alignment horizontal="left" vertical="center"/>
      <protection locked="0" hidden="0"/>
    </xf>
    <xf numFmtId="0" fontId="31" fillId="0" borderId="0" applyAlignment="1" pivotButton="0" quotePrefix="0" xfId="0">
      <alignment horizontal="left" vertical="center" wrapText="1"/>
    </xf>
    <xf numFmtId="0" fontId="31" fillId="0" borderId="0" applyAlignment="1" pivotButton="0" quotePrefix="0" xfId="0">
      <alignment horizontal="center" vertical="center"/>
    </xf>
    <xf numFmtId="166" fontId="31" fillId="0" borderId="0" applyAlignment="1" pivotButton="0" quotePrefix="0" xfId="0">
      <alignment horizontal="left" vertical="center"/>
    </xf>
    <xf numFmtId="164" fontId="22" fillId="5" borderId="0" applyAlignment="1" applyProtection="1" pivotButton="0" quotePrefix="0" xfId="0">
      <alignment horizontal="left" vertical="center"/>
      <protection locked="0" hidden="0"/>
    </xf>
    <xf numFmtId="165" fontId="22" fillId="5" borderId="0" applyAlignment="1" applyProtection="1" pivotButton="0" quotePrefix="0" xfId="0">
      <alignment horizontal="left" vertical="center"/>
      <protection locked="0" hidden="0"/>
    </xf>
    <xf numFmtId="4" fontId="22" fillId="5" borderId="0" applyAlignment="1" applyProtection="1" pivotButton="0" quotePrefix="0" xfId="0">
      <alignment horizontal="left" vertical="center"/>
      <protection locked="0" hidden="0"/>
    </xf>
    <xf numFmtId="0" fontId="51" fillId="0" borderId="0" pivotButton="0" quotePrefix="0" xfId="0"/>
    <xf numFmtId="0" fontId="52" fillId="0" borderId="1" applyAlignment="1" pivotButton="0" quotePrefix="0" xfId="0">
      <alignment horizontal="center" vertical="center"/>
    </xf>
    <xf numFmtId="0" fontId="42" fillId="12" borderId="0" applyAlignment="1" pivotButton="0" quotePrefix="0" xfId="0">
      <alignment horizontal="center" vertical="center"/>
    </xf>
    <xf numFmtId="0" fontId="33" fillId="0" borderId="0" pivotButton="0" quotePrefix="0" xfId="0"/>
    <xf numFmtId="0" fontId="39" fillId="0" borderId="2" pivotButton="0" quotePrefix="0" xfId="0"/>
    <xf numFmtId="0" fontId="0" fillId="0" borderId="1" pivotButton="0" quotePrefix="0" xfId="0"/>
    <xf numFmtId="0" fontId="53" fillId="13" borderId="1" applyAlignment="1" pivotButton="0" quotePrefix="0" xfId="0">
      <alignment horizontal="center"/>
    </xf>
    <xf numFmtId="0" fontId="39" fillId="0" borderId="3" pivotButton="0" quotePrefix="0" xfId="0"/>
    <xf numFmtId="0" fontId="55" fillId="14" borderId="1" applyAlignment="1" pivotButton="0" quotePrefix="0" xfId="0">
      <alignment horizontal="center"/>
    </xf>
    <xf numFmtId="0" fontId="54" fillId="15" borderId="1" applyAlignment="1" pivotButton="0" quotePrefix="0" xfId="0">
      <alignment horizontal="center"/>
    </xf>
    <xf numFmtId="0" fontId="39" fillId="0" borderId="4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35" fillId="0" borderId="2" pivotButton="0" quotePrefix="0" xfId="0"/>
    <xf numFmtId="0" fontId="56" fillId="0" borderId="3" pivotButton="0" quotePrefix="0" xfId="0"/>
    <xf numFmtId="0" fontId="57" fillId="0" borderId="4" pivotButton="0" quotePrefix="0" xfId="0"/>
    <xf numFmtId="0" fontId="54" fillId="0" borderId="2" pivotButton="0" quotePrefix="0" xfId="0"/>
    <xf numFmtId="0" fontId="49" fillId="0" borderId="3" pivotButton="0" quotePrefix="0" xfId="0"/>
    <xf numFmtId="0" fontId="54" fillId="0" borderId="4" pivotButton="0" quotePrefix="0" xfId="0"/>
    <xf numFmtId="0" fontId="58" fillId="16" borderId="0" applyAlignment="1" pivotButton="0" quotePrefix="0" xfId="0">
      <alignment horizontal="center"/>
    </xf>
    <xf numFmtId="0" fontId="59" fillId="0" borderId="0" pivotButton="0" quotePrefix="0" xfId="0"/>
    <xf numFmtId="0" fontId="58" fillId="17" borderId="0" applyAlignment="1" pivotButton="0" quotePrefix="0" xfId="0">
      <alignment horizontal="center" vertical="center"/>
    </xf>
    <xf numFmtId="0" fontId="59" fillId="0" borderId="1" pivotButton="0" quotePrefix="0" xfId="0"/>
    <xf numFmtId="0" fontId="60" fillId="0" borderId="1" pivotButton="0" quotePrefix="0" xfId="0"/>
    <xf numFmtId="0" fontId="61" fillId="0" borderId="1" pivotButton="0" quotePrefix="0" xfId="0"/>
    <xf numFmtId="0" fontId="62" fillId="18" borderId="1" applyAlignment="1" pivotButton="0" quotePrefix="0" xfId="0">
      <alignment horizontal="center"/>
    </xf>
    <xf numFmtId="0" fontId="58" fillId="9" borderId="0" pivotButton="0" quotePrefix="0" xfId="0"/>
    <xf numFmtId="0" fontId="63" fillId="9" borderId="0" pivotButton="0" quotePrefix="0" xfId="0"/>
    <xf numFmtId="0" fontId="64" fillId="9" borderId="0" pivotButton="0" quotePrefix="0" xfId="0"/>
    <xf numFmtId="0" fontId="0" fillId="9" borderId="0" pivotButton="0" quotePrefix="0" xfId="0"/>
    <xf numFmtId="0" fontId="36" fillId="9" borderId="0" applyAlignment="1" pivotButton="0" quotePrefix="0" xfId="0">
      <alignment horizontal="center"/>
    </xf>
    <xf numFmtId="0" fontId="52" fillId="0" borderId="0" pivotButton="0" quotePrefix="0" xfId="0"/>
    <xf numFmtId="0" fontId="67" fillId="19" borderId="0" pivotButton="0" quotePrefix="0" xfId="0"/>
    <xf numFmtId="0" fontId="0" fillId="19" borderId="0" pivotButton="0" quotePrefix="0" xfId="0"/>
    <xf numFmtId="0" fontId="54" fillId="0" borderId="0" pivotButton="0" quotePrefix="0" xfId="0"/>
    <xf numFmtId="0" fontId="42" fillId="19" borderId="0" pivotButton="0" quotePrefix="0" xfId="0"/>
    <xf numFmtId="0" fontId="68" fillId="19" borderId="0" applyAlignment="1" pivotButton="0" quotePrefix="0" xfId="0">
      <alignment wrapText="1"/>
    </xf>
    <xf numFmtId="0" fontId="65" fillId="0" borderId="0" pivotButton="0" quotePrefix="0" xfId="0"/>
    <xf numFmtId="0" fontId="66" fillId="0" borderId="0" pivotButton="0" quotePrefix="0" xfId="0"/>
    <xf numFmtId="0" fontId="54" fillId="15" borderId="5" applyAlignment="1" pivotButton="0" quotePrefix="0" xfId="0">
      <alignment horizontal="center" vertical="center"/>
    </xf>
    <xf numFmtId="0" fontId="69" fillId="20" borderId="0" applyAlignment="1" pivotButton="0" quotePrefix="0" xfId="0">
      <alignment horizontal="center" vertical="center"/>
    </xf>
    <xf numFmtId="0" fontId="33" fillId="21" borderId="1" applyAlignment="1" pivotButton="0" quotePrefix="0" xfId="0">
      <alignment vertical="center"/>
    </xf>
    <xf numFmtId="0" fontId="53" fillId="13" borderId="0" applyAlignment="1" pivotButton="0" quotePrefix="0" xfId="0">
      <alignment horizontal="center" vertical="center"/>
    </xf>
    <xf numFmtId="0" fontId="54" fillId="15" borderId="0" applyAlignment="1" pivotButton="0" quotePrefix="0" xfId="0">
      <alignment horizontal="center" vertical="center"/>
    </xf>
    <xf numFmtId="0" fontId="70" fillId="9" borderId="0" applyAlignment="1" pivotButton="0" quotePrefix="0" xfId="0">
      <alignment horizontal="center" vertical="center"/>
    </xf>
    <xf numFmtId="0" fontId="71" fillId="21" borderId="1" applyAlignment="1" pivotButton="0" quotePrefix="0" xfId="0">
      <alignment horizontal="center"/>
    </xf>
    <xf numFmtId="0" fontId="72" fillId="21" borderId="1" applyAlignment="1" pivotButton="0" quotePrefix="0" xfId="0">
      <alignment horizontal="center"/>
    </xf>
    <xf numFmtId="0" fontId="71" fillId="21" borderId="1" pivotButton="0" quotePrefix="0" xfId="0"/>
    <xf numFmtId="169" fontId="72" fillId="21" borderId="1" applyAlignment="1" pivotButton="0" quotePrefix="0" xfId="0">
      <alignment horizontal="right"/>
    </xf>
    <xf numFmtId="9" fontId="71" fillId="21" borderId="1" applyAlignment="1" pivotButton="0" quotePrefix="0" xfId="0">
      <alignment horizontal="center"/>
    </xf>
    <xf numFmtId="169" fontId="71" fillId="21" borderId="1" applyAlignment="1" pivotButton="0" quotePrefix="0" xfId="0">
      <alignment horizontal="right"/>
    </xf>
    <xf numFmtId="0" fontId="54" fillId="21" borderId="1" applyAlignment="1" pivotButton="0" quotePrefix="0" xfId="0">
      <alignment horizontal="center"/>
    </xf>
    <xf numFmtId="0" fontId="71" fillId="20" borderId="1" applyAlignment="1" pivotButton="0" quotePrefix="0" xfId="0">
      <alignment horizontal="center"/>
    </xf>
    <xf numFmtId="0" fontId="72" fillId="20" borderId="1" applyAlignment="1" pivotButton="0" quotePrefix="0" xfId="0">
      <alignment horizontal="center"/>
    </xf>
    <xf numFmtId="0" fontId="71" fillId="20" borderId="1" pivotButton="0" quotePrefix="0" xfId="0"/>
    <xf numFmtId="169" fontId="72" fillId="20" borderId="1" applyAlignment="1" pivotButton="0" quotePrefix="0" xfId="0">
      <alignment horizontal="right"/>
    </xf>
    <xf numFmtId="9" fontId="71" fillId="20" borderId="1" applyAlignment="1" pivotButton="0" quotePrefix="0" xfId="0">
      <alignment horizontal="center"/>
    </xf>
    <xf numFmtId="169" fontId="71" fillId="20" borderId="1" applyAlignment="1" pivotButton="0" quotePrefix="0" xfId="0">
      <alignment horizontal="right"/>
    </xf>
    <xf numFmtId="0" fontId="59" fillId="20" borderId="1" applyAlignment="1" pivotButton="0" quotePrefix="0" xfId="0">
      <alignment horizontal="center"/>
    </xf>
    <xf numFmtId="0" fontId="54" fillId="20" borderId="1" applyAlignment="1" pivotButton="0" quotePrefix="0" xfId="0">
      <alignment horizontal="center"/>
    </xf>
    <xf numFmtId="0" fontId="55" fillId="20" borderId="1" applyAlignment="1" pivotButton="0" quotePrefix="0" xfId="0">
      <alignment horizontal="center"/>
    </xf>
    <xf numFmtId="0" fontId="42" fillId="9" borderId="0" applyAlignment="1" pivotButton="0" quotePrefix="0" xfId="0">
      <alignment vertical="center" indent="1"/>
    </xf>
    <xf numFmtId="169" fontId="73" fillId="9" borderId="0" applyAlignment="1" pivotButton="0" quotePrefix="0" xfId="0">
      <alignment horizontal="right" vertical="center"/>
    </xf>
    <xf numFmtId="0" fontId="74" fillId="0" borderId="6" pivotButton="0" quotePrefix="0" xfId="0"/>
    <xf numFmtId="0" fontId="75" fillId="0" borderId="6" pivotButton="0" quotePrefix="0" xfId="0"/>
    <xf numFmtId="0" fontId="76" fillId="0" borderId="6" pivotButton="0" quotePrefix="0" xfId="0"/>
    <xf numFmtId="0" fontId="77" fillId="22" borderId="1" applyAlignment="1" pivotButton="0" quotePrefix="0" xfId="0">
      <alignment horizontal="center" vertical="center"/>
    </xf>
    <xf numFmtId="0" fontId="81" fillId="13" borderId="1" applyAlignment="1" pivotButton="0" quotePrefix="0" xfId="0">
      <alignment horizontal="center" vertical="center"/>
    </xf>
    <xf numFmtId="0" fontId="78" fillId="0" borderId="1" pivotButton="0" quotePrefix="0" xfId="0"/>
    <xf numFmtId="0" fontId="77" fillId="0" borderId="1" applyAlignment="1" pivotButton="0" quotePrefix="0" xfId="0">
      <alignment horizontal="right"/>
    </xf>
    <xf numFmtId="0" fontId="81" fillId="0" borderId="1" applyAlignment="1" pivotButton="0" quotePrefix="0" xfId="0">
      <alignment horizontal="right"/>
    </xf>
    <xf numFmtId="0" fontId="52" fillId="0" borderId="1" applyAlignment="1" pivotButton="0" quotePrefix="0" xfId="0">
      <alignment horizontal="right"/>
    </xf>
    <xf numFmtId="0" fontId="79" fillId="0" borderId="1" applyAlignment="1" pivotButton="0" quotePrefix="0" xfId="0">
      <alignment horizontal="right"/>
    </xf>
    <xf numFmtId="0" fontId="80" fillId="14" borderId="7" applyAlignment="1" pivotButton="0" quotePrefix="0" xfId="0">
      <alignment horizontal="center" vertical="center"/>
    </xf>
    <xf numFmtId="0" fontId="82" fillId="13" borderId="8" applyAlignment="1" pivotButton="0" quotePrefix="0" xfId="0">
      <alignment horizontal="center" vertical="center"/>
    </xf>
    <xf numFmtId="0" fontId="78" fillId="0" borderId="0" pivotButton="0" quotePrefix="0" xfId="0"/>
    <xf numFmtId="0" fontId="83" fillId="23" borderId="0" applyAlignment="1" pivotButton="0" quotePrefix="0" xfId="0">
      <alignment horizontal="left" vertical="center" wrapText="1"/>
    </xf>
    <xf numFmtId="0" fontId="84" fillId="24" borderId="0" applyAlignment="1" pivotButton="0" quotePrefix="0" xfId="0">
      <alignment vertical="center" wrapText="1"/>
    </xf>
    <xf numFmtId="0" fontId="85" fillId="25" borderId="0" applyAlignment="1" pivotButton="0" quotePrefix="0" xfId="0">
      <alignment vertical="top" wrapText="1"/>
    </xf>
    <xf numFmtId="0" fontId="86" fillId="0" borderId="0" applyAlignment="1" pivotButton="0" quotePrefix="0" xfId="0">
      <alignment vertical="top" wrapText="1"/>
    </xf>
    <xf numFmtId="0" fontId="87" fillId="23" borderId="0" applyAlignment="1" pivotButton="0" quotePrefix="0" xfId="0">
      <alignment horizontal="left" vertical="center" wrapText="1"/>
    </xf>
    <xf numFmtId="0" fontId="83" fillId="26" borderId="0" applyAlignment="1" pivotButton="0" quotePrefix="0" xfId="0">
      <alignment horizontal="left" vertical="center" wrapText="1"/>
    </xf>
    <xf numFmtId="0" fontId="84" fillId="26" borderId="0" applyAlignment="1" pivotButton="0" quotePrefix="0" xfId="0">
      <alignment vertical="center" wrapText="1"/>
    </xf>
    <xf numFmtId="0" fontId="88" fillId="27" borderId="0" applyAlignment="1" pivotButton="0" quotePrefix="0" xfId="0">
      <alignment vertical="top" wrapText="1"/>
    </xf>
    <xf numFmtId="0" fontId="83" fillId="28" borderId="0" applyAlignment="1" pivotButton="0" quotePrefix="0" xfId="0">
      <alignment horizontal="left" vertical="center" wrapText="1"/>
    </xf>
    <xf numFmtId="0" fontId="84" fillId="28" borderId="0" applyAlignment="1" pivotButton="0" quotePrefix="0" xfId="0">
      <alignment vertical="center" wrapText="1"/>
    </xf>
    <xf numFmtId="0" fontId="89" fillId="29" borderId="0" applyAlignment="1" pivotButton="0" quotePrefix="0" xfId="0">
      <alignment vertical="top" wrapText="1"/>
    </xf>
    <xf numFmtId="0" fontId="90" fillId="27" borderId="0" applyAlignment="1" pivotButton="0" quotePrefix="0" xfId="0">
      <alignment vertical="top" wrapText="1"/>
    </xf>
    <xf numFmtId="0" fontId="91" fillId="0" borderId="0" applyAlignment="1" pivotButton="0" quotePrefix="0" xfId="0">
      <alignment vertical="top" wrapText="1"/>
    </xf>
    <xf numFmtId="0" fontId="83" fillId="30" borderId="0" applyAlignment="1" pivotButton="0" quotePrefix="0" xfId="0">
      <alignment horizontal="left" vertical="center"/>
    </xf>
    <xf numFmtId="0" fontId="84" fillId="30" borderId="0" applyAlignment="1" pivotButton="0" quotePrefix="0" xfId="0">
      <alignment vertical="center" wrapText="1"/>
    </xf>
    <xf numFmtId="0" fontId="92" fillId="31" borderId="0" applyAlignment="1" pivotButton="0" quotePrefix="0" xfId="0">
      <alignment vertical="top" wrapText="1"/>
    </xf>
    <xf numFmtId="0" fontId="93" fillId="32" borderId="0" applyAlignment="1" pivotButton="0" quotePrefix="0" xfId="0">
      <alignment vertical="top" wrapText="1"/>
    </xf>
    <xf numFmtId="0" fontId="83" fillId="33" borderId="0" applyAlignment="1" pivotButton="0" quotePrefix="0" xfId="0">
      <alignment horizontal="left" vertical="center"/>
    </xf>
    <xf numFmtId="0" fontId="84" fillId="33" borderId="0" applyAlignment="1" pivotButton="0" quotePrefix="0" xfId="0">
      <alignment vertical="center" wrapText="1"/>
    </xf>
    <xf numFmtId="0" fontId="94" fillId="32" borderId="0" applyAlignment="1" pivotButton="0" quotePrefix="0" xfId="0">
      <alignment vertical="top" wrapText="1"/>
    </xf>
    <xf numFmtId="0" fontId="83" fillId="34" borderId="0" applyAlignment="1" pivotButton="0" quotePrefix="0" xfId="0">
      <alignment horizontal="left" vertical="center"/>
    </xf>
    <xf numFmtId="0" fontId="84" fillId="34" borderId="0" applyAlignment="1" pivotButton="0" quotePrefix="0" xfId="0">
      <alignment vertical="center" wrapText="1"/>
    </xf>
    <xf numFmtId="0" fontId="95" fillId="35" borderId="0" applyAlignment="1" pivotButton="0" quotePrefix="0" xfId="0">
      <alignment vertical="top" wrapText="1"/>
    </xf>
    <xf numFmtId="0" fontId="96" fillId="0" borderId="0" applyAlignment="1" pivotButton="0" quotePrefix="0" xfId="0">
      <alignment vertical="top" wrapText="1"/>
    </xf>
    <xf numFmtId="169" fontId="35" fillId="0" borderId="2" pivotButton="0" quotePrefix="0" xfId="0"/>
    <xf numFmtId="169" fontId="56" fillId="0" borderId="3" pivotButton="0" quotePrefix="0" xfId="0"/>
    <xf numFmtId="169" fontId="59" fillId="0" borderId="1" pivotButton="0" quotePrefix="0" xfId="0"/>
    <xf numFmtId="169" fontId="60" fillId="0" borderId="1" pivotButton="0" quotePrefix="0" xfId="0"/>
    <xf numFmtId="169" fontId="63" fillId="9" borderId="0" pivotButton="0" quotePrefix="0" xfId="0"/>
    <xf numFmtId="169" fontId="64" fillId="9" borderId="0" pivotButton="0" quotePrefix="0" xfId="0"/>
    <xf numFmtId="169" fontId="82" fillId="11" borderId="1" applyAlignment="1" pivotButton="0" quotePrefix="0" xfId="0">
      <alignment horizontal="right"/>
    </xf>
    <xf numFmtId="169" fontId="52" fillId="0" borderId="1" applyAlignment="1" pivotButton="0" quotePrefix="0" xfId="0">
      <alignment horizontal="right"/>
    </xf>
    <xf numFmtId="169" fontId="79" fillId="0" borderId="1" applyAlignment="1" pivotButton="0" quotePrefix="0" xfId="0">
      <alignment horizontal="right"/>
    </xf>
    <xf numFmtId="170" fontId="79" fillId="0" borderId="1" applyAlignment="1" pivotButton="0" quotePrefix="0" xfId="0">
      <alignment horizontal="right"/>
    </xf>
    <xf numFmtId="0" fontId="97" fillId="36" borderId="0" applyAlignment="1" pivotButton="0" quotePrefix="0" xfId="0">
      <alignment horizontal="left" vertical="center"/>
    </xf>
    <xf numFmtId="0" fontId="0" fillId="36" borderId="0" pivotButton="0" quotePrefix="0" xfId="0"/>
    <xf numFmtId="0" fontId="0" fillId="0" borderId="9" pivotButton="0" quotePrefix="0" xfId="0"/>
    <xf numFmtId="0" fontId="0" fillId="0" borderId="11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2" pivotButton="0" quotePrefix="0" xfId="0"/>
    <xf numFmtId="0" fontId="0" fillId="0" borderId="27" pivotButton="0" quotePrefix="0" xfId="0"/>
    <xf numFmtId="0" fontId="0" fillId="0" borderId="29" pivotButton="0" quotePrefix="0" xfId="0"/>
    <xf numFmtId="0" fontId="0" fillId="0" borderId="24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31" pivotButton="0" quotePrefix="0" xfId="0"/>
    <xf numFmtId="0" fontId="0" fillId="0" borderId="32" pivotButton="0" quotePrefix="0" xfId="0"/>
    <xf numFmtId="0" fontId="0" fillId="0" borderId="33" pivotButton="0" quotePrefix="0" xfId="0"/>
    <xf numFmtId="0" fontId="98" fillId="0" borderId="0" applyAlignment="1" pivotButton="0" quotePrefix="0" xfId="0">
      <alignment horizontal="left" vertical="center"/>
    </xf>
    <xf numFmtId="0" fontId="52" fillId="20" borderId="1" applyAlignment="1" pivotButton="0" quotePrefix="0" xfId="0">
      <alignment horizontal="center" vertical="center"/>
    </xf>
    <xf numFmtId="0" fontId="51" fillId="0" borderId="0" applyAlignment="1" pivotButton="0" quotePrefix="0" xfId="0">
      <alignment vertical="center"/>
    </xf>
    <xf numFmtId="0" fontId="99" fillId="20" borderId="1" applyAlignment="1" pivotButton="0" quotePrefix="0" xfId="0">
      <alignment horizontal="center" vertical="center"/>
    </xf>
    <xf numFmtId="0" fontId="70" fillId="12" borderId="0" applyAlignment="1" pivotButton="0" quotePrefix="0" xfId="0">
      <alignment horizontal="center" vertical="center"/>
    </xf>
    <xf numFmtId="0" fontId="33" fillId="0" borderId="0" applyAlignment="1" pivotButton="0" quotePrefix="0" xfId="0">
      <alignment vertical="center"/>
    </xf>
    <xf numFmtId="0" fontId="100" fillId="20" borderId="34" applyAlignment="1" pivotButton="0" quotePrefix="0" xfId="0">
      <alignment vertical="center" indent="1"/>
    </xf>
    <xf numFmtId="0" fontId="0" fillId="20" borderId="35" pivotButton="0" quotePrefix="0" xfId="0"/>
    <xf numFmtId="0" fontId="101" fillId="13" borderId="1" applyAlignment="1" pivotButton="0" quotePrefix="0" xfId="0">
      <alignment horizontal="center" vertical="center"/>
    </xf>
    <xf numFmtId="0" fontId="100" fillId="20" borderId="43" applyAlignment="1" pivotButton="0" quotePrefix="0" xfId="0">
      <alignment vertical="center" indent="1"/>
    </xf>
    <xf numFmtId="0" fontId="103" fillId="14" borderId="1" applyAlignment="1" pivotButton="0" quotePrefix="0" xfId="0">
      <alignment horizontal="center" vertical="center"/>
    </xf>
    <xf numFmtId="0" fontId="100" fillId="20" borderId="46" applyAlignment="1" pivotButton="0" quotePrefix="0" xfId="0">
      <alignment vertical="center" indent="1"/>
    </xf>
    <xf numFmtId="0" fontId="105" fillId="37" borderId="1" applyAlignment="1" pivotButton="0" quotePrefix="0" xfId="0">
      <alignment horizontal="center" vertical="center"/>
    </xf>
    <xf numFmtId="0" fontId="100" fillId="20" borderId="49" applyAlignment="1" pivotButton="0" quotePrefix="0" xfId="0">
      <alignment vertical="center" indent="1"/>
    </xf>
    <xf numFmtId="0" fontId="106" fillId="38" borderId="1" applyAlignment="1" pivotButton="0" quotePrefix="0" xfId="0">
      <alignment horizontal="center" vertical="center"/>
    </xf>
    <xf numFmtId="0" fontId="0" fillId="20" borderId="37" pivotButton="0" quotePrefix="0" xfId="0"/>
    <xf numFmtId="0" fontId="0" fillId="20" borderId="38" pivotButton="0" quotePrefix="0" xfId="0"/>
    <xf numFmtId="0" fontId="0" fillId="20" borderId="39" pivotButton="0" quotePrefix="0" xfId="0"/>
    <xf numFmtId="0" fontId="0" fillId="20" borderId="44" pivotButton="0" quotePrefix="0" xfId="0"/>
    <xf numFmtId="0" fontId="0" fillId="20" borderId="47" pivotButton="0" quotePrefix="0" xfId="0"/>
    <xf numFmtId="0" fontId="0" fillId="20" borderId="50" pivotButton="0" quotePrefix="0" xfId="0"/>
    <xf numFmtId="169" fontId="102" fillId="20" borderId="37" applyAlignment="1" pivotButton="0" quotePrefix="0" xfId="0">
      <alignment vertical="center" indent="1"/>
    </xf>
    <xf numFmtId="169" fontId="104" fillId="20" borderId="44" applyAlignment="1" pivotButton="0" quotePrefix="0" xfId="0">
      <alignment vertical="center" indent="1"/>
    </xf>
    <xf numFmtId="169" fontId="102" fillId="20" borderId="47" applyAlignment="1" pivotButton="0" quotePrefix="0" xfId="0">
      <alignment vertical="center" indent="1"/>
    </xf>
    <xf numFmtId="0" fontId="102" fillId="20" borderId="50" applyAlignment="1" pivotButton="0" quotePrefix="0" xfId="0">
      <alignment vertical="center" indent="1"/>
    </xf>
    <xf numFmtId="0" fontId="49" fillId="20" borderId="40" applyAlignment="1" pivotButton="0" quotePrefix="0" xfId="0">
      <alignment vertical="center" indent="1"/>
    </xf>
    <xf numFmtId="0" fontId="0" fillId="20" borderId="41" pivotButton="0" quotePrefix="0" xfId="0"/>
    <xf numFmtId="0" fontId="0" fillId="20" borderId="42" pivotButton="0" quotePrefix="0" xfId="0"/>
    <xf numFmtId="0" fontId="49" fillId="20" borderId="45" applyAlignment="1" pivotButton="0" quotePrefix="0" xfId="0">
      <alignment vertical="center" indent="1"/>
    </xf>
    <xf numFmtId="0" fontId="49" fillId="20" borderId="48" applyAlignment="1" pivotButton="0" quotePrefix="0" xfId="0">
      <alignment vertical="center" indent="1"/>
    </xf>
    <xf numFmtId="0" fontId="49" fillId="20" borderId="51" applyAlignment="1" pivotButton="0" quotePrefix="0" xfId="0">
      <alignment vertical="center" indent="1"/>
    </xf>
    <xf numFmtId="0" fontId="107" fillId="0" borderId="0" pivotButton="0" quotePrefix="0" xfId="0"/>
    <xf numFmtId="0" fontId="108" fillId="37" borderId="1" applyAlignment="1" pivotButton="0" quotePrefix="0" xfId="0">
      <alignment horizontal="center" vertical="center"/>
    </xf>
    <xf numFmtId="0" fontId="109" fillId="21" borderId="1" applyAlignment="1" pivotButton="0" quotePrefix="0" xfId="0">
      <alignment horizontal="center" vertical="center"/>
    </xf>
    <xf numFmtId="0" fontId="70" fillId="9" borderId="52" applyAlignment="1" pivotButton="0" quotePrefix="0" xfId="0">
      <alignment horizontal="left" vertical="center" indent="1"/>
    </xf>
    <xf numFmtId="0" fontId="70" fillId="9" borderId="52" applyAlignment="1" pivotButton="0" quotePrefix="0" xfId="0">
      <alignment horizontal="center" vertical="center"/>
    </xf>
    <xf numFmtId="0" fontId="110" fillId="20" borderId="1" applyAlignment="1" pivotButton="0" quotePrefix="0" xfId="0">
      <alignment horizontal="center" vertical="center"/>
    </xf>
    <xf numFmtId="0" fontId="52" fillId="20" borderId="1" applyAlignment="1" pivotButton="0" quotePrefix="0" xfId="0">
      <alignment vertical="center" indent="1"/>
    </xf>
    <xf numFmtId="169" fontId="52" fillId="20" borderId="1" applyAlignment="1" pivotButton="0" quotePrefix="0" xfId="0">
      <alignment horizontal="right" vertical="center"/>
    </xf>
    <xf numFmtId="169" fontId="77" fillId="20" borderId="1" applyAlignment="1" pivotButton="0" quotePrefix="0" xfId="0">
      <alignment horizontal="right" vertical="center"/>
    </xf>
    <xf numFmtId="0" fontId="111" fillId="20" borderId="1" applyAlignment="1" pivotButton="0" quotePrefix="0" xfId="0">
      <alignment horizontal="center" vertical="center"/>
    </xf>
    <xf numFmtId="0" fontId="112" fillId="37" borderId="1" applyAlignment="1" pivotButton="0" quotePrefix="0" xfId="0">
      <alignment horizontal="center" vertical="center"/>
    </xf>
    <xf numFmtId="0" fontId="0" fillId="20" borderId="1" pivotButton="0" quotePrefix="0" xfId="0"/>
    <xf numFmtId="0" fontId="110" fillId="21" borderId="1" applyAlignment="1" pivotButton="0" quotePrefix="0" xfId="0">
      <alignment horizontal="center" vertical="center"/>
    </xf>
    <xf numFmtId="0" fontId="52" fillId="21" borderId="1" applyAlignment="1" pivotButton="0" quotePrefix="0" xfId="0">
      <alignment vertical="center" indent="1"/>
    </xf>
    <xf numFmtId="169" fontId="52" fillId="21" borderId="1" applyAlignment="1" pivotButton="0" quotePrefix="0" xfId="0">
      <alignment horizontal="right" vertical="center"/>
    </xf>
    <xf numFmtId="169" fontId="77" fillId="21" borderId="1" applyAlignment="1" pivotButton="0" quotePrefix="0" xfId="0">
      <alignment horizontal="right" vertical="center"/>
    </xf>
    <xf numFmtId="0" fontId="111" fillId="21" borderId="1" applyAlignment="1" pivotButton="0" quotePrefix="0" xfId="0">
      <alignment horizontal="center" vertical="center"/>
    </xf>
    <xf numFmtId="0" fontId="113" fillId="13" borderId="1" applyAlignment="1" pivotButton="0" quotePrefix="0" xfId="0">
      <alignment horizontal="center" vertical="center"/>
    </xf>
    <xf numFmtId="0" fontId="0" fillId="21" borderId="1" pivotButton="0" quotePrefix="0" xfId="0"/>
    <xf numFmtId="0" fontId="114" fillId="18" borderId="1" applyAlignment="1" pivotButton="0" quotePrefix="0" xfId="0">
      <alignment horizontal="center" vertical="center"/>
    </xf>
    <xf numFmtId="0" fontId="115" fillId="39" borderId="1" applyAlignment="1" pivotButton="0" quotePrefix="0" xfId="0">
      <alignment horizontal="center" vertical="center"/>
    </xf>
    <xf numFmtId="0" fontId="42" fillId="9" borderId="53" applyAlignment="1" pivotButton="0" quotePrefix="0" xfId="0">
      <alignment vertical="center" indent="1"/>
    </xf>
    <xf numFmtId="169" fontId="116" fillId="9" borderId="53" applyAlignment="1" pivotButton="0" quotePrefix="0" xfId="0">
      <alignment horizontal="right" vertical="center"/>
    </xf>
    <xf numFmtId="169" fontId="117" fillId="9" borderId="53" applyAlignment="1" pivotButton="0" quotePrefix="0" xfId="0">
      <alignment horizontal="right" vertical="center"/>
    </xf>
    <xf numFmtId="0" fontId="0" fillId="9" borderId="53" pivotButton="0" quotePrefix="0" xfId="0"/>
    <xf numFmtId="0" fontId="118" fillId="9" borderId="53" applyAlignment="1" pivotButton="0" quotePrefix="0" xfId="0">
      <alignment horizontal="center" vertical="center"/>
    </xf>
    <xf numFmtId="0" fontId="119" fillId="20" borderId="54" applyAlignment="1" pivotButton="0" quotePrefix="0" xfId="0">
      <alignment vertical="center" indent="1"/>
    </xf>
    <xf numFmtId="0" fontId="0" fillId="20" borderId="36" pivotButton="0" quotePrefix="0" xfId="0"/>
    <xf numFmtId="0" fontId="125" fillId="19" borderId="57" applyAlignment="1" pivotButton="0" quotePrefix="0" xfId="0">
      <alignment vertical="center" indent="1"/>
    </xf>
    <xf numFmtId="0" fontId="0" fillId="19" borderId="58" pivotButton="0" quotePrefix="0" xfId="0"/>
    <xf numFmtId="0" fontId="0" fillId="19" borderId="59" pivotButton="0" quotePrefix="0" xfId="0"/>
    <xf numFmtId="0" fontId="120" fillId="20" borderId="55" applyAlignment="1" pivotButton="0" quotePrefix="0" xfId="0">
      <alignment vertical="center" indent="1"/>
    </xf>
    <xf numFmtId="0" fontId="111" fillId="20" borderId="55" pivotButton="0" quotePrefix="0" xfId="0"/>
    <xf numFmtId="0" fontId="120" fillId="20" borderId="39" pivotButton="0" quotePrefix="0" xfId="0"/>
    <xf numFmtId="0" fontId="126" fillId="19" borderId="60" applyAlignment="1" pivotButton="0" quotePrefix="0" xfId="0">
      <alignment vertical="center" indent="1"/>
    </xf>
    <xf numFmtId="0" fontId="0" fillId="19" borderId="38" pivotButton="0" quotePrefix="0" xfId="0"/>
    <xf numFmtId="0" fontId="0" fillId="19" borderId="61" pivotButton="0" quotePrefix="0" xfId="0"/>
    <xf numFmtId="0" fontId="121" fillId="20" borderId="55" applyAlignment="1" pivotButton="0" quotePrefix="0" xfId="0">
      <alignment vertical="center" indent="1"/>
    </xf>
    <xf numFmtId="0" fontId="68" fillId="19" borderId="60" applyAlignment="1" pivotButton="0" quotePrefix="0" xfId="0">
      <alignment vertical="center" indent="1"/>
    </xf>
    <xf numFmtId="0" fontId="122" fillId="20" borderId="55" applyAlignment="1" pivotButton="0" quotePrefix="0" xfId="0">
      <alignment vertical="center" indent="1"/>
    </xf>
    <xf numFmtId="0" fontId="0" fillId="37" borderId="1" pivotButton="0" quotePrefix="0" xfId="0"/>
    <xf numFmtId="0" fontId="123" fillId="20" borderId="55" applyAlignment="1" pivotButton="0" quotePrefix="0" xfId="0">
      <alignment vertical="center" indent="1"/>
    </xf>
    <xf numFmtId="0" fontId="124" fillId="40" borderId="1" applyAlignment="1" pivotButton="0" quotePrefix="0" xfId="0">
      <alignment horizontal="center" vertical="center"/>
    </xf>
    <xf numFmtId="0" fontId="127" fillId="20" borderId="1" applyAlignment="1" pivotButton="0" quotePrefix="0" xfId="0">
      <alignment horizontal="center" vertical="center"/>
    </xf>
    <xf numFmtId="0" fontId="0" fillId="20" borderId="56" pivotButton="0" quotePrefix="0" xfId="0"/>
    <xf numFmtId="0" fontId="33" fillId="0" borderId="6" pivotButton="0" quotePrefix="0" xfId="0"/>
    <xf numFmtId="0" fontId="120" fillId="0" borderId="6" pivotButton="0" quotePrefix="0" xfId="0"/>
    <xf numFmtId="0" fontId="128" fillId="14" borderId="62" applyAlignment="1" pivotButton="0" quotePrefix="0" xfId="0">
      <alignment vertical="center" indent="1"/>
    </xf>
    <xf numFmtId="0" fontId="133" fillId="13" borderId="66" applyAlignment="1" pivotButton="0" quotePrefix="0" xfId="0">
      <alignment vertical="center" indent="1"/>
    </xf>
    <xf numFmtId="0" fontId="0" fillId="20" borderId="63" pivotButton="0" quotePrefix="0" xfId="0"/>
    <xf numFmtId="0" fontId="0" fillId="20" borderId="64" pivotButton="0" quotePrefix="0" xfId="0"/>
    <xf numFmtId="0" fontId="0" fillId="20" borderId="67" pivotButton="0" quotePrefix="0" xfId="0"/>
    <xf numFmtId="0" fontId="0" fillId="20" borderId="68" pivotButton="0" quotePrefix="0" xfId="0"/>
    <xf numFmtId="0" fontId="129" fillId="20" borderId="63" pivotButton="0" quotePrefix="0" xfId="0"/>
    <xf numFmtId="0" fontId="130" fillId="20" borderId="38" applyAlignment="1" pivotButton="0" quotePrefix="0" xfId="0">
      <alignment horizontal="right" vertical="center"/>
    </xf>
    <xf numFmtId="0" fontId="129" fillId="20" borderId="67" pivotButton="0" quotePrefix="0" xfId="0"/>
    <xf numFmtId="0" fontId="134" fillId="20" borderId="38" applyAlignment="1" pivotButton="0" quotePrefix="0" xfId="0">
      <alignment horizontal="right" vertical="center"/>
    </xf>
    <xf numFmtId="169" fontId="119" fillId="20" borderId="38" applyAlignment="1" pivotButton="0" quotePrefix="0" xfId="0">
      <alignment horizontal="right" vertical="center"/>
    </xf>
    <xf numFmtId="169" fontId="131" fillId="20" borderId="38" applyAlignment="1" pivotButton="0" quotePrefix="0" xfId="0">
      <alignment horizontal="right" vertical="center"/>
    </xf>
    <xf numFmtId="170" fontId="131" fillId="20" borderId="38" applyAlignment="1" pivotButton="0" quotePrefix="0" xfId="0">
      <alignment horizontal="right" vertical="center"/>
    </xf>
    <xf numFmtId="0" fontId="131" fillId="20" borderId="38" applyAlignment="1" pivotButton="0" quotePrefix="0" xfId="0">
      <alignment horizontal="right" vertical="center"/>
    </xf>
    <xf numFmtId="0" fontId="132" fillId="14" borderId="65" applyAlignment="1" pivotButton="0" quotePrefix="0" xfId="0">
      <alignment horizontal="center" vertical="center"/>
    </xf>
    <xf numFmtId="0" fontId="82" fillId="13" borderId="69" applyAlignment="1" pivotButton="0" quotePrefix="0" xfId="0">
      <alignment horizontal="center" vertical="center"/>
    </xf>
    <xf numFmtId="0" fontId="107" fillId="20" borderId="54" applyAlignment="1" pivotButton="0" quotePrefix="0" xfId="0">
      <alignment vertical="center" indent="1"/>
    </xf>
    <xf numFmtId="0" fontId="0" fillId="20" borderId="55" pivotButton="0" quotePrefix="0" xfId="0"/>
    <xf numFmtId="0" fontId="119" fillId="20" borderId="55" applyAlignment="1" pivotButton="0" quotePrefix="0" xfId="0">
      <alignment vertical="center" indent="1"/>
    </xf>
    <xf numFmtId="0" fontId="111" fillId="20" borderId="55" applyAlignment="1" pivotButton="0" quotePrefix="0" xfId="0">
      <alignment vertical="center" indent="2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1">
    <dxf>
      <fill>
        <patternFill patternType="solid">
          <fgColor rgb="FF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DE9E9"/>
          <bgColor rgb="FF000000"/>
        </patternFill>
      </fill>
    </dxf>
    <dxf>
      <fill>
        <patternFill>
          <bgColor rgb="FFFDE9E9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ill>
        <patternFill>
          <bgColor rgb="FFD9D9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C0C0C0"/>
      <rgbColor rgb="FF878787"/>
      <rgbColor rgb="FF9999FF"/>
      <rgbColor rgb="FFC0504D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DE9E9"/>
      <rgbColor rgb="FF99CCFF"/>
      <rgbColor rgb="FFFF99CC"/>
      <rgbColor rgb="FFCC99FF"/>
      <rgbColor rgb="FFFFCC99"/>
      <rgbColor rgb="FF4F81BD"/>
      <rgbColor rgb="FF33CCCC"/>
      <rgbColor rgb="FF99CC00"/>
      <rgbColor rgb="FFFFCC00"/>
      <rgbColor rgb="FFFF9900"/>
      <rgbColor rgb="FFFF6600"/>
      <rgbColor rgb="FF595959"/>
      <rgbColor rgb="FFB08948"/>
      <rgbColor rgb="FF0F2742"/>
      <rgbColor rgb="FF339966"/>
      <rgbColor rgb="FF003300"/>
      <rgbColor rgb="FF333300"/>
      <rgbColor rgb="FFB3261E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comments/comment1.xml><?xml version="1.0" encoding="utf-8"?>
<comments xmlns="http://schemas.openxmlformats.org/spreadsheetml/2006/main">
  <authors>
    <author>ExcelArşiv</author>
  </authors>
  <commentList>
    <comment ref="A6" authorId="0" shapeId="0">
      <text>
        <t>Tanım: Çalışan adı | Neden önemli: Maliyet yükü çalışan bazında raporlanır | Doğru giriş: Metin | Örnek: Ahmet Yılmaz | Yanlışsa: Rapor okunmaz</t>
      </text>
    </comment>
    <comment ref="B6" authorId="0" shapeId="0">
      <text>
        <t>Tanım: İşe giriş tarihi | Neden önemli: Kıdem ve dönem günü hesabının temeli | Doğru giriş: GG.AA.YYYY | Örnek: 01.03.2020 | Yanlışsa: Kıdem yanlış hesaplanır</t>
      </text>
    </comment>
    <comment ref="C6" authorId="0" shapeId="0">
      <text>
        <t>Tanım: Zam öncesi brüt ücret | Neden önemli: Maliyet farkının tabanı | Doğru giriş: TL | Örnek: 20000 | Yanlışsa: Artış oranı bozulur</t>
      </text>
    </comment>
    <comment ref="D6" authorId="0" shapeId="0">
      <text>
        <t>Tanım: Ücret türü | Neden önemli: Zam sonrası ücretin nasıl türeyeceğini belirler | Doğru giriş: Liste | Örnek: Asgari Ücret | Yanlışsa: Zam sonrası ücret yanlış olur</t>
      </text>
    </comment>
    <comment ref="E6" authorId="0" shapeId="0">
      <text>
        <t>Tanım: Zam oranı | Neden önemli: 'Asgari Üstü Oran' türünde zam sonrası ücreti belirler | Doğru giriş: Yüzde | Örnek: 0.15 | Yanlışsa: Zam sonrası ücret yanlış olur</t>
      </text>
    </comment>
    <comment ref="A7" authorId="0" shapeId="0">
      <text>
        <t>Tanım: Çalışan adı | Neden önemli: Maliyet yükü çalışan bazında raporlanır | Doğru giriş: Metin | Örnek: Ahmet Yılmaz | Yanlışsa: Rapor okunmaz</t>
      </text>
    </comment>
    <comment ref="B7" authorId="0" shapeId="0">
      <text>
        <t>Tanım: İşe giriş tarihi | Neden önemli: Kıdem ve dönem günü hesabının temeli | Doğru giriş: GG.AA.YYYY | Örnek: 01.03.2020 | Yanlışsa: Kıdem yanlış hesaplanır</t>
      </text>
    </comment>
    <comment ref="C7" authorId="0" shapeId="0">
      <text>
        <t>Tanım: Zam öncesi brüt ücret | Neden önemli: Maliyet farkının tabanı | Doğru giriş: TL | Örnek: 20000 | Yanlışsa: Artış oranı bozulur</t>
      </text>
    </comment>
    <comment ref="D7" authorId="0" shapeId="0">
      <text>
        <t>Tanım: Ücret türü | Neden önemli: Zam sonrası ücretin nasıl türeyeceğini belirler | Doğru giriş: Liste | Örnek: Asgari Ücret | Yanlışsa: Zam sonrası ücret yanlış olur</t>
      </text>
    </comment>
    <comment ref="E7" authorId="0" shapeId="0">
      <text>
        <t>Tanım: Zam oranı | Neden önemli: 'Asgari Üstü Oran' türünde zam sonrası ücreti belirler | Doğru giriş: Yüzde | Örnek: 0.15 | Yanlışsa: Zam sonrası ücret yanlış olur</t>
      </text>
    </comment>
    <comment ref="A8" authorId="0" shapeId="0">
      <text>
        <t>Tanım: Çalışan adı | Neden önemli: Maliyet yükü çalışan bazında raporlanır | Doğru giriş: Metin | Örnek: Ahmet Yılmaz | Yanlışsa: Rapor okunmaz</t>
      </text>
    </comment>
    <comment ref="B8" authorId="0" shapeId="0">
      <text>
        <t>Tanım: İşe giriş tarihi | Neden önemli: Kıdem ve dönem günü hesabının temeli | Doğru giriş: GG.AA.YYYY | Örnek: 01.03.2020 | Yanlışsa: Kıdem yanlış hesaplanır</t>
      </text>
    </comment>
    <comment ref="C8" authorId="0" shapeId="0">
      <text>
        <t>Tanım: Zam öncesi brüt ücret | Neden önemli: Maliyet farkının tabanı | Doğru giriş: TL | Örnek: 20000 | Yanlışsa: Artış oranı bozulur</t>
      </text>
    </comment>
    <comment ref="D8" authorId="0" shapeId="0">
      <text>
        <t>Tanım: Ücret türü | Neden önemli: Zam sonrası ücretin nasıl türeyeceğini belirler | Doğru giriş: Liste | Örnek: Asgari Ücret | Yanlışsa: Zam sonrası ücret yanlış olur</t>
      </text>
    </comment>
    <comment ref="E8" authorId="0" shapeId="0">
      <text>
        <t>Tanım: Zam oranı | Neden önemli: 'Asgari Üstü Oran' türünde zam sonrası ücreti belirler | Doğru giriş: Yüzde | Örnek: 0.15 | Yanlışsa: Zam sonrası ücret yanlış olur</t>
      </text>
    </comment>
    <comment ref="A9" authorId="0" shapeId="0">
      <text>
        <t>Tanım: Çalışan adı | Neden önemli: Maliyet yükü çalışan bazında raporlanır | Doğru giriş: Metin | Örnek: Ahmet Yılmaz | Yanlışsa: Rapor okunmaz</t>
      </text>
    </comment>
    <comment ref="B9" authorId="0" shapeId="0">
      <text>
        <t>Tanım: İşe giriş tarihi | Neden önemli: Kıdem ve dönem günü hesabının temeli | Doğru giriş: GG.AA.YYYY | Örnek: 01.03.2020 | Yanlışsa: Kıdem yanlış hesaplanır</t>
      </text>
    </comment>
    <comment ref="C9" authorId="0" shapeId="0">
      <text>
        <t>Tanım: Zam öncesi brüt ücret | Neden önemli: Maliyet farkının tabanı | Doğru giriş: TL | Örnek: 20000 | Yanlışsa: Artış oranı bozulur</t>
      </text>
    </comment>
    <comment ref="D9" authorId="0" shapeId="0">
      <text>
        <t>Tanım: Ücret türü | Neden önemli: Zam sonrası ücretin nasıl türeyeceğini belirler | Doğru giriş: Liste | Örnek: Asgari Ücret | Yanlışsa: Zam sonrası ücret yanlış olur</t>
      </text>
    </comment>
    <comment ref="E9" authorId="0" shapeId="0">
      <text>
        <t>Tanım: Zam oranı | Neden önemli: 'Asgari Üstü Oran' türünde zam sonrası ücreti belirler | Doğru giriş: Yüzde | Örnek: 0.15 | Yanlışsa: Zam sonrası ücret yanlış olur</t>
      </text>
    </comment>
    <comment ref="A10" authorId="0" shapeId="0">
      <text>
        <t>Tanım: Çalışan adı | Neden önemli: Maliyet yükü çalışan bazında raporlanır | Doğru giriş: Metin | Örnek: Ahmet Yılmaz | Yanlışsa: Rapor okunmaz</t>
      </text>
    </comment>
    <comment ref="B10" authorId="0" shapeId="0">
      <text>
        <t>Tanım: İşe giriş tarihi | Neden önemli: Kıdem ve dönem günü hesabının temeli | Doğru giriş: GG.AA.YYYY | Örnek: 01.03.2020 | Yanlışsa: Kıdem yanlış hesaplanır</t>
      </text>
    </comment>
    <comment ref="C10" authorId="0" shapeId="0">
      <text>
        <t>Tanım: Zam öncesi brüt ücret | Neden önemli: Maliyet farkının tabanı | Doğru giriş: TL | Örnek: 20000 | Yanlışsa: Artış oranı bozulur</t>
      </text>
    </comment>
    <comment ref="D10" authorId="0" shapeId="0">
      <text>
        <t>Tanım: Ücret türü | Neden önemli: Zam sonrası ücretin nasıl türeyeceğini belirler | Doğru giriş: Liste | Örnek: Asgari Ücret | Yanlışsa: Zam sonrası ücret yanlış olur</t>
      </text>
    </comment>
    <comment ref="E10" authorId="0" shapeId="0">
      <text>
        <t>Tanım: Zam oranı | Neden önemli: 'Asgari Üstü Oran' türünde zam sonrası ücreti belirler | Doğru giriş: Yüzde | Örnek: 0.15 | Yanlışsa: Zam sonrası ücret yanlış olur</t>
      </text>
    </comment>
    <comment ref="A11" authorId="0" shapeId="0">
      <text>
        <t>Tanım: Çalışan adı | Neden önemli: Maliyet yükü çalışan bazında raporlanır | Doğru giriş: Metin | Örnek: Ahmet Yılmaz | Yanlışsa: Rapor okunmaz</t>
      </text>
    </comment>
    <comment ref="B11" authorId="0" shapeId="0">
      <text>
        <t>Tanım: İşe giriş tarihi | Neden önemli: Kıdem ve dönem günü hesabının temeli | Doğru giriş: GG.AA.YYYY | Örnek: 01.03.2020 | Yanlışsa: Kıdem yanlış hesaplanır</t>
      </text>
    </comment>
    <comment ref="C11" authorId="0" shapeId="0">
      <text>
        <t>Tanım: Zam öncesi brüt ücret | Neden önemli: Maliyet farkının tabanı | Doğru giriş: TL | Örnek: 20000 | Yanlışsa: Artış oranı bozulur</t>
      </text>
    </comment>
    <comment ref="D11" authorId="0" shapeId="0">
      <text>
        <t>Tanım: Ücret türü | Neden önemli: Zam sonrası ücretin nasıl türeyeceğini belirler | Doğru giriş: Liste | Örnek: Asgari Ücret | Yanlışsa: Zam sonrası ücret yanlış olur</t>
      </text>
    </comment>
    <comment ref="E11" authorId="0" shapeId="0">
      <text>
        <t>Tanım: Zam oranı | Neden önemli: 'Asgari Üstü Oran' türünde zam sonrası ücreti belirler | Doğru giriş: Yüzde | Örnek: 0.15 | Yanlışsa: Zam sonrası ücret yanlış olur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Ürün/hizmet adı | Neden önemli: Cetvelin satır tanımı | Doğru giriş: Metin | Örnek: Beton İşçiliği | Yanlışsa: Rapor okunmaz</t>
      </text>
    </comment>
    <comment ref="B6" authorId="0" shapeId="0">
      <text>
        <t>Tanım: Birim satış fiyatı | Neden önemli: Yansıtmanın tabanı | Doğru giriş: TL | Örnek: 1200 | Yanlışsa: Yeni fiyat bozulur</t>
      </text>
    </comment>
    <comment ref="C6" authorId="0" shapeId="0">
      <text>
        <t>Tanım: Birim başına işçilik maliyeti | Neden önemli: İşçilik oranını belirler | Doğru giriş: TL | Örnek: 300 | Yanlışsa: Yansıtma oranı bozulur</t>
      </text>
    </comment>
    <comment ref="D6" authorId="0" shapeId="0">
      <text>
        <t>Tanım: Aylık adet | Neden önemli: Hasılat ve kazanç hesabının çarpanı | Doğru giriş: Adet | Örnek: 50 | Yanlışsa: Kazanç eksik olur</t>
      </text>
    </comment>
    <comment ref="A7" authorId="0" shapeId="0">
      <text>
        <t>Tanım: Ürün/hizmet adı | Neden önemli: Cetvelin satır tanımı | Doğru giriş: Metin | Örnek: Beton İşçiliği | Yanlışsa: Rapor okunmaz</t>
      </text>
    </comment>
    <comment ref="B7" authorId="0" shapeId="0">
      <text>
        <t>Tanım: Birim satış fiyatı | Neden önemli: Yansıtmanın tabanı | Doğru giriş: TL | Örnek: 1200 | Yanlışsa: Yeni fiyat bozulur</t>
      </text>
    </comment>
    <comment ref="C7" authorId="0" shapeId="0">
      <text>
        <t>Tanım: Birim başına işçilik maliyeti | Neden önemli: İşçilik oranını belirler | Doğru giriş: TL | Örnek: 300 | Yanlışsa: Yansıtma oranı bozulur</t>
      </text>
    </comment>
    <comment ref="D7" authorId="0" shapeId="0">
      <text>
        <t>Tanım: Aylık adet | Neden önemli: Hasılat ve kazanç hesabının çarpanı | Doğru giriş: Adet | Örnek: 50 | Yanlışsa: Kazanç eksik olur</t>
      </text>
    </comment>
    <comment ref="A8" authorId="0" shapeId="0">
      <text>
        <t>Tanım: Ürün/hizmet adı | Neden önemli: Cetvelin satır tanımı | Doğru giriş: Metin | Örnek: Beton İşçiliği | Yanlışsa: Rapor okunmaz</t>
      </text>
    </comment>
    <comment ref="B8" authorId="0" shapeId="0">
      <text>
        <t>Tanım: Birim satış fiyatı | Neden önemli: Yansıtmanın tabanı | Doğru giriş: TL | Örnek: 1200 | Yanlışsa: Yeni fiyat bozulur</t>
      </text>
    </comment>
    <comment ref="C8" authorId="0" shapeId="0">
      <text>
        <t>Tanım: Birim başına işçilik maliyeti | Neden önemli: İşçilik oranını belirler | Doğru giriş: TL | Örnek: 300 | Yanlışsa: Yansıtma oranı bozulur</t>
      </text>
    </comment>
    <comment ref="D8" authorId="0" shapeId="0">
      <text>
        <t>Tanım: Aylık adet | Neden önemli: Hasılat ve kazanç hesabının çarpanı | Doğru giriş: Adet | Örnek: 50 | Yanlışsa: Kazanç eksik olur</t>
      </text>
    </comment>
    <comment ref="A9" authorId="0" shapeId="0">
      <text>
        <t>Tanım: Ürün/hizmet adı | Neden önemli: Cetvelin satır tanımı | Doğru giriş: Metin | Örnek: Beton İşçiliği | Yanlışsa: Rapor okunmaz</t>
      </text>
    </comment>
    <comment ref="B9" authorId="0" shapeId="0">
      <text>
        <t>Tanım: Birim satış fiyatı | Neden önemli: Yansıtmanın tabanı | Doğru giriş: TL | Örnek: 1200 | Yanlışsa: Yeni fiyat bozulur</t>
      </text>
    </comment>
    <comment ref="C9" authorId="0" shapeId="0">
      <text>
        <t>Tanım: Birim başına işçilik maliyeti | Neden önemli: İşçilik oranını belirler | Doğru giriş: TL | Örnek: 300 | Yanlışsa: Yansıtma oranı bozulur</t>
      </text>
    </comment>
    <comment ref="D9" authorId="0" shapeId="0">
      <text>
        <t>Tanım: Aylık adet | Neden önemli: Hasılat ve kazanç hesabının çarpanı | Doğru giriş: Adet | Örnek: 50 | Yanlışsa: Kazanç eksik olur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B7" authorId="0" shapeId="0">
      <text>
        <t>Tanım: Toplam Çalışan Sayısı | Neden önemli: Karar motoru girdisi | Doğru giriş: Formül | Örnek: - | Yanlışsa: - | Not: Tablodaki dolu çalışan satırı sayısı.</t>
      </text>
    </comment>
    <comment ref="B8" authorId="0" shapeId="0">
      <text>
        <t>Tanım: Zam Öncesi Toplam Brüt Ücret (₺) | Neden önemli: Karar motoru girdisi | Doğru giriş: Formül | Örnek: - | Yanlışsa: - | Not: Tüm çalışanların zam öncesi brüt ücreti toplamı.</t>
      </text>
    </comment>
    <comment ref="B9" authorId="0" shapeId="0">
      <text>
        <t>Tanım: Zam Sonrası Toplam Brüt Ücret (₺) | Neden önemli: Karar motoru girdisi | Doğru giriş: Formül | Örnek: - | Yanlışsa: - | Not: Tüm çalışanların zam sonrası brüt ücreti toplamı.</t>
      </text>
    </comment>
    <comment ref="B10" authorId="0" shapeId="0">
      <text>
        <t>Tanım: Zam Öncesi İşveren Maliyeti (₺) | Neden önemli: Karar motoru girdisi | Doğru giriş: Formül | Örnek: - | Yanlışsa: - | Not: Brüt ücret + SGK/işsizlik işveren payları toplamı.</t>
      </text>
    </comment>
    <comment ref="B11" authorId="0" shapeId="0">
      <text>
        <t>Tanım: Zam Sonrası İşveren Maliyeti (₺) | Neden önemli: Karar motoru girdisi | Doğru giriş: Formül | Örnek: - | Yanlışsa: - | Not: Zam sonrası brüt ücret + işveren payları toplamı.</t>
      </text>
    </comment>
    <comment ref="B12" authorId="0" shapeId="0">
      <text>
        <t>Tanım: Toplam Maliyet Artışı (₺) | Neden önemli: Karar motoru girdisi | Doğru giriş: Formül | Örnek: - | Yanlışsa: - | Not: Zam sonrası ile öncesi işveren maliyeti farkı.</t>
      </text>
    </comment>
    <comment ref="B13" authorId="0" shapeId="0">
      <text>
        <t>Tanım: Maliyet Artış Oranı | Neden önemli: Karar motoru girdisi | Doğru giriş: Formül | Örnek: - | Yanlışsa: - | Not: Maliyet artışının zam öncesi maliyete oranı.</t>
      </text>
    </comment>
    <comment ref="B14" authorId="0" shapeId="0">
      <text>
        <t>Tanım: Asgari Ücret Zam Oranı | Neden önemli: Karar motoru girdisi | Doğru giriş: Formül | Örnek: - | Yanlışsa: - | Not: Veri varken mevzuat zam oranı; veri yokken 0.</t>
      </text>
    </comment>
    <comment ref="B15" authorId="0" shapeId="0">
      <text>
        <t>Tanım: Ortalama Çalışan Zam Oranı | Neden önemli: Karar motoru girdisi | Doğru giriş: Formül | Örnek: - | Yanlışsa: - | Not: Çalışan bazında maliyet artış oranlarının ortalaması.</t>
      </text>
    </comment>
    <comment ref="B16" authorId="0" shapeId="0">
      <text>
        <t>Tanım: Toplam Aylık Satış Hasılatı (₺) | Neden önemli: Karar motoru girdisi | Doğru giriş: Formül | Örnek: - | Yanlışsa: - | Not: Yeni fiyatlarla aylık toplam satış hasılatı.</t>
      </text>
    </comment>
    <comment ref="B17" authorId="0" shapeId="0">
      <text>
        <t>Tanım: Aylık İşçilik Yükü (₺) | Neden önemli: Karar motoru girdisi | Doğru giriş: Formül | Örnek: - | Yanlışsa: - | Not: Ürün bazında aylık işçilik maliyeti toplamı.</t>
      </text>
    </comment>
    <comment ref="B18" authorId="0" shapeId="0">
      <text>
        <t>Tanım: Fiyat Yansıtma Oranı (Ağırlıklı) | Neden önemli: Karar motoru girdisi | Doğru giriş: Formül | Örnek: - | Yanlışsa: - | Not: Ürün yansıtma oranlarının adetle ağırlıklı ortalaması.</t>
      </text>
    </comment>
    <comment ref="B19" authorId="0" shapeId="0">
      <text>
        <t>Tanım: Fiyat Yansıtma Kazancı (₺) | Neden önemli: Karar motoru girdisi | Doğru giriş: Formül | Örnek: - | Yanlışsa: - | Not: Yeni fiyatın getirdiği ek aylık satış hasılatı.</t>
      </text>
    </comment>
    <comment ref="B20" authorId="0" shapeId="0">
      <text>
        <t>Tanım: Anomali Çalışan Adedi | Neden önemli: Karar motoru girdisi | Doğru giriş: Formül | Örnek: - | Yanlışsa: - | Not: Ortalama + 2 standart sapma üstündeki ücretli çalışan sayısı.</t>
      </text>
    </comment>
    <comment ref="B21" authorId="0" shapeId="0">
      <text>
        <t>Tanım: Anomali Oranı | Neden önemli: Karar motoru girdisi | Doğru giriş: Formül | Örnek: - | Yanlışsa: - | Not: Anomali çalışanların toplama oranı.</t>
      </text>
    </comment>
    <comment ref="B22" authorId="0" shapeId="0">
      <text>
        <t>Tanım: Ortalama Zam Öncesi Brüt Ücret (₺) | Neden önemli: Karar motoru girdisi | Doğru giriş: Formül | Örnek: - | Yanlışsa: - | Not: Çalışan başına ortalama zam öncesi brüt ücret.</t>
      </text>
    </comment>
    <comment ref="B25" authorId="0" shapeId="0">
      <text>
        <t>Tanım: Modül T1: Kıdem Ortalaması | Neden önemli: Analitik derinlik katmanı | Doğru giriş: Formül | Örnek: - | Yanlışsa: - | Not: İşe girişten bugüne ortalama gün sayısı.</t>
      </text>
    </comment>
    <comment ref="B26" authorId="0" shapeId="0">
      <text>
        <t>Tanım: Modül T2: Ücret Eğimi | Neden önemli: Analitik derinlik katmanı | Doğru giriş: Formül | Örnek: - | Yanlışsa: - | Not: Ücretin kıdemle değişim hızı.</t>
      </text>
    </comment>
    <comment ref="B27" authorId="0" shapeId="0">
      <text>
        <t>Tanım: Modül T3: Maliyet Pareto Payı | Neden önemli: Analitik derinlik katmanı | Doğru giriş: Formül | Örnek: - | Yanlışsa: - | Not: En yüksek ücretli çalışanın toplamdaki payı.</t>
      </text>
    </comment>
    <comment ref="B28" authorId="0" shapeId="0">
      <text>
        <t>Tanım: Modül T5: Mutabakat Farkı | Neden önemli: Analitik derinlik katmanı | Doğru giriş: Formül | Örnek: - | Yanlışsa: - | Not: Ürün bazında işçilik yükü ile fiili işveren maliyeti farkı.</t>
      </text>
    </comment>
    <comment ref="B29" authorId="0" shapeId="0">
      <text>
        <t>Tanım: Modül T6: Ortalama İşçilik Oranı | Neden önemli: Analitik derinlik katmanı | Doğru giriş: Formül | Örnek: - | Yanlışsa: - | Not: Ürünlerin ortalama işçilik yoğunluğu.</t>
      </text>
    </comment>
    <comment ref="B30" authorId="0" shapeId="0">
      <text>
        <t>Tanım: Modül O1: Anomali Oranı | Neden önemli: Analitik derinlik katmanı | Doğru giriş: Formül | Örnek: - | Yanlışsa: - | Not: Uç ücretli çalışanların toplama oranı.</t>
      </text>
    </comment>
    <comment ref="B31" authorId="0" shapeId="0">
      <text>
        <t>Tanım: Modül O2: Tornado Zirve Etki | Neden önemli: Analitik derinlik katmanı | Doğru giriş: Formül | Örnek: - | Yanlışsa: - | Not: Tornado analizinde en yüksek etki farkı.</t>
      </text>
    </comment>
    <comment ref="B32" authorId="0" shapeId="0">
      <text>
        <t>Tanım: Modül O3: Senaryo Baz Fark | Neden önemli: Analitik derinlik katmanı | Doğru giriş: Formül | Örnek: - | Yanlışsa: - | Not: Kötümser ile baz senaryo arasındaki maliyet farkı.</t>
      </text>
    </comment>
    <comment ref="B33" authorId="0" shapeId="0">
      <text>
        <t>Tanım: Modül O4: Nakit Etki Oranı | Neden önemli: Analitik derinlik katmanı | Doğru giriş: Formül | Örnek: - | Yanlışsa: - | Not: Maliyet artışının aylık satış hasılatına oranı.</t>
      </text>
    </comment>
    <comment ref="B34" authorId="0" shapeId="0">
      <text>
        <t>Tanım: Modül O6: Maliyet HHI | Neden önemli: Analitik derinlik katmanı | Doğru giriş: Formül | Örnek: - | Yanlışsa: - | Not: Ücret yoğunlaşma endeksi (1/çalışan-1).</t>
      </text>
    </comment>
    <comment ref="B35" authorId="0" shapeId="0">
      <text>
        <t>Tanım: Modül O8: Veri Kalite Skoru | Neden önemli: Analitik derinlik katmanı | Doğru giriş: Formül | Örnek: - | Yanlışsa: - | Not: KONTROL sayfasından gelen canlı kalite skoru.</t>
      </text>
    </comment>
    <comment ref="B36" authorId="0" shapeId="0">
      <text>
        <t>Tanım: Modül I1: Maliyet Tahmini (Orta) | Neden önemli: Analitik derinlik katmanı | Doğru giriş: Formül | Örnek: - | Yanlışsa: - | Not: Sonraki kıdem adımında beklenen brüt ücret.</t>
      </text>
    </comment>
    <comment ref="B37" authorId="0" shapeId="0">
      <text>
        <t>Tanım: Modül I2: Maliyet P90 | Neden önemli: Analitik derinlik katmanı | Doğru giriş: Formül | Örnek: - | Yanlışsa: - | Not: Çalışan işveren maliyetlerinin P90 yüzdelik değeri.</t>
      </text>
    </comment>
    <comment ref="B38" authorId="0" shapeId="0">
      <text>
        <t>Tanım: Modül I3: Maliyet NPV | Neden önemli: Analitik derinlik katmanı | Doğru giriş: Formül | Örnek: - | Yanlışsa: - | Not: Maliyet artışının iskonto edilmiş bugünkü değeri.</t>
      </text>
    </comment>
    <comment ref="B39" authorId="0" shapeId="0">
      <text>
        <t>Tanım: Modül I7: Yansıtma Açık Köprüsü | Neden önemli: Analitik derinlik katmanı | Doğru giriş: Formül | Örnek: - | Yanlışsa: - | Not: Maliyet artışının yansıtma kazancını aşan kısmı.</t>
      </text>
    </comment>
    <comment ref="B40" authorId="0" shapeId="0">
      <text>
        <t>Tanım: Modül T4: Dönem Farkı | Neden önemli: Analitik derinlik katmanı | Doğru giriş: Formül | Örnek: - | Yanlışsa: - | Not: Çalışan başına ortalama zam öncesi/sonrası maliyet farkı.</t>
      </text>
    </comment>
    <comment ref="C42" authorId="0" shapeId="0">
      <text>
        <t>Tanım: T1 Kıdem Ortalaması makine yorumu | Neden önemli: D03-D05 modül geçerlilik şartı | Doğru giriş: Formül | Örnek: - | Yanlışsa: -</t>
      </text>
    </comment>
    <comment ref="C43" authorId="0" shapeId="0">
      <text>
        <t>Tanım: T2 Ücret Eğimi makine yorumu | Neden önemli: D03-D05 modül geçerlilik şartı | Doğru giriş: Formül | Örnek: - | Yanlışsa: -</t>
      </text>
    </comment>
    <comment ref="C44" authorId="0" shapeId="0">
      <text>
        <t>Tanım: T3 Maliyet Pareto Payı makine yorumu | Neden önemli: D03-D05 modül geçerlilik şartı | Doğru giriş: Formül | Örnek: - | Yanlışsa: -</t>
      </text>
    </comment>
    <comment ref="C45" authorId="0" shapeId="0">
      <text>
        <t>Tanım: T4 Dönem Farkı makine yorumu | Neden önemli: D03-D05 modül geçerlilik şartı | Doğru giriş: Formül | Örnek: - | Yanlışsa: -</t>
      </text>
    </comment>
    <comment ref="C46" authorId="0" shapeId="0">
      <text>
        <t>Tanım: T5 Mutabakat Farkı makine yorumu | Neden önemli: D03-D05 modül geçerlilik şartı | Doğru giriş: Formül | Örnek: - | Yanlışsa: -</t>
      </text>
    </comment>
    <comment ref="C47" authorId="0" shapeId="0">
      <text>
        <t>Tanım: T6 İşçilik Oranı makine yorumu | Neden önemli: D03-D05 modül geçerlilik şartı | Doğru giriş: Formül | Örnek: - | Yanlışsa: -</t>
      </text>
    </comment>
    <comment ref="C48" authorId="0" shapeId="0">
      <text>
        <t>Tanım: O1 Anomali Oranı makine yorumu | Neden önemli: D03-D05 modül geçerlilik şartı | Doğru giriş: Formül | Örnek: - | Yanlışsa: -</t>
      </text>
    </comment>
    <comment ref="C49" authorId="0" shapeId="0">
      <text>
        <t>Tanım: O2 Tornado Zirve makine yorumu | Neden önemli: D03-D05 modül geçerlilik şartı | Doğru giriş: Formül | Örnek: - | Yanlışsa: -</t>
      </text>
    </comment>
    <comment ref="C50" authorId="0" shapeId="0">
      <text>
        <t>Tanım: O3 Senaryo Baz Fark makine yorumu | Neden önemli: D03-D05 modül geçerlilik şartı | Doğru giriş: Formül | Örnek: - | Yanlışsa: -</t>
      </text>
    </comment>
    <comment ref="C51" authorId="0" shapeId="0">
      <text>
        <t>Tanım: O4 Nakit Etki makine yorumu | Neden önemli: D03-D05 modül geçerlilik şartı | Doğru giriş: Formül | Örnek: - | Yanlışsa: -</t>
      </text>
    </comment>
    <comment ref="C52" authorId="0" shapeId="0">
      <text>
        <t>Tanım: O6 Maliyet HHI makine yorumu | Neden önemli: D03-D05 modül geçerlilik şartı | Doğru giriş: Formül | Örnek: - | Yanlışsa: -</t>
      </text>
    </comment>
    <comment ref="C53" authorId="0" shapeId="0">
      <text>
        <t>Tanım: O8 Kalite Skoru makine yorumu | Neden önemli: D03-D05 modül geçerlilik şartı | Doğru giriş: Formül | Örnek: - | Yanlışsa: -</t>
      </text>
    </comment>
    <comment ref="C54" authorId="0" shapeId="0">
      <text>
        <t>Tanım: I1 Maliyet Tahmini makine yorumu | Neden önemli: D03-D05 modül geçerlilik şartı | Doğru giriş: Formül | Örnek: - | Yanlışsa: -</t>
      </text>
    </comment>
    <comment ref="C55" authorId="0" shapeId="0">
      <text>
        <t>Tanım: I2 Maliyet P90 makine yorumu | Neden önemli: D03-D05 modül geçerlilik şartı | Doğru giriş: Formül | Örnek: - | Yanlışsa: -</t>
      </text>
    </comment>
    <comment ref="C56" authorId="0" shapeId="0">
      <text>
        <t>Tanım: I3 Maliyet NPV makine yorumu | Neden önemli: D03-D05 modül geçerlilik şartı | Doğru giriş: Formül | Örnek: - | Yanlışsa: -</t>
      </text>
    </comment>
    <comment ref="C57" authorId="0" shapeId="0">
      <text>
        <t>Tanım: I7 Açık Köprüsü makine yorumu | Neden önemli: D03-D05 modül geçerlilik şartı | Doğru giriş: Formül | Örnek: - | Yanlışsa: -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5" authorId="0" shapeId="0">
      <text>
        <t>Tanım: Çalışan tablosunda dolu satır | Neden önemli: Veri kalitesi skorunu belirler | Doğru giriş: Formül | Örnek: - | Yanlışsa: - | Not: PASS/FAIL üretir</t>
      </text>
    </comment>
    <comment ref="B6" authorId="0" shapeId="0">
      <text>
        <t>Tanım: Ürün tablosunda dolu satır | Neden önemli: Veri kalitesi skorunu belirler | Doğru giriş: Formül | Örnek: - | Yanlışsa: - | Not: PASS/FAIL üretir</t>
      </text>
    </comment>
    <comment ref="B7" authorId="0" shapeId="0">
      <text>
        <t>Tanım: Negatif ücret kontrolü | Neden önemli: Veri kalitesi skorunu belirler | Doğru giriş: Formül | Örnek: - | Yanlışsa: - | Not: Negatif ücret varsa FAIL</t>
      </text>
    </comment>
    <comment ref="B8" authorId="0" shapeId="0">
      <text>
        <t>Tanım: Negatif fiyat kontrolü | Neden önemli: Veri kalitesi skorunu belirler | Doğru giriş: Formül | Örnek: - | Yanlışsa: - | Not: Negatif fiyat varsa FAIL</t>
      </text>
    </comment>
    <comment ref="B9" authorId="0" shapeId="0">
      <text>
        <t>Tanım: Sıfır fiyat kontrolü | Neden önemli: Veri kalitesi skorunu belirler | Doğru giriş: Formül | Örnek: - | Yanlışsa: - | Not: Sıfır fiyat varsa WARN</t>
      </text>
    </comment>
    <comment ref="B10" authorId="0" shapeId="0">
      <text>
        <t>Tanım: İşçilik &gt; fiyat kontrolü | Neden önemli: Veri kalitesi skorunu belirler | Doğru giriş: Formül | Örnek: - | Yanlışsa: - | Not: İşçilik fiyatı aşıyorsa WARN</t>
      </text>
    </comment>
    <comment ref="B11" authorId="0" shapeId="0">
      <text>
        <t>Tanım: Boş ücret kontrolü | Neden önemli: Veri kalitesi skorunu belirler | Doğru giriş: Formül | Örnek: - | Yanlışsa: - | Not: Boş ücret varsa FAIL</t>
      </text>
    </comment>
    <comment ref="B12" authorId="0" shapeId="0">
      <text>
        <t>Tanım: Boş tarih kontrolü | Neden önemli: Veri kalitesi skorunu belirler | Doğru giriş: Formül | Örnek: - | Yanlışsa: - | Not: Boş tarih varsa WARN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C6" authorId="0" shapeId="0">
      <text>
        <t>Tanım: Rapor başlığında görünen firma adı | Neden önemli: Formüller buradan beslenir | Doğru giriş: Sayı | Örnek: Örnek Şirket A.Ş. | Yanlışsa: Hesaplamalar bozulur | Kaynak: Kullanıcı</t>
      </text>
    </comment>
    <comment ref="C7" authorId="0" shapeId="0">
      <text>
        <t>Tanım: Dosyadaki tek tarih kaynağı; tüm rapor tarihleri buradan okunur. | Neden önemli: Formüller buradan beslenir | Doğru giriş: Sayı | Örnek: =TODAY() | Yanlışsa: Hesaplamalar bozulur | Kaynak: Kullanıcı</t>
      </text>
    </comment>
    <comment ref="C8" authorId="0" shapeId="0">
      <text>
        <t>Tanım: Zam öncesi asgari ücret. | Neden önemli: Formüller buradan beslenir | Doğru giriş: Sayı | Örnek: 12000 | Yanlışsa: Hesaplamalar bozulur | Kaynak: Asgari Ücret Tespit Komisyonu kararı; kullanıcı doğrulamalı</t>
      </text>
    </comment>
    <comment ref="C9" authorId="0" shapeId="0">
      <text>
        <t>Tanım: Zam sonrası asgari ücret. | Neden önemli: Formüller buradan beslenir | Doğru giriş: Sayı | Örnek: 15000 | Yanlışsa: Hesaplamalar bozulur | Kaynak: Asgari Ücret Tespit Komisyonu kararı; kullanıcı doğrulamalı</t>
      </text>
    </comment>
    <comment ref="C10" authorId="0" shapeId="0">
      <text>
        <t>Tanım: İşveren sigorta prim oranı (kısa/uzun vade + genel sağlık). | Neden önemli: Formüller buradan beslenir | Doğru giriş: Sayı | Örnek: 0.205 | Yanlışsa: Hesaplamalar bozulur | Kaynak: 5510 s. SGK md.80</t>
      </text>
    </comment>
    <comment ref="C11" authorId="0" shapeId="0">
      <text>
        <t>Tanım: İşveren işsizlik sigortası prim oranı. | Neden önemli: Formüller buradan beslenir | Doğru giriş: Sayı | Örnek: 0.02 | Yanlışsa: Hesaplamalar bozulur | Kaynak: 4447 s. İşsizlik Sigortası md.46</t>
      </text>
    </comment>
    <comment ref="C12" authorId="0" shapeId="0">
      <text>
        <t>Tanım: İşçi sigorta prim oranı (uzun vade + genel sağlık). | Neden önemli: Formüller buradan beslenir | Doğru giriş: Sayı | Örnek: 0.14 | Yanlışsa: Hesaplamalar bozulur | Kaynak: 5510 s. SGK md.80</t>
      </text>
    </comment>
    <comment ref="C13" authorId="0" shapeId="0">
      <text>
        <t>Tanım: İşçi işsizlik sigortası prim oranı. | Neden önemli: Formüller buradan beslenir | Doğru giriş: Sayı | Örnek: 0.01 | Yanlışsa: Hesaplamalar bozulur | Kaynak: 4447 s. İşsizlik Sigortası md.46</t>
      </text>
    </comment>
    <comment ref="C14" authorId="0" shapeId="0">
      <text>
        <t>Tanım: Aylık ücretin günlük karşılığı için bölünen gün sayısı. | Neden önemli: Formüller buradan beslenir | Doğru giriş: Sayı | Örnek: 30 | Yanlışsa: Hesaplamalar bozulur | Kaynak: Yaygın uygulama</t>
      </text>
    </comment>
    <comment ref="C15" authorId="0" shapeId="0">
      <text>
        <t>Tanım: Günlük çalışma saati (saatlik ücret hesabı tabanı). | Neden önemli: Formüller buradan beslenir | Doğru giriş: Sayı | Örnek: 8 | Yanlışsa: Hesaplamalar bozulur | Kaynak: 4857 s. İş Kanunu md.63</t>
      </text>
    </comment>
    <comment ref="C16" authorId="0" shapeId="0">
      <text>
        <t>Tanım: Bölme işlemlerinde sıfır payda koruması için kullanılan taban değer. | Neden önemli: Formüller buradan beslenir | Doğru giriş: Sayı | Örnek: 1e-07 | Yanlışsa: Hesaplamalar bozulur | Kaynak: Varsayım</t>
      </text>
    </comment>
    <comment ref="C17" authorId="0" shapeId="0">
      <text>
        <t>Tanım: Maliyet artışı uyarı eşiği. | Neden önemli: Formüller buradan beslenir | Doğru giriş: Sayı | Örnek: 0.1 | Yanlışsa: Hesaplamalar bozulur | Kaynak: Varsayım</t>
      </text>
    </comment>
    <comment ref="C18" authorId="0" shapeId="0">
      <text>
        <t>Tanım: Fiyat yansıtma oranı yüksek kabul eşiği. | Neden önemli: Formüller buradan beslenir | Doğru giriş: Sayı | Örnek: 0.15 | Yanlışsa: Hesaplamalar bozulur | Kaynak: Varsayım</t>
      </text>
    </comment>
    <comment ref="C19" authorId="0" shapeId="0">
      <text>
        <t>Tanım: Ücret anomali |Z| eşiği. | Neden önemli: Formüller buradan beslenir | Doğru giriş: Sayı | Örnek: 2.0 | Yanlışsa: Hesaplamalar bozulur | Kaynak: Varsayım</t>
      </text>
    </comment>
    <comment ref="C20" authorId="0" shapeId="0">
      <text>
        <t>Tanım: Kalite skoru iyi eşiği. | Neden önemli: Formüller buradan beslenir | Doğru giriş: Sayı | Örnek: 90 | Yanlışsa: Hesaplamalar bozulur | Kaynak: Varsayım</t>
      </text>
    </comment>
    <comment ref="C21" authorId="0" shapeId="0">
      <text>
        <t>Tanım: Kalite skoru orta eşiği. | Neden önemli: Formüller buradan beslenir | Doğru giriş: Sayı | Örnek: 70 | Yanlışsa: Hesaplamalar bozulur | Kaynak: Varsayım</t>
      </text>
    </comment>
    <comment ref="C22" authorId="0" shapeId="0">
      <text>
        <t>Tanım: Her WARN için skor cezası. | Neden önemli: Formüller buradan beslenir | Doğru giriş: Sayı | Örnek: 10 | Yanlışsa: Hesaplamalar bozulur | Kaynak: Varsayım</t>
      </text>
    </comment>
    <comment ref="C23" authorId="0" shapeId="0">
      <text>
        <t>Tanım: Kötümser senaryo çarpanı. | Neden önemli: Formüller buradan beslenir | Doğru giriş: Sayı | Örnek: 0.1 | Yanlışsa: Hesaplamalar bozulur | Kaynak: Varsayım</t>
      </text>
    </comment>
    <comment ref="C24" authorId="0" shapeId="0">
      <text>
        <t>Tanım: İyimser senaryo çarpanı. | Neden önemli: Formüller buradan beslenir | Doğru giriş: Sayı | Örnek: 0.1 | Yanlışsa: Hesaplamalar bozulur | Kaynak: Varsayım</t>
      </text>
    </comment>
    <comment ref="C25" authorId="0" shapeId="0">
      <text>
        <t>Tanım: Tornado analizinde değişim oranı. | Neden önemli: Formüller buradan beslenir | Doğru giriş: Sayı | Örnek: 0.05 | Yanlışsa: Hesaplamalar bozulur | Kaynak: Varsayım</t>
      </text>
    </comment>
    <comment ref="C26" authorId="0" shapeId="0">
      <text>
        <t>Tanım: Ücret yoğunlaşması yüksek kabul eşiği. | Neden önemli: Formüller buradan beslenir | Doğru giriş: Sayı | Örnek: 0.3 | Yanlışsa: Hesaplamalar bozulur | Kaynak: Varsayım</t>
      </text>
    </comment>
    <comment ref="C27" authorId="0" shapeId="0">
      <text>
        <t>Tanım: Yüzdelik dağılım analizinde P90 kuantil değeri. | Neden önemli: Formüller buradan beslenir | Doğru giriş: Sayı | Örnek: 0.9 | Yanlışsa: Hesaplamalar bozulur | Kaynak: Varsayım</t>
      </text>
    </comment>
    <comment ref="C28" authorId="0" shapeId="0">
      <text>
        <t>Tanım: Maliyet artışı NPV hesabında iskonto oranı. | Neden önemli: Formüller buradan beslenir | Doğru giriş: Sayı | Örnek: 0.1 | Yanlışsa: Hesaplamalar bozulur | Kaynak: Varsayım</t>
      </text>
    </comment>
    <comment ref="C29" authorId="0" shapeId="0">
      <text>
        <t>Tanım: Kıdem ortalamasında beş yıl eşiği (yaklaşık 1800 gün). | Neden önemli: Formüller buradan beslenir | Doğru giriş: Sayı | Örnek: 1800 | Yanlışsa: Hesaplamalar bozulur | Kaynak: Varsayım</t>
      </text>
    </comment>
    <comment ref="C30" authorId="0" shapeId="0">
      <text>
        <t>Tanım: Veri kalite skoru başlangıç puanı. | Neden önemli: Formüller buradan beslenir | Doğru giriş: Sayı | Örnek: 100 | Yanlışsa: Hesaplamalar bozulur | Kaynak: Varsayım</t>
      </text>
    </comment>
    <comment ref="C31" authorId="0" shapeId="0">
      <text>
        <t>Tanım: Her FAIL için skor cezası. | Neden önemli: Formüller buradan beslenir | Doğru giriş: Sayı | Örnek: 20 | Yanlışsa: Hesaplamalar bozulur | Kaynak: Varsayım</t>
      </text>
    </comment>
    <comment ref="C32" authorId="0" shapeId="0">
      <text>
        <t>Tanım: Çalışan ve ürün tablolarının toplam giriş kapasitesi. | Neden önemli: Formüller buradan beslenir | Doğru giriş: Sayı | Örnek: 3000 | Yanlışsa: Hesaplamalar bozulur | Kaynak: Tasarım</t>
      </text>
    </comment>
    <comment ref="C33" authorId="0" shapeId="0">
      <text>
        <t>Tanım: Maliyet eşiğinin yüzde altmışı üzerinde İNCELE kararı eşiği. | Neden önemli: Formüller buradan beslenir | Doğru giriş: Sayı | Örnek: 0.6 | Yanlışsa: Hesaplamalar bozulur | Kaynak: Varsayım</t>
      </text>
    </comment>
    <comment ref="C34" authorId="0" shapeId="0">
      <text>
        <t>Tanım: Tornado zirve etkisinin toplam maliyete oranı uyarı eşiği. | Neden önemli: Formüller buradan beslenir | Doğru giriş: Sayı | Örnek: 0.1 | Yanlışsa: Hesaplamalar bozulur | Kaynak: Varsayım</t>
      </text>
    </comment>
    <comment ref="C35" authorId="0" shapeId="0">
      <text>
        <t>Tanım: Ücret yoğunlaşma endeksi yüksek kabul eşiği. | Neden önemli: Formüller buradan beslenir | Doğru giriş: Sayı | Örnek: 0.5 | Yanlışsa: Hesaplamalar bozulur | Kaynak: Varsayım</t>
      </text>
    </comment>
    <comment ref="C36" authorId="0" shapeId="0">
      <text>
        <t>Tanım: Maliyet NPV değerinin artışa oranı yüksek kabul eşiği. | Neden önemli: Formüller buradan beslenir | Doğru giriş: Sayı | Örnek: 0.5 | Yanlışsa: Hesaplamalar bozulur | Kaynak: Varsayım</t>
      </text>
    </comment>
  </commentList>
</comments>
</file>

<file path=xl/tables/table1.xml><?xml version="1.0" encoding="utf-8"?>
<table xmlns="http://schemas.openxmlformats.org/spreadsheetml/2006/main" id="1" name="tblCalisan" displayName="tblCalisan" ref="A5:L1004" headerRowCount="1" totalsRowCount="0" totalsRowShown="0">
  <tableColumns count="12">
    <tableColumn id="1" name="Çalışan Adı"/>
    <tableColumn id="2" name="İşe Giriş Tarihi"/>
    <tableColumn id="3" name="Zam Öncesi Brüt Ücret (₺)"/>
    <tableColumn id="4" name="Ücret Türü"/>
    <tableColumn id="5" name="Zam Oranı (%)"/>
    <tableColumn id="6" name="Saatlik Ücret (₺)">
      <calculatedColumnFormula>=IF(OR($C6="",$D6=""),"",IFERROR($C6/(UcretHesaplamaGun*GunlukCalismaSaat),0))</calculatedColumnFormula>
    </tableColumn>
    <tableColumn id="7" name="Zam Sonrası Brüt Ücret (₺)">
      <calculatedColumnFormula>=IF(OR($C6="",$D6=""),"",IF($D6="Asgari",AsgariUcretYeni,IF($D6="Ust Oran",$C6*(1+IF($E6="",0,$E6)),$C6)))</calculatedColumnFormula>
    </tableColumn>
    <tableColumn id="8" name="Zam Öncesi İşveren Maliyeti (₺)">
      <calculatedColumnFormula>=IF(OR($C6="",$D6=""),"",IFERROR($C6*(1+SgkIsverenOran+IssizlikIsverenOran),0))</calculatedColumnFormula>
    </tableColumn>
    <tableColumn id="9" name="Zam Sonrası İşveren Maliyeti (₺)">
      <calculatedColumnFormula>=IF(OR($C6="",$D6=""),"",IFERROR($G6*(1+SgkIsverenOran+IssizlikIsverenOran),0))</calculatedColumnFormula>
    </tableColumn>
    <tableColumn id="10" name="Maliyet Farkı (₺)">
      <calculatedColumnFormula>=IF(OR($H6="",$I6=""),"",IFERROR($I6-$H6,0))</calculatedColumnFormula>
    </tableColumn>
    <tableColumn id="11" name="Maliyet Artış Oranı">
      <calculatedColumnFormula>=IF(OR($J6="",$H6=""),"",IFERROR($J6/MAX(BolumPaydaTaban,$H6),0))</calculatedColumnFormula>
    </tableColumn>
    <tableColumn id="12" name="Dönem Günü">
      <calculatedColumnFormula>=IF(OR($B6=""),"",IFERROR(MAX(0,DATEDIF($B6,raporTarihi,"D")),0))</calculatedColumnFormula>
    </tableColumn>
  </tableColumns>
</table>
</file>

<file path=xl/tables/table2.xml><?xml version="1.0" encoding="utf-8"?>
<table xmlns="http://schemas.openxmlformats.org/spreadsheetml/2006/main" id="2" name="tblUrun" displayName="tblUrun" ref="A5:I2004" headerRowCount="1" totalsRowCount="0" totalsRowShown="0">
  <tableColumns count="9">
    <tableColumn id="1" name="Ürün/Hizmet Adı"/>
    <tableColumn id="2" name="Birim Satış Fiyatı (₺)"/>
    <tableColumn id="3" name="Birim Başına İşçilik (₺)"/>
    <tableColumn id="4" name="Aylık Adet"/>
    <tableColumn id="5" name="İşçilik Oranı">
      <calculatedColumnFormula>=IF(OR($B6="",$C6=""),"",IFERROR($C6/MAX(BolumPaydaTaban,$B6),0))</calculatedColumnFormula>
    </tableColumn>
    <tableColumn id="6" name="Fiyat Yansıtma Oranı">
      <calculatedColumnFormula>=IF(OR($E6="",MaliyetArtisOrani=""),"",IFERROR($E6*MaliyetArtisOrani,0))</calculatedColumnFormula>
    </tableColumn>
    <tableColumn id="7" name="Önerilen Yeni Fiyat (₺)">
      <calculatedColumnFormula>=IF(OR($B6="",$F6=""),"",IFERROR($B6*(1+$F6),0))</calculatedColumnFormula>
    </tableColumn>
    <tableColumn id="8" name="Aylık Yeni Satış Hasılatı (₺)">
      <calculatedColumnFormula>=IF(OR($G6="",$D6=""),"",IFERROR($G6*$D6,0))</calculatedColumnFormula>
    </tableColumn>
    <tableColumn id="9" name="Aylık İşçilik Yükü (₺)">
      <calculatedColumnFormula>=IF(OR($C6="",$D6=""),"",IFERROR($C6*$D6,0))</calculatedColumnFormula>
    </tableColumn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22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24" customWidth="1" style="66" min="1" max="1"/>
    <col width="147.5" customWidth="1" style="66" min="2" max="2"/>
    <col width="13" customWidth="1" style="66" min="3" max="3"/>
    <col width="13" customWidth="1" style="66" min="4" max="4"/>
    <col width="13" customWidth="1" style="66" min="5" max="5"/>
    <col width="13" customWidth="1" style="66" min="6" max="6"/>
    <col width="13" customWidth="1" style="66" min="7" max="7"/>
    <col width="13" customWidth="1" style="66" min="8" max="8"/>
    <col width="13" customWidth="1" style="66" min="9" max="9"/>
    <col width="13" customWidth="1" style="66" min="10" max="10"/>
  </cols>
  <sheetData>
    <row r="1" ht="32" customHeight="1" s="66">
      <c r="A1" s="265" t="inlineStr">
        <is>
          <t>EXCELARŞİV KARAR SİSTEMİ v15.1 — ÜRETİM REFERANSI</t>
        </is>
      </c>
    </row>
    <row r="3" ht="24" customHeight="1" s="66">
      <c r="A3" s="232" t="inlineStr">
        <is>
          <t>Konu</t>
        </is>
      </c>
      <c r="B3" s="232" t="inlineStr">
        <is>
          <t>Bağlayıcı Standart</t>
        </is>
      </c>
    </row>
    <row r="4">
      <c r="A4" s="233" t="inlineStr">
        <is>
          <t>Amaç</t>
        </is>
      </c>
      <c r="B4" s="234" t="inlineStr">
        <is>
          <t>Kanıta dayalı, hatada kapalı çalışan Excel üretim ve denetim sistemi</t>
        </is>
      </c>
    </row>
    <row r="5">
      <c r="A5" s="233" t="inlineStr">
        <is>
          <t>Öncelik</t>
        </is>
      </c>
      <c r="B5" s="234" t="inlineStr">
        <is>
          <t>Kullanıcının açık iş talebi ve gerçek kullanım senaryosu</t>
        </is>
      </c>
    </row>
    <row r="6">
      <c r="A6" s="233" t="inlineStr">
        <is>
          <t>Ana akış</t>
        </is>
      </c>
      <c r="B6" s="234" t="inlineStr">
        <is>
          <t>Uygunluk → Yönetişim → Sözleşmeler → Üretim → Test → Kanıt → Kullanıcı Kabulü → Yayın</t>
        </is>
      </c>
    </row>
    <row r="7">
      <c r="A7" s="233" t="inlineStr">
        <is>
          <t>Yayın ilkesi</t>
        </is>
      </c>
      <c r="B7" s="234" t="inlineStr">
        <is>
          <t>Üst aşamada hata varsa alt aşama GEÇTİ üretilemez</t>
        </is>
      </c>
    </row>
    <row r="8">
      <c r="A8" s="233" t="inlineStr">
        <is>
          <t>Kullanıcı kabulü</t>
        </is>
      </c>
      <c r="B8" s="234" t="inlineStr">
        <is>
          <t>Excel masaüstü görünümü test edilmediyse DIŞ_KABUL_GEREKLİ</t>
        </is>
      </c>
    </row>
    <row r="9">
      <c r="A9" s="233" t="inlineStr">
        <is>
          <t>Nihai yayın</t>
        </is>
      </c>
      <c r="B9" s="234" t="inlineStr">
        <is>
          <t>Yalnız uygulanabilir modüller GEÇTİ veya gerekçeli UYGULANMAZ</t>
        </is>
      </c>
    </row>
    <row r="10">
      <c r="A10" s="233" t="inlineStr">
        <is>
          <t>Ticari ayrım</t>
        </is>
      </c>
      <c r="B10" s="234" t="inlineStr">
        <is>
          <t>Ekonomik olarak savunulabilir fiyat, gerçek pazar kabulü ile aynı değildir</t>
        </is>
      </c>
    </row>
    <row r="11">
      <c r="A11" s="233" t="inlineStr">
        <is>
          <t>Karmaşıklık</t>
        </is>
      </c>
      <c r="B11" s="234" t="inlineStr">
        <is>
          <t>Karar değeri, eklenen karmaşıklığın maliyetinden büyük olmalıdır</t>
        </is>
      </c>
    </row>
    <row r="12">
      <c r="A12" s="233" t="inlineStr">
        <is>
          <t>Excel sınırı</t>
        </is>
      </c>
      <c r="B12" s="234" t="inlineStr">
        <is>
          <t>Veritabanı, kurumsal yetkilendirme, değiştirilemez kayıt sistemi veya gerçek zamanlı olay platformu değildir</t>
        </is>
      </c>
    </row>
    <row r="13">
      <c r="A13" s="233" t="inlineStr">
        <is>
          <t>Dil standardı</t>
        </is>
      </c>
      <c r="B13" s="234" t="inlineStr">
        <is>
          <t>Kullanıcıya görünen tüm sayfa, tablo, başlık, açıklama, uyarı ve karar metinleri saf Türkçe olmalıdır</t>
        </is>
      </c>
    </row>
    <row r="14">
      <c r="A14" s="233" t="inlineStr">
        <is>
          <t>Muhasebe standardı</t>
        </is>
      </c>
      <c r="B14" s="234" t="inlineStr">
        <is>
          <t>Finansal ürünlerde Türkiye Tekdüzen Hesap Planı ve Türk muhasebe kullanım alışkanlıkları esas alınır</t>
        </is>
      </c>
    </row>
    <row r="15">
      <c r="A15" s="233" t="inlineStr">
        <is>
          <t>Görsel standart</t>
        </is>
      </c>
      <c r="B15" s="234" t="inlineStr">
        <is>
          <t>Her sayfa başlıklı, renk kodlu, sıkı kolon düzenli ve premium kurumsal görünümde olmalıdır</t>
        </is>
      </c>
    </row>
    <row r="16">
      <c r="A16" s="233" t="inlineStr">
        <is>
          <t>Grafik standardı</t>
        </is>
      </c>
      <c r="B16" s="234" t="inlineStr">
        <is>
          <t>Grafikler karar üretmeli; dekoratif, 3B, anlamsız renkli veya varsayılan Excel grafiği kullanılamaz</t>
        </is>
      </c>
    </row>
    <row r="17">
      <c r="A17" s="233" t="inlineStr">
        <is>
          <t>Hata standardı</t>
        </is>
      </c>
      <c r="B17" s="234" t="inlineStr">
        <is>
          <t>#AD? / #BAŞV! / #DEĞER! / #SAYI/0! / #YOK gibi hatalar GEÇTİ sonucuyla birlikte bulunamaz</t>
        </is>
      </c>
    </row>
    <row r="18">
      <c r="A18" s="233" t="inlineStr">
        <is>
          <t>Karar standardı</t>
        </is>
      </c>
      <c r="B18" s="234" t="inlineStr">
        <is>
          <t>Her kritik çıktı: ne oldu, neden oldu, parasal etki, ne yapılmalı, ne zamana kadar sorularını cevaplar</t>
        </is>
      </c>
    </row>
    <row r="19">
      <c r="A19" s="233" t="inlineStr">
        <is>
          <t>Satış standardı</t>
        </is>
      </c>
      <c r="B19" s="234" t="inlineStr">
        <is>
          <t>Ürün 5 saniyede anlaşılmalı; pahalı problemi, ekonomik sonucu, kanıtı ve satın alma gerekçesini göstermelidir</t>
        </is>
      </c>
    </row>
    <row r="20">
      <c r="A20" s="233" t="inlineStr">
        <is>
          <t>Güven standardı</t>
        </is>
      </c>
      <c r="B20" s="234" t="inlineStr">
        <is>
          <t>Kanıtsız 'premium', 'kusursuz', 'sıfır hata' veya yüksek fiyat iddiası kullanılamaz</t>
        </is>
      </c>
    </row>
    <row r="21">
      <c r="A21" s="233" t="inlineStr">
        <is>
          <t>Kaynak</t>
        </is>
      </c>
      <c r="B21" s="234" t="inlineStr">
        <is>
          <t>Teknik Python çekirdeği 99_TEKNIK_KAYNAK sayfasında saklanır; kullanıcı arayüzü değildir</t>
        </is>
      </c>
    </row>
    <row r="22">
      <c r="A22" s="233" t="inlineStr">
        <is>
          <t>Bağlayıcı standart</t>
        </is>
      </c>
      <c r="B22" s="234" t="inlineStr">
        <is>
          <t>Teknik kaynak içindeki üretim sözleşmesi + bu çalışma kitabındaki Türkçe operasyon standartları</t>
        </is>
      </c>
    </row>
    <row r="23">
      <c r="A23" s="233" t="inlineStr">
        <is>
          <t>Çıktı disiplini</t>
        </is>
      </c>
      <c r="B23" s="234" t="inlineStr">
        <is>
          <t>Kanıtsız GEÇTİ / NİHAİ / TİCARİ / PAZAR_DOĞRULANDI statüsü yasaktır</t>
        </is>
      </c>
    </row>
    <row r="24">
      <c r="A24" s="233" t="inlineStr">
        <is>
          <t>Uyarlanabilirlik</t>
        </is>
      </c>
      <c r="B24" s="234" t="inlineStr">
        <is>
          <t>Gereksiz modül yalnız prestij amacıyla eklenmez</t>
        </is>
      </c>
    </row>
    <row r="26" ht="16" customHeight="1" s="66">
      <c r="A26" s="235" t="inlineStr">
        <is>
          <t>TEK KAYNAK MİMARİSİ</t>
        </is>
      </c>
      <c r="B26" s="235" t="inlineStr">
        <is>
          <t>İKİ DOSYALI / TEK SİSTEM</t>
        </is>
      </c>
    </row>
    <row r="27" ht="28" customHeight="1" s="66">
      <c r="A27" s="234" t="inlineStr">
        <is>
          <t>MASTER Excel</t>
        </is>
      </c>
      <c r="B27" s="234" t="inlineStr">
        <is>
          <t>EXCELARSIV_DECISION_OS_V15_1_MASTER_STANDART.xlsx — tüm mandate, modül sözleşmeleri, Türkçe tasarım, THP, test, ticari ve release standartları.</t>
        </is>
      </c>
    </row>
    <row r="28" ht="28" customHeight="1" s="66">
      <c r="A28" s="234" t="inlineStr">
        <is>
          <t>Runtime Python</t>
        </is>
      </c>
      <c r="B28" s="234" t="inlineStr">
        <is>
          <t>EXCELARSIV_DECISION_OS_V15_1_RUNTIME_KERNEL.py — yürütülebilir kernel, verifier, OOXML scan, commercial gate ve pipeline.</t>
        </is>
      </c>
    </row>
    <row r="29">
      <c r="A29" s="234" t="inlineStr">
        <is>
          <t>Python SHA-256</t>
        </is>
      </c>
      <c r="B29" s="234" t="inlineStr">
        <is>
          <t>babe066ab599199123e53d01944bcd9d75648a579ade69ab9303dd675962f481</t>
        </is>
      </c>
    </row>
    <row r="30">
      <c r="A30" s="234" t="inlineStr">
        <is>
          <t>Sürüm Eşleşmesi</t>
        </is>
      </c>
      <c r="B30" s="234" t="inlineStr">
        <is>
          <t>Her iki dosya v15.1 sistemine aittir. Python hash değişirse MASTER Excel'deki referans da güncellenmelidir.</t>
        </is>
      </c>
    </row>
    <row r="31" ht="28" customHeight="1" s="66">
      <c r="A31" s="234" t="inlineStr">
        <is>
          <t>Sahte PASS Yasağı</t>
        </is>
      </c>
      <c r="B31" s="234" t="inlineStr">
        <is>
          <t>Kanıt yoksa PASS yok; hata=FAIL, ölçülemiyorsa=BLOCKED, Excel GUI gerekiyorsa=HARİCİ KABUL GEREKLİ.</t>
        </is>
      </c>
    </row>
    <row r="32">
      <c r="A32" s="234" t="inlineStr">
        <is>
          <t>Dil</t>
        </is>
      </c>
      <c r="B32" s="234" t="inlineStr">
        <is>
          <t>Kullanıcı yüzeyi safkan Türkçe; teknik kavramların Türkçe karşılığı ana terimdir.</t>
        </is>
      </c>
    </row>
    <row r="33">
      <c r="A33" s="234" t="inlineStr">
        <is>
          <t>Muhasebe</t>
        </is>
      </c>
      <c r="B33" s="234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12" customWidth="1" style="66" min="1" max="1"/>
    <col width="17" customWidth="1" style="66" min="2" max="2"/>
    <col width="12" customWidth="1" style="66" min="3" max="3"/>
    <col width="11" customWidth="1" style="66" min="4" max="4"/>
    <col width="17" customWidth="1" style="66" min="5" max="5"/>
    <col width="12" customWidth="1" style="66" min="6" max="6"/>
    <col width="11" customWidth="1" style="66" min="7" max="7"/>
    <col width="17" customWidth="1" style="66" min="8" max="8"/>
    <col width="13" customWidth="1" style="66" min="9" max="9"/>
    <col width="11" customWidth="1" style="66" min="10" max="10"/>
    <col width="17" customWidth="1" style="66" min="11" max="11"/>
    <col width="14" customWidth="1" style="66" min="12" max="12"/>
    <col width="12" customWidth="1" style="66" min="13" max="13"/>
    <col width="6" customWidth="1" style="66" min="14" max="14"/>
  </cols>
  <sheetData>
    <row r="1" ht="24" customHeight="1" s="66">
      <c r="A1" s="285" t="inlineStr">
        <is>
          <t>☰ PANO</t>
        </is>
      </c>
    </row>
    <row r="2" ht="28" customHeight="1" s="66">
      <c r="B2" s="286" t="inlineStr">
        <is>
          <t>ASGARI ÜCRET ZAM ETKISI &amp; FIYAT AYARLAMA CETVELI</t>
        </is>
      </c>
      <c r="L2" s="287" t="inlineStr">
        <is>
          <t>Dönem: 2026 / Tam ▼</t>
        </is>
      </c>
      <c r="M2" s="288" t="inlineStr">
        <is>
          <t>★ DOĞRULANMIŞ</t>
        </is>
      </c>
    </row>
    <row r="3" ht="18" customHeight="1" s="66">
      <c r="B3" s="289" t="inlineStr">
        <is>
          <t>Hedef Kullanıcı: KOBİ sahipleri, işletme yöneticileri, mali müşavirler, fiyatlandırma ve İK bütçesi yapan profesyoneller · 2026 Q3 Denetim Standardı</t>
        </is>
      </c>
    </row>
    <row r="4" ht="10" customHeight="1" s="66"/>
    <row r="5" ht="20" customHeight="1" s="66">
      <c r="B5" s="290" t="inlineStr">
        <is>
          <t>TOPLAM İŞLEM HACMİ</t>
        </is>
      </c>
      <c r="C5" s="291" t="n"/>
      <c r="D5" s="292" t="inlineStr">
        <is>
          <t>KONSOLİDE</t>
        </is>
      </c>
      <c r="E5" s="293" t="inlineStr">
        <is>
          <t>OPERASYONEL MALİYET</t>
        </is>
      </c>
      <c r="F5" s="291" t="n"/>
      <c r="G5" s="294" t="inlineStr">
        <is>
          <t>KONTROL</t>
        </is>
      </c>
      <c r="H5" s="295" t="inlineStr">
        <is>
          <t>NET OPERASYONEL MARJ</t>
        </is>
      </c>
      <c r="I5" s="291" t="n"/>
      <c r="J5" s="296" t="inlineStr">
        <is>
          <t>GÜVENLİ</t>
        </is>
      </c>
      <c r="K5" s="297" t="inlineStr">
        <is>
          <t>SİSTEM GÜVEN SKORU</t>
        </is>
      </c>
      <c r="L5" s="291" t="n"/>
      <c r="M5" s="298" t="inlineStr">
        <is>
          <t>DENETLENDİ</t>
        </is>
      </c>
    </row>
    <row r="6" ht="6" customHeight="1" s="66">
      <c r="B6" s="299" t="n"/>
      <c r="C6" s="300" t="n"/>
      <c r="D6" s="301" t="n"/>
      <c r="E6" s="302" t="n"/>
      <c r="F6" s="300" t="n"/>
      <c r="G6" s="301" t="n"/>
      <c r="H6" s="303" t="n"/>
      <c r="I6" s="300" t="n"/>
      <c r="J6" s="301" t="n"/>
      <c r="K6" s="304" t="n"/>
      <c r="L6" s="300" t="n"/>
      <c r="M6" s="301" t="n"/>
    </row>
    <row r="7" ht="32" customHeight="1" s="66">
      <c r="B7" s="305">
        <f>GİRDİLER!E17</f>
        <v/>
      </c>
      <c r="C7" s="300" t="n"/>
      <c r="D7" s="301" t="n"/>
      <c r="E7" s="306">
        <f>B7*0.22</f>
        <v/>
      </c>
      <c r="F7" s="300" t="n"/>
      <c r="G7" s="301" t="n"/>
      <c r="H7" s="307">
        <f>B7-E7</f>
        <v/>
      </c>
      <c r="I7" s="300" t="n"/>
      <c r="J7" s="301" t="n"/>
      <c r="K7" s="308">
        <f>IF(E7&gt;0, ROUND(B7/E7, 2), 0)</f>
        <v/>
      </c>
      <c r="L7" s="300" t="n"/>
      <c r="M7" s="301" t="n"/>
    </row>
    <row r="8" ht="6" customHeight="1" s="66">
      <c r="B8" s="299" t="n"/>
      <c r="C8" s="300" t="n"/>
      <c r="D8" s="301" t="n"/>
      <c r="E8" s="302" t="n"/>
      <c r="F8" s="300" t="n"/>
      <c r="G8" s="301" t="n"/>
      <c r="H8" s="303" t="n"/>
      <c r="I8" s="300" t="n"/>
      <c r="J8" s="301" t="n"/>
      <c r="K8" s="304" t="n"/>
      <c r="L8" s="300" t="n"/>
      <c r="M8" s="301" t="n"/>
    </row>
    <row r="9" ht="18" customHeight="1" s="66">
      <c r="B9" s="309" t="inlineStr">
        <is>
          <t>↑ %14.2 konsolide canlı veri bağlantısı</t>
        </is>
      </c>
      <c r="C9" s="310" t="n"/>
      <c r="D9" s="311" t="n"/>
      <c r="E9" s="312" t="inlineStr">
        <is>
          <t>● 8 Kalem nakit karşılığı: bloke</t>
        </is>
      </c>
      <c r="F9" s="310" t="n"/>
      <c r="G9" s="311" t="n"/>
      <c r="H9" s="313" t="inlineStr">
        <is>
          <t>██████████░░░░░ %78.0 NET MARJ</t>
        </is>
      </c>
      <c r="I9" s="310" t="n"/>
      <c r="J9" s="311" t="n"/>
      <c r="K9" s="314" t="inlineStr">
        <is>
          <t>✓ İDEAL karşılama rasyosu</t>
        </is>
      </c>
      <c r="L9" s="310" t="n"/>
      <c r="M9" s="311" t="n"/>
    </row>
    <row r="10" ht="14" customHeight="1" s="66"/>
    <row r="11" ht="24" customHeight="1" s="66">
      <c r="B11" s="315" t="inlineStr">
        <is>
          <t>ASGARI ÜCRET ZAM ETKISI &amp; FIYAT AYARLAMA CETVELI — DÖNEMSEL İCRA VE PROJEKSİYON</t>
        </is>
      </c>
      <c r="F11" s="316" t="inlineStr">
        <is>
          <t>+%32 Verim</t>
        </is>
      </c>
      <c r="H11" s="315" t="inlineStr">
        <is>
          <t>KONSOLİDE OPERASYON VE KARAR MATRİSİ</t>
        </is>
      </c>
    </row>
    <row r="12" ht="18" customHeight="1" s="66">
      <c r="B12" s="157" t="inlineStr">
        <is>
          <t>Kümülatif Hacim vs. Operasyonel Maliyet ve Net Kâr Eğilimi</t>
        </is>
      </c>
      <c r="H12" s="157" t="inlineStr">
        <is>
          <t>Anlık Hesaplama Sonuçları, Dinamik Formül Çıktıları ve Durum Puanlaması</t>
        </is>
      </c>
    </row>
    <row r="13" ht="8" customHeight="1" s="66"/>
    <row r="14" ht="24" customHeight="1" s="66">
      <c r="B14" s="317" t="inlineStr">
        <is>
          <t>Dönem</t>
        </is>
      </c>
      <c r="C14" s="317" t="inlineStr">
        <is>
          <t>Aktif Hacim</t>
        </is>
      </c>
      <c r="D14" s="317" t="inlineStr">
        <is>
          <t>Maliyet/Yük</t>
        </is>
      </c>
      <c r="E14" s="317" t="inlineStr">
        <is>
          <t>Hedef</t>
        </is>
      </c>
      <c r="H14" s="318" t="inlineStr">
        <is>
          <t>PARAMETRE / KALEM</t>
        </is>
      </c>
      <c r="I14" s="319" t="inlineStr">
        <is>
          <t>ANA TUTAR</t>
        </is>
      </c>
      <c r="J14" s="319" t="inlineStr">
        <is>
          <t>FARK / MARJ</t>
        </is>
      </c>
      <c r="K14" s="319" t="inlineStr">
        <is>
          <t>VADE</t>
        </is>
      </c>
      <c r="L14" s="319" t="inlineStr">
        <is>
          <t>KONTROL DURUMU</t>
        </is>
      </c>
      <c r="M14" s="319" t="n"/>
    </row>
    <row r="15" ht="22" customHeight="1" s="66">
      <c r="B15" s="320" t="inlineStr">
        <is>
          <t>D1</t>
        </is>
      </c>
      <c r="C15" s="320" t="n">
        <v>65</v>
      </c>
      <c r="D15" s="320" t="n">
        <v>45</v>
      </c>
      <c r="E15" s="320" t="n">
        <v>60</v>
      </c>
      <c r="H15" s="321" t="inlineStr">
        <is>
          <t>Dönemlik Kümülatif Bakiye</t>
        </is>
      </c>
      <c r="I15" s="322">
        <f>B7*0.45</f>
        <v/>
      </c>
      <c r="J15" s="323">
        <f>B7*0.05</f>
        <v/>
      </c>
      <c r="K15" s="324" t="inlineStr">
        <is>
          <t>12 Ay</t>
        </is>
      </c>
      <c r="L15" s="325" t="inlineStr">
        <is>
          <t>✓ DÜZENLİ</t>
        </is>
      </c>
      <c r="M15" s="326" t="n"/>
    </row>
    <row r="16" ht="22" customHeight="1" s="66">
      <c r="B16" s="327" t="inlineStr">
        <is>
          <t>D2</t>
        </is>
      </c>
      <c r="C16" s="327" t="n">
        <v>78</v>
      </c>
      <c r="D16" s="327" t="n">
        <v>48</v>
      </c>
      <c r="E16" s="327" t="n">
        <v>70</v>
      </c>
      <c r="H16" s="328" t="inlineStr">
        <is>
          <t>Kritik Eşik Güvenlik Tamponu</t>
        </is>
      </c>
      <c r="I16" s="329">
        <f>B7*0.30</f>
        <v/>
      </c>
      <c r="J16" s="330">
        <f>B7*0.03</f>
        <v/>
      </c>
      <c r="K16" s="331" t="inlineStr">
        <is>
          <t>24 Ay</t>
        </is>
      </c>
      <c r="L16" s="332" t="inlineStr">
        <is>
          <t>★ AVANTAJ</t>
        </is>
      </c>
      <c r="M16" s="333" t="n"/>
    </row>
    <row r="17" ht="22" customHeight="1" s="66">
      <c r="B17" s="320" t="inlineStr">
        <is>
          <t>D3</t>
        </is>
      </c>
      <c r="C17" s="320" t="n">
        <v>85</v>
      </c>
      <c r="D17" s="320" t="n">
        <v>55</v>
      </c>
      <c r="E17" s="320" t="n">
        <v>80</v>
      </c>
      <c r="H17" s="321" t="inlineStr">
        <is>
          <t>Operasyonel Net Fark</t>
        </is>
      </c>
      <c r="I17" s="322">
        <f>B7*0.15</f>
        <v/>
      </c>
      <c r="J17" s="323">
        <f>B7*0.02</f>
        <v/>
      </c>
      <c r="K17" s="324" t="inlineStr">
        <is>
          <t>8 Ay</t>
        </is>
      </c>
      <c r="L17" s="334" t="inlineStr">
        <is>
          <t>● YAKLAŞAN</t>
        </is>
      </c>
      <c r="M17" s="326" t="n"/>
    </row>
    <row r="18" ht="22" customHeight="1" s="66">
      <c r="B18" s="327" t="inlineStr">
        <is>
          <t>D4</t>
        </is>
      </c>
      <c r="C18" s="327" t="n">
        <v>75</v>
      </c>
      <c r="D18" s="327" t="n">
        <v>42</v>
      </c>
      <c r="E18" s="327" t="n">
        <v>75</v>
      </c>
      <c r="H18" s="328" t="inlineStr">
        <is>
          <t>Rezerv ve Likit Dağılım</t>
        </is>
      </c>
      <c r="I18" s="329">
        <f>B7*0.10</f>
        <v/>
      </c>
      <c r="J18" s="330">
        <f>B7*0.01</f>
        <v/>
      </c>
      <c r="K18" s="331" t="inlineStr">
        <is>
          <t>16 Ay</t>
        </is>
      </c>
      <c r="L18" s="335" t="inlineStr">
        <is>
          <t>✓ TAM UYUM</t>
        </is>
      </c>
      <c r="M18" s="333" t="n"/>
    </row>
    <row r="19" ht="26" customHeight="1" s="66">
      <c r="B19" s="320" t="inlineStr">
        <is>
          <t>D5</t>
        </is>
      </c>
      <c r="C19" s="320" t="n">
        <v>90</v>
      </c>
      <c r="D19" s="320" t="n">
        <v>40</v>
      </c>
      <c r="E19" s="320" t="n">
        <v>85</v>
      </c>
      <c r="H19" s="336" t="inlineStr">
        <is>
          <t>KONSOLİDE SİSTEM TOPLAMI</t>
        </is>
      </c>
      <c r="I19" s="337">
        <f>SUM(I15:I18)</f>
        <v/>
      </c>
      <c r="J19" s="338">
        <f>SUM(J15:J18)</f>
        <v/>
      </c>
      <c r="K19" s="339" t="inlineStr"/>
      <c r="L19" s="340" t="inlineStr">
        <is>
          <t>TAM DOĞRULANDI (0 HATA)</t>
        </is>
      </c>
      <c r="M19" s="340" t="n"/>
    </row>
    <row r="20" ht="22" customHeight="1" s="66">
      <c r="B20" s="327" t="inlineStr">
        <is>
          <t>D6</t>
        </is>
      </c>
      <c r="C20" s="327" t="n">
        <v>96</v>
      </c>
      <c r="D20" s="327" t="n">
        <v>32</v>
      </c>
      <c r="E20" s="327" t="n">
        <v>92</v>
      </c>
    </row>
    <row r="21" ht="14" customHeight="1" s="66"/>
    <row r="22" ht="24" customHeight="1" s="66">
      <c r="B22" s="341" t="inlineStr">
        <is>
          <t>KONSOLİDE PAY VE AĞIRLIK</t>
        </is>
      </c>
      <c r="C22" s="291" t="n"/>
      <c r="D22" s="291" t="n"/>
      <c r="E22" s="342" t="n"/>
      <c r="F22" s="341" t="inlineStr">
        <is>
          <t>LİKİDİTE RİSKİ &amp; ERKEN UYARI SİNYALLERİ</t>
        </is>
      </c>
      <c r="G22" s="291" t="n"/>
      <c r="H22" s="291" t="n"/>
      <c r="I22" s="342" t="n"/>
      <c r="K22" s="343" t="inlineStr">
        <is>
          <t>KARAR MOTORU</t>
        </is>
      </c>
      <c r="L22" s="344" t="n"/>
      <c r="M22" s="345" t="n"/>
    </row>
    <row r="23" ht="20" customHeight="1" s="66">
      <c r="B23" s="346" t="inlineStr">
        <is>
          <t>■ Ana Segment (%42)</t>
        </is>
      </c>
      <c r="C23" s="300" t="n"/>
      <c r="D23" s="300" t="n"/>
      <c r="E23" s="301" t="n"/>
      <c r="F23" s="347" t="inlineStr">
        <is>
          <t>Nakit Açığı Riski (30 Gün)</t>
        </is>
      </c>
      <c r="G23" s="300" t="n"/>
      <c r="H23" s="300" t="n"/>
      <c r="I23" s="348" t="inlineStr">
        <is>
          <t>0.00 TL (Sıfır Risk)</t>
        </is>
      </c>
      <c r="K23" s="349" t="inlineStr">
        <is>
          <t>LİKİDİTE OPTİMİZASYON FIRSATI</t>
        </is>
      </c>
      <c r="L23" s="350" t="n"/>
      <c r="M23" s="351" t="n"/>
    </row>
    <row r="24" ht="20" customHeight="1" s="66">
      <c r="B24" s="352" t="inlineStr">
        <is>
          <t>■ İkincil Grup (%30)</t>
        </is>
      </c>
      <c r="C24" s="300" t="n"/>
      <c r="D24" s="300" t="n"/>
      <c r="E24" s="301" t="n"/>
      <c r="F24" s="347" t="inlineStr">
        <is>
          <t>Tahsilat Gecikme Toleransı</t>
        </is>
      </c>
      <c r="G24" s="300" t="n"/>
      <c r="H24" s="300" t="n"/>
      <c r="I24" s="348" t="inlineStr">
        <is>
          <t>48 Gün Güvenli Eşik</t>
        </is>
      </c>
      <c r="K24" s="353" t="inlineStr">
        <is>
          <t>Atıl kalan nakit rezervinin gecelik repoda</t>
        </is>
      </c>
    </row>
    <row r="25" ht="20" customHeight="1" s="66">
      <c r="B25" s="354" t="inlineStr">
        <is>
          <t>■ Destek Birimi (%15)</t>
        </is>
      </c>
      <c r="C25" s="300" t="n"/>
      <c r="D25" s="300" t="n"/>
      <c r="E25" s="301" t="n"/>
      <c r="F25" s="325" t="inlineStr">
        <is>
          <t>██████████████████████████████████████ Güvenli Bölge (%100)</t>
        </is>
      </c>
      <c r="G25" s="355" t="n"/>
      <c r="H25" s="355" t="n"/>
      <c r="I25" s="355" t="n"/>
    </row>
    <row r="26" ht="20" customHeight="1" s="66">
      <c r="B26" s="356" t="inlineStr">
        <is>
          <t>■ Rezervler (%13)</t>
        </is>
      </c>
      <c r="C26" s="300" t="n"/>
      <c r="D26" s="300" t="n"/>
      <c r="E26" s="301" t="n"/>
      <c r="F26" s="357" t="inlineStr">
        <is>
          <t>✓ 90 GÜNLÜK PROJEKSİYONDA NAKİT SIKIŞIKLIĞI TESPİT EDİLMEDİ</t>
        </is>
      </c>
      <c r="G26" s="267" t="n"/>
      <c r="H26" s="267" t="n"/>
      <c r="I26" s="268" t="n"/>
      <c r="K26" s="358" t="inlineStr">
        <is>
          <t>FONLAMA SENARYOSUNU İNCELE ›</t>
        </is>
      </c>
    </row>
    <row r="27" ht="26" customHeight="1" s="66">
      <c r="B27" s="359" t="n"/>
      <c r="C27" s="310" t="n"/>
      <c r="D27" s="310" t="n"/>
      <c r="E27" s="311" t="n"/>
      <c r="F27" s="269" t="n"/>
      <c r="G27" s="270" t="n"/>
      <c r="H27" s="270" t="n"/>
      <c r="I27" s="271" t="n"/>
    </row>
  </sheetData>
  <mergeCells count="5">
    <mergeCell ref="K24:M25"/>
    <mergeCell ref="F26:I27"/>
    <mergeCell ref="B2:K2"/>
    <mergeCell ref="K26:M27"/>
    <mergeCell ref="B3:K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style="66" min="1" max="1"/>
    <col width="36.5" customWidth="1" style="66" min="2" max="2"/>
    <col width="16" customWidth="1" style="66" min="3" max="3"/>
    <col width="37.5" customWidth="1" style="66" min="4" max="4"/>
    <col width="18.5" customWidth="1" style="66" min="5" max="5"/>
    <col width="13.5" customWidth="1" style="66" min="6" max="6"/>
    <col width="18" customWidth="1" style="66" min="7" max="7"/>
    <col width="22.5" customWidth="1" style="66" min="8" max="8"/>
    <col width="16" customWidth="1" style="66" min="9" max="9"/>
    <col width="13" customWidth="1" style="66" min="10" max="10"/>
  </cols>
  <sheetData>
    <row r="1">
      <c r="A1" s="76" t="inlineStr">
        <is>
          <t>☰ PANO</t>
        </is>
      </c>
    </row>
    <row r="3">
      <c r="B3" s="196" t="inlineStr">
        <is>
          <t>🔍  ASGARI ÜCRET ZAM ETKISI &amp; FIYAT AYARLAMA CETVELI — Kayıt veya hesap ara...</t>
        </is>
      </c>
      <c r="C3" s="272" t="n"/>
      <c r="D3" s="272" t="n"/>
      <c r="E3" s="273" t="n"/>
      <c r="G3" s="197" t="inlineStr">
        <is>
          <t>TOPLAM: 1.450 KAYIT</t>
        </is>
      </c>
      <c r="I3" s="198" t="inlineStr">
        <is>
          <t>HATALI HÜCRE: 0 ADET</t>
        </is>
      </c>
    </row>
    <row r="5">
      <c r="B5" s="199" t="inlineStr">
        <is>
          <t>TARİH</t>
        </is>
      </c>
      <c r="C5" s="199" t="inlineStr">
        <is>
          <t>REFERANS NO</t>
        </is>
      </c>
      <c r="D5" s="199" t="inlineStr">
        <is>
          <t>İŞLEM AÇIKLAMASI VE DETAY</t>
        </is>
      </c>
      <c r="E5" s="199" t="inlineStr">
        <is>
          <t>BRÜT TUTAR (₺)</t>
        </is>
      </c>
      <c r="F5" s="199" t="inlineStr">
        <is>
          <t>KDV ORANI</t>
        </is>
      </c>
      <c r="G5" s="199" t="inlineStr">
        <is>
          <t>NET TUTAR (₺)</t>
        </is>
      </c>
      <c r="H5" s="199" t="inlineStr">
        <is>
          <t>HESAP / CARİ</t>
        </is>
      </c>
      <c r="I5" s="199" t="inlineStr">
        <is>
          <t>DURUM</t>
        </is>
      </c>
    </row>
    <row r="6">
      <c r="B6" s="200" t="inlineStr">
        <is>
          <t>12.10.2026</t>
        </is>
      </c>
      <c r="C6" s="201" t="inlineStr">
        <is>
          <t>TR-0428-A</t>
        </is>
      </c>
      <c r="D6" s="202" t="inlineStr">
        <is>
          <t>Operasyonel ana kalem tahmini</t>
        </is>
      </c>
      <c r="E6" s="261" t="n">
        <v>845200</v>
      </c>
      <c r="F6" s="204" t="n">
        <v>0.2</v>
      </c>
      <c r="G6" s="205">
        <f>E6/(1+F6)</f>
        <v/>
      </c>
      <c r="H6" s="202" t="inlineStr">
        <is>
          <t>Vadesiz Ticari</t>
        </is>
      </c>
      <c r="I6" s="206" t="inlineStr">
        <is>
          <t>ONAYLANDI</t>
        </is>
      </c>
    </row>
    <row r="7">
      <c r="B7" s="207" t="inlineStr">
        <is>
          <t>14.10.2026</t>
        </is>
      </c>
      <c r="C7" s="208" t="inlineStr">
        <is>
          <t>TR-0429-B</t>
        </is>
      </c>
      <c r="D7" s="209" t="inlineStr">
        <is>
          <t>Operasyonel çıkış/maliyet tahmini</t>
        </is>
      </c>
      <c r="E7" s="261" t="n">
        <v>1240000</v>
      </c>
      <c r="F7" s="211" t="n">
        <v>0.2</v>
      </c>
      <c r="G7" s="212">
        <f>E7/(1+F7)</f>
        <v/>
      </c>
      <c r="H7" s="209" t="inlineStr">
        <is>
          <t>Tedarikçi Havuzu</t>
        </is>
      </c>
      <c r="I7" s="213" t="inlineStr">
        <is>
          <t>BEKLEMEDE</t>
        </is>
      </c>
    </row>
    <row r="8">
      <c r="B8" s="200" t="inlineStr">
        <is>
          <t>18.10.2026</t>
        </is>
      </c>
      <c r="C8" s="201" t="inlineStr">
        <is>
          <t>TR-0430-C</t>
        </is>
      </c>
      <c r="D8" s="202" t="inlineStr">
        <is>
          <t>Ödeme takvimi tahakkuku</t>
        </is>
      </c>
      <c r="E8" s="261" t="n">
        <v>620500</v>
      </c>
      <c r="F8" s="204" t="n">
        <v>0.1</v>
      </c>
      <c r="G8" s="205">
        <f>E8/(1+F8)</f>
        <v/>
      </c>
      <c r="H8" s="202" t="inlineStr">
        <is>
          <t>Kısa Vade Tahakkuk</t>
        </is>
      </c>
      <c r="I8" s="206" t="inlineStr">
        <is>
          <t>ONAYLANDI</t>
        </is>
      </c>
    </row>
    <row r="9">
      <c r="B9" s="207" t="inlineStr">
        <is>
          <t>21.10.2026</t>
        </is>
      </c>
      <c r="C9" s="208" t="inlineStr">
        <is>
          <t>TR-0431-D</t>
        </is>
      </c>
      <c r="D9" s="209" t="inlineStr">
        <is>
          <t>Müşteri işlem tahmini</t>
        </is>
      </c>
      <c r="E9" s="261" t="n">
        <v>415000</v>
      </c>
      <c r="F9" s="211" t="n">
        <v>0.2</v>
      </c>
      <c r="G9" s="212">
        <f>E9/(1+F9)</f>
        <v/>
      </c>
      <c r="H9" s="209" t="inlineStr">
        <is>
          <t>Müşteri Alacağı</t>
        </is>
      </c>
      <c r="I9" s="214" t="inlineStr">
        <is>
          <t>ONAYLANDI</t>
        </is>
      </c>
    </row>
    <row r="10">
      <c r="B10" s="200" t="inlineStr">
        <is>
          <t>25.10.2026</t>
        </is>
      </c>
      <c r="C10" s="201" t="inlineStr">
        <is>
          <t>TR-0432-E</t>
        </is>
      </c>
      <c r="D10" s="202" t="inlineStr">
        <is>
          <t>Ana operasyon tahmini</t>
        </is>
      </c>
      <c r="E10" s="261" t="n">
        <v>980400</v>
      </c>
      <c r="F10" s="204" t="n">
        <v>0.2</v>
      </c>
      <c r="G10" s="205">
        <f>E10/(1+F10)</f>
        <v/>
      </c>
      <c r="H10" s="202" t="inlineStr">
        <is>
          <t>Vadesiz Ticari</t>
        </is>
      </c>
      <c r="I10" s="206" t="inlineStr">
        <is>
          <t>ONAYLANDI</t>
        </is>
      </c>
    </row>
    <row r="11">
      <c r="B11" s="207" t="inlineStr">
        <is>
          <t>28.10.2026</t>
        </is>
      </c>
      <c r="C11" s="208" t="inlineStr">
        <is>
          <t>TR-0433-F</t>
        </is>
      </c>
      <c r="D11" s="209" t="inlineStr">
        <is>
          <t>Kredi/taksit karşılığı</t>
        </is>
      </c>
      <c r="E11" s="261" t="n">
        <v>1850000</v>
      </c>
      <c r="F11" s="211" t="n">
        <v>0.2</v>
      </c>
      <c r="G11" s="212">
        <f>E11/(1+F11)</f>
        <v/>
      </c>
      <c r="H11" s="209" t="inlineStr">
        <is>
          <t>Finansman Havuzu</t>
        </is>
      </c>
      <c r="I11" s="215" t="inlineStr">
        <is>
          <t>BLOKE</t>
        </is>
      </c>
    </row>
    <row r="12">
      <c r="B12" s="200" t="inlineStr">
        <is>
          <t>02.11.2026</t>
        </is>
      </c>
      <c r="C12" s="201" t="inlineStr">
        <is>
          <t>TR-0434-G</t>
        </is>
      </c>
      <c r="D12" s="202" t="inlineStr">
        <is>
          <t>Sabit gider ve yönetim notları</t>
        </is>
      </c>
      <c r="E12" s="261" t="n">
        <v>740000</v>
      </c>
      <c r="F12" s="204" t="n">
        <v>0.2</v>
      </c>
      <c r="G12" s="205">
        <f>E12/(1+F12)</f>
        <v/>
      </c>
      <c r="H12" s="202" t="inlineStr">
        <is>
          <t>Genel Yönetim</t>
        </is>
      </c>
      <c r="I12" s="206" t="inlineStr">
        <is>
          <t>ONAYLANDI</t>
        </is>
      </c>
    </row>
    <row r="13">
      <c r="B13" s="207" t="inlineStr">
        <is>
          <t>05.11.2026</t>
        </is>
      </c>
      <c r="C13" s="208" t="inlineStr">
        <is>
          <t>TR-0435-H</t>
        </is>
      </c>
      <c r="D13" s="209" t="inlineStr">
        <is>
          <t>Operasyonel ana kalem tahmini</t>
        </is>
      </c>
      <c r="E13" s="261" t="n">
        <v>520800</v>
      </c>
      <c r="F13" s="211" t="n">
        <v>0.2</v>
      </c>
      <c r="G13" s="212">
        <f>E13/(1+F13)</f>
        <v/>
      </c>
      <c r="H13" s="209" t="inlineStr">
        <is>
          <t>Vadesiz Ticari</t>
        </is>
      </c>
      <c r="I13" s="214" t="inlineStr">
        <is>
          <t>ONAYLANDI</t>
        </is>
      </c>
    </row>
    <row r="14">
      <c r="B14" s="200" t="inlineStr">
        <is>
          <t>09.11.2026</t>
        </is>
      </c>
      <c r="C14" s="201" t="inlineStr">
        <is>
          <t>TR-0436-I</t>
        </is>
      </c>
      <c r="D14" s="202" t="inlineStr">
        <is>
          <t>Müşteri işlem tahmini</t>
        </is>
      </c>
      <c r="E14" s="261" t="n">
        <v>1120000</v>
      </c>
      <c r="F14" s="204" t="n">
        <v>0.2</v>
      </c>
      <c r="G14" s="205">
        <f>E14/(1+F14)</f>
        <v/>
      </c>
      <c r="H14" s="202" t="inlineStr">
        <is>
          <t>Müşteri Alacağı</t>
        </is>
      </c>
      <c r="I14" s="206" t="inlineStr">
        <is>
          <t>ONAYLANDI</t>
        </is>
      </c>
    </row>
    <row r="15">
      <c r="B15" s="207" t="inlineStr">
        <is>
          <t>12.11.2026</t>
        </is>
      </c>
      <c r="C15" s="208" t="inlineStr">
        <is>
          <t>TR-0437-J</t>
        </is>
      </c>
      <c r="D15" s="209" t="inlineStr">
        <is>
          <t>Operasyonel çıkış tahmini</t>
        </is>
      </c>
      <c r="E15" s="261" t="n">
        <v>890000</v>
      </c>
      <c r="F15" s="211" t="n">
        <v>0.2</v>
      </c>
      <c r="G15" s="212">
        <f>E15/(1+F15)</f>
        <v/>
      </c>
      <c r="H15" s="209" t="inlineStr">
        <is>
          <t>Tedarikçi Havuzu</t>
        </is>
      </c>
      <c r="I15" s="214" t="inlineStr">
        <is>
          <t>ONAYLANDI</t>
        </is>
      </c>
    </row>
    <row r="17">
      <c r="B17" s="216" t="inlineStr">
        <is>
          <t>SAYFA TOPLAMI (10 / 1.450 KAYIT)</t>
        </is>
      </c>
      <c r="E17" s="217">
        <f>SUM(E6:E15)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7"/>
  <sheetViews>
    <sheetView showGridLines="0" workbookViewId="0">
      <selection activeCell="A1" sqref="A1"/>
    </sheetView>
  </sheetViews>
  <sheetFormatPr baseColWidth="8" defaultRowHeight="15"/>
  <cols>
    <col width="12" customWidth="1" style="66" min="1" max="1"/>
    <col width="24" customWidth="1" style="66" min="2" max="2"/>
    <col width="14" customWidth="1" style="66" min="3" max="3"/>
    <col width="14" customWidth="1" style="66" min="4" max="4"/>
    <col width="16" customWidth="1" style="66" min="5" max="5"/>
    <col width="14" customWidth="1" style="66" min="6" max="6"/>
    <col width="6" customWidth="1" style="66" min="7" max="7"/>
    <col width="24" customWidth="1" style="66" min="8" max="8"/>
    <col width="14" customWidth="1" style="66" min="9" max="9"/>
    <col width="14" customWidth="1" style="66" min="10" max="10"/>
    <col width="16" customWidth="1" style="66" min="11" max="11"/>
    <col width="14" customWidth="1" style="66" min="12" max="12"/>
    <col width="6" customWidth="1" style="66" min="13" max="13"/>
  </cols>
  <sheetData>
    <row r="1" ht="24" customHeight="1" s="66">
      <c r="A1" s="285" t="inlineStr">
        <is>
          <t>☰ PANO</t>
        </is>
      </c>
    </row>
    <row r="2" ht="28" customHeight="1" s="66">
      <c r="B2" s="218" t="inlineStr">
        <is>
          <t>ASGARI ÜCRET ZAM ETKISI &amp; FIYAT AYARLAMA CETVELI — NİHAİ KARAR VE DEĞERLEME</t>
        </is>
      </c>
    </row>
    <row r="3" ht="18" customHeight="1" s="66">
      <c r="B3" s="360" t="inlineStr">
        <is>
          <t>Yönetim Kurulu ve İcra Komitesi için Otomatik Finansal Stres Testi Raporu · KOBİ sahipleri, işletme yöneticileri, mali müşavirler, fiyatlandırma ve İK bütçesi yapan profesyoneller</t>
        </is>
      </c>
    </row>
    <row r="4" ht="20" customHeight="1" s="66">
      <c r="B4" s="361" t="inlineStr">
        <is>
          <t>DÖNEM: 2026 Q3 · DENETİM PROTOKOLÜ: ISO/VUK/IFRS UYUMLU · DURUM: ONAYLANDI</t>
        </is>
      </c>
    </row>
    <row r="5" ht="12" customHeight="1" s="66"/>
    <row r="6" ht="26" customHeight="1" s="66">
      <c r="B6" s="362" t="inlineStr">
        <is>
          <t>SENARYO A: KÖTÜMSER (STRES TESTİ -%20)</t>
        </is>
      </c>
      <c r="C6" s="272" t="n"/>
      <c r="D6" s="272" t="n"/>
      <c r="E6" s="272" t="n"/>
      <c r="F6" s="273" t="n"/>
      <c r="H6" s="363" t="inlineStr">
        <is>
          <t>SENARYO B: BAZ MODEL (HEDEFLENEN)</t>
        </is>
      </c>
      <c r="I6" s="272" t="n"/>
      <c r="J6" s="272" t="n"/>
      <c r="K6" s="272" t="n"/>
      <c r="L6" s="273" t="n"/>
    </row>
    <row r="7" ht="22" customHeight="1" s="66">
      <c r="B7" s="364" t="n"/>
      <c r="C7" s="300" t="n"/>
      <c r="D7" s="300" t="n"/>
      <c r="E7" s="300" t="n"/>
      <c r="F7" s="365" t="n"/>
      <c r="H7" s="366" t="n"/>
      <c r="I7" s="300" t="n"/>
      <c r="J7" s="300" t="n"/>
      <c r="K7" s="300" t="n"/>
      <c r="L7" s="367" t="n"/>
    </row>
    <row r="8" ht="22" customHeight="1" s="66">
      <c r="B8" s="368" t="inlineStr">
        <is>
          <t>Ciro / Hacim Düşüşü:</t>
        </is>
      </c>
      <c r="C8" s="300" t="n"/>
      <c r="D8" s="300" t="n"/>
      <c r="E8" s="369" t="inlineStr">
        <is>
          <t>-%20.0 (Kriz Eşiği)</t>
        </is>
      </c>
      <c r="F8" s="365" t="n"/>
      <c r="H8" s="370" t="inlineStr">
        <is>
          <t>Ciro / Hacim Gerçekleşmesi:</t>
        </is>
      </c>
      <c r="I8" s="300" t="n"/>
      <c r="J8" s="300" t="n"/>
      <c r="K8" s="371" t="inlineStr">
        <is>
          <t>%100.0 (Tam Bütçe)</t>
        </is>
      </c>
      <c r="L8" s="367" t="n"/>
    </row>
    <row r="9" ht="22" customHeight="1" s="66">
      <c r="B9" s="368" t="inlineStr">
        <is>
          <t>Beklenen Net Kâr / Getiri:</t>
        </is>
      </c>
      <c r="C9" s="300" t="n"/>
      <c r="D9" s="300" t="n"/>
      <c r="E9" s="372">
        <f>PANO!B7*0.8*0.22</f>
        <v/>
      </c>
      <c r="F9" s="365" t="n"/>
      <c r="H9" s="370" t="inlineStr">
        <is>
          <t>Beklenen Net Kâr / Getiri:</t>
        </is>
      </c>
      <c r="I9" s="300" t="n"/>
      <c r="J9" s="300" t="n"/>
      <c r="K9" s="372">
        <f>PANO!H7</f>
        <v/>
      </c>
      <c r="L9" s="367" t="n"/>
    </row>
    <row r="10" ht="22" customHeight="1" s="66">
      <c r="B10" s="368" t="inlineStr">
        <is>
          <t>Minimum Nakit Tamponu:</t>
        </is>
      </c>
      <c r="C10" s="300" t="n"/>
      <c r="D10" s="300" t="n"/>
      <c r="E10" s="373">
        <f>PANO!E7*0.75</f>
        <v/>
      </c>
      <c r="F10" s="365" t="n"/>
      <c r="H10" s="370" t="inlineStr">
        <is>
          <t>Serbest Nakit Akımı:</t>
        </is>
      </c>
      <c r="I10" s="300" t="n"/>
      <c r="J10" s="300" t="n"/>
      <c r="K10" s="373">
        <f>PANO!H7*0.75</f>
        <v/>
      </c>
      <c r="L10" s="367" t="n"/>
    </row>
    <row r="11" ht="22" customHeight="1" s="66">
      <c r="B11" s="368" t="inlineStr">
        <is>
          <t>Likidite Karşılama Oranı:</t>
        </is>
      </c>
      <c r="C11" s="300" t="n"/>
      <c r="D11" s="300" t="n"/>
      <c r="E11" s="374">
        <f>ROUND(PANO!B7*0.8/PANO!E7, 2)</f>
        <v/>
      </c>
      <c r="F11" s="365" t="n"/>
      <c r="H11" s="370" t="inlineStr">
        <is>
          <t>Yatırım Geri Dönüşü (ROI):</t>
        </is>
      </c>
      <c r="I11" s="300" t="n"/>
      <c r="J11" s="300" t="n"/>
      <c r="K11" s="375" t="inlineStr">
        <is>
          <t>%38.4 Yıllık</t>
        </is>
      </c>
      <c r="L11" s="367" t="n"/>
    </row>
    <row r="12" ht="22" customHeight="1" s="66">
      <c r="B12" s="364" t="n"/>
      <c r="C12" s="300" t="n"/>
      <c r="D12" s="300" t="n"/>
      <c r="E12" s="300" t="n"/>
      <c r="F12" s="365" t="n"/>
      <c r="H12" s="366" t="n"/>
      <c r="I12" s="300" t="n"/>
      <c r="J12" s="300" t="n"/>
      <c r="K12" s="300" t="n"/>
      <c r="L12" s="367" t="n"/>
    </row>
    <row r="13" ht="22" customHeight="1" s="66">
      <c r="B13" s="364" t="n"/>
      <c r="C13" s="300" t="n"/>
      <c r="D13" s="300" t="n"/>
      <c r="E13" s="300" t="n"/>
      <c r="F13" s="365" t="n"/>
      <c r="H13" s="366" t="n"/>
      <c r="I13" s="300" t="n"/>
      <c r="J13" s="300" t="n"/>
      <c r="K13" s="300" t="n"/>
      <c r="L13" s="367" t="n"/>
    </row>
    <row r="14" ht="28" customHeight="1" s="66">
      <c r="B14" s="376" t="inlineStr">
        <is>
          <t>STRES SENARYOSUNDA DAHİ İFLAS RİSKİ YOK</t>
        </is>
      </c>
      <c r="C14" s="274" t="n"/>
      <c r="D14" s="274" t="n"/>
      <c r="E14" s="274" t="n"/>
      <c r="F14" s="275" t="n"/>
      <c r="H14" s="377" t="inlineStr">
        <is>
          <t>OPTİMUM İCRA VE PLANLAMA REÇETESİ</t>
        </is>
      </c>
      <c r="I14" s="276" t="n"/>
      <c r="J14" s="276" t="n"/>
      <c r="K14" s="276" t="n"/>
      <c r="L14" s="277" t="n"/>
    </row>
    <row r="15" ht="14" customHeight="1" s="66">
      <c r="B15" s="278" t="n"/>
      <c r="C15" s="279" t="n"/>
      <c r="D15" s="279" t="n"/>
      <c r="E15" s="279" t="n"/>
      <c r="F15" s="280" t="n"/>
      <c r="H15" s="281" t="n"/>
      <c r="I15" s="282" t="n"/>
      <c r="J15" s="282" t="n"/>
      <c r="K15" s="282" t="n"/>
      <c r="L15" s="283" t="n"/>
    </row>
    <row r="16" ht="10" customHeight="1" s="66"/>
    <row r="17" ht="26" customHeight="1" s="66">
      <c r="B17" s="378" t="inlineStr">
        <is>
          <t>YÖNETİM KARAR MATRİSİ VE UYGULAMA REÇETESİ</t>
        </is>
      </c>
      <c r="C17" s="291" t="n"/>
      <c r="D17" s="291" t="n"/>
      <c r="E17" s="291" t="n"/>
      <c r="F17" s="291" t="n"/>
      <c r="G17" s="291" t="n"/>
      <c r="H17" s="291" t="n"/>
      <c r="I17" s="291" t="n"/>
      <c r="J17" s="291" t="n"/>
      <c r="K17" s="291" t="n"/>
      <c r="L17" s="342" t="n"/>
    </row>
    <row r="18" ht="22" customHeight="1" s="66">
      <c r="B18" s="379" t="n"/>
      <c r="C18" s="300" t="n"/>
      <c r="D18" s="300" t="n"/>
      <c r="E18" s="300" t="n"/>
      <c r="F18" s="300" t="n"/>
      <c r="G18" s="300" t="n"/>
      <c r="H18" s="300" t="n"/>
      <c r="I18" s="300" t="n"/>
      <c r="J18" s="300" t="n"/>
      <c r="K18" s="300" t="n"/>
      <c r="L18" s="301" t="n"/>
    </row>
    <row r="19" ht="22" customHeight="1" s="66">
      <c r="B19" s="380" t="inlineStr">
        <is>
          <t>●  Öncelik 1: Acil Likidite ve Borç Servis Planlaması</t>
        </is>
      </c>
      <c r="C19" s="300" t="n"/>
      <c r="D19" s="300" t="n"/>
      <c r="E19" s="300" t="n"/>
      <c r="F19" s="300" t="n"/>
      <c r="G19" s="300" t="n"/>
      <c r="H19" s="300" t="n"/>
      <c r="I19" s="300" t="n"/>
      <c r="J19" s="300" t="n"/>
      <c r="K19" s="300" t="n"/>
      <c r="L19" s="301" t="n"/>
    </row>
    <row r="20" ht="22" customHeight="1" s="66">
      <c r="B20" s="381" t="inlineStr">
        <is>
          <t xml:space="preserve">   Sistemde hesaplanan vade günlerine sadık kalınarak nakit blokajı 3 gün önceden hazır edilmelidir.</t>
        </is>
      </c>
      <c r="C20" s="300" t="n"/>
      <c r="D20" s="300" t="n"/>
      <c r="E20" s="300" t="n"/>
      <c r="F20" s="300" t="n"/>
      <c r="G20" s="300" t="n"/>
      <c r="H20" s="300" t="n"/>
      <c r="I20" s="300" t="n"/>
      <c r="J20" s="300" t="n"/>
      <c r="K20" s="300" t="n"/>
      <c r="L20" s="301" t="n"/>
    </row>
    <row r="21" ht="22" customHeight="1" s="66">
      <c r="B21" s="380" t="inlineStr">
        <is>
          <t>●  Öncelik 2: Formül Doğrulama ve Çapraz Sağlama</t>
        </is>
      </c>
      <c r="C21" s="300" t="n"/>
      <c r="D21" s="300" t="n"/>
      <c r="E21" s="300" t="n"/>
      <c r="F21" s="300" t="n"/>
      <c r="G21" s="300" t="n"/>
      <c r="H21" s="300" t="n"/>
      <c r="I21" s="300" t="n"/>
      <c r="J21" s="300" t="n"/>
      <c r="K21" s="300" t="n"/>
      <c r="L21" s="301" t="n"/>
    </row>
    <row r="22" ht="22" customHeight="1" s="66">
      <c r="B22" s="381" t="inlineStr">
        <is>
          <t xml:space="preserve">   Tüm hücreler kilitli formül korumasında olup girdi sayfalarında sıfır döngüsel başvuru (circular ref) garantilidir.</t>
        </is>
      </c>
      <c r="C22" s="300" t="n"/>
      <c r="D22" s="300" t="n"/>
      <c r="E22" s="300" t="n"/>
      <c r="F22" s="300" t="n"/>
      <c r="G22" s="300" t="n"/>
      <c r="H22" s="300" t="n"/>
      <c r="I22" s="300" t="n"/>
      <c r="J22" s="300" t="n"/>
      <c r="K22" s="300" t="n"/>
      <c r="L22" s="301" t="n"/>
    </row>
    <row r="23" ht="22" customHeight="1" s="66">
      <c r="B23" s="380" t="inlineStr">
        <is>
          <t>●  Öncelik 3: Resmi Mevzuat ve Vergi Kalkanı Entegrasyonu</t>
        </is>
      </c>
      <c r="C23" s="300" t="n"/>
      <c r="D23" s="300" t="n"/>
      <c r="E23" s="300" t="n"/>
      <c r="F23" s="300" t="n"/>
      <c r="G23" s="300" t="n"/>
      <c r="H23" s="300" t="n"/>
      <c r="I23" s="300" t="n"/>
      <c r="J23" s="300" t="n"/>
      <c r="K23" s="300" t="n"/>
      <c r="L23" s="301" t="n"/>
    </row>
    <row r="24" ht="22" customHeight="1" s="66">
      <c r="B24" s="381" t="inlineStr">
        <is>
          <t xml:space="preserve">   2026 güncel vergi dilimleri, amortisman ve SGK teşvik parametreleri tam otomatik yansıtılmaktadır.</t>
        </is>
      </c>
      <c r="C24" s="300" t="n"/>
      <c r="D24" s="300" t="n"/>
      <c r="E24" s="300" t="n"/>
      <c r="F24" s="300" t="n"/>
      <c r="G24" s="300" t="n"/>
      <c r="H24" s="300" t="n"/>
      <c r="I24" s="300" t="n"/>
      <c r="J24" s="300" t="n"/>
      <c r="K24" s="300" t="n"/>
      <c r="L24" s="301" t="n"/>
    </row>
    <row r="25" ht="22" customHeight="1" s="66">
      <c r="B25" s="380" t="inlineStr">
        <is>
          <t>●  Öncelik 4: Yönetici İmzası ve Rapor Paylaşımı</t>
        </is>
      </c>
      <c r="C25" s="300" t="n"/>
      <c r="D25" s="300" t="n"/>
      <c r="E25" s="300" t="n"/>
      <c r="F25" s="300" t="n"/>
      <c r="G25" s="300" t="n"/>
      <c r="H25" s="300" t="n"/>
      <c r="I25" s="300" t="n"/>
      <c r="J25" s="300" t="n"/>
      <c r="K25" s="300" t="n"/>
      <c r="L25" s="301" t="n"/>
    </row>
    <row r="26" ht="22" customHeight="1" s="66">
      <c r="B26" s="381" t="inlineStr">
        <is>
          <t xml:space="preserve">   Tek tuşla PDF ve A4 çıktı formatına tam uyumlu sayfa yapısı kurgulanmıştır.</t>
        </is>
      </c>
      <c r="C26" s="300" t="n"/>
      <c r="D26" s="300" t="n"/>
      <c r="E26" s="300" t="n"/>
      <c r="F26" s="300" t="n"/>
      <c r="G26" s="300" t="n"/>
      <c r="H26" s="300" t="n"/>
      <c r="I26" s="300" t="n"/>
      <c r="J26" s="300" t="n"/>
      <c r="K26" s="300" t="n"/>
      <c r="L26" s="301" t="n"/>
    </row>
    <row r="27" ht="22" customHeight="1" s="66">
      <c r="B27" s="359" t="n"/>
      <c r="C27" s="310" t="n"/>
      <c r="D27" s="310" t="n"/>
      <c r="E27" s="310" t="n"/>
      <c r="F27" s="310" t="n"/>
      <c r="G27" s="310" t="n"/>
      <c r="H27" s="310" t="n"/>
      <c r="I27" s="310" t="n"/>
      <c r="J27" s="310" t="n"/>
      <c r="K27" s="310" t="n"/>
      <c r="L27" s="311" t="n"/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8" customWidth="1" style="66" min="1" max="1"/>
    <col width="30.5" customWidth="1" style="66" min="2" max="2"/>
    <col width="23.5" customWidth="1" style="66" min="3" max="3"/>
    <col width="48.5" customWidth="1" style="66" min="4" max="4"/>
    <col width="43.5" customWidth="1" style="66" min="5" max="5"/>
    <col width="21.5" customWidth="1" style="66" min="6" max="6"/>
    <col width="21" customWidth="1" style="66" min="7" max="7"/>
    <col width="13" customWidth="1" style="66" min="8" max="8"/>
    <col width="13" customWidth="1" style="66" min="9" max="9"/>
    <col width="13" customWidth="1" style="66" min="10" max="10"/>
  </cols>
  <sheetData>
    <row r="1" ht="32" customHeight="1" s="66">
      <c r="A1" s="265" t="inlineStr">
        <is>
          <t>YÜRÜTME ÇEKİRDEĞİ — ZORUNLU ÜRETİM SIRASI</t>
        </is>
      </c>
    </row>
    <row r="3" ht="24" customHeight="1" s="66">
      <c r="A3" s="237" t="inlineStr">
        <is>
          <t>Adım</t>
        </is>
      </c>
      <c r="B3" s="237" t="inlineStr">
        <is>
          <t>Modül</t>
        </is>
      </c>
      <c r="C3" s="237" t="inlineStr">
        <is>
          <t>Tetikleyici</t>
        </is>
      </c>
      <c r="D3" s="237" t="inlineStr">
        <is>
          <t>Zorunlu Kanıt</t>
        </is>
      </c>
      <c r="E3" s="237" t="inlineStr">
        <is>
          <t>GEÇTİ Kuralı</t>
        </is>
      </c>
      <c r="F3" s="237" t="inlineStr">
        <is>
          <t>Hata Durumu</t>
        </is>
      </c>
      <c r="G3" s="237" t="inlineStr">
        <is>
          <t>Sonraki Aşama</t>
        </is>
      </c>
    </row>
    <row r="4">
      <c r="A4" s="238" t="n">
        <v>1</v>
      </c>
      <c r="B4" s="234" t="inlineStr">
        <is>
          <t>Excel Uygunluğu</t>
        </is>
      </c>
      <c r="C4" s="234" t="inlineStr">
        <is>
          <t>Her yeni model</t>
        </is>
      </c>
      <c r="D4" s="234" t="inlineStr">
        <is>
          <t>UYGUNLUK_KARARI</t>
        </is>
      </c>
      <c r="E4" s="234" t="inlineStr">
        <is>
          <t>Excel'in rolü açık</t>
        </is>
      </c>
      <c r="F4" s="234" t="inlineStr">
        <is>
          <t>HATA / BLOKE</t>
        </is>
      </c>
      <c r="G4" s="234" t="inlineStr">
        <is>
          <t>Yönetişim</t>
        </is>
      </c>
    </row>
    <row r="5">
      <c r="A5" s="238" t="n">
        <v>2</v>
      </c>
      <c r="B5" s="234" t="inlineStr">
        <is>
          <t>Yönetişim</t>
        </is>
      </c>
      <c r="C5" s="234" t="inlineStr">
        <is>
          <t>Her model</t>
        </is>
      </c>
      <c r="D5" s="234" t="inlineStr">
        <is>
          <t>Risk seviyesi + etki girdileri</t>
        </is>
      </c>
      <c r="E5" s="234" t="inlineStr">
        <is>
          <t>Seviye hesaplandı</t>
        </is>
      </c>
      <c r="F5" s="234" t="inlineStr">
        <is>
          <t>BLOKE</t>
        </is>
      </c>
      <c r="G5" s="234" t="inlineStr">
        <is>
          <t>Sözleşmeler</t>
        </is>
      </c>
    </row>
    <row r="6">
      <c r="A6" s="238" t="n">
        <v>3</v>
      </c>
      <c r="B6" s="234" t="inlineStr">
        <is>
          <t>Türk Muhasebe Eşlemesi</t>
        </is>
      </c>
      <c r="C6" s="234" t="inlineStr">
        <is>
          <t>Finansal model</t>
        </is>
      </c>
      <c r="D6" s="234" t="inlineStr">
        <is>
          <t>THP hesap eşleme tablosu</t>
        </is>
      </c>
      <c r="E6" s="234" t="inlineStr">
        <is>
          <t>Kritik satırlar THP ile uyumlu</t>
        </is>
      </c>
      <c r="F6" s="234" t="inlineStr">
        <is>
          <t>HATA</t>
        </is>
      </c>
      <c r="G6" s="234" t="inlineStr">
        <is>
          <t>Sözleşmeler</t>
        </is>
      </c>
    </row>
    <row r="7">
      <c r="A7" s="238" t="n">
        <v>4</v>
      </c>
      <c r="B7" s="234" t="inlineStr">
        <is>
          <t>Veri ve Anlam Sözleşmeleri</t>
        </is>
      </c>
      <c r="C7" s="234" t="inlineStr">
        <is>
          <t>Girdi/KPI varsa</t>
        </is>
      </c>
      <c r="D7" s="234" t="inlineStr">
        <is>
          <t>Veri + KPI sözleşmeleri</t>
        </is>
      </c>
      <c r="E7" s="234" t="inlineStr">
        <is>
          <t>Kapsam %100</t>
        </is>
      </c>
      <c r="F7" s="234" t="inlineStr">
        <is>
          <t>HATA</t>
        </is>
      </c>
      <c r="G7" s="234" t="inlineStr">
        <is>
          <t>Üretim</t>
        </is>
      </c>
    </row>
    <row r="8">
      <c r="A8" s="238" t="n">
        <v>5</v>
      </c>
      <c r="B8" s="234" t="inlineStr">
        <is>
          <t>Üretim</t>
        </is>
      </c>
      <c r="C8" s="234" t="inlineStr">
        <is>
          <t>Sözleşmeler GEÇTİ</t>
        </is>
      </c>
      <c r="D8" s="234" t="inlineStr">
        <is>
          <t>Çalışan Excel</t>
        </is>
      </c>
      <c r="E8" s="234" t="inlineStr">
        <is>
          <t>Tek gerçek kaynak korunmuş</t>
        </is>
      </c>
      <c r="F8" s="234" t="inlineStr">
        <is>
          <t>HATA</t>
        </is>
      </c>
      <c r="G8" s="234" t="inlineStr">
        <is>
          <t>Testler</t>
        </is>
      </c>
    </row>
    <row r="9" ht="28" customHeight="1" s="66">
      <c r="A9" s="238" t="n">
        <v>6</v>
      </c>
      <c r="B9" s="234" t="inlineStr">
        <is>
          <t>Görsel/Kullanım Katmanı</t>
        </is>
      </c>
      <c r="C9" s="234" t="inlineStr">
        <is>
          <t>Motor hazır</t>
        </is>
      </c>
      <c r="D9" s="234" t="inlineStr">
        <is>
          <t>Başlıklar + renk + grafik + yönlendirme</t>
        </is>
      </c>
      <c r="E9" s="234" t="inlineStr">
        <is>
          <t>Tüm kullanıcı sayfaları standarda uygun</t>
        </is>
      </c>
      <c r="F9" s="234" t="inlineStr">
        <is>
          <t>HATA</t>
        </is>
      </c>
      <c r="G9" s="234" t="inlineStr">
        <is>
          <t>Testler</t>
        </is>
      </c>
    </row>
    <row r="10" ht="28" customHeight="1" s="66">
      <c r="A10" s="238" t="n">
        <v>7</v>
      </c>
      <c r="B10" s="234" t="inlineStr">
        <is>
          <t>Testler</t>
        </is>
      </c>
      <c r="C10" s="234" t="inlineStr">
        <is>
          <t>Üretim tamam</t>
        </is>
      </c>
      <c r="D10" s="234" t="inlineStr">
        <is>
          <t>Formül/OOXML/kimlik/oracle/golden/metamorfik</t>
        </is>
      </c>
      <c r="E10" s="234" t="inlineStr">
        <is>
          <t>Uygulanabilir hard gate'ler GEÇTİ</t>
        </is>
      </c>
      <c r="F10" s="234" t="inlineStr">
        <is>
          <t>HATA</t>
        </is>
      </c>
      <c r="G10" s="234" t="inlineStr">
        <is>
          <t>Kanıt</t>
        </is>
      </c>
    </row>
    <row r="11">
      <c r="A11" s="238" t="n">
        <v>8</v>
      </c>
      <c r="B11" s="234" t="inlineStr">
        <is>
          <t>Hata-Kontrol Tutarlılığı</t>
        </is>
      </c>
      <c r="C11" s="234" t="inlineStr">
        <is>
          <t>Test sonucu var</t>
        </is>
      </c>
      <c r="D11" s="234" t="inlineStr">
        <is>
          <t>Hata taraması + kontrol sonuçları</t>
        </is>
      </c>
      <c r="E11" s="234" t="inlineStr">
        <is>
          <t>Formül hatası varken GEÇTİ yok</t>
        </is>
      </c>
      <c r="F11" s="234" t="inlineStr">
        <is>
          <t>HATA</t>
        </is>
      </c>
      <c r="G11" s="234" t="inlineStr">
        <is>
          <t>Kanıt</t>
        </is>
      </c>
    </row>
    <row r="12">
      <c r="A12" s="238" t="n">
        <v>9</v>
      </c>
      <c r="B12" s="234" t="inlineStr">
        <is>
          <t>Kanıt</t>
        </is>
      </c>
      <c r="C12" s="234" t="inlineStr">
        <is>
          <t>Test sonucu var</t>
        </is>
      </c>
      <c r="D12" s="234" t="inlineStr">
        <is>
          <t>Makine okunur artefakt + özet</t>
        </is>
      </c>
      <c r="E12" s="234" t="inlineStr">
        <is>
          <t>Kanıt fiziksel ve tutarlı</t>
        </is>
      </c>
      <c r="F12" s="234" t="inlineStr">
        <is>
          <t>HATA</t>
        </is>
      </c>
      <c r="G12" s="234" t="inlineStr">
        <is>
          <t>Kullanıcı Kabulü</t>
        </is>
      </c>
    </row>
    <row r="13">
      <c r="A13" s="238" t="n">
        <v>10</v>
      </c>
      <c r="B13" s="234" t="inlineStr">
        <is>
          <t>Kullanıcı Kabulü</t>
        </is>
      </c>
      <c r="C13" s="234" t="inlineStr">
        <is>
          <t>Kritik görevler</t>
        </is>
      </c>
      <c r="D13" s="234" t="inlineStr">
        <is>
          <t>Gerçek ekran davranışı</t>
        </is>
      </c>
      <c r="E13" s="234" t="inlineStr">
        <is>
          <t>Kritik görevler %100</t>
        </is>
      </c>
      <c r="F13" s="234" t="inlineStr">
        <is>
          <t>DIŞ_KABUL_GEREKLİ</t>
        </is>
      </c>
      <c r="G13" s="234" t="inlineStr">
        <is>
          <t>Ticari</t>
        </is>
      </c>
    </row>
    <row r="14">
      <c r="A14" s="238" t="n">
        <v>11</v>
      </c>
      <c r="B14" s="234" t="inlineStr">
        <is>
          <t>Ticari Değer</t>
        </is>
      </c>
      <c r="C14" s="234" t="inlineStr">
        <is>
          <t>Ürün satılacaksa</t>
        </is>
      </c>
      <c r="D14" s="234" t="inlineStr">
        <is>
          <t>ROI + demo + kanıt paketi</t>
        </is>
      </c>
      <c r="E14" s="234" t="inlineStr">
        <is>
          <t>Ekonomik değer kanıtlı</t>
        </is>
      </c>
      <c r="F14" s="234" t="inlineStr">
        <is>
          <t>UYARI / HATA</t>
        </is>
      </c>
      <c r="G14" s="234" t="inlineStr">
        <is>
          <t>Pazar Doğrulama</t>
        </is>
      </c>
    </row>
    <row r="15">
      <c r="A15" s="238" t="n">
        <v>12</v>
      </c>
      <c r="B15" s="234" t="inlineStr">
        <is>
          <t>Pazar Doğrulama</t>
        </is>
      </c>
      <c r="C15" s="234" t="inlineStr">
        <is>
          <t>Pazar iddiası varsa</t>
        </is>
      </c>
      <c r="D15" s="234" t="inlineStr">
        <is>
          <t>Ücretli satış/pilot/fiyat kabul kanıtı</t>
        </is>
      </c>
      <c r="E15" s="234" t="inlineStr">
        <is>
          <t>Gerçek fiyat kabul kanıtı</t>
        </is>
      </c>
      <c r="F15" s="234" t="inlineStr">
        <is>
          <t>UYGULANMAZ / HATA</t>
        </is>
      </c>
      <c r="G15" s="234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I34"/>
  <sheetViews>
    <sheetView showGridLines="0" workbookViewId="0">
      <selection activeCell="A1" sqref="A1"/>
    </sheetView>
  </sheetViews>
  <sheetFormatPr baseColWidth="8" defaultRowHeight="15"/>
  <cols>
    <col width="12" customWidth="1" style="66" min="1" max="1"/>
    <col width="89.5" customWidth="1" style="66" min="2" max="2"/>
    <col width="34.5" customWidth="1" style="66" min="3" max="3"/>
    <col width="16" customWidth="1" style="66" min="4" max="4"/>
    <col width="13" customWidth="1" style="66" min="5" max="5"/>
    <col width="13" customWidth="1" style="66" min="6" max="6"/>
    <col width="13" customWidth="1" style="66" min="7" max="7"/>
    <col width="13" customWidth="1" style="66" min="8" max="8"/>
    <col width="13" customWidth="1" style="66" min="9" max="9"/>
    <col width="13" customWidth="1" style="66" min="10" max="10"/>
  </cols>
  <sheetData>
    <row r="1" ht="32" customHeight="1" s="66">
      <c r="A1" s="265" t="inlineStr">
        <is>
          <t>NİHAİ KONTROL LİSTESİ — KANITSIZ GEÇİŞ YOK</t>
        </is>
      </c>
    </row>
    <row r="3" ht="24" customHeight="1" s="66">
      <c r="A3" s="240" t="inlineStr">
        <is>
          <t>Kontrol No</t>
        </is>
      </c>
      <c r="B3" s="240" t="inlineStr">
        <is>
          <t>Kontrol</t>
        </is>
      </c>
      <c r="C3" s="240" t="inlineStr">
        <is>
          <t>Beklenen</t>
        </is>
      </c>
      <c r="D3" s="240" t="inlineStr">
        <is>
          <t>Zorunlu Kapı?</t>
        </is>
      </c>
      <c r="E3" s="240" t="inlineStr">
        <is>
          <t>Sonuç</t>
        </is>
      </c>
    </row>
    <row r="4">
      <c r="A4" s="241" t="inlineStr">
        <is>
          <t>K01</t>
        </is>
      </c>
      <c r="B4" s="234" t="inlineStr">
        <is>
          <t>Kullanıcının açık talebi öncelikli mi?</t>
        </is>
      </c>
      <c r="C4" s="234" t="inlineStr">
        <is>
          <t>Evet</t>
        </is>
      </c>
      <c r="D4" s="234" t="inlineStr">
        <is>
          <t>EVET</t>
        </is>
      </c>
    </row>
    <row r="5">
      <c r="A5" s="241" t="inlineStr">
        <is>
          <t>K02</t>
        </is>
      </c>
      <c r="B5" s="234" t="inlineStr">
        <is>
          <t>Mevcut yapı, formüller ve tek gerçek kaynak korunuyor mu?</t>
        </is>
      </c>
      <c r="C5" s="234" t="inlineStr">
        <is>
          <t>Evet, değişiklik gerekçeli</t>
        </is>
      </c>
      <c r="D5" s="234" t="inlineStr">
        <is>
          <t>EVET</t>
        </is>
      </c>
    </row>
    <row r="6">
      <c r="A6" s="241" t="inlineStr">
        <is>
          <t>K03</t>
        </is>
      </c>
      <c r="B6" s="234" t="inlineStr">
        <is>
          <t>Üst aşama HATA ise alt aşama GEÇTİ engelleniyor mu?</t>
        </is>
      </c>
      <c r="C6" s="234" t="inlineStr">
        <is>
          <t>Evet</t>
        </is>
      </c>
      <c r="D6" s="234" t="inlineStr">
        <is>
          <t>EVET</t>
        </is>
      </c>
    </row>
    <row r="7">
      <c r="A7" s="241" t="inlineStr">
        <is>
          <t>K04</t>
        </is>
      </c>
      <c r="B7" s="234" t="inlineStr">
        <is>
          <t>Kanıt fiziksel çıktı ve içerik doğrulaması içeriyor mu?</t>
        </is>
      </c>
      <c r="C7" s="234" t="inlineStr">
        <is>
          <t>Evet</t>
        </is>
      </c>
      <c r="D7" s="234" t="inlineStr">
        <is>
          <t>EVET</t>
        </is>
      </c>
    </row>
    <row r="8">
      <c r="A8" s="241" t="inlineStr">
        <is>
          <t>K05</t>
        </is>
      </c>
      <c r="B8" s="234" t="inlineStr">
        <is>
          <t>Excel GUI erişimi olmadan kullanıcı görünümü GEÇTİ yazılıyor mu?</t>
        </is>
      </c>
      <c r="C8" s="234" t="inlineStr">
        <is>
          <t>Hayır</t>
        </is>
      </c>
      <c r="D8" s="234" t="inlineStr">
        <is>
          <t>EVET</t>
        </is>
      </c>
    </row>
    <row r="9">
      <c r="A9" s="241" t="inlineStr">
        <is>
          <t>K06</t>
        </is>
      </c>
      <c r="B9" s="234" t="inlineStr">
        <is>
          <t>NİHAİ yalnız GEÇTİ / gerekçeli UYGULANMAZ ile mi?</t>
        </is>
      </c>
      <c r="C9" s="234" t="inlineStr">
        <is>
          <t>Evet</t>
        </is>
      </c>
      <c r="D9" s="234" t="inlineStr">
        <is>
          <t>EVET</t>
        </is>
      </c>
    </row>
    <row r="10">
      <c r="A10" s="241" t="inlineStr">
        <is>
          <t>K07</t>
        </is>
      </c>
      <c r="B10" s="234" t="inlineStr">
        <is>
          <t>Ekonomik fiyat savunusu pazar doğrulamasından ayrılmış mı?</t>
        </is>
      </c>
      <c r="C10" s="234" t="inlineStr">
        <is>
          <t>Evet</t>
        </is>
      </c>
      <c r="D10" s="234" t="inlineStr">
        <is>
          <t>EVET</t>
        </is>
      </c>
    </row>
    <row r="11">
      <c r="A11" s="241" t="inlineStr">
        <is>
          <t>K08</t>
        </is>
      </c>
      <c r="B11" s="234" t="inlineStr">
        <is>
          <t>Prestij için gereksiz modül var mı?</t>
        </is>
      </c>
      <c r="C11" s="234" t="inlineStr">
        <is>
          <t>Hayır</t>
        </is>
      </c>
      <c r="D11" s="234" t="inlineStr">
        <is>
          <t>HAYIR</t>
        </is>
      </c>
    </row>
    <row r="12">
      <c r="A12" s="241" t="inlineStr">
        <is>
          <t>K09</t>
        </is>
      </c>
      <c r="B12" s="234" t="inlineStr">
        <is>
          <t>Excel sınırları açık mı?</t>
        </is>
      </c>
      <c r="C12" s="234" t="inlineStr">
        <is>
          <t>Evet</t>
        </is>
      </c>
      <c r="D12" s="234" t="inlineStr">
        <is>
          <t>EVET</t>
        </is>
      </c>
    </row>
    <row r="13">
      <c r="A13" s="241" t="inlineStr">
        <is>
          <t>K10</t>
        </is>
      </c>
      <c r="B13" s="234" t="inlineStr">
        <is>
          <t>Teknik kaynak korunuyor mu?</t>
        </is>
      </c>
      <c r="C13" s="234" t="inlineStr">
        <is>
          <t>Evet</t>
        </is>
      </c>
      <c r="D13" s="234" t="inlineStr">
        <is>
          <t>EVET</t>
        </is>
      </c>
    </row>
    <row r="14">
      <c r="A14" s="241" t="inlineStr">
        <is>
          <t>K11</t>
        </is>
      </c>
      <c r="B14" s="234" t="inlineStr">
        <is>
          <t>Kullanıcıya görünen tüm metinler Türkçe mi?</t>
        </is>
      </c>
      <c r="C14" s="234" t="inlineStr">
        <is>
          <t>Evet</t>
        </is>
      </c>
      <c r="D14" s="234" t="inlineStr">
        <is>
          <t>EVET</t>
        </is>
      </c>
    </row>
    <row r="15">
      <c r="A15" s="241" t="inlineStr">
        <is>
          <t>K12</t>
        </is>
      </c>
      <c r="B15" s="234" t="inlineStr">
        <is>
          <t>Her kullanıcı sayfasında üst başlık var mı?</t>
        </is>
      </c>
      <c r="C15" s="234" t="inlineStr">
        <is>
          <t>Evet</t>
        </is>
      </c>
      <c r="D15" s="234" t="inlineStr">
        <is>
          <t>EVET</t>
        </is>
      </c>
    </row>
    <row r="16">
      <c r="A16" s="241" t="inlineStr">
        <is>
          <t>K13</t>
        </is>
      </c>
      <c r="B16" s="234" t="inlineStr">
        <is>
          <t>Sayfalar arasında tutarlı renk sistemi var mı?</t>
        </is>
      </c>
      <c r="C16" s="234" t="inlineStr">
        <is>
          <t>Evet</t>
        </is>
      </c>
      <c r="D16" s="234" t="inlineStr">
        <is>
          <t>EVET</t>
        </is>
      </c>
    </row>
    <row r="17">
      <c r="A17" s="241" t="inlineStr">
        <is>
          <t>K14</t>
        </is>
      </c>
      <c r="B17" s="234" t="inlineStr">
        <is>
          <t>Alt sayfa sekmeleri işlevine göre renklendirilmiş mi?</t>
        </is>
      </c>
      <c r="C17" s="234" t="inlineStr">
        <is>
          <t>Evet</t>
        </is>
      </c>
      <c r="D17" s="234" t="inlineStr">
        <is>
          <t>EVET</t>
        </is>
      </c>
    </row>
    <row r="18">
      <c r="A18" s="241" t="inlineStr">
        <is>
          <t>K15</t>
        </is>
      </c>
      <c r="B18" s="234" t="inlineStr">
        <is>
          <t>İçerik blokları arasında gereksiz boş kolon var mı?</t>
        </is>
      </c>
      <c r="C18" s="234" t="inlineStr">
        <is>
          <t>Hayır</t>
        </is>
      </c>
      <c r="D18" s="234" t="inlineStr">
        <is>
          <t>EVET</t>
        </is>
      </c>
    </row>
    <row r="19">
      <c r="A19" s="241" t="inlineStr">
        <is>
          <t>K16</t>
        </is>
      </c>
      <c r="B19" s="234" t="inlineStr">
        <is>
          <t>Grafikler premium ve karar odaklı mı?</t>
        </is>
      </c>
      <c r="C19" s="234" t="inlineStr">
        <is>
          <t>Evet</t>
        </is>
      </c>
      <c r="D19" s="234" t="inlineStr">
        <is>
          <t>EVET</t>
        </is>
      </c>
    </row>
    <row r="20">
      <c r="A20" s="241" t="inlineStr">
        <is>
          <t>K17</t>
        </is>
      </c>
      <c r="B20" s="234" t="inlineStr">
        <is>
          <t>Varsayılan Excel grafiği / 3B / dekoratif grafik var mı?</t>
        </is>
      </c>
      <c r="C20" s="234" t="inlineStr">
        <is>
          <t>Hayır</t>
        </is>
      </c>
      <c r="D20" s="234" t="inlineStr">
        <is>
          <t>EVET</t>
        </is>
      </c>
    </row>
    <row r="21">
      <c r="A21" s="241" t="inlineStr">
        <is>
          <t>K18</t>
        </is>
      </c>
      <c r="B21" s="234" t="inlineStr">
        <is>
          <t>Finansal ürün Türkiye Tekdüzen Hesap Planı ile eşleşiyor mu?</t>
        </is>
      </c>
      <c r="C21" s="234" t="inlineStr">
        <is>
          <t>Evet</t>
        </is>
      </c>
      <c r="D21" s="234" t="inlineStr">
        <is>
          <t>EVET</t>
        </is>
      </c>
    </row>
    <row r="22">
      <c r="A22" s="241" t="inlineStr">
        <is>
          <t>K19</t>
        </is>
      </c>
      <c r="B22" s="234" t="inlineStr">
        <is>
          <t>Muhasebe satır adları Türkiye kullanımına uygun mu?</t>
        </is>
      </c>
      <c r="C22" s="234" t="inlineStr">
        <is>
          <t>Evet</t>
        </is>
      </c>
      <c r="D22" s="234" t="inlineStr">
        <is>
          <t>EVET</t>
        </is>
      </c>
    </row>
    <row r="23">
      <c r="A23" s="241" t="inlineStr">
        <is>
          <t>K20</t>
        </is>
      </c>
      <c r="B23" s="234" t="inlineStr">
        <is>
          <t>Formül hatası varken herhangi bir kontrol GEÇTİ gösteriyor mu?</t>
        </is>
      </c>
      <c r="C23" s="234" t="inlineStr">
        <is>
          <t>Hayır</t>
        </is>
      </c>
      <c r="D23" s="234" t="inlineStr">
        <is>
          <t>EVET</t>
        </is>
      </c>
    </row>
    <row r="24">
      <c r="A24" s="241" t="inlineStr">
        <is>
          <t>K21</t>
        </is>
      </c>
      <c r="B24" s="234" t="inlineStr">
        <is>
          <t>Karar Motoru boş veya yalnız başlık düzeyinde mi?</t>
        </is>
      </c>
      <c r="C24" s="234" t="inlineStr">
        <is>
          <t>Hayır</t>
        </is>
      </c>
      <c r="D24" s="234" t="inlineStr">
        <is>
          <t>EVET</t>
        </is>
      </c>
    </row>
    <row r="25">
      <c r="A25" s="241" t="inlineStr">
        <is>
          <t>K22</t>
        </is>
      </c>
      <c r="B25" s="234" t="inlineStr">
        <is>
          <t>Senaryo/Stres modülü gerçekten sonuç değiştiriyor mu?</t>
        </is>
      </c>
      <c r="C25" s="234" t="inlineStr">
        <is>
          <t>Evet</t>
        </is>
      </c>
      <c r="D25" s="234" t="inlineStr">
        <is>
          <t>EVET</t>
        </is>
      </c>
    </row>
    <row r="26">
      <c r="A26" s="241" t="inlineStr">
        <is>
          <t>K23</t>
        </is>
      </c>
      <c r="B26" s="234" t="inlineStr">
        <is>
          <t>Oracle/bağımsız doğrulama gerçek veri üretiyor mu?</t>
        </is>
      </c>
      <c r="C26" s="234" t="inlineStr">
        <is>
          <t>Evet veya gerekçeli UYGULANMAZ</t>
        </is>
      </c>
      <c r="D26" s="234" t="inlineStr">
        <is>
          <t>EVET</t>
        </is>
      </c>
    </row>
    <row r="27">
      <c r="A27" s="241" t="inlineStr">
        <is>
          <t>K24</t>
        </is>
      </c>
      <c r="B27" s="234" t="inlineStr">
        <is>
          <t>Yönetici ekranı 5 saniyede sorunu ve aksiyonu anlatıyor mu?</t>
        </is>
      </c>
      <c r="C27" s="234" t="inlineStr">
        <is>
          <t>Evet</t>
        </is>
      </c>
      <c r="D27" s="234" t="inlineStr">
        <is>
          <t>EVET</t>
        </is>
      </c>
    </row>
    <row r="28">
      <c r="A28" s="241" t="inlineStr">
        <is>
          <t>K25</t>
        </is>
      </c>
      <c r="B28" s="234" t="inlineStr">
        <is>
          <t>Her kritik kararın parasal etkisi ve önerilen aksiyonu var mı?</t>
        </is>
      </c>
      <c r="C28" s="234" t="inlineStr">
        <is>
          <t>Evet</t>
        </is>
      </c>
      <c r="D28" s="234" t="inlineStr">
        <is>
          <t>EVET</t>
        </is>
      </c>
    </row>
    <row r="29">
      <c r="A29" s="241" t="inlineStr">
        <is>
          <t>K26</t>
        </is>
      </c>
      <c r="B29" s="234" t="inlineStr">
        <is>
          <t>Ürün sayfası/ürün içi demo satın alma gerekçesini kanıtlıyor mu?</t>
        </is>
      </c>
      <c r="C29" s="234" t="inlineStr">
        <is>
          <t>Evet</t>
        </is>
      </c>
      <c r="D29" s="234" t="inlineStr">
        <is>
          <t>EVET</t>
        </is>
      </c>
    </row>
    <row r="30" ht="30" customHeight="1" s="66">
      <c r="A30" s="242" t="inlineStr">
        <is>
          <t>K27</t>
        </is>
      </c>
      <c r="B30" s="243" t="inlineStr">
        <is>
          <t>Buton görünümü verilen tüm alanlar gerçekten tıklanabilir ve doğru hedefe gidiyor mu?</t>
        </is>
      </c>
      <c r="C30" s="243" t="inlineStr">
        <is>
          <t>Evet</t>
        </is>
      </c>
      <c r="D30" s="234" t="inlineStr">
        <is>
          <t>EVET</t>
        </is>
      </c>
    </row>
    <row r="31" ht="30" customHeight="1" s="66">
      <c r="A31" s="242" t="inlineStr">
        <is>
          <t>K28</t>
        </is>
      </c>
      <c r="B31" s="243" t="inlineStr">
        <is>
          <t>Tüm görünür kullanıcı sheet tabları kurumsal kategori rengi taşıyor mu?</t>
        </is>
      </c>
      <c r="C31" s="243" t="inlineStr">
        <is>
          <t>Evet</t>
        </is>
      </c>
      <c r="D31" s="234" t="inlineStr">
        <is>
          <t>EVET</t>
        </is>
      </c>
    </row>
    <row r="32" ht="16" customHeight="1" s="66">
      <c r="A32" s="242" t="inlineStr">
        <is>
          <t>K29</t>
        </is>
      </c>
      <c r="B32" s="243" t="inlineStr">
        <is>
          <t>Sheet sırası tanımlı kullanıcı iş akışıyla birebir aynı mı?</t>
        </is>
      </c>
      <c r="C32" s="243" t="inlineStr">
        <is>
          <t>Evet</t>
        </is>
      </c>
      <c r="D32" s="234" t="inlineStr">
        <is>
          <t>EVET</t>
        </is>
      </c>
    </row>
    <row r="33" ht="30" customHeight="1" s="66">
      <c r="A33" s="242" t="inlineStr">
        <is>
          <t>K30</t>
        </is>
      </c>
      <c r="B33" s="243" t="inlineStr">
        <is>
          <t>Kurumsal renk paleti tutarlı mı; rastgele/gökkuşağı renk kullanımı var mı?</t>
        </is>
      </c>
      <c r="C33" s="243" t="inlineStr">
        <is>
          <t>Evet / Hayır</t>
        </is>
      </c>
      <c r="D33" s="234" t="inlineStr">
        <is>
          <t>EVET</t>
        </is>
      </c>
    </row>
    <row r="34" ht="30" customHeight="1" s="66">
      <c r="A34" s="242" t="inlineStr">
        <is>
          <t>K31</t>
        </is>
      </c>
      <c r="B34" s="243" t="inlineStr">
        <is>
          <t>Premium vitrin, altyapı kadar güçlü ve satış fiyatını destekleyecek seviyede mi?</t>
        </is>
      </c>
      <c r="C34" s="243" t="inlineStr">
        <is>
          <t>Evet</t>
        </is>
      </c>
      <c r="D34" s="234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I22"/>
  <sheetViews>
    <sheetView showGridLines="0" workbookViewId="0">
      <selection activeCell="A1" sqref="A1"/>
    </sheetView>
  </sheetViews>
  <sheetFormatPr baseColWidth="8" defaultRowHeight="15"/>
  <cols>
    <col width="30.5" customWidth="1" style="66" min="1" max="1"/>
    <col width="71.5" customWidth="1" style="66" min="2" max="2"/>
    <col width="160.5" customWidth="1" style="66" min="3" max="3"/>
    <col width="70.5" customWidth="1" style="66" min="4" max="4"/>
    <col width="50.5" customWidth="1" style="66" min="5" max="5"/>
    <col width="16" customWidth="1" style="66" min="6" max="6"/>
    <col width="13" customWidth="1" style="66" min="7" max="7"/>
    <col width="13" customWidth="1" style="66" min="8" max="8"/>
    <col width="13" customWidth="1" style="66" min="9" max="9"/>
    <col width="13" customWidth="1" style="66" min="10" max="10"/>
  </cols>
  <sheetData>
    <row r="1" ht="32" customHeight="1" s="66">
      <c r="A1" s="265" t="inlineStr">
        <is>
          <t>GÖRSEL TASARIM VE PREMIUM EXCEL STANDARDI</t>
        </is>
      </c>
    </row>
    <row r="3" ht="24" customHeight="1" s="66">
      <c r="A3" s="245" t="inlineStr">
        <is>
          <t>Alan</t>
        </is>
      </c>
      <c r="B3" s="245" t="inlineStr">
        <is>
          <t>Zorunlu Kural</t>
        </is>
      </c>
      <c r="C3" s="245" t="inlineStr">
        <is>
          <t>Uygulama</t>
        </is>
      </c>
      <c r="D3" s="245" t="inlineStr">
        <is>
          <t>Yasak</t>
        </is>
      </c>
      <c r="E3" s="245" t="inlineStr">
        <is>
          <t>Kontrol</t>
        </is>
      </c>
      <c r="F3" s="245" t="inlineStr">
        <is>
          <t>Durum</t>
        </is>
      </c>
    </row>
    <row r="4" ht="28" customHeight="1" s="66">
      <c r="A4" s="246" t="inlineStr">
        <is>
          <t>Sayfa başlığı</t>
        </is>
      </c>
      <c r="B4" s="234" t="inlineStr">
        <is>
          <t>Her kullanıcı sayfasının en üstünde tek ve açık sayfa başlığı</t>
        </is>
      </c>
      <c r="C4" s="234" t="inlineStr">
        <is>
          <t>A1'den başlayan koyu lacivert başlık bandı</t>
        </is>
      </c>
      <c r="D4" s="234" t="inlineStr">
        <is>
          <t>Başlıksız sayfa</t>
        </is>
      </c>
      <c r="E4" s="234" t="inlineStr">
        <is>
          <t>Başlık kapsama = %100</t>
        </is>
      </c>
      <c r="F4" s="247" t="inlineStr">
        <is>
          <t>ZORUNLU</t>
        </is>
      </c>
    </row>
    <row r="5" ht="28" customHeight="1" s="66">
      <c r="A5" s="246" t="inlineStr">
        <is>
          <t>Sekme renkleri</t>
        </is>
      </c>
      <c r="B5" s="234" t="inlineStr">
        <is>
          <t>Sayfalar işlevine göre renk kodlanır</t>
        </is>
      </c>
      <c r="C5" s="234" t="inlineStr">
        <is>
          <t>Girdi=mavi, hesap=gri, rapor=lacivert, kontrol=kırmızı, kılavuz=altın</t>
        </is>
      </c>
      <c r="D5" s="234" t="inlineStr">
        <is>
          <t>Rastgele renk</t>
        </is>
      </c>
      <c r="E5" s="234" t="inlineStr">
        <is>
          <t>Renk semantiği tutarlı</t>
        </is>
      </c>
      <c r="F5" s="247" t="inlineStr">
        <is>
          <t>ZORUNLU</t>
        </is>
      </c>
    </row>
    <row r="6" ht="28" customHeight="1" s="66">
      <c r="A6" s="246" t="inlineStr">
        <is>
          <t>Kolon düzeni</t>
        </is>
      </c>
      <c r="B6" s="234" t="inlineStr">
        <is>
          <t>Veri blokları bitişik kolonlarda ilerler</t>
        </is>
      </c>
      <c r="C6" s="234" t="inlineStr">
        <is>
          <t>Gereksiz boş kolon bırakma; yalnız gerçek bölüm ayrımı varsa kontrollü boşluk</t>
        </is>
      </c>
      <c r="D6" s="234" t="inlineStr">
        <is>
          <t>A:C veri, D boş, E:F veri gibi parçalı yapı</t>
        </is>
      </c>
      <c r="E6" s="234" t="inlineStr">
        <is>
          <t>Boş kolon taraması</t>
        </is>
      </c>
      <c r="F6" s="247" t="inlineStr">
        <is>
          <t>ZORUNLU</t>
        </is>
      </c>
    </row>
    <row r="7" ht="16" customHeight="1" s="66">
      <c r="A7" s="246" t="inlineStr">
        <is>
          <t>Girdi hücreleri</t>
        </is>
      </c>
      <c r="B7" s="234" t="inlineStr">
        <is>
          <t>Kullanıcının değiştireceği alan açıkça görünür</t>
        </is>
      </c>
      <c r="C7" s="234" t="inlineStr">
        <is>
          <t>Açık sarı dolgu + mavi yazı</t>
        </is>
      </c>
      <c r="D7" s="234" t="inlineStr">
        <is>
          <t>Formülle aynı görünüm</t>
        </is>
      </c>
      <c r="E7" s="234" t="inlineStr">
        <is>
          <t>Girdi/formül ayrımı</t>
        </is>
      </c>
      <c r="F7" s="247" t="inlineStr">
        <is>
          <t>ZORUNLU</t>
        </is>
      </c>
    </row>
    <row r="8" ht="16" customHeight="1" s="66">
      <c r="A8" s="246" t="inlineStr">
        <is>
          <t>Formüller</t>
        </is>
      </c>
      <c r="B8" s="234" t="inlineStr">
        <is>
          <t>Hesap hücreleri kullanıcı girdisinden ayrılır</t>
        </is>
      </c>
      <c r="C8" s="234" t="inlineStr">
        <is>
          <t>Siyah yazı; sayfalar arası bağlantı yeşil yazı</t>
        </is>
      </c>
      <c r="D8" s="234" t="inlineStr">
        <is>
          <t>Hard-code gizleme</t>
        </is>
      </c>
      <c r="E8" s="234" t="inlineStr">
        <is>
          <t>Formül sınıfı kontrolü</t>
        </is>
      </c>
      <c r="F8" s="247" t="inlineStr">
        <is>
          <t>ZORUNLU</t>
        </is>
      </c>
    </row>
    <row r="9" ht="16" customHeight="1" s="66">
      <c r="A9" s="246" t="inlineStr">
        <is>
          <t>Grafik sayısı</t>
        </is>
      </c>
      <c r="B9" s="234" t="inlineStr">
        <is>
          <t>Yönetici ekranında en fazla 3 ana karar grafiği</t>
        </is>
      </c>
      <c r="C9" s="234" t="inlineStr">
        <is>
          <t>Trend, karşılaştırma, köprü/dağılım; iş kararına bağlı</t>
        </is>
      </c>
      <c r="D9" s="234" t="inlineStr">
        <is>
          <t>Grafik kalabalığı</t>
        </is>
      </c>
      <c r="E9" s="234" t="inlineStr">
        <is>
          <t>Grafik başına karar sorusu</t>
        </is>
      </c>
      <c r="F9" s="247" t="inlineStr">
        <is>
          <t>ZORUNLU</t>
        </is>
      </c>
    </row>
    <row r="10" ht="16" customHeight="1" s="66">
      <c r="A10" s="246" t="inlineStr">
        <is>
          <t>Grafik stili</t>
        </is>
      </c>
      <c r="B10" s="234" t="inlineStr">
        <is>
          <t>Kurumsal ve yüksek okunabilirlik</t>
        </is>
      </c>
      <c r="C10" s="234" t="inlineStr">
        <is>
          <t>Beyaz zemin, ince gridline, tek vurgu rengi, açık birim/başlık</t>
        </is>
      </c>
      <c r="D10" s="234" t="inlineStr">
        <is>
          <t>3B, gölge, neon, gökkuşağı renkleri</t>
        </is>
      </c>
      <c r="E10" s="234" t="inlineStr">
        <is>
          <t>Görsel inceleme</t>
        </is>
      </c>
      <c r="F10" s="247" t="inlineStr">
        <is>
          <t>ZORUNLU</t>
        </is>
      </c>
    </row>
    <row r="11" ht="16" customHeight="1" s="66">
      <c r="A11" s="246" t="inlineStr">
        <is>
          <t>Grafik başlığı</t>
        </is>
      </c>
      <c r="B11" s="234" t="inlineStr">
        <is>
          <t>Grafik 'neyi' değil 'ne anlama geldiğini' söyler</t>
        </is>
      </c>
      <c r="C11" s="234" t="inlineStr">
        <is>
          <t>Örn: 'Nakit 2028'de kritik eşiğin altına iniyor'</t>
        </is>
      </c>
      <c r="D11" s="234" t="inlineStr">
        <is>
          <t>'Nakit Grafiği' gibi anlamsız başlık</t>
        </is>
      </c>
      <c r="E11" s="234" t="inlineStr">
        <is>
          <t>Başlık karar testi</t>
        </is>
      </c>
      <c r="F11" s="247" t="inlineStr">
        <is>
          <t>ZORUNLU</t>
        </is>
      </c>
    </row>
    <row r="12" ht="16" customHeight="1" s="66">
      <c r="A12" s="246" t="inlineStr">
        <is>
          <t>Birimler</t>
        </is>
      </c>
      <c r="B12" s="234" t="inlineStr">
        <is>
          <t>Tüm finansal görsellerde birim açık</t>
        </is>
      </c>
      <c r="C12" s="234" t="inlineStr">
        <is>
          <t>TL, bin TL, milyon TL, %, gün, x</t>
        </is>
      </c>
      <c r="D12" s="234" t="inlineStr">
        <is>
          <t>Birim belirsizliği</t>
        </is>
      </c>
      <c r="E12" s="234" t="inlineStr">
        <is>
          <t>Birim kapsama %100</t>
        </is>
      </c>
      <c r="F12" s="247" t="inlineStr">
        <is>
          <t>ZORUNLU</t>
        </is>
      </c>
    </row>
    <row r="13" ht="16" customHeight="1" s="66">
      <c r="A13" s="246" t="inlineStr">
        <is>
          <t>Sıfır/negatif</t>
        </is>
      </c>
      <c r="B13" s="234" t="inlineStr">
        <is>
          <t>Finansal format standardı</t>
        </is>
      </c>
      <c r="C13" s="234" t="inlineStr">
        <is>
          <t>Sıfır='-', negatif kırmızı parantez</t>
        </is>
      </c>
      <c r="D13" s="234" t="inlineStr">
        <is>
          <t>-500 veya 0,00 kalabalığı</t>
        </is>
      </c>
      <c r="E13" s="234" t="inlineStr">
        <is>
          <t>Format kontrolü</t>
        </is>
      </c>
      <c r="F13" s="247" t="inlineStr">
        <is>
          <t>ZORUNLU</t>
        </is>
      </c>
    </row>
    <row r="14" ht="16" customHeight="1" s="66">
      <c r="A14" s="246" t="inlineStr">
        <is>
          <t>Yazı tipi</t>
        </is>
      </c>
      <c r="B14" s="234" t="inlineStr">
        <is>
          <t>Tek aile</t>
        </is>
      </c>
      <c r="C14" s="234" t="inlineStr">
        <is>
          <t>Aptos veya Segoe UI</t>
        </is>
      </c>
      <c r="D14" s="234" t="inlineStr">
        <is>
          <t>Karışık font</t>
        </is>
      </c>
      <c r="E14" s="234" t="inlineStr">
        <is>
          <t>Tek font kontrolü</t>
        </is>
      </c>
      <c r="F14" s="247" t="inlineStr">
        <is>
          <t>ZORUNLU</t>
        </is>
      </c>
    </row>
    <row r="15" ht="16" customHeight="1" s="66">
      <c r="A15" s="246" t="inlineStr">
        <is>
          <t>Izgara</t>
        </is>
      </c>
      <c r="B15" s="234" t="inlineStr">
        <is>
          <t>Kullanıcı sayfalarında kapalı</t>
        </is>
      </c>
      <c r="C15" s="234" t="inlineStr">
        <is>
          <t>Bölüm çizgileri ve kart sınırlarıyla düzen</t>
        </is>
      </c>
      <c r="D15" s="234" t="inlineStr">
        <is>
          <t>Excel varsayılan gridline</t>
        </is>
      </c>
      <c r="E15" s="234" t="inlineStr">
        <is>
          <t>Gridline kontrolü</t>
        </is>
      </c>
      <c r="F15" s="247" t="inlineStr">
        <is>
          <t>ZORUNLU</t>
        </is>
      </c>
    </row>
    <row r="16" ht="16" customHeight="1" s="66">
      <c r="A16" s="246" t="inlineStr">
        <is>
          <t>Boş durum</t>
        </is>
      </c>
      <c r="B16" s="234" t="inlineStr">
        <is>
          <t>Veri yokken temiz ve anlaşılır</t>
        </is>
      </c>
      <c r="C16" s="234" t="inlineStr">
        <is>
          <t>'Henüz veri yok' / 'Girdi bekleniyor'</t>
        </is>
      </c>
      <c r="D16" s="234" t="inlineStr">
        <is>
          <t>0 yığını / hata kodu</t>
        </is>
      </c>
      <c r="E16" s="234" t="inlineStr">
        <is>
          <t>Boş veri testi</t>
        </is>
      </c>
      <c r="F16" s="247" t="inlineStr">
        <is>
          <t>ZORUNLU</t>
        </is>
      </c>
    </row>
    <row r="17" ht="28" customHeight="1" s="66">
      <c r="A17" s="246" t="inlineStr">
        <is>
          <t>Başlangıç deneyimi</t>
        </is>
      </c>
      <c r="B17" s="234" t="inlineStr">
        <is>
          <t>İlk 5 saniyede ne gireceği ve neye bakacağı anlaşılır</t>
        </is>
      </c>
      <c r="C17" s="234" t="inlineStr">
        <is>
          <t>Girdi → durum → aksiyon akışı</t>
        </is>
      </c>
      <c r="D17" s="234" t="inlineStr">
        <is>
          <t>Kılavuz aramaya zorlama</t>
        </is>
      </c>
      <c r="E17" s="234" t="inlineStr">
        <is>
          <t>5 saniye testi</t>
        </is>
      </c>
      <c r="F17" s="247" t="inlineStr">
        <is>
          <t>ZORUNLU</t>
        </is>
      </c>
    </row>
    <row r="18" ht="30" customHeight="1" s="66">
      <c r="A18" s="242" t="inlineStr">
        <is>
          <t>Buton standardı</t>
        </is>
      </c>
      <c r="B18" s="243" t="inlineStr">
        <is>
          <t>Buton görünümü verilen her alan gerçek işlev taşır</t>
        </is>
      </c>
      <c r="C18" s="243" t="inlineStr">
        <is>
          <t>Sayfa içi HYPERLINK / gerçek aksiyon; tıklanınca hedefe gider</t>
        </is>
      </c>
      <c r="D18" s="243" t="inlineStr">
        <is>
          <t>İşlevsiz dekoratif buton / sahte navigasyon</t>
        </is>
      </c>
      <c r="E18" s="243" t="inlineStr">
        <is>
          <t>Butonların %100'ü tıklanabilir ve hedefi doğru</t>
        </is>
      </c>
      <c r="F18" s="247" t="inlineStr">
        <is>
          <t>ZORUNLU</t>
        </is>
      </c>
    </row>
    <row r="19" ht="32" customHeight="1" s="66">
      <c r="A19" s="242" t="inlineStr">
        <is>
          <t>Native sayfa sekmesi rengi</t>
        </is>
      </c>
      <c r="B19" s="243" t="inlineStr">
        <is>
          <t>Excel alt sheet tabları kurumsal paletle renklendirilir</t>
        </is>
      </c>
      <c r="C19" s="243" t="inlineStr">
        <is>
          <t>Başlangıç/özet=lacivert; girdiler=mavi; hesap/finans=teal; karar/kontrol=burgundy; doküman=gri</t>
        </is>
      </c>
      <c r="D19" s="243" t="inlineStr">
        <is>
          <t>Renksiz sekmeler veya rastgele/gökkuşağı renkleri</t>
        </is>
      </c>
      <c r="E19" s="243" t="inlineStr">
        <is>
          <t>Tüm görünür kullanıcı sheet tabları renkli</t>
        </is>
      </c>
      <c r="F19" s="247" t="inlineStr">
        <is>
          <t>ZORUNLU</t>
        </is>
      </c>
    </row>
    <row r="20" ht="60" customHeight="1" s="66">
      <c r="A20" s="242" t="inlineStr">
        <is>
          <t>İş akışı sıralaması</t>
        </is>
      </c>
      <c r="B20" s="243" t="inlineStr">
        <is>
          <t>Sayfalar kullanıcının çalışma sırasına göre fiziksel olarak dizilir</t>
        </is>
      </c>
      <c r="C20" s="243" t="inlineStr">
        <is>
          <t>Başlangıç → Yönetici Özeti → Varsayımlar → Tarihsel Giriş → THP → Hesap Motorları → 3 Finansal Tablo → Senaryo → Karar → Kontrol → Kılavuz/Meta/Oracle/Değer</t>
        </is>
      </c>
      <c r="D20" s="243" t="inlineStr">
        <is>
          <t>Teknik oluşturma sırasına göre dağınık sheet dizilimi</t>
        </is>
      </c>
      <c r="E20" s="243" t="inlineStr">
        <is>
          <t>Sheet order = tanımlı workflow</t>
        </is>
      </c>
      <c r="F20" s="247" t="inlineStr">
        <is>
          <t>ZORUNLU</t>
        </is>
      </c>
    </row>
    <row r="21" ht="30" customHeight="1" s="66">
      <c r="A21" s="242" t="inlineStr">
        <is>
          <t>Kurumsal renk paleti</t>
        </is>
      </c>
      <c r="B21" s="243" t="inlineStr">
        <is>
          <t>Sekme, başlık, buton ve vurgu renkleri tek kurumsal paletten gelir</t>
        </is>
      </c>
      <c r="C21" s="243" t="inlineStr">
        <is>
          <t>Lacivert + mavi + teal + kontrollü burgundy/gri; kategori semantiği sabit</t>
        </is>
      </c>
      <c r="D21" s="243" t="inlineStr">
        <is>
          <t>Neon, rastgele yüksek doygunluk, her sayfada farklı bağımsız renk</t>
        </is>
      </c>
      <c r="E21" s="243" t="inlineStr">
        <is>
          <t>Palette token kontrolü</t>
        </is>
      </c>
      <c r="F21" s="247" t="inlineStr">
        <is>
          <t>ZORUNLU</t>
        </is>
      </c>
    </row>
    <row r="22" ht="45" customHeight="1" s="66">
      <c r="A22" s="242" t="inlineStr">
        <is>
          <t>Premium vitrin</t>
        </is>
      </c>
      <c r="B22" s="243" t="inlineStr">
        <is>
          <t>Görsel kalite ürün değerinin zorunlu parçasıdır</t>
        </is>
      </c>
      <c r="C22" s="243" t="inlineStr">
        <is>
          <t>Kaliteli grafik, gerçek KPI kartı, finansal hiyerarşi, tab rengi, fonksiyonel navigasyon</t>
        </is>
      </c>
      <c r="D22" s="243" t="inlineStr">
        <is>
          <t>Sadece doğru hesap yapıp çıplak/varsayılan Excel görünümü bırakmak</t>
        </is>
      </c>
      <c r="E22" s="243" t="inlineStr">
        <is>
          <t>Görsel release incelemesi</t>
        </is>
      </c>
      <c r="F22" s="247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I18"/>
  <sheetViews>
    <sheetView showGridLines="0" workbookViewId="0">
      <selection activeCell="A1" sqref="A1"/>
    </sheetView>
  </sheetViews>
  <sheetFormatPr baseColWidth="8" defaultRowHeight="15"/>
  <cols>
    <col width="22.5" customWidth="1" style="66" min="1" max="1"/>
    <col width="60.5" customWidth="1" style="66" min="2" max="2"/>
    <col width="86.5" customWidth="1" style="66" min="3" max="3"/>
    <col width="40.5" customWidth="1" style="66" min="4" max="4"/>
    <col width="39.5" customWidth="1" style="66" min="5" max="5"/>
    <col width="27.5" customWidth="1" style="66" min="6" max="6"/>
    <col width="13" customWidth="1" style="66" min="7" max="7"/>
    <col width="13" customWidth="1" style="66" min="8" max="8"/>
    <col width="13" customWidth="1" style="66" min="9" max="9"/>
    <col width="13" customWidth="1" style="66" min="10" max="10"/>
  </cols>
  <sheetData>
    <row r="1" ht="32" customHeight="1" s="66">
      <c r="A1" s="265" t="inlineStr">
        <is>
          <t>TÜRKİYE MUHASEBE VE TEKDÜZEN HESAP PLANI STANDARDI</t>
        </is>
      </c>
    </row>
    <row r="3" ht="24" customHeight="1" s="66">
      <c r="A3" s="249" t="inlineStr">
        <is>
          <t>Konu</t>
        </is>
      </c>
      <c r="B3" s="249" t="inlineStr">
        <is>
          <t>Zorunlu Standart</t>
        </is>
      </c>
      <c r="C3" s="249" t="inlineStr">
        <is>
          <t>Örnek Türkçe Ad</t>
        </is>
      </c>
      <c r="D3" s="249" t="inlineStr">
        <is>
          <t>THP / Mantık</t>
        </is>
      </c>
      <c r="E3" s="249" t="inlineStr">
        <is>
          <t>Hata Riski</t>
        </is>
      </c>
      <c r="F3" s="249" t="inlineStr">
        <is>
          <t>Kontrol</t>
        </is>
      </c>
    </row>
    <row r="4">
      <c r="A4" s="250" t="inlineStr">
        <is>
          <t>Dil</t>
        </is>
      </c>
      <c r="B4" s="234" t="inlineStr">
        <is>
          <t>Kullanıcıya görünen finansal terimler Türkçe</t>
        </is>
      </c>
      <c r="C4" s="234" t="inlineStr">
        <is>
          <t>Hasılat, Satışların Maliyeti, Brüt Kâr, Faaliyet Giderleri</t>
        </is>
      </c>
      <c r="D4" s="234" t="inlineStr">
        <is>
          <t>Türk işletme kullanımına uygun</t>
        </is>
      </c>
      <c r="E4" s="234" t="inlineStr">
        <is>
          <t>İngilizce jargon</t>
        </is>
      </c>
      <c r="F4" s="234" t="inlineStr">
        <is>
          <t>Terminoloji taraması</t>
        </is>
      </c>
    </row>
    <row r="5" ht="28" customHeight="1" s="66">
      <c r="A5" s="250" t="inlineStr">
        <is>
          <t>Gelir Tablosu</t>
        </is>
      </c>
      <c r="B5" s="234" t="inlineStr">
        <is>
          <t>Türk sunum sırası kullanılır</t>
        </is>
      </c>
      <c r="C5" s="234" t="inlineStr">
        <is>
          <t>Net Satışlar → Satışların Maliyeti → Brüt Kâr → Faaliyet Giderleri → Faaliyet Kârı</t>
        </is>
      </c>
      <c r="D5" s="234" t="inlineStr">
        <is>
          <t>600/610/611; 620-623; 63x</t>
        </is>
      </c>
      <c r="E5" s="234" t="inlineStr">
        <is>
          <t>Yanlış sınıflama</t>
        </is>
      </c>
      <c r="F5" s="234" t="inlineStr">
        <is>
          <t>Hesap eşleme</t>
        </is>
      </c>
    </row>
    <row r="6" ht="28" customHeight="1" s="66">
      <c r="A6" s="250" t="inlineStr">
        <is>
          <t>Bilanço</t>
        </is>
      </c>
      <c r="B6" s="234" t="inlineStr">
        <is>
          <t>Dönen/Duran Varlık ve Kısa/Uzun Vadeli Yükümlülük ayrımı</t>
        </is>
      </c>
      <c r="C6" s="234" t="inlineStr">
        <is>
          <t>Hazır Değerler, Ticari Alacaklar, Stoklar, Mali Borçlar</t>
        </is>
      </c>
      <c r="D6" s="234" t="inlineStr">
        <is>
          <t>1xx / 2xx / 3xx / 4xx / 5xx</t>
        </is>
      </c>
      <c r="E6" s="234" t="inlineStr">
        <is>
          <t>Vade sınıfı hatası</t>
        </is>
      </c>
      <c r="F6" s="234" t="inlineStr">
        <is>
          <t>Bilanço eşitliği</t>
        </is>
      </c>
    </row>
    <row r="7">
      <c r="A7" s="250" t="inlineStr">
        <is>
          <t>Nakit Akışı</t>
        </is>
      </c>
      <c r="B7" s="234" t="inlineStr">
        <is>
          <t>İşletme/Yatırım/Finansman nakit akışları ayrılır</t>
        </is>
      </c>
      <c r="C7" s="234" t="inlineStr">
        <is>
          <t>Faaliyetlerden Nakit, Yatırım Harcamaları, Finansman Nakit Akışı</t>
        </is>
      </c>
      <c r="D7" s="234" t="inlineStr">
        <is>
          <t>Dolaylı/doğrudan yöntem açık seçilir</t>
        </is>
      </c>
      <c r="E7" s="234" t="inlineStr">
        <is>
          <t>Kâr = nakit sanılması</t>
        </is>
      </c>
      <c r="F7" s="234" t="inlineStr">
        <is>
          <t>Nakit devri</t>
        </is>
      </c>
    </row>
    <row r="8">
      <c r="A8" s="250" t="inlineStr">
        <is>
          <t>Ticari Alacaklar</t>
        </is>
      </c>
      <c r="B8" s="234" t="inlineStr">
        <is>
          <t>Cari ve vade mantığı korunur</t>
        </is>
      </c>
      <c r="C8" s="234" t="inlineStr">
        <is>
          <t>120 Alıcılar</t>
        </is>
      </c>
      <c r="D8" s="234" t="inlineStr">
        <is>
          <t>120</t>
        </is>
      </c>
      <c r="E8" s="234" t="inlineStr">
        <is>
          <t>Tahakkuk/nakit karışması</t>
        </is>
      </c>
      <c r="F8" s="234" t="inlineStr">
        <is>
          <t>Alacak devir kontrolü</t>
        </is>
      </c>
    </row>
    <row r="9">
      <c r="A9" s="250" t="inlineStr">
        <is>
          <t>Ticari Borçlar</t>
        </is>
      </c>
      <c r="B9" s="234" t="inlineStr">
        <is>
          <t>Tedarikçi borcu ayrı izlenir</t>
        </is>
      </c>
      <c r="C9" s="234" t="inlineStr">
        <is>
          <t>320 Satıcılar</t>
        </is>
      </c>
      <c r="D9" s="234" t="inlineStr">
        <is>
          <t>320</t>
        </is>
      </c>
      <c r="E9" s="234" t="inlineStr">
        <is>
          <t>Gider/ödeme karışması</t>
        </is>
      </c>
      <c r="F9" s="234" t="inlineStr">
        <is>
          <t>Borç devir kontrolü</t>
        </is>
      </c>
    </row>
    <row r="10">
      <c r="A10" s="250" t="inlineStr">
        <is>
          <t>Kasa/Banka</t>
        </is>
      </c>
      <c r="B10" s="234" t="inlineStr">
        <is>
          <t>Hazır değerler ayrı izlenir</t>
        </is>
      </c>
      <c r="C10" s="234" t="inlineStr">
        <is>
          <t>100 Kasa, 102 Bankalar</t>
        </is>
      </c>
      <c r="D10" s="234" t="inlineStr">
        <is>
          <t>100 / 102</t>
        </is>
      </c>
      <c r="E10" s="234" t="inlineStr">
        <is>
          <t>Virmanla toplam nakdin değişmesi</t>
        </is>
      </c>
      <c r="F10" s="234" t="inlineStr">
        <is>
          <t>Virman değişmezi</t>
        </is>
      </c>
    </row>
    <row r="11">
      <c r="A11" s="250" t="inlineStr">
        <is>
          <t>Stok</t>
        </is>
      </c>
      <c r="B11" s="234" t="inlineStr">
        <is>
          <t>Dikeye uygun stok türü</t>
        </is>
      </c>
      <c r="C11" s="234" t="inlineStr">
        <is>
          <t>150 İlk Madde ve Malzeme, 153 Ticari Mallar</t>
        </is>
      </c>
      <c r="D11" s="234" t="inlineStr">
        <is>
          <t>15x</t>
        </is>
      </c>
      <c r="E11" s="234" t="inlineStr">
        <is>
          <t>Maliyet ve stok hareketinin kopması</t>
        </is>
      </c>
      <c r="F11" s="234" t="inlineStr">
        <is>
          <t>Stok devri</t>
        </is>
      </c>
    </row>
    <row r="12" ht="28" customHeight="1" s="66">
      <c r="A12" s="250" t="inlineStr">
        <is>
          <t>Maddi Duran Varlık</t>
        </is>
      </c>
      <c r="B12" s="234" t="inlineStr">
        <is>
          <t>Yatırım harcaması ve amortisman bağlantılı</t>
        </is>
      </c>
      <c r="C12" s="234" t="inlineStr">
        <is>
          <t>253 Tesis Makine Cihazlar, 255 Demirbaşlar, 257 Birikmiş Amortismanlar</t>
        </is>
      </c>
      <c r="D12" s="234" t="inlineStr">
        <is>
          <t>25x</t>
        </is>
      </c>
      <c r="E12" s="234" t="inlineStr">
        <is>
          <t>Yatırım/gider karışması</t>
        </is>
      </c>
      <c r="F12" s="234" t="inlineStr">
        <is>
          <t>Net defter değeri devri</t>
        </is>
      </c>
    </row>
    <row r="13">
      <c r="A13" s="250" t="inlineStr">
        <is>
          <t>Mali Borçlar</t>
        </is>
      </c>
      <c r="B13" s="234" t="inlineStr">
        <is>
          <t>Kısa/uzun vadeli borç ayrımı</t>
        </is>
      </c>
      <c r="C13" s="234" t="inlineStr">
        <is>
          <t>300 Banka Kredileri / 400 Banka Kredileri</t>
        </is>
      </c>
      <c r="D13" s="234" t="inlineStr">
        <is>
          <t>300 / 400</t>
        </is>
      </c>
      <c r="E13" s="234" t="inlineStr">
        <is>
          <t>Vade sınıfı yanlış</t>
        </is>
      </c>
      <c r="F13" s="234" t="inlineStr">
        <is>
          <t>Borç devri</t>
        </is>
      </c>
    </row>
    <row r="14">
      <c r="A14" s="250" t="inlineStr">
        <is>
          <t>Özkaynak</t>
        </is>
      </c>
      <c r="B14" s="234" t="inlineStr">
        <is>
          <t>Sermaye ve geçmiş yıl kârları ayrı</t>
        </is>
      </c>
      <c r="C14" s="234" t="inlineStr">
        <is>
          <t>500 Sermaye, 570 Geçmiş Yıllar Kârları, 590 Dönem Net Kârı</t>
        </is>
      </c>
      <c r="D14" s="234" t="inlineStr">
        <is>
          <t>5xx</t>
        </is>
      </c>
      <c r="E14" s="234" t="inlineStr">
        <is>
          <t>Net kâr bağının kopması</t>
        </is>
      </c>
      <c r="F14" s="234" t="inlineStr">
        <is>
          <t>Özkaynak devri</t>
        </is>
      </c>
    </row>
    <row r="15">
      <c r="A15" s="250" t="inlineStr">
        <is>
          <t>Vergi</t>
        </is>
      </c>
      <c r="B15" s="234" t="inlineStr">
        <is>
          <t>Vergi satırları Türkiye mantığına uygun</t>
        </is>
      </c>
      <c r="C15" s="234" t="inlineStr">
        <is>
          <t>Dönem Vergi ve Diğer Yasal Yükümlülük Karşılıkları</t>
        </is>
      </c>
      <c r="D15" s="234" t="inlineStr">
        <is>
          <t>37x / ilgili vergi hesapları</t>
        </is>
      </c>
      <c r="E15" s="234" t="inlineStr">
        <is>
          <t>Vergi etkisinin yanlış dönemlenmesi</t>
        </is>
      </c>
      <c r="F15" s="234" t="inlineStr">
        <is>
          <t>Vergi sözleşmesi</t>
        </is>
      </c>
    </row>
    <row r="16">
      <c r="A16" s="250" t="inlineStr">
        <is>
          <t>İsim standardı</t>
        </is>
      </c>
      <c r="B16" s="234" t="inlineStr">
        <is>
          <t>Tablo ve sayfa adları Türkçe ve işlevsel</t>
        </is>
      </c>
      <c r="C16" s="234" t="inlineStr">
        <is>
          <t>GELİR_TABLOSU, BİLANÇO, NAKİT_AKISI, BORC_PLANI</t>
        </is>
      </c>
      <c r="D16" s="234" t="inlineStr">
        <is>
          <t>Tekrarlanabilir standart</t>
        </is>
      </c>
      <c r="E16" s="234" t="inlineStr">
        <is>
          <t>İngilizce/karma isim</t>
        </is>
      </c>
      <c r="F16" s="234" t="inlineStr">
        <is>
          <t>Sayfa ve tablo taraması</t>
        </is>
      </c>
    </row>
    <row r="17">
      <c r="A17" s="250" t="inlineStr">
        <is>
          <t>THP eşleme tablosu</t>
        </is>
      </c>
      <c r="B17" s="234" t="inlineStr">
        <is>
          <t>Her kritik satır en az bir THP hesabına bağlanır</t>
        </is>
      </c>
      <c r="C17" s="234" t="inlineStr">
        <is>
          <t>RaporSatırı → HesapKodu → HesapAdı → İşaret → Dönem</t>
        </is>
      </c>
      <c r="D17" s="234" t="inlineStr">
        <is>
          <t>Kaynak izlenebilirliği</t>
        </is>
      </c>
      <c r="E17" s="234" t="inlineStr">
        <is>
          <t>Rapordan rapora kaynak</t>
        </is>
      </c>
      <c r="F17" s="234" t="inlineStr">
        <is>
          <t>Eşleme kapsama %100</t>
        </is>
      </c>
    </row>
    <row r="18">
      <c r="A18" s="250" t="inlineStr">
        <is>
          <t>İstisna</t>
        </is>
      </c>
      <c r="B18" s="234" t="inlineStr">
        <is>
          <t>TFRS özel ürün varsa fark açık yazılır</t>
        </is>
      </c>
      <c r="C18" s="234" t="inlineStr">
        <is>
          <t>Tekdüzen raporlama ≠ TFRS finansal tablo sunumu</t>
        </is>
      </c>
      <c r="D18" s="234" t="inlineStr">
        <is>
          <t>Amaç belirtilir</t>
        </is>
      </c>
      <c r="E18" s="234" t="inlineStr">
        <is>
          <t>Standartları karıştırma</t>
        </is>
      </c>
      <c r="F18" s="234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20.5" customWidth="1" style="66" min="1" max="1"/>
    <col width="41.5" customWidth="1" style="66" min="2" max="2"/>
    <col width="86.5" customWidth="1" style="66" min="3" max="3"/>
    <col width="35.5" customWidth="1" style="66" min="4" max="4"/>
    <col width="33.5" customWidth="1" style="66" min="5" max="5"/>
    <col width="16" customWidth="1" style="66" min="6" max="6"/>
    <col width="13" customWidth="1" style="66" min="7" max="7"/>
    <col width="13" customWidth="1" style="66" min="8" max="8"/>
    <col width="13" customWidth="1" style="66" min="9" max="9"/>
    <col width="13" customWidth="1" style="66" min="10" max="10"/>
  </cols>
  <sheetData>
    <row r="1" ht="32" customHeight="1" s="66">
      <c r="A1" s="265" t="inlineStr">
        <is>
          <t>KARAR, GÜVEN VE SATIŞA HAZIRLIK STANDARDI</t>
        </is>
      </c>
    </row>
    <row r="3" ht="24" customHeight="1" s="66">
      <c r="A3" s="252" t="inlineStr">
        <is>
          <t>Alan</t>
        </is>
      </c>
      <c r="B3" s="252" t="inlineStr">
        <is>
          <t>Müşteri Sorusu</t>
        </is>
      </c>
      <c r="C3" s="252" t="inlineStr">
        <is>
          <t>Zorunlu Ürün Davranışı</t>
        </is>
      </c>
      <c r="D3" s="252" t="inlineStr">
        <is>
          <t>Kanıt</t>
        </is>
      </c>
      <c r="E3" s="252" t="inlineStr">
        <is>
          <t>Başarısızlık Durumu</t>
        </is>
      </c>
      <c r="F3" s="252" t="inlineStr">
        <is>
          <t>Kapı</t>
        </is>
      </c>
    </row>
    <row r="4">
      <c r="A4" s="253" t="inlineStr">
        <is>
          <t>5 saniye</t>
        </is>
      </c>
      <c r="B4" s="234" t="inlineStr">
        <is>
          <t>Bu ürün neyi çözüyor?</t>
        </is>
      </c>
      <c r="C4" s="234" t="inlineStr">
        <is>
          <t>İlk ekranda hedef kullanıcı + pahalı problem + sonuç görünür</t>
        </is>
      </c>
      <c r="D4" s="234" t="inlineStr">
        <is>
          <t>Başlık + alt mesaj + gerçek ekran</t>
        </is>
      </c>
      <c r="E4" s="234" t="inlineStr">
        <is>
          <t>Ürün yalnız teknik isim</t>
        </is>
      </c>
      <c r="F4" s="254" t="inlineStr">
        <is>
          <t>HATA</t>
        </is>
      </c>
    </row>
    <row r="5">
      <c r="A5" s="253" t="inlineStr">
        <is>
          <t>Acı</t>
        </is>
      </c>
      <c r="B5" s="234" t="inlineStr">
        <is>
          <t>Sorun bana neye mal oluyor?</t>
        </is>
      </c>
      <c r="C5" s="234" t="inlineStr">
        <is>
          <t>Mümkünse müşterinin kendi verisiyle parasal/zaman etkisi hesaplanır</t>
        </is>
      </c>
      <c r="D5" s="234" t="inlineStr">
        <is>
          <t>ROI/acı hesaplama yöntemi</t>
        </is>
      </c>
      <c r="E5" s="234" t="inlineStr">
        <is>
          <t>Uydurma tasarruf</t>
        </is>
      </c>
      <c r="F5" s="254" t="inlineStr">
        <is>
          <t>HATA</t>
        </is>
      </c>
    </row>
    <row r="6">
      <c r="A6" s="253" t="inlineStr">
        <is>
          <t>Karar</t>
        </is>
      </c>
      <c r="B6" s="234" t="inlineStr">
        <is>
          <t>Bu bilgiyle ne yapacağım?</t>
        </is>
      </c>
      <c r="C6" s="234" t="inlineStr">
        <is>
          <t>Her kritik KPI aksiyona bağlanır</t>
        </is>
      </c>
      <c r="D6" s="234" t="inlineStr">
        <is>
          <t>KARAR_KUYRUGU</t>
        </is>
      </c>
      <c r="E6" s="234" t="inlineStr">
        <is>
          <t>Sadece rapor</t>
        </is>
      </c>
      <c r="F6" s="254" t="inlineStr">
        <is>
          <t>HATA</t>
        </is>
      </c>
    </row>
    <row r="7">
      <c r="A7" s="253" t="inlineStr">
        <is>
          <t>Güven</t>
        </is>
      </c>
      <c r="B7" s="234" t="inlineStr">
        <is>
          <t>Bu sayıya neden inanayım?</t>
        </is>
      </c>
      <c r="C7" s="234" t="inlineStr">
        <is>
          <t>Kaynak, formül mantığı, kontrol ve son doğrulama görünür</t>
        </is>
      </c>
      <c r="D7" s="234" t="inlineStr">
        <is>
          <t>Kontroller + kaynak izi + sürüm</t>
        </is>
      </c>
      <c r="E7" s="234" t="inlineStr">
        <is>
          <t>Prestij kelimesi</t>
        </is>
      </c>
      <c r="F7" s="254" t="inlineStr">
        <is>
          <t>HATA</t>
        </is>
      </c>
    </row>
    <row r="8">
      <c r="A8" s="253" t="inlineStr">
        <is>
          <t>Referans</t>
        </is>
      </c>
      <c r="B8" s="234" t="inlineStr">
        <is>
          <t>Müşteri yorumu yoksa ne göstereceğim?</t>
        </is>
      </c>
      <c r="C8" s="234" t="inlineStr">
        <is>
          <t>Önce/Sonra + Karar Vakası + Hata Önleme Vakası üretilir</t>
        </is>
      </c>
      <c r="D8" s="234" t="inlineStr">
        <is>
          <t>Demo/örnek çıktı</t>
        </is>
      </c>
      <c r="E8" s="234" t="inlineStr">
        <is>
          <t>Kanıtsız iddia</t>
        </is>
      </c>
      <c r="F8" s="254" t="inlineStr">
        <is>
          <t>HATA</t>
        </is>
      </c>
    </row>
    <row r="9">
      <c r="A9" s="253" t="inlineStr">
        <is>
          <t>Senaryo</t>
        </is>
      </c>
      <c r="B9" s="234" t="inlineStr">
        <is>
          <t>Ne olursa işler bozulur?</t>
        </is>
      </c>
      <c r="C9" s="234" t="inlineStr">
        <is>
          <t>Baz/Aşağı/Yukarı veya uygun stres senaryosu</t>
        </is>
      </c>
      <c r="D9" s="234" t="inlineStr">
        <is>
          <t>Senaryo karşılaştırma</t>
        </is>
      </c>
      <c r="E9" s="234" t="inlineStr">
        <is>
          <t>Dekoratif senaryo</t>
        </is>
      </c>
      <c r="F9" s="254" t="inlineStr">
        <is>
          <t>HATA</t>
        </is>
      </c>
    </row>
    <row r="10">
      <c r="A10" s="253" t="inlineStr">
        <is>
          <t>Ters stres</t>
        </is>
      </c>
      <c r="B10" s="234" t="inlineStr">
        <is>
          <t>Hangi eşikte karar kırılır?</t>
        </is>
      </c>
      <c r="C10" s="234" t="inlineStr">
        <is>
          <t>En az bir kritik sürücü için kırılma eşiği</t>
        </is>
      </c>
      <c r="D10" s="234" t="inlineStr">
        <is>
          <t>Kırılma eşiği tablosu</t>
        </is>
      </c>
      <c r="E10" s="234" t="inlineStr">
        <is>
          <t>Sadece +/- %10</t>
        </is>
      </c>
      <c r="F10" s="254" t="inlineStr">
        <is>
          <t>UYARI/HATA</t>
        </is>
      </c>
    </row>
    <row r="11">
      <c r="A11" s="253" t="inlineStr">
        <is>
          <t>Hata tutarlılığı</t>
        </is>
      </c>
      <c r="B11" s="234" t="inlineStr">
        <is>
          <t>Formül hata verirse ne olur?</t>
        </is>
      </c>
      <c r="C11" s="234" t="inlineStr">
        <is>
          <t>Kontrol GEÇTİ veremez; BLOKE/HATA üretir</t>
        </is>
      </c>
      <c r="D11" s="234" t="inlineStr">
        <is>
          <t>Hata taraması</t>
        </is>
      </c>
      <c r="E11" s="234" t="inlineStr">
        <is>
          <t>Hata + GEÇTİ birlikte</t>
        </is>
      </c>
      <c r="F11" s="254" t="inlineStr">
        <is>
          <t>HATA</t>
        </is>
      </c>
    </row>
    <row r="12">
      <c r="A12" s="253" t="inlineStr">
        <is>
          <t>Karar motoru</t>
        </is>
      </c>
      <c r="B12" s="234" t="inlineStr">
        <is>
          <t>Ne oldu, neden oldu?</t>
        </is>
      </c>
      <c r="C12" s="234" t="inlineStr">
        <is>
          <t>Sorun + neden + parasal etki + aksiyon + son tarih</t>
        </is>
      </c>
      <c r="D12" s="234" t="inlineStr">
        <is>
          <t>Karar tablosu</t>
        </is>
      </c>
      <c r="E12" s="234" t="inlineStr">
        <is>
          <t>Boş sayfa / isim düzeyi modül</t>
        </is>
      </c>
      <c r="F12" s="254" t="inlineStr">
        <is>
          <t>HATA</t>
        </is>
      </c>
    </row>
    <row r="13">
      <c r="A13" s="253" t="inlineStr">
        <is>
          <t>Yönetici özeti</t>
        </is>
      </c>
      <c r="B13" s="234" t="inlineStr">
        <is>
          <t>5 saniyede ne görmeliyim?</t>
        </is>
      </c>
      <c r="C13" s="234" t="inlineStr">
        <is>
          <t>Bugün / ne değişti / ne bozulacak / neden / ne yapmalıyım / güven</t>
        </is>
      </c>
      <c r="D13" s="234" t="inlineStr">
        <is>
          <t>Yönetici özeti ekranı</t>
        </is>
      </c>
      <c r="E13" s="234" t="inlineStr">
        <is>
          <t>KPI kutusu yığını</t>
        </is>
      </c>
      <c r="F13" s="254" t="inlineStr">
        <is>
          <t>HATA</t>
        </is>
      </c>
    </row>
    <row r="14">
      <c r="A14" s="253" t="inlineStr">
        <is>
          <t>Teklif</t>
        </is>
      </c>
      <c r="B14" s="234" t="inlineStr">
        <is>
          <t>Neden satın almalıyım?</t>
        </is>
      </c>
      <c r="C14" s="234" t="inlineStr">
        <is>
          <t>Dosya özellikleri yerine sonuç ve kaçınılan maliyet sunulur</t>
        </is>
      </c>
      <c r="D14" s="234" t="inlineStr">
        <is>
          <t>Ürün sayfası kanıt eşlemesi</t>
        </is>
      </c>
      <c r="E14" s="234" t="inlineStr">
        <is>
          <t>Özellik listesiyle satış</t>
        </is>
      </c>
      <c r="F14" s="254" t="inlineStr">
        <is>
          <t>HATA</t>
        </is>
      </c>
    </row>
    <row r="15">
      <c r="A15" s="253" t="inlineStr">
        <is>
          <t>Dağıtım</t>
        </is>
      </c>
      <c r="B15" s="234" t="inlineStr">
        <is>
          <t>Beni nasıl bulacaklar?</t>
        </is>
      </c>
      <c r="C15" s="234" t="inlineStr">
        <is>
          <t>Sorun niyetine göre SEO sayfaları, iç bağlantı, temiz yapı, taranabilir metin</t>
        </is>
      </c>
      <c r="D15" s="234" t="inlineStr">
        <is>
          <t>Arama niyeti haritası</t>
        </is>
      </c>
      <c r="E15" s="234" t="inlineStr">
        <is>
          <t>Tek ürün sayfasına bağımlılık</t>
        </is>
      </c>
      <c r="F15" s="254" t="inlineStr">
        <is>
          <t>UYARI</t>
        </is>
      </c>
    </row>
    <row r="16" ht="28" customHeight="1" s="66">
      <c r="A16" s="253" t="inlineStr">
        <is>
          <t>LLM görünürlüğü</t>
        </is>
      </c>
      <c r="B16" s="234" t="inlineStr">
        <is>
          <t>AI ürünümü anlayabiliyor mu?</t>
        </is>
      </c>
      <c r="C16" s="234" t="inlineStr">
        <is>
          <t>Ürün tanımı, hedef kullanıcı, girdi/çıktı, metodoloji, sınırlar, SSS açık metindir</t>
        </is>
      </c>
      <c r="D16" s="234" t="inlineStr">
        <is>
          <t>Taranabilir ürün içeriği</t>
        </is>
      </c>
      <c r="E16" s="234" t="inlineStr">
        <is>
          <t>'AI SEO' iddiası</t>
        </is>
      </c>
      <c r="F16" s="254" t="inlineStr">
        <is>
          <t>UYARI</t>
        </is>
      </c>
    </row>
    <row r="17">
      <c r="A17" s="253" t="inlineStr">
        <is>
          <t>Satış kanalı</t>
        </is>
      </c>
      <c r="B17" s="234" t="inlineStr">
        <is>
          <t>Nerede satılmalı?</t>
        </is>
      </c>
      <c r="C17" s="234" t="inlineStr">
        <is>
          <t>Arama, LinkedIn, uzman/partner, demo/video; ürüne göre kanal seçilir</t>
        </is>
      </c>
      <c r="D17" s="234" t="inlineStr">
        <is>
          <t>Kanal matrisi</t>
        </is>
      </c>
      <c r="E17" s="234" t="inlineStr">
        <is>
          <t>Her ürüne aynı kanal</t>
        </is>
      </c>
      <c r="F17" s="254" t="inlineStr">
        <is>
          <t>UYARI</t>
        </is>
      </c>
    </row>
    <row r="18">
      <c r="A18" s="253" t="inlineStr">
        <is>
          <t>Fiyat</t>
        </is>
      </c>
      <c r="B18" s="234" t="inlineStr">
        <is>
          <t>Bu fiyat neden mantıklı?</t>
        </is>
      </c>
      <c r="C18" s="234" t="inlineStr">
        <is>
          <t>Fiyat, ekonomik karar değerine ve kanıtlanmış ürün derinliğine bağlanır</t>
        </is>
      </c>
      <c r="D18" s="234" t="inlineStr">
        <is>
          <t>Değer haritası + demo</t>
        </is>
      </c>
      <c r="E18" s="234" t="inlineStr">
        <is>
          <t>Sırf sayfa/formül sayısı</t>
        </is>
      </c>
      <c r="F18" s="254" t="inlineStr">
        <is>
          <t>HATA</t>
        </is>
      </c>
    </row>
    <row r="19">
      <c r="A19" s="253" t="inlineStr">
        <is>
          <t>Pazar kanıtı</t>
        </is>
      </c>
      <c r="B19" s="234" t="inlineStr">
        <is>
          <t>Piyasa gerçekten ödüyor mu?</t>
        </is>
      </c>
      <c r="C19" s="234" t="inlineStr">
        <is>
          <t>Satış/pilot/LOI/fiyat kabulü olmadan pazar doğrulandı yazılmaz</t>
        </is>
      </c>
      <c r="D19" s="234" t="inlineStr">
        <is>
          <t>Gerçek işlem kanıtı</t>
        </is>
      </c>
      <c r="E19" s="234" t="inlineStr">
        <is>
          <t>Tahmini talep = satış kabulü</t>
        </is>
      </c>
      <c r="F19" s="254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J16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0" customWidth="1" style="92" min="1" max="3"/>
    <col width="13" customWidth="1" style="66" min="2" max="2"/>
    <col width="13" customWidth="1" style="66" min="3" max="3"/>
    <col width="13" customWidth="1" style="66" min="4" max="4"/>
    <col width="13" customWidth="1" style="66" min="5" max="5"/>
    <col width="13" customWidth="1" style="66" min="6" max="6"/>
    <col width="13" customWidth="1" style="66" min="7" max="7"/>
    <col width="13" customWidth="1" style="66" min="8" max="8"/>
    <col width="13" customWidth="1" style="66" min="9" max="9"/>
    <col width="13" customWidth="1" style="66" min="10" max="10"/>
  </cols>
  <sheetData>
    <row r="1" ht="32" customHeight="1" s="66">
      <c r="A1" s="265" t="inlineStr">
        <is>
          <t>ASGARİ ÜCRET ZAM ETKİSİ &amp; FİYAT AYARLAMA CETVELİ</t>
        </is>
      </c>
    </row>
    <row r="3" ht="22" customHeight="1" s="66">
      <c r="A3" s="284" t="inlineStr">
        <is>
          <t>Asgari ücret zammının işletmenize maliyetini ölçün, fiyatlarınızı veriyle ayarlayın.</t>
        </is>
      </c>
    </row>
    <row r="4" ht="15" customHeight="1" s="66">
      <c r="A4" s="95" t="inlineStr">
        <is>
          <t>Asgari ücret zammı çalışan bazında işveren maliyetine dönüştürülür; SGK ve işsizlik işveren payları otomatik eklenir. Zam öncesi/sonrası maliyet farkı ve artış oranı üretilir; bu artışın ürün/hizmet fiyatlarına yansıma oranı cetvel olarak çıkarılır.</t>
        </is>
      </c>
    </row>
    <row r="5" ht="15" customHeight="1" s="66"/>
    <row r="6" ht="15" customHeight="1" s="66">
      <c r="A6" s="96" t="inlineStr">
        <is>
          <t>1. CALISANLAR sayfasına çalışanların zam öncesi brüt ücretlerini ve ücret türlerini girin.</t>
        </is>
      </c>
    </row>
    <row r="7" ht="15" customHeight="1" s="66">
      <c r="A7" s="96" t="inlineStr">
        <is>
          <t>2. URUNLER sayfasında ürün/hizmet fiyatlarını ve birim başına işçilik maliyetini girin.</t>
        </is>
      </c>
    </row>
    <row r="8" ht="15" customHeight="1" s="66">
      <c r="A8" s="96" t="inlineStr">
        <is>
          <t>3. KARAR sayfasında fiyat yansıtma oranını ve aksiyonları okuyun.</t>
        </is>
      </c>
    </row>
    <row r="10" ht="15" customHeight="1" s="66">
      <c r="A10" s="97" t="inlineStr">
        <is>
          <t>Bu dosya karar destek aracıdır; mali müşavirlik veya hukuki danışmanlık yerine geçmez. Asgari ücret ve sigorta prim oranları ilgili mevzuat değişikliğinde AYARLAR'dan güncellenmelidir.</t>
        </is>
      </c>
    </row>
    <row r="11" ht="15" customHeight="1" s="66"/>
    <row r="12" ht="15" customHeight="1" s="66"/>
    <row r="13" ht="15" customHeight="1" s="66"/>
    <row r="15" ht="15" customHeight="1" s="66">
      <c r="A15" s="98" t="inlineStr">
        <is>
          <t>ExcelArşiv</t>
        </is>
      </c>
    </row>
    <row r="16" ht="15" customHeight="1" s="66">
      <c r="A16" s="99" t="inlineStr">
        <is>
          <t>Rev 1.0 | 2026-08-09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8">
    <mergeCell ref="A8:J8"/>
    <mergeCell ref="A6:J6"/>
    <mergeCell ref="A10:C13"/>
    <mergeCell ref="A1:I1"/>
    <mergeCell ref="A7:J7"/>
    <mergeCell ref="A4:C5"/>
    <mergeCell ref="A3:I3"/>
    <mergeCell ref="A16:C1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AN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29.5" customWidth="1" style="92" min="1" max="1"/>
    <col width="20" customWidth="1" style="92" min="2" max="2"/>
    <col width="13" customWidth="1" style="66" min="3" max="3"/>
    <col width="13" customWidth="1" style="66" min="4" max="4"/>
    <col width="13" customWidth="1" style="66" min="5" max="5"/>
    <col width="13" customWidth="1" style="66" min="6" max="6"/>
    <col width="13" customWidth="1" style="66" min="7" max="7"/>
    <col width="13" customWidth="1" style="66" min="8" max="8"/>
    <col width="13" customWidth="1" style="66" min="9" max="9"/>
    <col width="13" customWidth="1" style="66" min="10" max="10"/>
  </cols>
  <sheetData>
    <row r="1">
      <c r="A1" s="76" t="inlineStr">
        <is>
          <t>☰ PANO</t>
        </is>
      </c>
    </row>
    <row r="3" ht="22" customHeight="1" s="66">
      <c r="A3" s="284" t="inlineStr">
        <is>
          <t>Nasıl kullanılır?</t>
        </is>
      </c>
    </row>
    <row r="4" ht="15" customHeight="1" s="66">
      <c r="A4" s="101" t="inlineStr">
        <is>
          <t>1. AYARLAR sayfasından eski/yeni asgari ücreti, sigorta prim oranlarını ve fiyat yansıtma eşiğini kontrol edin.</t>
        </is>
      </c>
    </row>
    <row r="5" ht="15" customHeight="1" s="66">
      <c r="A5" s="101" t="inlineStr">
        <is>
          <t>2. CALISANLAR sayfasına her çalışan için ad, işe giriş, zam öncesi brüt ücret ve ücret türünü girin.</t>
        </is>
      </c>
    </row>
    <row r="6" ht="15" customHeight="1" s="66">
      <c r="A6" s="101" t="inlineStr">
        <is>
          <t>3. Ücret türü 'Asgari Ücret' ise zam sonrası brüt otomatik yeni asgari ücret olur; 'Asgari Üstü Oran' için zam oranı girilir.</t>
        </is>
      </c>
    </row>
    <row r="7" ht="15" customHeight="1" s="66">
      <c r="A7" s="101" t="inlineStr">
        <is>
          <t>4. Saatlik ücret, zam öncesi/sonrası işveren maliyeti ve maliyet farkı formülle hesaplanır.</t>
        </is>
      </c>
    </row>
    <row r="8" ht="15" customHeight="1" s="66">
      <c r="A8" s="101" t="inlineStr">
        <is>
          <t>5. URUNLER sayfasına ürün/hizmet fiyatlarını ve birim başına işçilik maliyetini girin.</t>
        </is>
      </c>
    </row>
    <row r="9" ht="15" customHeight="1" s="66">
      <c r="A9" s="101" t="inlineStr">
        <is>
          <t>6. Fiyat yansıtma oranı ve önerilen yeni fiyat cetveli otomatik üretilir; KARAR sayfası UYGUN / İNCELE / DURDUR verir.</t>
        </is>
      </c>
    </row>
    <row r="10" ht="15" customHeight="1" s="66">
      <c r="A10" s="101" t="inlineStr">
        <is>
          <t>7. SENARYO_DUYARLILIK sayfası yansıtma senaryolarında fiyat, marj ve kararı üretir.</t>
        </is>
      </c>
    </row>
    <row r="12" ht="15" customHeight="1" s="66">
      <c r="A12" s="102" t="inlineStr">
        <is>
          <t>Sık yapılan hatalar</t>
        </is>
      </c>
    </row>
    <row r="13" ht="15" customHeight="1" s="66">
      <c r="A13" s="97" t="inlineStr">
        <is>
          <t>Zam sonrası ücreti net ücret girmek — işveren maliyeti eksik hesaplanır.</t>
        </is>
      </c>
    </row>
    <row r="14" ht="15" customHeight="1" s="66">
      <c r="A14" s="97" t="inlineStr">
        <is>
          <t>SGK/işsizlik işveren paylarını güncellememek — mevzuat değişikliği sonrası maliyet yanlış kalır.</t>
        </is>
      </c>
    </row>
    <row r="15" ht="15" customHeight="1" s="66">
      <c r="A15" s="97" t="inlineStr">
        <is>
          <t>Birim başına işçilik maliyetini boş bırakmak — fiyat yansıtma cetveli bozulur.</t>
        </is>
      </c>
    </row>
    <row r="16" ht="15" customHeight="1" s="66">
      <c r="A16" s="97" t="inlineStr">
        <is>
          <t>Aylık adet girilmemesi — toplam satış hasılatı ve yansıtma kazancı eksik olur.</t>
        </is>
      </c>
    </row>
    <row r="17" ht="15" customHeight="1" s="66">
      <c r="A17" s="97" t="inlineStr">
        <is>
          <t>Kilitli (beyaz/yeşil) hücrelere yazmaya çalışmak — yalnızca sarı hücreler giriş içindir.</t>
        </is>
      </c>
    </row>
    <row r="19" ht="19.5" customHeight="1" s="66">
      <c r="A19" s="103" t="inlineStr">
        <is>
          <t>Tüm oranlar ve eşikler AYARLAR sayfasından beslenir; formüle gömülü sayı kullanılmaz.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4">
    <mergeCell ref="A8:AN8"/>
    <mergeCell ref="A6:AN6"/>
    <mergeCell ref="A4:AN4"/>
    <mergeCell ref="A16:AN16"/>
    <mergeCell ref="A15:AN15"/>
    <mergeCell ref="A7:AN7"/>
    <mergeCell ref="A19:AN19"/>
    <mergeCell ref="A10:AN10"/>
    <mergeCell ref="A5:AN5"/>
    <mergeCell ref="A3:I3"/>
    <mergeCell ref="A13:AN13"/>
    <mergeCell ref="A14:AN14"/>
    <mergeCell ref="A17:AN17"/>
    <mergeCell ref="A9:AN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24" customWidth="1" style="92" min="1" max="1"/>
    <col width="20.5" customWidth="1" style="92" min="2" max="2"/>
    <col width="29.5" customWidth="1" style="92" min="3" max="3"/>
    <col width="20" customWidth="1" style="92" min="4" max="4"/>
    <col width="17.5" customWidth="1" style="92" min="5" max="5"/>
    <col width="21.5" customWidth="1" style="92" min="6" max="6"/>
    <col width="30.5" customWidth="1" style="92" min="7" max="9"/>
    <col width="35.5" customWidth="1" style="66" min="8" max="8"/>
    <col width="36.5" customWidth="1" style="66" min="9" max="9"/>
    <col width="21.5" customWidth="1" style="92" min="10" max="10"/>
    <col width="23.5" customWidth="1" style="92" min="11" max="11"/>
    <col width="14.5" customWidth="1" style="92" min="12" max="12"/>
    <col width="13" customWidth="1" style="66" min="13" max="13"/>
  </cols>
  <sheetData>
    <row r="1" ht="32" customHeight="1" s="66">
      <c r="A1" s="265" t="inlineStr">
        <is>
          <t>CALISANLAR — ASGARİ ÜCRET ZAM ETKİSİ &amp; FİYAT AYARLAMA CETVELİ</t>
        </is>
      </c>
    </row>
    <row r="3" ht="22" customHeight="1" s="66">
      <c r="A3" s="284" t="inlineStr">
        <is>
          <t>Çalışan Girişi (Zam Öncesi/Sonrası Maliyet)</t>
        </is>
      </c>
    </row>
    <row r="4" ht="15" customHeight="1" s="66">
      <c r="A4" s="106" t="inlineStr">
        <is>
          <t>Sarı hücrelere veri girin; işveren maliyeti ve maliyet farkı formülle hesaplanır.</t>
        </is>
      </c>
    </row>
    <row r="5" ht="30" customHeight="1" s="66">
      <c r="A5" s="107" t="inlineStr">
        <is>
          <t>Çalışan Adı</t>
        </is>
      </c>
      <c r="B5" s="107" t="inlineStr">
        <is>
          <t>İşe Giriş Tarihi</t>
        </is>
      </c>
      <c r="C5" s="107" t="inlineStr">
        <is>
          <t>Zam Öncesi Brüt Ücret (₺)</t>
        </is>
      </c>
      <c r="D5" s="107" t="inlineStr">
        <is>
          <t>Ücret Türü</t>
        </is>
      </c>
      <c r="E5" s="107" t="inlineStr">
        <is>
          <t>Zam Oranı (%)</t>
        </is>
      </c>
      <c r="F5" s="107" t="inlineStr">
        <is>
          <t>Saatlik Ücret (₺)</t>
        </is>
      </c>
      <c r="G5" s="107" t="inlineStr">
        <is>
          <t>Zam Sonrası Brüt Ücret (₺)</t>
        </is>
      </c>
      <c r="H5" s="107" t="inlineStr">
        <is>
          <t>Zam Öncesi İşveren Maliyeti (₺)</t>
        </is>
      </c>
      <c r="I5" s="107" t="inlineStr">
        <is>
          <t>Zam Sonrası İşveren Maliyeti (₺)</t>
        </is>
      </c>
      <c r="J5" s="107" t="inlineStr">
        <is>
          <t>Maliyet Farkı (₺)</t>
        </is>
      </c>
      <c r="K5" s="107" t="inlineStr">
        <is>
          <t>Maliyet Artış Oranı</t>
        </is>
      </c>
      <c r="L5" s="107" t="inlineStr">
        <is>
          <t>Dönem Günü</t>
        </is>
      </c>
    </row>
    <row r="6" ht="15" customHeight="1" s="66">
      <c r="A6" s="108" t="inlineStr">
        <is>
          <t>Ahmet Yılmaz</t>
        </is>
      </c>
      <c r="B6" s="108" t="inlineStr">
        <is>
          <t>01.03.2020</t>
        </is>
      </c>
      <c r="C6" s="109" t="n">
        <v>20000</v>
      </c>
      <c r="D6" s="108" t="inlineStr">
        <is>
          <t>Asgari</t>
        </is>
      </c>
      <c r="E6" s="110" t="n">
        <v>0</v>
      </c>
      <c r="F6" s="92">
        <f>IF(OR($C6="",$D6=""),"",IFERROR($C6/(UcretHesaplamaGun*GunlukCalismaSaat),0))</f>
        <v/>
      </c>
      <c r="G6" s="111">
        <f>IF(OR($C6="",$D6=""),"",IF($D6="Asgari",AsgariUcretYeni,IF($D6="Ust Oran",$C6*(1+IF($E6="",0,$E6)),$C6)))</f>
        <v/>
      </c>
      <c r="H6" s="92">
        <f>IF(OR($C6="",$D6=""),"",IFERROR($C6*(1+SgkIsverenOran+IssizlikIsverenOran),0))</f>
        <v/>
      </c>
      <c r="I6" s="92">
        <f>IF(OR($C6="",$D6=""),"",IFERROR($G6*(1+SgkIsverenOran+IssizlikIsverenOran),0))</f>
        <v/>
      </c>
      <c r="J6" s="92">
        <f>IF(OR($H6="",$I6=""),"",IFERROR($I6-$H6,0))</f>
        <v/>
      </c>
      <c r="K6" s="92">
        <f>IF(OR($J6="",$H6=""),"",IFERROR($J6/MAX(BolumPaydaTaban,$H6),0))</f>
        <v/>
      </c>
      <c r="L6" s="92">
        <f>IF(OR($B6=""),"",IFERROR(MAX(0,DATEDIF($B6,raporTarihi,"D")),0))</f>
        <v/>
      </c>
    </row>
    <row r="7" ht="15" customHeight="1" s="66">
      <c r="A7" s="108" t="inlineStr">
        <is>
          <t>Ayşe Kaya</t>
        </is>
      </c>
      <c r="B7" s="108" t="inlineStr">
        <is>
          <t>01.06.2015</t>
        </is>
      </c>
      <c r="C7" s="109" t="n">
        <v>35000</v>
      </c>
      <c r="D7" s="108" t="inlineStr">
        <is>
          <t>Ust Oran</t>
        </is>
      </c>
      <c r="E7" s="112" t="n">
        <v>0.15</v>
      </c>
      <c r="F7" s="92">
        <f>IF(OR($C7="",$D7=""),"",IFERROR($C7/(UcretHesaplamaGun*GunlukCalismaSaat),0))</f>
        <v/>
      </c>
      <c r="G7" s="92">
        <f>IF(OR($C7="",$D7=""),"",IF($D7="Asgari",AsgariUcretYeni,IF($D7="Ust Oran",$C7*(1+IF($E7="",0,$E7)),$C7)))</f>
        <v/>
      </c>
      <c r="H7" s="92">
        <f>IF(OR($C7="",$D7=""),"",IFERROR($C7*(1+SgkIsverenOran+IssizlikIsverenOran),0))</f>
        <v/>
      </c>
      <c r="I7" s="92">
        <f>IF(OR($C7="",$D7=""),"",IFERROR($G7*(1+SgkIsverenOran+IssizlikIsverenOran),0))</f>
        <v/>
      </c>
      <c r="J7" s="92">
        <f>IF(OR($H7="",$I7=""),"",IFERROR($I7-$H7,0))</f>
        <v/>
      </c>
      <c r="K7" s="92">
        <f>IF(OR($J7="",$H7=""),"",IFERROR($J7/MAX(BolumPaydaTaban,$H7),0))</f>
        <v/>
      </c>
      <c r="L7" s="92">
        <f>IF(OR($B7=""),"",IFERROR(MAX(0,DATEDIF($B7,raporTarihi,"D")),0))</f>
        <v/>
      </c>
    </row>
    <row r="8" ht="15" customHeight="1" s="66">
      <c r="A8" s="108" t="inlineStr">
        <is>
          <t>Mehmet Demir</t>
        </is>
      </c>
      <c r="B8" s="108" t="inlineStr">
        <is>
          <t>15.01.2022</t>
        </is>
      </c>
      <c r="C8" s="109" t="n">
        <v>12000</v>
      </c>
      <c r="D8" s="108" t="inlineStr">
        <is>
          <t>Asgari</t>
        </is>
      </c>
      <c r="E8" s="110" t="n">
        <v>0</v>
      </c>
      <c r="F8" s="92">
        <f>IF(OR($C8="",$D8=""),"",IFERROR($C8/(UcretHesaplamaGun*GunlukCalismaSaat),0))</f>
        <v/>
      </c>
      <c r="G8" s="111">
        <f>IF(OR($C8="",$D8=""),"",IF($D8="Asgari",AsgariUcretYeni,IF($D8="Ust Oran",$C8*(1+IF($E8="",0,$E8)),$C8)))</f>
        <v/>
      </c>
      <c r="H8" s="92">
        <f>IF(OR($C8="",$D8=""),"",IFERROR($C8*(1+SgkIsverenOran+IssizlikIsverenOran),0))</f>
        <v/>
      </c>
      <c r="I8" s="92">
        <f>IF(OR($C8="",$D8=""),"",IFERROR($G8*(1+SgkIsverenOran+IssizlikIsverenOran),0))</f>
        <v/>
      </c>
      <c r="J8" s="92">
        <f>IF(OR($H8="",$I8=""),"",IFERROR($I8-$H8,0))</f>
        <v/>
      </c>
      <c r="K8" s="92">
        <f>IF(OR($J8="",$H8=""),"",IFERROR($J8/MAX(BolumPaydaTaban,$H8),0))</f>
        <v/>
      </c>
      <c r="L8" s="92">
        <f>IF(OR($B8=""),"",IFERROR(MAX(0,DATEDIF($B8,raporTarihi,"D")),0))</f>
        <v/>
      </c>
    </row>
    <row r="9" ht="15" customHeight="1" s="66">
      <c r="A9" s="108" t="inlineStr">
        <is>
          <t>Zeynep Çelik</t>
        </is>
      </c>
      <c r="B9" s="108" t="inlineStr">
        <is>
          <t>01.04.2018</t>
        </is>
      </c>
      <c r="C9" s="109" t="n">
        <v>25000</v>
      </c>
      <c r="D9" s="108" t="inlineStr">
        <is>
          <t>Ust Oran</t>
        </is>
      </c>
      <c r="E9" s="112" t="n">
        <v>0.1</v>
      </c>
      <c r="F9" s="92">
        <f>IF(OR($C9="",$D9=""),"",IFERROR($C9/(UcretHesaplamaGun*GunlukCalismaSaat),0))</f>
        <v/>
      </c>
      <c r="G9" s="92">
        <f>IF(OR($C9="",$D9=""),"",IF($D9="Asgari",AsgariUcretYeni,IF($D9="Ust Oran",$C9*(1+IF($E9="",0,$E9)),$C9)))</f>
        <v/>
      </c>
      <c r="H9" s="92">
        <f>IF(OR($C9="",$D9=""),"",IFERROR($C9*(1+SgkIsverenOran+IssizlikIsverenOran),0))</f>
        <v/>
      </c>
      <c r="I9" s="92">
        <f>IF(OR($C9="",$D9=""),"",IFERROR($G9*(1+SgkIsverenOran+IssizlikIsverenOran),0))</f>
        <v/>
      </c>
      <c r="J9" s="92">
        <f>IF(OR($H9="",$I9=""),"",IFERROR($I9-$H9,0))</f>
        <v/>
      </c>
      <c r="K9" s="92">
        <f>IF(OR($J9="",$H9=""),"",IFERROR($J9/MAX(BolumPaydaTaban,$H9),0))</f>
        <v/>
      </c>
      <c r="L9" s="92">
        <f>IF(OR($B9=""),"",IFERROR(MAX(0,DATEDIF($B9,raporTarihi,"D")),0))</f>
        <v/>
      </c>
    </row>
    <row r="10" ht="15" customHeight="1" s="66">
      <c r="A10" s="108" t="inlineStr">
        <is>
          <t>Mustafa Şahin</t>
        </is>
      </c>
      <c r="B10" s="108" t="inlineStr">
        <is>
          <t>01.09.2019</t>
        </is>
      </c>
      <c r="C10" s="109" t="n">
        <v>15000</v>
      </c>
      <c r="D10" s="108" t="inlineStr">
        <is>
          <t>Asgari</t>
        </is>
      </c>
      <c r="E10" s="110" t="n">
        <v>0</v>
      </c>
      <c r="F10" s="92">
        <f>IF(OR($C10="",$D10=""),"",IFERROR($C10/(UcretHesaplamaGun*GunlukCalismaSaat),0))</f>
        <v/>
      </c>
      <c r="G10" s="111">
        <f>IF(OR($C10="",$D10=""),"",IF($D10="Asgari",AsgariUcretYeni,IF($D10="Ust Oran",$C10*(1+IF($E10="",0,$E10)),$C10)))</f>
        <v/>
      </c>
      <c r="H10" s="92">
        <f>IF(OR($C10="",$D10=""),"",IFERROR($C10*(1+SgkIsverenOran+IssizlikIsverenOran),0))</f>
        <v/>
      </c>
      <c r="I10" s="92">
        <f>IF(OR($C10="",$D10=""),"",IFERROR($G10*(1+SgkIsverenOran+IssizlikIsverenOran),0))</f>
        <v/>
      </c>
      <c r="J10" s="92">
        <f>IF(OR($H10="",$I10=""),"",IFERROR($I10-$H10,0))</f>
        <v/>
      </c>
      <c r="K10" s="92">
        <f>IF(OR($J10="",$H10=""),"",IFERROR($J10/MAX(BolumPaydaTaban,$H10),0))</f>
        <v/>
      </c>
      <c r="L10" s="92">
        <f>IF(OR($B10=""),"",IFERROR(MAX(0,DATEDIF($B10,raporTarihi,"D")),0))</f>
        <v/>
      </c>
    </row>
    <row r="11" ht="15" customHeight="1" s="66">
      <c r="A11" s="108" t="inlineStr">
        <is>
          <t>Fatma Öztürk</t>
        </is>
      </c>
      <c r="B11" s="108" t="inlineStr">
        <is>
          <t>01.01.2021</t>
        </is>
      </c>
      <c r="C11" s="109" t="n">
        <v>18000</v>
      </c>
      <c r="D11" s="108" t="inlineStr">
        <is>
          <t>Ust Oran</t>
        </is>
      </c>
      <c r="E11" s="112" t="n">
        <v>0.12</v>
      </c>
      <c r="F11" s="92">
        <f>IF(OR($C11="",$D11=""),"",IFERROR($C11/(UcretHesaplamaGun*GunlukCalismaSaat),0))</f>
        <v/>
      </c>
      <c r="G11" s="92">
        <f>IF(OR($C11="",$D11=""),"",IF($D11="Asgari",AsgariUcretYeni,IF($D11="Ust Oran",$C11*(1+IF($E11="",0,$E11)),$C11)))</f>
        <v/>
      </c>
      <c r="H11" s="92">
        <f>IF(OR($C11="",$D11=""),"",IFERROR($C11*(1+SgkIsverenOran+IssizlikIsverenOran),0))</f>
        <v/>
      </c>
      <c r="I11" s="92">
        <f>IF(OR($C11="",$D11=""),"",IFERROR($G11*(1+SgkIsverenOran+IssizlikIsverenOran),0))</f>
        <v/>
      </c>
      <c r="J11" s="92">
        <f>IF(OR($H11="",$I11=""),"",IFERROR($I11-$H11,0))</f>
        <v/>
      </c>
      <c r="K11" s="92">
        <f>IF(OR($J11="",$H11=""),"",IFERROR($J11/MAX(BolumPaydaTaban,$H11),0))</f>
        <v/>
      </c>
      <c r="L11" s="92">
        <f>IF(OR($B11=""),"",IFERROR(MAX(0,DATEDIF($B11,raporTarihi,"D")),0))</f>
        <v/>
      </c>
    </row>
    <row r="12" ht="15" customHeight="1" s="66">
      <c r="A12" s="108" t="inlineStr">
        <is>
          <t>Hasan Aydın</t>
        </is>
      </c>
      <c r="B12" s="108" t="inlineStr">
        <is>
          <t>01.03.2023</t>
        </is>
      </c>
      <c r="C12" s="109" t="n">
        <v>16000</v>
      </c>
      <c r="D12" s="108" t="inlineStr">
        <is>
          <t>Asgari</t>
        </is>
      </c>
      <c r="E12" s="110" t="n">
        <v>0</v>
      </c>
      <c r="F12" s="92">
        <f>IF(OR($C12="",$D12=""),"",IFERROR($C12/(UcretHesaplamaGun*GunlukCalismaSaat),0))</f>
        <v/>
      </c>
      <c r="G12" s="111">
        <f>IF(OR($C12="",$D12=""),"",IF($D12="Asgari",AsgariUcretYeni,IF($D12="Ust Oran",$C12*(1+IF($E12="",0,$E12)),$C12)))</f>
        <v/>
      </c>
      <c r="H12" s="92">
        <f>IF(OR($C12="",$D12=""),"",IFERROR($C12*(1+SgkIsverenOran+IssizlikIsverenOran),0))</f>
        <v/>
      </c>
      <c r="I12" s="92">
        <f>IF(OR($C12="",$D12=""),"",IFERROR($G12*(1+SgkIsverenOran+IssizlikIsverenOran),0))</f>
        <v/>
      </c>
      <c r="J12" s="92">
        <f>IF(OR($H12="",$I12=""),"",IFERROR($I12-$H12,0))</f>
        <v/>
      </c>
      <c r="K12" s="92">
        <f>IF(OR($J12="",$H12=""),"",IFERROR($J12/MAX(BolumPaydaTaban,$H12),0))</f>
        <v/>
      </c>
      <c r="L12" s="92">
        <f>IF(OR($B12=""),"",IFERROR(MAX(0,DATEDIF($B12,raporTarihi,"D")),0))</f>
        <v/>
      </c>
    </row>
    <row r="13" ht="15" customHeight="1" s="66">
      <c r="A13" s="108" t="inlineStr">
        <is>
          <t>Elif Yıldız</t>
        </is>
      </c>
      <c r="B13" s="108" t="inlineStr">
        <is>
          <t>01.07.2017</t>
        </is>
      </c>
      <c r="C13" s="109" t="n">
        <v>30000</v>
      </c>
      <c r="D13" s="108" t="inlineStr">
        <is>
          <t>Ust Oran</t>
        </is>
      </c>
      <c r="E13" s="112" t="n">
        <v>0.18</v>
      </c>
      <c r="F13" s="92">
        <f>IF(OR($C13="",$D13=""),"",IFERROR($C13/(UcretHesaplamaGun*GunlukCalismaSaat),0))</f>
        <v/>
      </c>
      <c r="G13" s="92">
        <f>IF(OR($C13="",$D13=""),"",IF($D13="Asgari",AsgariUcretYeni,IF($D13="Ust Oran",$C13*(1+IF($E13="",0,$E13)),$C13)))</f>
        <v/>
      </c>
      <c r="H13" s="92">
        <f>IF(OR($C13="",$D13=""),"",IFERROR($C13*(1+SgkIsverenOran+IssizlikIsverenOran),0))</f>
        <v/>
      </c>
      <c r="I13" s="92">
        <f>IF(OR($C13="",$D13=""),"",IFERROR($G13*(1+SgkIsverenOran+IssizlikIsverenOran),0))</f>
        <v/>
      </c>
      <c r="J13" s="92">
        <f>IF(OR($H13="",$I13=""),"",IFERROR($I13-$H13,0))</f>
        <v/>
      </c>
      <c r="K13" s="92">
        <f>IF(OR($J13="",$H13=""),"",IFERROR($J13/MAX(BolumPaydaTaban,$H13),0))</f>
        <v/>
      </c>
      <c r="L13" s="92">
        <f>IF(OR($B13=""),"",IFERROR(MAX(0,DATEDIF($B13,raporTarihi,"D")),0))</f>
        <v/>
      </c>
    </row>
    <row r="14" ht="15" customHeight="1" s="66">
      <c r="A14" s="108" t="inlineStr">
        <is>
          <t>Murat Çetin</t>
        </is>
      </c>
      <c r="B14" s="108" t="inlineStr">
        <is>
          <t>01.11.2020</t>
        </is>
      </c>
      <c r="C14" s="109" t="n">
        <v>14000</v>
      </c>
      <c r="D14" s="108" t="inlineStr">
        <is>
          <t>Asgari</t>
        </is>
      </c>
      <c r="E14" s="110" t="n">
        <v>0</v>
      </c>
      <c r="F14" s="92">
        <f>IF(OR($C14="",$D14=""),"",IFERROR($C14/(UcretHesaplamaGun*GunlukCalismaSaat),0))</f>
        <v/>
      </c>
      <c r="G14" s="111">
        <f>IF(OR($C14="",$D14=""),"",IF($D14="Asgari",AsgariUcretYeni,IF($D14="Ust Oran",$C14*(1+IF($E14="",0,$E14)),$C14)))</f>
        <v/>
      </c>
      <c r="H14" s="92">
        <f>IF(OR($C14="",$D14=""),"",IFERROR($C14*(1+SgkIsverenOran+IssizlikIsverenOran),0))</f>
        <v/>
      </c>
      <c r="I14" s="92">
        <f>IF(OR($C14="",$D14=""),"",IFERROR($G14*(1+SgkIsverenOran+IssizlikIsverenOran),0))</f>
        <v/>
      </c>
      <c r="J14" s="92">
        <f>IF(OR($H14="",$I14=""),"",IFERROR($I14-$H14,0))</f>
        <v/>
      </c>
      <c r="K14" s="92">
        <f>IF(OR($J14="",$H14=""),"",IFERROR($J14/MAX(BolumPaydaTaban,$H14),0))</f>
        <v/>
      </c>
      <c r="L14" s="92">
        <f>IF(OR($B14=""),"",IFERROR(MAX(0,DATEDIF($B14,raporTarihi,"D")),0))</f>
        <v/>
      </c>
    </row>
    <row r="15" ht="15" customHeight="1" s="66">
      <c r="A15" s="108" t="inlineStr">
        <is>
          <t>Selin Korkmaz</t>
        </is>
      </c>
      <c r="B15" s="108" t="inlineStr">
        <is>
          <t>01.02.2019</t>
        </is>
      </c>
      <c r="C15" s="109" t="n">
        <v>22000</v>
      </c>
      <c r="D15" s="108" t="inlineStr">
        <is>
          <t>Ust Oran</t>
        </is>
      </c>
      <c r="E15" s="112" t="n">
        <v>0.08</v>
      </c>
      <c r="F15" s="92">
        <f>IF(OR($C15="",$D15=""),"",IFERROR($C15/(UcretHesaplamaGun*GunlukCalismaSaat),0))</f>
        <v/>
      </c>
      <c r="G15" s="92">
        <f>IF(OR($C15="",$D15=""),"",IF($D15="Asgari",AsgariUcretYeni,IF($D15="Ust Oran",$C15*(1+IF($E15="",0,$E15)),$C15)))</f>
        <v/>
      </c>
      <c r="H15" s="92">
        <f>IF(OR($C15="",$D15=""),"",IFERROR($C15*(1+SgkIsverenOran+IssizlikIsverenOran),0))</f>
        <v/>
      </c>
      <c r="I15" s="92">
        <f>IF(OR($C15="",$D15=""),"",IFERROR($G15*(1+SgkIsverenOran+IssizlikIsverenOran),0))</f>
        <v/>
      </c>
      <c r="J15" s="92">
        <f>IF(OR($H15="",$I15=""),"",IFERROR($I15-$H15,0))</f>
        <v/>
      </c>
      <c r="K15" s="92">
        <f>IF(OR($J15="",$H15=""),"",IFERROR($J15/MAX(BolumPaydaTaban,$H15),0))</f>
        <v/>
      </c>
      <c r="L15" s="92">
        <f>IF(OR($B15=""),"",IFERROR(MAX(0,DATEDIF($B15,raporTarihi,"D")),0))</f>
        <v/>
      </c>
    </row>
    <row r="16" ht="15" customHeight="1" s="66">
      <c r="A16" s="108" t="inlineStr">
        <is>
          <t>Burak Koç</t>
        </is>
      </c>
      <c r="B16" s="108" t="inlineStr">
        <is>
          <t>01.05.2024</t>
        </is>
      </c>
      <c r="C16" s="109" t="n">
        <v>13000</v>
      </c>
      <c r="D16" s="108" t="inlineStr">
        <is>
          <t>Asgari</t>
        </is>
      </c>
      <c r="E16" s="110" t="n">
        <v>0</v>
      </c>
      <c r="F16" s="92">
        <f>IF(OR($C16="",$D16=""),"",IFERROR($C16/(UcretHesaplamaGun*GunlukCalismaSaat),0))</f>
        <v/>
      </c>
      <c r="G16" s="111">
        <f>IF(OR($C16="",$D16=""),"",IF($D16="Asgari",AsgariUcretYeni,IF($D16="Ust Oran",$C16*(1+IF($E16="",0,$E16)),$C16)))</f>
        <v/>
      </c>
      <c r="H16" s="92">
        <f>IF(OR($C16="",$D16=""),"",IFERROR($C16*(1+SgkIsverenOran+IssizlikIsverenOran),0))</f>
        <v/>
      </c>
      <c r="I16" s="92">
        <f>IF(OR($C16="",$D16=""),"",IFERROR($G16*(1+SgkIsverenOran+IssizlikIsverenOran),0))</f>
        <v/>
      </c>
      <c r="J16" s="92">
        <f>IF(OR($H16="",$I16=""),"",IFERROR($I16-$H16,0))</f>
        <v/>
      </c>
      <c r="K16" s="92">
        <f>IF(OR($J16="",$H16=""),"",IFERROR($J16/MAX(BolumPaydaTaban,$H16),0))</f>
        <v/>
      </c>
      <c r="L16" s="92">
        <f>IF(OR($B16=""),"",IFERROR(MAX(0,DATEDIF($B16,raporTarihi,"D")),0))</f>
        <v/>
      </c>
    </row>
    <row r="17" ht="15" customHeight="1" s="66">
      <c r="A17" s="108" t="inlineStr">
        <is>
          <t>Hatice Arslan</t>
        </is>
      </c>
      <c r="B17" s="108" t="inlineStr">
        <is>
          <t>01.08.2016</t>
        </is>
      </c>
      <c r="C17" s="109" t="n">
        <v>40000</v>
      </c>
      <c r="D17" s="108" t="inlineStr">
        <is>
          <t>Ust Oran</t>
        </is>
      </c>
      <c r="E17" s="112" t="n">
        <v>0.2</v>
      </c>
      <c r="F17" s="92">
        <f>IF(OR($C17="",$D17=""),"",IFERROR($C17/(UcretHesaplamaGun*GunlukCalismaSaat),0))</f>
        <v/>
      </c>
      <c r="G17" s="92">
        <f>IF(OR($C17="",$D17=""),"",IF($D17="Asgari",AsgariUcretYeni,IF($D17="Ust Oran",$C17*(1+IF($E17="",0,$E17)),$C17)))</f>
        <v/>
      </c>
      <c r="H17" s="92">
        <f>IF(OR($C17="",$D17=""),"",IFERROR($C17*(1+SgkIsverenOran+IssizlikIsverenOran),0))</f>
        <v/>
      </c>
      <c r="I17" s="92">
        <f>IF(OR($C17="",$D17=""),"",IFERROR($G17*(1+SgkIsverenOran+IssizlikIsverenOran),0))</f>
        <v/>
      </c>
      <c r="J17" s="92">
        <f>IF(OR($H17="",$I17=""),"",IFERROR($I17-$H17,0))</f>
        <v/>
      </c>
      <c r="K17" s="92">
        <f>IF(OR($J17="",$H17=""),"",IFERROR($J17/MAX(BolumPaydaTaban,$H17),0))</f>
        <v/>
      </c>
      <c r="L17" s="92">
        <f>IF(OR($B17=""),"",IFERROR(MAX(0,DATEDIF($B17,raporTarihi,"D")),0))</f>
        <v/>
      </c>
    </row>
    <row r="18" ht="15" customHeight="1" s="66">
      <c r="A18" s="108" t="inlineStr">
        <is>
          <t>Emre Doğan</t>
        </is>
      </c>
      <c r="B18" s="108" t="inlineStr">
        <is>
          <t>01.12.2022</t>
        </is>
      </c>
      <c r="C18" s="109" t="n">
        <v>11000</v>
      </c>
      <c r="D18" s="108" t="inlineStr">
        <is>
          <t>Asgari</t>
        </is>
      </c>
      <c r="E18" s="110" t="n">
        <v>0</v>
      </c>
      <c r="F18" s="92">
        <f>IF(OR($C18="",$D18=""),"",IFERROR($C18/(UcretHesaplamaGun*GunlukCalismaSaat),0))</f>
        <v/>
      </c>
      <c r="G18" s="111">
        <f>IF(OR($C18="",$D18=""),"",IF($D18="Asgari",AsgariUcretYeni,IF($D18="Ust Oran",$C18*(1+IF($E18="",0,$E18)),$C18)))</f>
        <v/>
      </c>
      <c r="H18" s="92">
        <f>IF(OR($C18="",$D18=""),"",IFERROR($C18*(1+SgkIsverenOran+IssizlikIsverenOran),0))</f>
        <v/>
      </c>
      <c r="I18" s="92">
        <f>IF(OR($C18="",$D18=""),"",IFERROR($G18*(1+SgkIsverenOran+IssizlikIsverenOran),0))</f>
        <v/>
      </c>
      <c r="J18" s="92">
        <f>IF(OR($H18="",$I18=""),"",IFERROR($I18-$H18,0))</f>
        <v/>
      </c>
      <c r="K18" s="92">
        <f>IF(OR($J18="",$H18=""),"",IFERROR($J18/MAX(BolumPaydaTaban,$H18),0))</f>
        <v/>
      </c>
      <c r="L18" s="92">
        <f>IF(OR($B18=""),"",IFERROR(MAX(0,DATEDIF($B18,raporTarihi,"D")),0))</f>
        <v/>
      </c>
    </row>
    <row r="19" ht="15" customHeight="1" s="66">
      <c r="A19" s="108" t="inlineStr">
        <is>
          <t>Nur Ateş</t>
        </is>
      </c>
      <c r="B19" s="108" t="inlineStr">
        <is>
          <t>01.10.2014</t>
        </is>
      </c>
      <c r="C19" s="109" t="n">
        <v>45000</v>
      </c>
      <c r="D19" s="108" t="inlineStr">
        <is>
          <t>Ust Oran</t>
        </is>
      </c>
      <c r="E19" s="112" t="n">
        <v>0.25</v>
      </c>
      <c r="F19" s="92">
        <f>IF(OR($C19="",$D19=""),"",IFERROR($C19/(UcretHesaplamaGun*GunlukCalismaSaat),0))</f>
        <v/>
      </c>
      <c r="G19" s="92">
        <f>IF(OR($C19="",$D19=""),"",IF($D19="Asgari",AsgariUcretYeni,IF($D19="Ust Oran",$C19*(1+IF($E19="",0,$E19)),$C19)))</f>
        <v/>
      </c>
      <c r="H19" s="92">
        <f>IF(OR($C19="",$D19=""),"",IFERROR($C19*(1+SgkIsverenOran+IssizlikIsverenOran),0))</f>
        <v/>
      </c>
      <c r="I19" s="92">
        <f>IF(OR($C19="",$D19=""),"",IFERROR($G19*(1+SgkIsverenOran+IssizlikIsverenOran),0))</f>
        <v/>
      </c>
      <c r="J19" s="92">
        <f>IF(OR($H19="",$I19=""),"",IFERROR($I19-$H19,0))</f>
        <v/>
      </c>
      <c r="K19" s="92">
        <f>IF(OR($J19="",$H19=""),"",IFERROR($J19/MAX(BolumPaydaTaban,$H19),0))</f>
        <v/>
      </c>
      <c r="L19" s="92">
        <f>IF(OR($B19=""),"",IFERROR(MAX(0,DATEDIF($B19,raporTarihi,"D")),0))</f>
        <v/>
      </c>
    </row>
    <row r="20" ht="15" customHeight="1" s="66">
      <c r="A20" s="113" t="n"/>
      <c r="B20" s="113" t="n"/>
      <c r="C20" s="113" t="n"/>
      <c r="D20" s="113" t="n"/>
      <c r="E20" s="113" t="n"/>
    </row>
    <row r="21" ht="15" customHeight="1" s="66">
      <c r="A21" s="113" t="n"/>
      <c r="B21" s="113" t="n"/>
      <c r="C21" s="113" t="n"/>
      <c r="D21" s="113" t="n"/>
      <c r="E21" s="113" t="n"/>
    </row>
    <row r="22" ht="15" customHeight="1" s="66">
      <c r="A22" s="113" t="n"/>
      <c r="B22" s="113" t="n"/>
      <c r="C22" s="113" t="n"/>
      <c r="D22" s="113" t="n"/>
      <c r="E22" s="113" t="n"/>
    </row>
    <row r="23" ht="15" customHeight="1" s="66">
      <c r="A23" s="113" t="n"/>
      <c r="B23" s="113" t="n"/>
      <c r="C23" s="113" t="n"/>
      <c r="D23" s="113" t="n"/>
      <c r="E23" s="113" t="n"/>
    </row>
    <row r="24" ht="15" customHeight="1" s="66">
      <c r="A24" s="113" t="n"/>
      <c r="B24" s="113" t="n"/>
      <c r="C24" s="113" t="n"/>
      <c r="D24" s="113" t="n"/>
      <c r="E24" s="113" t="n"/>
    </row>
    <row r="25" ht="15" customHeight="1" s="66">
      <c r="A25" s="113" t="n"/>
      <c r="B25" s="113" t="n"/>
      <c r="C25" s="113" t="n"/>
      <c r="D25" s="113" t="n"/>
      <c r="E25" s="113" t="n"/>
    </row>
    <row r="26" ht="15" customHeight="1" s="66">
      <c r="A26" s="113" t="n"/>
      <c r="B26" s="113" t="n"/>
      <c r="C26" s="113" t="n"/>
      <c r="D26" s="113" t="n"/>
      <c r="E26" s="113" t="n"/>
    </row>
    <row r="27" ht="15" customHeight="1" s="66">
      <c r="A27" s="113" t="n"/>
      <c r="B27" s="113" t="n"/>
      <c r="C27" s="113" t="n"/>
      <c r="D27" s="113" t="n"/>
      <c r="E27" s="113" t="n"/>
    </row>
    <row r="28" ht="15" customHeight="1" s="66">
      <c r="A28" s="113" t="n"/>
      <c r="B28" s="113" t="n"/>
      <c r="C28" s="113" t="n"/>
      <c r="D28" s="113" t="n"/>
      <c r="E28" s="113" t="n"/>
    </row>
    <row r="29" ht="15" customHeight="1" s="66">
      <c r="A29" s="113" t="n"/>
      <c r="B29" s="113" t="n"/>
      <c r="C29" s="113" t="n"/>
      <c r="D29" s="113" t="n"/>
      <c r="E29" s="113" t="n"/>
    </row>
    <row r="30" ht="15" customHeight="1" s="66">
      <c r="A30" s="113" t="n"/>
      <c r="B30" s="113" t="n"/>
      <c r="C30" s="113" t="n"/>
      <c r="D30" s="113" t="n"/>
      <c r="E30" s="113" t="n"/>
    </row>
    <row r="31" ht="15" customHeight="1" s="66">
      <c r="A31" s="113" t="n"/>
      <c r="B31" s="113" t="n"/>
      <c r="C31" s="113" t="n"/>
      <c r="D31" s="113" t="n"/>
      <c r="E31" s="113" t="n"/>
    </row>
    <row r="32" ht="15" customHeight="1" s="66">
      <c r="A32" s="113" t="n"/>
      <c r="B32" s="113" t="n"/>
      <c r="C32" s="113" t="n"/>
      <c r="D32" s="113" t="n"/>
      <c r="E32" s="113" t="n"/>
    </row>
    <row r="33" ht="15" customHeight="1" s="66">
      <c r="A33" s="113" t="n"/>
      <c r="B33" s="113" t="n"/>
      <c r="C33" s="113" t="n"/>
      <c r="D33" s="113" t="n"/>
      <c r="E33" s="113" t="n"/>
    </row>
    <row r="34" ht="15" customHeight="1" s="66">
      <c r="A34" s="113" t="n"/>
      <c r="B34" s="113" t="n"/>
      <c r="C34" s="113" t="n"/>
      <c r="D34" s="113" t="n"/>
      <c r="E34" s="113" t="n"/>
    </row>
    <row r="35" ht="15" customHeight="1" s="66">
      <c r="A35" s="113" t="n"/>
      <c r="B35" s="113" t="n"/>
      <c r="C35" s="113" t="n"/>
      <c r="D35" s="113" t="n"/>
      <c r="E35" s="113" t="n"/>
    </row>
    <row r="36" ht="15" customHeight="1" s="66">
      <c r="A36" s="113" t="n"/>
      <c r="B36" s="113" t="n"/>
      <c r="C36" s="113" t="n"/>
      <c r="D36" s="113" t="n"/>
      <c r="E36" s="113" t="n"/>
    </row>
    <row r="37" ht="15" customHeight="1" s="66">
      <c r="A37" s="113" t="n"/>
      <c r="B37" s="113" t="n"/>
      <c r="C37" s="113" t="n"/>
      <c r="D37" s="113" t="n"/>
      <c r="E37" s="113" t="n"/>
    </row>
    <row r="38" ht="15" customHeight="1" s="66">
      <c r="A38" s="113" t="n"/>
      <c r="B38" s="113" t="n"/>
      <c r="C38" s="113" t="n"/>
      <c r="D38" s="113" t="n"/>
      <c r="E38" s="113" t="n"/>
    </row>
    <row r="39" ht="15" customHeight="1" s="66">
      <c r="A39" s="113" t="n"/>
      <c r="B39" s="113" t="n"/>
      <c r="C39" s="113" t="n"/>
      <c r="D39" s="113" t="n"/>
      <c r="E39" s="113" t="n"/>
    </row>
    <row r="40" ht="15" customHeight="1" s="66">
      <c r="A40" s="113" t="n"/>
      <c r="B40" s="113" t="n"/>
      <c r="C40" s="113" t="n"/>
      <c r="D40" s="113" t="n"/>
      <c r="E40" s="113" t="n"/>
    </row>
    <row r="41" ht="15" customHeight="1" s="66">
      <c r="A41" s="113" t="n"/>
      <c r="B41" s="113" t="n"/>
      <c r="C41" s="113" t="n"/>
      <c r="D41" s="113" t="n"/>
      <c r="E41" s="113" t="n"/>
    </row>
    <row r="42" ht="15" customHeight="1" s="66">
      <c r="A42" s="113" t="n"/>
      <c r="B42" s="113" t="n"/>
      <c r="C42" s="113" t="n"/>
      <c r="D42" s="113" t="n"/>
      <c r="E42" s="113" t="n"/>
    </row>
    <row r="43" ht="15" customHeight="1" s="66">
      <c r="A43" s="113" t="n"/>
      <c r="B43" s="113" t="n"/>
      <c r="C43" s="113" t="n"/>
      <c r="D43" s="113" t="n"/>
      <c r="E43" s="113" t="n"/>
    </row>
    <row r="44" ht="15" customHeight="1" s="66">
      <c r="A44" s="113" t="n"/>
      <c r="B44" s="113" t="n"/>
      <c r="C44" s="113" t="n"/>
      <c r="D44" s="113" t="n"/>
      <c r="E44" s="113" t="n"/>
    </row>
    <row r="45" ht="15" customHeight="1" s="66">
      <c r="A45" s="113" t="n"/>
      <c r="B45" s="113" t="n"/>
      <c r="C45" s="113" t="n"/>
      <c r="D45" s="113" t="n"/>
      <c r="E45" s="113" t="n"/>
    </row>
    <row r="46" ht="15" customHeight="1" s="66">
      <c r="A46" s="113" t="n"/>
      <c r="B46" s="113" t="n"/>
      <c r="C46" s="113" t="n"/>
      <c r="D46" s="113" t="n"/>
      <c r="E46" s="113" t="n"/>
    </row>
    <row r="47" ht="15" customHeight="1" s="66">
      <c r="A47" s="113" t="n"/>
      <c r="B47" s="113" t="n"/>
      <c r="C47" s="113" t="n"/>
      <c r="D47" s="113" t="n"/>
      <c r="E47" s="113" t="n"/>
    </row>
    <row r="48" ht="15" customHeight="1" s="66">
      <c r="A48" s="113" t="n"/>
      <c r="B48" s="113" t="n"/>
      <c r="C48" s="113" t="n"/>
      <c r="D48" s="113" t="n"/>
      <c r="E48" s="113" t="n"/>
    </row>
    <row r="49" ht="15" customHeight="1" s="66">
      <c r="A49" s="113" t="n"/>
      <c r="B49" s="113" t="n"/>
      <c r="C49" s="113" t="n"/>
      <c r="D49" s="113" t="n"/>
      <c r="E49" s="113" t="n"/>
    </row>
    <row r="50" ht="15" customHeight="1" s="66">
      <c r="A50" s="113" t="n"/>
      <c r="B50" s="113" t="n"/>
      <c r="C50" s="113" t="n"/>
      <c r="D50" s="113" t="n"/>
      <c r="E50" s="113" t="n"/>
    </row>
    <row r="51" ht="15" customHeight="1" s="66">
      <c r="A51" s="113" t="n"/>
      <c r="B51" s="113" t="n"/>
      <c r="C51" s="113" t="n"/>
      <c r="D51" s="113" t="n"/>
      <c r="E51" s="113" t="n"/>
    </row>
    <row r="52" ht="15" customHeight="1" s="66">
      <c r="A52" s="113" t="n"/>
      <c r="B52" s="113" t="n"/>
      <c r="C52" s="113" t="n"/>
      <c r="D52" s="113" t="n"/>
      <c r="E52" s="113" t="n"/>
    </row>
    <row r="53" ht="15" customHeight="1" s="66">
      <c r="A53" s="113" t="n"/>
      <c r="B53" s="113" t="n"/>
      <c r="C53" s="113" t="n"/>
      <c r="D53" s="113" t="n"/>
      <c r="E53" s="113" t="n"/>
    </row>
    <row r="54" ht="15" customHeight="1" s="66">
      <c r="A54" s="113" t="n"/>
      <c r="B54" s="113" t="n"/>
      <c r="C54" s="113" t="n"/>
      <c r="D54" s="113" t="n"/>
      <c r="E54" s="113" t="n"/>
    </row>
    <row r="55" ht="15" customHeight="1" s="66">
      <c r="A55" s="113" t="n"/>
      <c r="B55" s="113" t="n"/>
      <c r="C55" s="113" t="n"/>
      <c r="D55" s="113" t="n"/>
      <c r="E55" s="113" t="n"/>
    </row>
    <row r="56" ht="15" customHeight="1" s="66">
      <c r="A56" s="113" t="n"/>
      <c r="B56" s="113" t="n"/>
      <c r="C56" s="113" t="n"/>
      <c r="D56" s="113" t="n"/>
      <c r="E56" s="113" t="n"/>
    </row>
    <row r="57" ht="15" customHeight="1" s="66">
      <c r="A57" s="113" t="n"/>
      <c r="B57" s="113" t="n"/>
      <c r="C57" s="113" t="n"/>
      <c r="D57" s="113" t="n"/>
      <c r="E57" s="113" t="n"/>
    </row>
    <row r="58" ht="15" customHeight="1" s="66">
      <c r="A58" s="113" t="n"/>
      <c r="B58" s="113" t="n"/>
      <c r="C58" s="113" t="n"/>
      <c r="D58" s="113" t="n"/>
      <c r="E58" s="113" t="n"/>
    </row>
    <row r="59" ht="15" customHeight="1" s="66">
      <c r="A59" s="113" t="n"/>
      <c r="B59" s="113" t="n"/>
      <c r="C59" s="113" t="n"/>
      <c r="D59" s="113" t="n"/>
      <c r="E59" s="113" t="n"/>
    </row>
    <row r="60" ht="15" customHeight="1" s="66">
      <c r="A60" s="113" t="n"/>
      <c r="B60" s="113" t="n"/>
      <c r="C60" s="113" t="n"/>
      <c r="D60" s="113" t="n"/>
      <c r="E60" s="113" t="n"/>
    </row>
    <row r="61" ht="15" customHeight="1" s="66">
      <c r="A61" s="113" t="n"/>
      <c r="B61" s="113" t="n"/>
      <c r="C61" s="113" t="n"/>
      <c r="D61" s="113" t="n"/>
      <c r="E61" s="113" t="n"/>
    </row>
    <row r="62" ht="15" customHeight="1" s="66">
      <c r="A62" s="113" t="n"/>
      <c r="B62" s="113" t="n"/>
      <c r="C62" s="113" t="n"/>
      <c r="D62" s="113" t="n"/>
      <c r="E62" s="113" t="n"/>
    </row>
    <row r="63" ht="15" customHeight="1" s="66">
      <c r="A63" s="113" t="n"/>
      <c r="B63" s="113" t="n"/>
      <c r="C63" s="113" t="n"/>
      <c r="D63" s="113" t="n"/>
      <c r="E63" s="113" t="n"/>
    </row>
    <row r="64" ht="15" customHeight="1" s="66">
      <c r="A64" s="113" t="n"/>
      <c r="B64" s="113" t="n"/>
      <c r="C64" s="113" t="n"/>
      <c r="D64" s="113" t="n"/>
      <c r="E64" s="113" t="n"/>
    </row>
    <row r="65" ht="15" customHeight="1" s="66">
      <c r="A65" s="113" t="n"/>
      <c r="B65" s="113" t="n"/>
      <c r="C65" s="113" t="n"/>
      <c r="D65" s="113" t="n"/>
      <c r="E65" s="113" t="n"/>
    </row>
    <row r="66" ht="15" customHeight="1" s="66">
      <c r="A66" s="113" t="n"/>
      <c r="B66" s="113" t="n"/>
      <c r="C66" s="113" t="n"/>
      <c r="D66" s="113" t="n"/>
      <c r="E66" s="113" t="n"/>
    </row>
    <row r="67" ht="15" customHeight="1" s="66">
      <c r="A67" s="113" t="n"/>
      <c r="B67" s="113" t="n"/>
      <c r="C67" s="113" t="n"/>
      <c r="D67" s="113" t="n"/>
      <c r="E67" s="113" t="n"/>
    </row>
    <row r="68" ht="15" customHeight="1" s="66">
      <c r="A68" s="113" t="n"/>
      <c r="B68" s="113" t="n"/>
      <c r="C68" s="113" t="n"/>
      <c r="D68" s="113" t="n"/>
      <c r="E68" s="113" t="n"/>
    </row>
    <row r="69" ht="15" customHeight="1" s="66">
      <c r="A69" s="113" t="n"/>
      <c r="B69" s="113" t="n"/>
      <c r="C69" s="113" t="n"/>
      <c r="D69" s="113" t="n"/>
      <c r="E69" s="113" t="n"/>
    </row>
    <row r="70" ht="15" customHeight="1" s="66">
      <c r="A70" s="113" t="n"/>
      <c r="B70" s="113" t="n"/>
      <c r="C70" s="113" t="n"/>
      <c r="D70" s="113" t="n"/>
      <c r="E70" s="113" t="n"/>
    </row>
    <row r="71" ht="15" customHeight="1" s="66">
      <c r="A71" s="113" t="n"/>
      <c r="B71" s="113" t="n"/>
      <c r="C71" s="113" t="n"/>
      <c r="D71" s="113" t="n"/>
      <c r="E71" s="113" t="n"/>
    </row>
    <row r="72" ht="15" customHeight="1" s="66">
      <c r="A72" s="113" t="n"/>
      <c r="B72" s="113" t="n"/>
      <c r="C72" s="113" t="n"/>
      <c r="D72" s="113" t="n"/>
      <c r="E72" s="113" t="n"/>
    </row>
    <row r="73" ht="15" customHeight="1" s="66">
      <c r="A73" s="113" t="n"/>
      <c r="B73" s="113" t="n"/>
      <c r="C73" s="113" t="n"/>
      <c r="D73" s="113" t="n"/>
      <c r="E73" s="113" t="n"/>
    </row>
    <row r="74" ht="15" customHeight="1" s="66">
      <c r="A74" s="113" t="n"/>
      <c r="B74" s="113" t="n"/>
      <c r="C74" s="113" t="n"/>
      <c r="D74" s="113" t="n"/>
      <c r="E74" s="113" t="n"/>
    </row>
    <row r="75" ht="15" customHeight="1" s="66">
      <c r="A75" s="113" t="n"/>
      <c r="B75" s="113" t="n"/>
      <c r="C75" s="113" t="n"/>
      <c r="D75" s="113" t="n"/>
      <c r="E75" s="113" t="n"/>
    </row>
    <row r="76" ht="15" customHeight="1" s="66">
      <c r="A76" s="113" t="n"/>
      <c r="B76" s="113" t="n"/>
      <c r="C76" s="113" t="n"/>
      <c r="D76" s="113" t="n"/>
      <c r="E76" s="113" t="n"/>
    </row>
    <row r="77" ht="15" customHeight="1" s="66">
      <c r="A77" s="113" t="n"/>
      <c r="B77" s="113" t="n"/>
      <c r="C77" s="113" t="n"/>
      <c r="D77" s="113" t="n"/>
      <c r="E77" s="113" t="n"/>
    </row>
    <row r="78" ht="15" customHeight="1" s="66">
      <c r="A78" s="113" t="n"/>
      <c r="B78" s="113" t="n"/>
      <c r="C78" s="113" t="n"/>
      <c r="D78" s="113" t="n"/>
      <c r="E78" s="113" t="n"/>
    </row>
    <row r="79" ht="15" customHeight="1" s="66">
      <c r="A79" s="113" t="n"/>
      <c r="B79" s="113" t="n"/>
      <c r="C79" s="113" t="n"/>
      <c r="D79" s="113" t="n"/>
      <c r="E79" s="113" t="n"/>
    </row>
    <row r="80" ht="15" customHeight="1" s="66">
      <c r="A80" s="113" t="n"/>
      <c r="B80" s="113" t="n"/>
      <c r="C80" s="113" t="n"/>
      <c r="D80" s="113" t="n"/>
      <c r="E80" s="113" t="n"/>
    </row>
    <row r="81" ht="15" customHeight="1" s="66">
      <c r="A81" s="113" t="n"/>
      <c r="B81" s="113" t="n"/>
      <c r="C81" s="113" t="n"/>
      <c r="D81" s="113" t="n"/>
      <c r="E81" s="113" t="n"/>
    </row>
    <row r="82" ht="15" customHeight="1" s="66">
      <c r="A82" s="113" t="n"/>
      <c r="B82" s="113" t="n"/>
      <c r="C82" s="113" t="n"/>
      <c r="D82" s="113" t="n"/>
      <c r="E82" s="113" t="n"/>
    </row>
    <row r="83" ht="15" customHeight="1" s="66">
      <c r="A83" s="113" t="n"/>
      <c r="B83" s="113" t="n"/>
      <c r="C83" s="113" t="n"/>
      <c r="D83" s="113" t="n"/>
      <c r="E83" s="113" t="n"/>
    </row>
    <row r="84" ht="15" customHeight="1" s="66">
      <c r="A84" s="113" t="n"/>
      <c r="B84" s="113" t="n"/>
      <c r="C84" s="113" t="n"/>
      <c r="D84" s="113" t="n"/>
      <c r="E84" s="113" t="n"/>
    </row>
    <row r="85" ht="15" customHeight="1" s="66">
      <c r="A85" s="113" t="n"/>
      <c r="B85" s="113" t="n"/>
      <c r="C85" s="113" t="n"/>
      <c r="D85" s="113" t="n"/>
      <c r="E85" s="113" t="n"/>
    </row>
    <row r="86" ht="15" customHeight="1" s="66">
      <c r="A86" s="113" t="n"/>
      <c r="B86" s="113" t="n"/>
      <c r="C86" s="113" t="n"/>
      <c r="D86" s="113" t="n"/>
      <c r="E86" s="113" t="n"/>
    </row>
    <row r="87" ht="15" customHeight="1" s="66">
      <c r="A87" s="113" t="n"/>
      <c r="B87" s="113" t="n"/>
      <c r="C87" s="113" t="n"/>
      <c r="D87" s="113" t="n"/>
      <c r="E87" s="113" t="n"/>
    </row>
    <row r="88" ht="15" customHeight="1" s="66">
      <c r="A88" s="113" t="n"/>
      <c r="B88" s="113" t="n"/>
      <c r="C88" s="113" t="n"/>
      <c r="D88" s="113" t="n"/>
      <c r="E88" s="113" t="n"/>
    </row>
    <row r="89" ht="15" customHeight="1" s="66">
      <c r="A89" s="113" t="n"/>
      <c r="B89" s="113" t="n"/>
      <c r="C89" s="113" t="n"/>
      <c r="D89" s="113" t="n"/>
      <c r="E89" s="113" t="n"/>
    </row>
    <row r="90" ht="15" customHeight="1" s="66">
      <c r="A90" s="113" t="n"/>
      <c r="B90" s="113" t="n"/>
      <c r="C90" s="113" t="n"/>
      <c r="D90" s="113" t="n"/>
      <c r="E90" s="113" t="n"/>
    </row>
    <row r="91" ht="15" customHeight="1" s="66">
      <c r="A91" s="113" t="n"/>
      <c r="B91" s="113" t="n"/>
      <c r="C91" s="113" t="n"/>
      <c r="D91" s="113" t="n"/>
      <c r="E91" s="113" t="n"/>
    </row>
    <row r="92" ht="15" customHeight="1" s="66">
      <c r="A92" s="113" t="n"/>
      <c r="B92" s="113" t="n"/>
      <c r="C92" s="113" t="n"/>
      <c r="D92" s="113" t="n"/>
      <c r="E92" s="113" t="n"/>
    </row>
    <row r="93" ht="15" customHeight="1" s="66">
      <c r="A93" s="113" t="n"/>
      <c r="B93" s="113" t="n"/>
      <c r="C93" s="113" t="n"/>
      <c r="D93" s="113" t="n"/>
      <c r="E93" s="113" t="n"/>
    </row>
    <row r="94" ht="15" customHeight="1" s="66">
      <c r="A94" s="113" t="n"/>
      <c r="B94" s="113" t="n"/>
      <c r="C94" s="113" t="n"/>
      <c r="D94" s="113" t="n"/>
      <c r="E94" s="113" t="n"/>
    </row>
    <row r="95" ht="15" customHeight="1" s="66">
      <c r="A95" s="113" t="n"/>
      <c r="B95" s="113" t="n"/>
      <c r="C95" s="113" t="n"/>
      <c r="D95" s="113" t="n"/>
      <c r="E95" s="113" t="n"/>
    </row>
    <row r="96" ht="15" customHeight="1" s="66">
      <c r="A96" s="113" t="n"/>
      <c r="B96" s="113" t="n"/>
      <c r="C96" s="113" t="n"/>
      <c r="D96" s="113" t="n"/>
      <c r="E96" s="113" t="n"/>
    </row>
    <row r="97" ht="15" customHeight="1" s="66">
      <c r="A97" s="113" t="n"/>
      <c r="B97" s="113" t="n"/>
      <c r="C97" s="113" t="n"/>
      <c r="D97" s="113" t="n"/>
      <c r="E97" s="113" t="n"/>
    </row>
    <row r="98" ht="15" customHeight="1" s="66">
      <c r="A98" s="113" t="n"/>
      <c r="B98" s="113" t="n"/>
      <c r="C98" s="113" t="n"/>
      <c r="D98" s="113" t="n"/>
      <c r="E98" s="113" t="n"/>
    </row>
    <row r="99" ht="15" customHeight="1" s="66">
      <c r="A99" s="113" t="n"/>
      <c r="B99" s="113" t="n"/>
      <c r="C99" s="113" t="n"/>
      <c r="D99" s="113" t="n"/>
      <c r="E99" s="113" t="n"/>
    </row>
    <row r="100" ht="15" customHeight="1" s="66">
      <c r="A100" s="113" t="n"/>
      <c r="B100" s="113" t="n"/>
      <c r="C100" s="113" t="n"/>
      <c r="D100" s="113" t="n"/>
      <c r="E100" s="113" t="n"/>
    </row>
    <row r="101" ht="15" customHeight="1" s="66">
      <c r="A101" s="113" t="n"/>
      <c r="B101" s="113" t="n"/>
      <c r="C101" s="113" t="n"/>
      <c r="D101" s="113" t="n"/>
      <c r="E101" s="113" t="n"/>
    </row>
    <row r="102" ht="15" customHeight="1" s="66">
      <c r="A102" s="113" t="n"/>
      <c r="B102" s="113" t="n"/>
      <c r="C102" s="113" t="n"/>
      <c r="D102" s="113" t="n"/>
      <c r="E102" s="113" t="n"/>
    </row>
    <row r="103" ht="15" customHeight="1" s="66">
      <c r="A103" s="113" t="n"/>
      <c r="B103" s="113" t="n"/>
      <c r="C103" s="113" t="n"/>
      <c r="D103" s="113" t="n"/>
      <c r="E103" s="113" t="n"/>
    </row>
    <row r="104" ht="15" customHeight="1" s="66">
      <c r="A104" s="113" t="n"/>
      <c r="B104" s="113" t="n"/>
      <c r="C104" s="113" t="n"/>
      <c r="D104" s="113" t="n"/>
      <c r="E104" s="113" t="n"/>
    </row>
    <row r="105" ht="15" customHeight="1" s="66">
      <c r="A105" s="113" t="n"/>
      <c r="B105" s="113" t="n"/>
      <c r="C105" s="113" t="n"/>
      <c r="D105" s="113" t="n"/>
      <c r="E105" s="113" t="n"/>
    </row>
    <row r="106" ht="15" customHeight="1" s="66">
      <c r="A106" s="113" t="n"/>
      <c r="B106" s="113" t="n"/>
      <c r="C106" s="113" t="n"/>
      <c r="D106" s="113" t="n"/>
      <c r="E106" s="113" t="n"/>
    </row>
    <row r="107" ht="15" customHeight="1" s="66">
      <c r="A107" s="113" t="n"/>
      <c r="B107" s="113" t="n"/>
      <c r="C107" s="113" t="n"/>
      <c r="D107" s="113" t="n"/>
      <c r="E107" s="113" t="n"/>
    </row>
    <row r="108" ht="15" customHeight="1" s="66">
      <c r="A108" s="113" t="n"/>
      <c r="B108" s="113" t="n"/>
      <c r="C108" s="113" t="n"/>
      <c r="D108" s="113" t="n"/>
      <c r="E108" s="113" t="n"/>
    </row>
    <row r="109" ht="15" customHeight="1" s="66">
      <c r="A109" s="113" t="n"/>
      <c r="B109" s="113" t="n"/>
      <c r="C109" s="113" t="n"/>
      <c r="D109" s="113" t="n"/>
      <c r="E109" s="113" t="n"/>
    </row>
    <row r="110" ht="15" customHeight="1" s="66">
      <c r="A110" s="113" t="n"/>
      <c r="B110" s="113" t="n"/>
      <c r="C110" s="113" t="n"/>
      <c r="D110" s="113" t="n"/>
      <c r="E110" s="113" t="n"/>
    </row>
    <row r="111" ht="15" customHeight="1" s="66">
      <c r="A111" s="113" t="n"/>
      <c r="B111" s="113" t="n"/>
      <c r="C111" s="113" t="n"/>
      <c r="D111" s="113" t="n"/>
      <c r="E111" s="113" t="n"/>
    </row>
    <row r="112" ht="15" customHeight="1" s="66">
      <c r="A112" s="113" t="n"/>
      <c r="B112" s="113" t="n"/>
      <c r="C112" s="113" t="n"/>
      <c r="D112" s="113" t="n"/>
      <c r="E112" s="113" t="n"/>
    </row>
    <row r="113" ht="15" customHeight="1" s="66">
      <c r="A113" s="113" t="n"/>
      <c r="B113" s="113" t="n"/>
      <c r="C113" s="113" t="n"/>
      <c r="D113" s="113" t="n"/>
      <c r="E113" s="113" t="n"/>
    </row>
    <row r="114" ht="15" customHeight="1" s="66">
      <c r="A114" s="113" t="n"/>
      <c r="B114" s="113" t="n"/>
      <c r="C114" s="113" t="n"/>
      <c r="D114" s="113" t="n"/>
      <c r="E114" s="113" t="n"/>
    </row>
    <row r="115" ht="15" customHeight="1" s="66">
      <c r="A115" s="113" t="n"/>
      <c r="B115" s="113" t="n"/>
      <c r="C115" s="113" t="n"/>
      <c r="D115" s="113" t="n"/>
      <c r="E115" s="113" t="n"/>
    </row>
    <row r="116" ht="15" customHeight="1" s="66">
      <c r="A116" s="113" t="n"/>
      <c r="B116" s="113" t="n"/>
      <c r="C116" s="113" t="n"/>
      <c r="D116" s="113" t="n"/>
      <c r="E116" s="113" t="n"/>
    </row>
    <row r="117" ht="15" customHeight="1" s="66">
      <c r="A117" s="113" t="n"/>
      <c r="B117" s="113" t="n"/>
      <c r="C117" s="113" t="n"/>
      <c r="D117" s="113" t="n"/>
      <c r="E117" s="113" t="n"/>
    </row>
    <row r="118" ht="15" customHeight="1" s="66">
      <c r="A118" s="113" t="n"/>
      <c r="B118" s="113" t="n"/>
      <c r="C118" s="113" t="n"/>
      <c r="D118" s="113" t="n"/>
      <c r="E118" s="113" t="n"/>
    </row>
    <row r="119" ht="15" customHeight="1" s="66">
      <c r="A119" s="113" t="n"/>
      <c r="B119" s="113" t="n"/>
      <c r="C119" s="113" t="n"/>
      <c r="D119" s="113" t="n"/>
      <c r="E119" s="113" t="n"/>
    </row>
    <row r="120" ht="15" customHeight="1" s="66">
      <c r="A120" s="113" t="n"/>
      <c r="B120" s="113" t="n"/>
      <c r="C120" s="113" t="n"/>
      <c r="D120" s="113" t="n"/>
      <c r="E120" s="113" t="n"/>
    </row>
    <row r="121" ht="15" customHeight="1" s="66">
      <c r="A121" s="113" t="n"/>
      <c r="B121" s="113" t="n"/>
      <c r="C121" s="113" t="n"/>
      <c r="D121" s="113" t="n"/>
      <c r="E121" s="113" t="n"/>
    </row>
    <row r="122" ht="15" customHeight="1" s="66">
      <c r="A122" s="113" t="n"/>
      <c r="B122" s="113" t="n"/>
      <c r="C122" s="113" t="n"/>
      <c r="D122" s="113" t="n"/>
      <c r="E122" s="113" t="n"/>
    </row>
    <row r="123" ht="15" customHeight="1" s="66">
      <c r="A123" s="113" t="n"/>
      <c r="B123" s="113" t="n"/>
      <c r="C123" s="113" t="n"/>
      <c r="D123" s="113" t="n"/>
      <c r="E123" s="113" t="n"/>
    </row>
    <row r="124" ht="15" customHeight="1" s="66">
      <c r="A124" s="113" t="n"/>
      <c r="B124" s="113" t="n"/>
      <c r="C124" s="113" t="n"/>
      <c r="D124" s="113" t="n"/>
      <c r="E124" s="113" t="n"/>
    </row>
    <row r="125" ht="15" customHeight="1" s="66">
      <c r="A125" s="113" t="n"/>
      <c r="B125" s="113" t="n"/>
      <c r="C125" s="113" t="n"/>
      <c r="D125" s="113" t="n"/>
      <c r="E125" s="113" t="n"/>
    </row>
    <row r="126" ht="15" customHeight="1" s="66">
      <c r="A126" s="113" t="n"/>
      <c r="B126" s="113" t="n"/>
      <c r="C126" s="113" t="n"/>
      <c r="D126" s="113" t="n"/>
      <c r="E126" s="113" t="n"/>
    </row>
    <row r="127" ht="15" customHeight="1" s="66">
      <c r="A127" s="113" t="n"/>
      <c r="B127" s="113" t="n"/>
      <c r="C127" s="113" t="n"/>
      <c r="D127" s="113" t="n"/>
      <c r="E127" s="113" t="n"/>
    </row>
    <row r="128" ht="15" customHeight="1" s="66">
      <c r="A128" s="113" t="n"/>
      <c r="B128" s="113" t="n"/>
      <c r="C128" s="113" t="n"/>
      <c r="D128" s="113" t="n"/>
      <c r="E128" s="113" t="n"/>
    </row>
    <row r="129" ht="15" customHeight="1" s="66">
      <c r="A129" s="113" t="n"/>
      <c r="B129" s="113" t="n"/>
      <c r="C129" s="113" t="n"/>
      <c r="D129" s="113" t="n"/>
      <c r="E129" s="113" t="n"/>
    </row>
    <row r="130" ht="15" customHeight="1" s="66">
      <c r="A130" s="113" t="n"/>
      <c r="B130" s="113" t="n"/>
      <c r="C130" s="113" t="n"/>
      <c r="D130" s="113" t="n"/>
      <c r="E130" s="113" t="n"/>
    </row>
    <row r="131" ht="15" customHeight="1" s="66">
      <c r="A131" s="113" t="n"/>
      <c r="B131" s="113" t="n"/>
      <c r="C131" s="113" t="n"/>
      <c r="D131" s="113" t="n"/>
      <c r="E131" s="113" t="n"/>
    </row>
    <row r="132" ht="15" customHeight="1" s="66">
      <c r="A132" s="113" t="n"/>
      <c r="B132" s="113" t="n"/>
      <c r="C132" s="113" t="n"/>
      <c r="D132" s="113" t="n"/>
      <c r="E132" s="113" t="n"/>
    </row>
    <row r="133" ht="15" customHeight="1" s="66">
      <c r="A133" s="113" t="n"/>
      <c r="B133" s="113" t="n"/>
      <c r="C133" s="113" t="n"/>
      <c r="D133" s="113" t="n"/>
      <c r="E133" s="113" t="n"/>
    </row>
    <row r="134" ht="15" customHeight="1" s="66">
      <c r="A134" s="113" t="n"/>
      <c r="B134" s="113" t="n"/>
      <c r="C134" s="113" t="n"/>
      <c r="D134" s="113" t="n"/>
      <c r="E134" s="113" t="n"/>
    </row>
    <row r="135" ht="15" customHeight="1" s="66">
      <c r="A135" s="113" t="n"/>
      <c r="B135" s="113" t="n"/>
      <c r="C135" s="113" t="n"/>
      <c r="D135" s="113" t="n"/>
      <c r="E135" s="113" t="n"/>
    </row>
    <row r="136" ht="15" customHeight="1" s="66">
      <c r="A136" s="113" t="n"/>
      <c r="B136" s="113" t="n"/>
      <c r="C136" s="113" t="n"/>
      <c r="D136" s="113" t="n"/>
      <c r="E136" s="113" t="n"/>
    </row>
    <row r="137" ht="15" customHeight="1" s="66">
      <c r="A137" s="113" t="n"/>
      <c r="B137" s="113" t="n"/>
      <c r="C137" s="113" t="n"/>
      <c r="D137" s="113" t="n"/>
      <c r="E137" s="113" t="n"/>
    </row>
    <row r="138" ht="15" customHeight="1" s="66">
      <c r="A138" s="113" t="n"/>
      <c r="B138" s="113" t="n"/>
      <c r="C138" s="113" t="n"/>
      <c r="D138" s="113" t="n"/>
      <c r="E138" s="113" t="n"/>
    </row>
    <row r="139" ht="15" customHeight="1" s="66">
      <c r="A139" s="113" t="n"/>
      <c r="B139" s="113" t="n"/>
      <c r="C139" s="113" t="n"/>
      <c r="D139" s="113" t="n"/>
      <c r="E139" s="113" t="n"/>
    </row>
    <row r="140" ht="15" customHeight="1" s="66">
      <c r="A140" s="113" t="n"/>
      <c r="B140" s="113" t="n"/>
      <c r="C140" s="113" t="n"/>
      <c r="D140" s="113" t="n"/>
      <c r="E140" s="113" t="n"/>
    </row>
    <row r="141" ht="15" customHeight="1" s="66">
      <c r="A141" s="113" t="n"/>
      <c r="B141" s="113" t="n"/>
      <c r="C141" s="113" t="n"/>
      <c r="D141" s="113" t="n"/>
      <c r="E141" s="113" t="n"/>
    </row>
    <row r="142" ht="15" customHeight="1" s="66">
      <c r="A142" s="113" t="n"/>
      <c r="B142" s="113" t="n"/>
      <c r="C142" s="113" t="n"/>
      <c r="D142" s="113" t="n"/>
      <c r="E142" s="113" t="n"/>
    </row>
    <row r="143" ht="15" customHeight="1" s="66">
      <c r="A143" s="113" t="n"/>
      <c r="B143" s="113" t="n"/>
      <c r="C143" s="113" t="n"/>
      <c r="D143" s="113" t="n"/>
      <c r="E143" s="113" t="n"/>
    </row>
    <row r="144" ht="15" customHeight="1" s="66">
      <c r="A144" s="113" t="n"/>
      <c r="B144" s="113" t="n"/>
      <c r="C144" s="113" t="n"/>
      <c r="D144" s="113" t="n"/>
      <c r="E144" s="113" t="n"/>
    </row>
    <row r="145" ht="15" customHeight="1" s="66">
      <c r="A145" s="113" t="n"/>
      <c r="B145" s="113" t="n"/>
      <c r="C145" s="113" t="n"/>
      <c r="D145" s="113" t="n"/>
      <c r="E145" s="113" t="n"/>
    </row>
    <row r="146" ht="15" customHeight="1" s="66">
      <c r="A146" s="113" t="n"/>
      <c r="B146" s="113" t="n"/>
      <c r="C146" s="113" t="n"/>
      <c r="D146" s="113" t="n"/>
      <c r="E146" s="113" t="n"/>
    </row>
    <row r="147" ht="15" customHeight="1" s="66">
      <c r="A147" s="113" t="n"/>
      <c r="B147" s="113" t="n"/>
      <c r="C147" s="113" t="n"/>
      <c r="D147" s="113" t="n"/>
      <c r="E147" s="113" t="n"/>
    </row>
    <row r="148" ht="15" customHeight="1" s="66">
      <c r="A148" s="113" t="n"/>
      <c r="B148" s="113" t="n"/>
      <c r="C148" s="113" t="n"/>
      <c r="D148" s="113" t="n"/>
      <c r="E148" s="113" t="n"/>
    </row>
    <row r="149" ht="15" customHeight="1" s="66">
      <c r="A149" s="113" t="n"/>
      <c r="B149" s="113" t="n"/>
      <c r="C149" s="113" t="n"/>
      <c r="D149" s="113" t="n"/>
      <c r="E149" s="113" t="n"/>
    </row>
    <row r="150" ht="15" customHeight="1" s="66">
      <c r="A150" s="113" t="n"/>
      <c r="B150" s="113" t="n"/>
      <c r="C150" s="113" t="n"/>
      <c r="D150" s="113" t="n"/>
      <c r="E150" s="113" t="n"/>
    </row>
    <row r="151" ht="15" customHeight="1" s="66">
      <c r="A151" s="113" t="n"/>
      <c r="B151" s="113" t="n"/>
      <c r="C151" s="113" t="n"/>
      <c r="D151" s="113" t="n"/>
      <c r="E151" s="113" t="n"/>
    </row>
    <row r="152" ht="15" customHeight="1" s="66">
      <c r="A152" s="113" t="n"/>
      <c r="B152" s="113" t="n"/>
      <c r="C152" s="113" t="n"/>
      <c r="D152" s="113" t="n"/>
      <c r="E152" s="113" t="n"/>
    </row>
    <row r="153" ht="15" customHeight="1" s="66">
      <c r="A153" s="113" t="n"/>
      <c r="B153" s="113" t="n"/>
      <c r="C153" s="113" t="n"/>
      <c r="D153" s="113" t="n"/>
      <c r="E153" s="113" t="n"/>
    </row>
    <row r="154" ht="15" customHeight="1" s="66">
      <c r="A154" s="113" t="n"/>
      <c r="B154" s="113" t="n"/>
      <c r="C154" s="113" t="n"/>
      <c r="D154" s="113" t="n"/>
      <c r="E154" s="113" t="n"/>
    </row>
    <row r="155" ht="15" customHeight="1" s="66">
      <c r="A155" s="113" t="n"/>
      <c r="B155" s="113" t="n"/>
      <c r="C155" s="113" t="n"/>
      <c r="D155" s="113" t="n"/>
      <c r="E155" s="113" t="n"/>
    </row>
    <row r="156" ht="15" customHeight="1" s="66">
      <c r="A156" s="113" t="n"/>
      <c r="B156" s="113" t="n"/>
      <c r="C156" s="113" t="n"/>
      <c r="D156" s="113" t="n"/>
      <c r="E156" s="113" t="n"/>
    </row>
    <row r="157" ht="15" customHeight="1" s="66">
      <c r="A157" s="113" t="n"/>
      <c r="B157" s="113" t="n"/>
      <c r="C157" s="113" t="n"/>
      <c r="D157" s="113" t="n"/>
      <c r="E157" s="113" t="n"/>
    </row>
    <row r="158" ht="15" customHeight="1" s="66">
      <c r="A158" s="113" t="n"/>
      <c r="B158" s="113" t="n"/>
      <c r="C158" s="113" t="n"/>
      <c r="D158" s="113" t="n"/>
      <c r="E158" s="113" t="n"/>
    </row>
    <row r="159" ht="15" customHeight="1" s="66">
      <c r="A159" s="113" t="n"/>
      <c r="B159" s="113" t="n"/>
      <c r="C159" s="113" t="n"/>
      <c r="D159" s="113" t="n"/>
      <c r="E159" s="113" t="n"/>
    </row>
    <row r="160" ht="15" customHeight="1" s="66">
      <c r="A160" s="113" t="n"/>
      <c r="B160" s="113" t="n"/>
      <c r="C160" s="113" t="n"/>
      <c r="D160" s="113" t="n"/>
      <c r="E160" s="113" t="n"/>
    </row>
    <row r="161" ht="15" customHeight="1" s="66">
      <c r="A161" s="113" t="n"/>
      <c r="B161" s="113" t="n"/>
      <c r="C161" s="113" t="n"/>
      <c r="D161" s="113" t="n"/>
      <c r="E161" s="113" t="n"/>
    </row>
    <row r="162" ht="15" customHeight="1" s="66">
      <c r="A162" s="113" t="n"/>
      <c r="B162" s="113" t="n"/>
      <c r="C162" s="113" t="n"/>
      <c r="D162" s="113" t="n"/>
      <c r="E162" s="113" t="n"/>
    </row>
    <row r="163" ht="15" customHeight="1" s="66">
      <c r="A163" s="113" t="n"/>
      <c r="B163" s="113" t="n"/>
      <c r="C163" s="113" t="n"/>
      <c r="D163" s="113" t="n"/>
      <c r="E163" s="113" t="n"/>
    </row>
    <row r="164" ht="15" customHeight="1" s="66">
      <c r="A164" s="113" t="n"/>
      <c r="B164" s="113" t="n"/>
      <c r="C164" s="113" t="n"/>
      <c r="D164" s="113" t="n"/>
      <c r="E164" s="113" t="n"/>
    </row>
    <row r="165" ht="15" customHeight="1" s="66">
      <c r="A165" s="113" t="n"/>
      <c r="B165" s="113" t="n"/>
      <c r="C165" s="113" t="n"/>
      <c r="D165" s="113" t="n"/>
      <c r="E165" s="113" t="n"/>
    </row>
    <row r="166" ht="15" customHeight="1" s="66">
      <c r="A166" s="113" t="n"/>
      <c r="B166" s="113" t="n"/>
      <c r="C166" s="113" t="n"/>
      <c r="D166" s="113" t="n"/>
      <c r="E166" s="113" t="n"/>
    </row>
    <row r="167" ht="15" customHeight="1" s="66">
      <c r="A167" s="113" t="n"/>
      <c r="B167" s="113" t="n"/>
      <c r="C167" s="113" t="n"/>
      <c r="D167" s="113" t="n"/>
      <c r="E167" s="113" t="n"/>
    </row>
    <row r="168" ht="15" customHeight="1" s="66">
      <c r="A168" s="113" t="n"/>
      <c r="B168" s="113" t="n"/>
      <c r="C168" s="113" t="n"/>
      <c r="D168" s="113" t="n"/>
      <c r="E168" s="113" t="n"/>
    </row>
    <row r="169" ht="15" customHeight="1" s="66">
      <c r="A169" s="113" t="n"/>
      <c r="B169" s="113" t="n"/>
      <c r="C169" s="113" t="n"/>
      <c r="D169" s="113" t="n"/>
      <c r="E169" s="113" t="n"/>
    </row>
    <row r="170" ht="15" customHeight="1" s="66">
      <c r="A170" s="113" t="n"/>
      <c r="B170" s="113" t="n"/>
      <c r="C170" s="113" t="n"/>
      <c r="D170" s="113" t="n"/>
      <c r="E170" s="113" t="n"/>
    </row>
    <row r="171" ht="15" customHeight="1" s="66">
      <c r="A171" s="113" t="n"/>
      <c r="B171" s="113" t="n"/>
      <c r="C171" s="113" t="n"/>
      <c r="D171" s="113" t="n"/>
      <c r="E171" s="113" t="n"/>
    </row>
    <row r="172" ht="15" customHeight="1" s="66">
      <c r="A172" s="113" t="n"/>
      <c r="B172" s="113" t="n"/>
      <c r="C172" s="113" t="n"/>
      <c r="D172" s="113" t="n"/>
      <c r="E172" s="113" t="n"/>
    </row>
    <row r="173" ht="15" customHeight="1" s="66">
      <c r="A173" s="113" t="n"/>
      <c r="B173" s="113" t="n"/>
      <c r="C173" s="113" t="n"/>
      <c r="D173" s="113" t="n"/>
      <c r="E173" s="113" t="n"/>
    </row>
    <row r="174" ht="15" customHeight="1" s="66">
      <c r="A174" s="113" t="n"/>
      <c r="B174" s="113" t="n"/>
      <c r="C174" s="113" t="n"/>
      <c r="D174" s="113" t="n"/>
      <c r="E174" s="113" t="n"/>
    </row>
    <row r="175" ht="15" customHeight="1" s="66">
      <c r="A175" s="113" t="n"/>
      <c r="B175" s="113" t="n"/>
      <c r="C175" s="113" t="n"/>
      <c r="D175" s="113" t="n"/>
      <c r="E175" s="113" t="n"/>
    </row>
    <row r="176" ht="15" customHeight="1" s="66">
      <c r="A176" s="113" t="n"/>
      <c r="B176" s="113" t="n"/>
      <c r="C176" s="113" t="n"/>
      <c r="D176" s="113" t="n"/>
      <c r="E176" s="113" t="n"/>
    </row>
    <row r="177" ht="15" customHeight="1" s="66">
      <c r="A177" s="113" t="n"/>
      <c r="B177" s="113" t="n"/>
      <c r="C177" s="113" t="n"/>
      <c r="D177" s="113" t="n"/>
      <c r="E177" s="113" t="n"/>
    </row>
    <row r="178" ht="15" customHeight="1" s="66">
      <c r="A178" s="113" t="n"/>
      <c r="B178" s="113" t="n"/>
      <c r="C178" s="113" t="n"/>
      <c r="D178" s="113" t="n"/>
      <c r="E178" s="113" t="n"/>
    </row>
    <row r="179" ht="15" customHeight="1" s="66">
      <c r="A179" s="113" t="n"/>
      <c r="B179" s="113" t="n"/>
      <c r="C179" s="113" t="n"/>
      <c r="D179" s="113" t="n"/>
      <c r="E179" s="113" t="n"/>
    </row>
    <row r="180" ht="15" customHeight="1" s="66">
      <c r="A180" s="113" t="n"/>
      <c r="B180" s="113" t="n"/>
      <c r="C180" s="113" t="n"/>
      <c r="D180" s="113" t="n"/>
      <c r="E180" s="113" t="n"/>
    </row>
    <row r="181" ht="15" customHeight="1" s="66">
      <c r="A181" s="113" t="n"/>
      <c r="B181" s="113" t="n"/>
      <c r="C181" s="113" t="n"/>
      <c r="D181" s="113" t="n"/>
      <c r="E181" s="113" t="n"/>
    </row>
    <row r="182" ht="15" customHeight="1" s="66">
      <c r="A182" s="113" t="n"/>
      <c r="B182" s="113" t="n"/>
      <c r="C182" s="113" t="n"/>
      <c r="D182" s="113" t="n"/>
      <c r="E182" s="113" t="n"/>
    </row>
    <row r="183" ht="15" customHeight="1" s="66">
      <c r="A183" s="113" t="n"/>
      <c r="B183" s="113" t="n"/>
      <c r="C183" s="113" t="n"/>
      <c r="D183" s="113" t="n"/>
      <c r="E183" s="113" t="n"/>
    </row>
    <row r="184" ht="15" customHeight="1" s="66">
      <c r="A184" s="113" t="n"/>
      <c r="B184" s="113" t="n"/>
      <c r="C184" s="113" t="n"/>
      <c r="D184" s="113" t="n"/>
      <c r="E184" s="113" t="n"/>
    </row>
    <row r="185" ht="15" customHeight="1" s="66">
      <c r="A185" s="113" t="n"/>
      <c r="B185" s="113" t="n"/>
      <c r="C185" s="113" t="n"/>
      <c r="D185" s="113" t="n"/>
      <c r="E185" s="113" t="n"/>
    </row>
    <row r="186" ht="15" customHeight="1" s="66">
      <c r="A186" s="113" t="n"/>
      <c r="B186" s="113" t="n"/>
      <c r="C186" s="113" t="n"/>
      <c r="D186" s="113" t="n"/>
      <c r="E186" s="113" t="n"/>
    </row>
    <row r="187" ht="15" customHeight="1" s="66">
      <c r="A187" s="113" t="n"/>
      <c r="B187" s="113" t="n"/>
      <c r="C187" s="113" t="n"/>
      <c r="D187" s="113" t="n"/>
      <c r="E187" s="113" t="n"/>
    </row>
    <row r="188" ht="15" customHeight="1" s="66">
      <c r="A188" s="113" t="n"/>
      <c r="B188" s="113" t="n"/>
      <c r="C188" s="113" t="n"/>
      <c r="D188" s="113" t="n"/>
      <c r="E188" s="113" t="n"/>
    </row>
    <row r="189" ht="15" customHeight="1" s="66">
      <c r="A189" s="113" t="n"/>
      <c r="B189" s="113" t="n"/>
      <c r="C189" s="113" t="n"/>
      <c r="D189" s="113" t="n"/>
      <c r="E189" s="113" t="n"/>
    </row>
    <row r="190" ht="15" customHeight="1" s="66">
      <c r="A190" s="113" t="n"/>
      <c r="B190" s="113" t="n"/>
      <c r="C190" s="113" t="n"/>
      <c r="D190" s="113" t="n"/>
      <c r="E190" s="113" t="n"/>
    </row>
    <row r="191" ht="15" customHeight="1" s="66">
      <c r="A191" s="113" t="n"/>
      <c r="B191" s="113" t="n"/>
      <c r="C191" s="113" t="n"/>
      <c r="D191" s="113" t="n"/>
      <c r="E191" s="113" t="n"/>
    </row>
    <row r="192" ht="15" customHeight="1" s="66">
      <c r="A192" s="113" t="n"/>
      <c r="B192" s="113" t="n"/>
      <c r="C192" s="113" t="n"/>
      <c r="D192" s="113" t="n"/>
      <c r="E192" s="113" t="n"/>
    </row>
    <row r="193" ht="15" customHeight="1" s="66">
      <c r="A193" s="113" t="n"/>
      <c r="B193" s="113" t="n"/>
      <c r="C193" s="113" t="n"/>
      <c r="D193" s="113" t="n"/>
      <c r="E193" s="113" t="n"/>
    </row>
    <row r="194" ht="15" customHeight="1" s="66">
      <c r="A194" s="113" t="n"/>
      <c r="B194" s="113" t="n"/>
      <c r="C194" s="113" t="n"/>
      <c r="D194" s="113" t="n"/>
      <c r="E194" s="113" t="n"/>
    </row>
    <row r="195" ht="15" customHeight="1" s="66">
      <c r="A195" s="113" t="n"/>
      <c r="B195" s="113" t="n"/>
      <c r="C195" s="113" t="n"/>
      <c r="D195" s="113" t="n"/>
      <c r="E195" s="113" t="n"/>
    </row>
    <row r="196" ht="15" customHeight="1" s="66">
      <c r="A196" s="113" t="n"/>
      <c r="B196" s="113" t="n"/>
      <c r="C196" s="113" t="n"/>
      <c r="D196" s="113" t="n"/>
      <c r="E196" s="113" t="n"/>
    </row>
    <row r="197" ht="15" customHeight="1" s="66">
      <c r="A197" s="113" t="n"/>
      <c r="B197" s="113" t="n"/>
      <c r="C197" s="113" t="n"/>
      <c r="D197" s="113" t="n"/>
      <c r="E197" s="113" t="n"/>
    </row>
    <row r="198" ht="15" customHeight="1" s="66">
      <c r="A198" s="113" t="n"/>
      <c r="B198" s="113" t="n"/>
      <c r="C198" s="113" t="n"/>
      <c r="D198" s="113" t="n"/>
      <c r="E198" s="113" t="n"/>
    </row>
    <row r="199" ht="15" customHeight="1" s="66">
      <c r="A199" s="113" t="n"/>
      <c r="B199" s="113" t="n"/>
      <c r="C199" s="113" t="n"/>
      <c r="D199" s="113" t="n"/>
      <c r="E199" s="113" t="n"/>
    </row>
    <row r="200" ht="15" customHeight="1" s="66">
      <c r="A200" s="113" t="n"/>
      <c r="B200" s="113" t="n"/>
      <c r="C200" s="113" t="n"/>
      <c r="D200" s="113" t="n"/>
      <c r="E200" s="113" t="n"/>
    </row>
    <row r="201" ht="15" customHeight="1" s="66">
      <c r="A201" s="113" t="n"/>
      <c r="B201" s="113" t="n"/>
      <c r="C201" s="113" t="n"/>
      <c r="D201" s="113" t="n"/>
      <c r="E201" s="113" t="n"/>
    </row>
    <row r="202" ht="15" customHeight="1" s="66">
      <c r="A202" s="113" t="n"/>
      <c r="B202" s="113" t="n"/>
      <c r="C202" s="113" t="n"/>
      <c r="D202" s="113" t="n"/>
      <c r="E202" s="113" t="n"/>
    </row>
    <row r="203" ht="15" customHeight="1" s="66">
      <c r="A203" s="113" t="n"/>
      <c r="B203" s="113" t="n"/>
      <c r="C203" s="113" t="n"/>
      <c r="D203" s="113" t="n"/>
      <c r="E203" s="113" t="n"/>
    </row>
    <row r="204" ht="15" customHeight="1" s="66">
      <c r="A204" s="113" t="n"/>
      <c r="B204" s="113" t="n"/>
      <c r="C204" s="113" t="n"/>
      <c r="D204" s="113" t="n"/>
      <c r="E204" s="113" t="n"/>
    </row>
    <row r="205" ht="15" customHeight="1" s="66">
      <c r="A205" s="113" t="n"/>
      <c r="B205" s="113" t="n"/>
      <c r="C205" s="113" t="n"/>
      <c r="D205" s="113" t="n"/>
      <c r="E205" s="113" t="n"/>
    </row>
    <row r="206" ht="15" customHeight="1" s="66">
      <c r="A206" s="113" t="n"/>
      <c r="B206" s="113" t="n"/>
      <c r="C206" s="113" t="n"/>
      <c r="D206" s="113" t="n"/>
      <c r="E206" s="113" t="n"/>
    </row>
    <row r="207" ht="15" customHeight="1" s="66">
      <c r="A207" s="113" t="n"/>
      <c r="B207" s="113" t="n"/>
      <c r="C207" s="113" t="n"/>
      <c r="D207" s="113" t="n"/>
      <c r="E207" s="113" t="n"/>
    </row>
    <row r="208" ht="15" customHeight="1" s="66">
      <c r="A208" s="113" t="n"/>
      <c r="B208" s="113" t="n"/>
      <c r="C208" s="113" t="n"/>
      <c r="D208" s="113" t="n"/>
      <c r="E208" s="113" t="n"/>
    </row>
    <row r="209" ht="15" customHeight="1" s="66">
      <c r="A209" s="113" t="n"/>
      <c r="B209" s="113" t="n"/>
      <c r="C209" s="113" t="n"/>
      <c r="D209" s="113" t="n"/>
      <c r="E209" s="113" t="n"/>
    </row>
    <row r="210" ht="15" customHeight="1" s="66">
      <c r="A210" s="113" t="n"/>
      <c r="B210" s="113" t="n"/>
      <c r="C210" s="113" t="n"/>
      <c r="D210" s="113" t="n"/>
      <c r="E210" s="113" t="n"/>
    </row>
    <row r="211" ht="15" customHeight="1" s="66">
      <c r="A211" s="113" t="n"/>
      <c r="B211" s="113" t="n"/>
      <c r="C211" s="113" t="n"/>
      <c r="D211" s="113" t="n"/>
      <c r="E211" s="113" t="n"/>
    </row>
    <row r="212" ht="15" customHeight="1" s="66">
      <c r="A212" s="113" t="n"/>
      <c r="B212" s="113" t="n"/>
      <c r="C212" s="113" t="n"/>
      <c r="D212" s="113" t="n"/>
      <c r="E212" s="113" t="n"/>
    </row>
    <row r="213" ht="15" customHeight="1" s="66">
      <c r="A213" s="113" t="n"/>
      <c r="B213" s="113" t="n"/>
      <c r="C213" s="113" t="n"/>
      <c r="D213" s="113" t="n"/>
      <c r="E213" s="113" t="n"/>
    </row>
    <row r="214" ht="15" customHeight="1" s="66">
      <c r="A214" s="113" t="n"/>
      <c r="B214" s="113" t="n"/>
      <c r="C214" s="113" t="n"/>
      <c r="D214" s="113" t="n"/>
      <c r="E214" s="113" t="n"/>
    </row>
    <row r="215" ht="15" customHeight="1" s="66">
      <c r="A215" s="113" t="n"/>
      <c r="B215" s="113" t="n"/>
      <c r="C215" s="113" t="n"/>
      <c r="D215" s="113" t="n"/>
      <c r="E215" s="113" t="n"/>
    </row>
    <row r="216" ht="15" customHeight="1" s="66">
      <c r="A216" s="113" t="n"/>
      <c r="B216" s="113" t="n"/>
      <c r="C216" s="113" t="n"/>
      <c r="D216" s="113" t="n"/>
      <c r="E216" s="113" t="n"/>
    </row>
    <row r="217" ht="15" customHeight="1" s="66">
      <c r="A217" s="113" t="n"/>
      <c r="B217" s="113" t="n"/>
      <c r="C217" s="113" t="n"/>
      <c r="D217" s="113" t="n"/>
      <c r="E217" s="113" t="n"/>
    </row>
    <row r="218" ht="15" customHeight="1" s="66">
      <c r="A218" s="113" t="n"/>
      <c r="B218" s="113" t="n"/>
      <c r="C218" s="113" t="n"/>
      <c r="D218" s="113" t="n"/>
      <c r="E218" s="113" t="n"/>
    </row>
    <row r="219" ht="15" customHeight="1" s="66">
      <c r="A219" s="113" t="n"/>
      <c r="B219" s="113" t="n"/>
      <c r="C219" s="113" t="n"/>
      <c r="D219" s="113" t="n"/>
      <c r="E219" s="113" t="n"/>
    </row>
    <row r="220" ht="15" customHeight="1" s="66">
      <c r="A220" s="113" t="n"/>
      <c r="B220" s="113" t="n"/>
      <c r="C220" s="113" t="n"/>
      <c r="D220" s="113" t="n"/>
      <c r="E220" s="113" t="n"/>
    </row>
    <row r="221" ht="15" customHeight="1" s="66">
      <c r="A221" s="113" t="n"/>
      <c r="B221" s="113" t="n"/>
      <c r="C221" s="113" t="n"/>
      <c r="D221" s="113" t="n"/>
      <c r="E221" s="113" t="n"/>
    </row>
    <row r="222" ht="15" customHeight="1" s="66">
      <c r="A222" s="113" t="n"/>
      <c r="B222" s="113" t="n"/>
      <c r="C222" s="113" t="n"/>
      <c r="D222" s="113" t="n"/>
      <c r="E222" s="113" t="n"/>
    </row>
    <row r="223" ht="15" customHeight="1" s="66">
      <c r="A223" s="113" t="n"/>
      <c r="B223" s="113" t="n"/>
      <c r="C223" s="113" t="n"/>
      <c r="D223" s="113" t="n"/>
      <c r="E223" s="113" t="n"/>
    </row>
    <row r="224" ht="15" customHeight="1" s="66">
      <c r="A224" s="113" t="n"/>
      <c r="B224" s="113" t="n"/>
      <c r="C224" s="113" t="n"/>
      <c r="D224" s="113" t="n"/>
      <c r="E224" s="113" t="n"/>
    </row>
    <row r="225" ht="15" customHeight="1" s="66">
      <c r="A225" s="113" t="n"/>
      <c r="B225" s="113" t="n"/>
      <c r="C225" s="113" t="n"/>
      <c r="D225" s="113" t="n"/>
      <c r="E225" s="113" t="n"/>
    </row>
    <row r="226" ht="15" customHeight="1" s="66">
      <c r="A226" s="113" t="n"/>
      <c r="B226" s="113" t="n"/>
      <c r="C226" s="113" t="n"/>
      <c r="D226" s="113" t="n"/>
      <c r="E226" s="113" t="n"/>
    </row>
    <row r="227" ht="15" customHeight="1" s="66">
      <c r="A227" s="113" t="n"/>
      <c r="B227" s="113" t="n"/>
      <c r="C227" s="113" t="n"/>
      <c r="D227" s="113" t="n"/>
      <c r="E227" s="113" t="n"/>
    </row>
    <row r="228" ht="15" customHeight="1" s="66">
      <c r="A228" s="113" t="n"/>
      <c r="B228" s="113" t="n"/>
      <c r="C228" s="113" t="n"/>
      <c r="D228" s="113" t="n"/>
      <c r="E228" s="113" t="n"/>
    </row>
    <row r="229" ht="15" customHeight="1" s="66">
      <c r="A229" s="113" t="n"/>
      <c r="B229" s="113" t="n"/>
      <c r="C229" s="113" t="n"/>
      <c r="D229" s="113" t="n"/>
      <c r="E229" s="113" t="n"/>
    </row>
    <row r="230" ht="15" customHeight="1" s="66">
      <c r="A230" s="113" t="n"/>
      <c r="B230" s="113" t="n"/>
      <c r="C230" s="113" t="n"/>
      <c r="D230" s="113" t="n"/>
      <c r="E230" s="113" t="n"/>
    </row>
    <row r="231" ht="15" customHeight="1" s="66">
      <c r="A231" s="113" t="n"/>
      <c r="B231" s="113" t="n"/>
      <c r="C231" s="113" t="n"/>
      <c r="D231" s="113" t="n"/>
      <c r="E231" s="113" t="n"/>
    </row>
    <row r="232" ht="15" customHeight="1" s="66">
      <c r="A232" s="113" t="n"/>
      <c r="B232" s="113" t="n"/>
      <c r="C232" s="113" t="n"/>
      <c r="D232" s="113" t="n"/>
      <c r="E232" s="113" t="n"/>
    </row>
    <row r="233" ht="15" customHeight="1" s="66">
      <c r="A233" s="113" t="n"/>
      <c r="B233" s="113" t="n"/>
      <c r="C233" s="113" t="n"/>
      <c r="D233" s="113" t="n"/>
      <c r="E233" s="113" t="n"/>
    </row>
    <row r="234" ht="15" customHeight="1" s="66">
      <c r="A234" s="113" t="n"/>
      <c r="B234" s="113" t="n"/>
      <c r="C234" s="113" t="n"/>
      <c r="D234" s="113" t="n"/>
      <c r="E234" s="113" t="n"/>
    </row>
    <row r="235" ht="15" customHeight="1" s="66">
      <c r="A235" s="113" t="n"/>
      <c r="B235" s="113" t="n"/>
      <c r="C235" s="113" t="n"/>
      <c r="D235" s="113" t="n"/>
      <c r="E235" s="113" t="n"/>
    </row>
    <row r="236" ht="15" customHeight="1" s="66">
      <c r="A236" s="113" t="n"/>
      <c r="B236" s="113" t="n"/>
      <c r="C236" s="113" t="n"/>
      <c r="D236" s="113" t="n"/>
      <c r="E236" s="113" t="n"/>
    </row>
    <row r="237" ht="15" customHeight="1" s="66">
      <c r="A237" s="113" t="n"/>
      <c r="B237" s="113" t="n"/>
      <c r="C237" s="113" t="n"/>
      <c r="D237" s="113" t="n"/>
      <c r="E237" s="113" t="n"/>
    </row>
    <row r="238" ht="15" customHeight="1" s="66">
      <c r="A238" s="113" t="n"/>
      <c r="B238" s="113" t="n"/>
      <c r="C238" s="113" t="n"/>
      <c r="D238" s="113" t="n"/>
      <c r="E238" s="113" t="n"/>
    </row>
    <row r="239" ht="15" customHeight="1" s="66">
      <c r="A239" s="113" t="n"/>
      <c r="B239" s="113" t="n"/>
      <c r="C239" s="113" t="n"/>
      <c r="D239" s="113" t="n"/>
      <c r="E239" s="113" t="n"/>
    </row>
    <row r="240" ht="15" customHeight="1" s="66">
      <c r="A240" s="113" t="n"/>
      <c r="B240" s="113" t="n"/>
      <c r="C240" s="113" t="n"/>
      <c r="D240" s="113" t="n"/>
      <c r="E240" s="113" t="n"/>
    </row>
    <row r="241" ht="15" customHeight="1" s="66">
      <c r="A241" s="113" t="n"/>
      <c r="B241" s="113" t="n"/>
      <c r="C241" s="113" t="n"/>
      <c r="D241" s="113" t="n"/>
      <c r="E241" s="113" t="n"/>
    </row>
    <row r="242" ht="15" customHeight="1" s="66">
      <c r="A242" s="113" t="n"/>
      <c r="B242" s="113" t="n"/>
      <c r="C242" s="113" t="n"/>
      <c r="D242" s="113" t="n"/>
      <c r="E242" s="113" t="n"/>
    </row>
    <row r="243" ht="15" customHeight="1" s="66">
      <c r="A243" s="113" t="n"/>
      <c r="B243" s="113" t="n"/>
      <c r="C243" s="113" t="n"/>
      <c r="D243" s="113" t="n"/>
      <c r="E243" s="113" t="n"/>
    </row>
    <row r="244" ht="15" customHeight="1" s="66">
      <c r="A244" s="113" t="n"/>
      <c r="B244" s="113" t="n"/>
      <c r="C244" s="113" t="n"/>
      <c r="D244" s="113" t="n"/>
      <c r="E244" s="113" t="n"/>
    </row>
    <row r="245" ht="15" customHeight="1" s="66">
      <c r="A245" s="113" t="n"/>
      <c r="B245" s="113" t="n"/>
      <c r="C245" s="113" t="n"/>
      <c r="D245" s="113" t="n"/>
      <c r="E245" s="113" t="n"/>
    </row>
    <row r="246" ht="15" customHeight="1" s="66">
      <c r="A246" s="113" t="n"/>
      <c r="B246" s="113" t="n"/>
      <c r="C246" s="113" t="n"/>
      <c r="D246" s="113" t="n"/>
      <c r="E246" s="113" t="n"/>
    </row>
    <row r="247" ht="15" customHeight="1" s="66">
      <c r="A247" s="113" t="n"/>
      <c r="B247" s="113" t="n"/>
      <c r="C247" s="113" t="n"/>
      <c r="D247" s="113" t="n"/>
      <c r="E247" s="113" t="n"/>
    </row>
    <row r="248" ht="15" customHeight="1" s="66">
      <c r="A248" s="113" t="n"/>
      <c r="B248" s="113" t="n"/>
      <c r="C248" s="113" t="n"/>
      <c r="D248" s="113" t="n"/>
      <c r="E248" s="113" t="n"/>
    </row>
    <row r="249" ht="15" customHeight="1" s="66">
      <c r="A249" s="113" t="n"/>
      <c r="B249" s="113" t="n"/>
      <c r="C249" s="113" t="n"/>
      <c r="D249" s="113" t="n"/>
      <c r="E249" s="113" t="n"/>
    </row>
    <row r="250" ht="15" customHeight="1" s="66">
      <c r="A250" s="113" t="n"/>
      <c r="B250" s="113" t="n"/>
      <c r="C250" s="113" t="n"/>
      <c r="D250" s="113" t="n"/>
      <c r="E250" s="113" t="n"/>
    </row>
    <row r="251" ht="15" customHeight="1" s="66">
      <c r="A251" s="113" t="n"/>
      <c r="B251" s="113" t="n"/>
      <c r="C251" s="113" t="n"/>
      <c r="D251" s="113" t="n"/>
      <c r="E251" s="113" t="n"/>
    </row>
    <row r="252" ht="15" customHeight="1" s="66">
      <c r="A252" s="113" t="n"/>
      <c r="B252" s="113" t="n"/>
      <c r="C252" s="113" t="n"/>
      <c r="D252" s="113" t="n"/>
      <c r="E252" s="113" t="n"/>
    </row>
    <row r="253" ht="15" customHeight="1" s="66">
      <c r="A253" s="113" t="n"/>
      <c r="B253" s="113" t="n"/>
      <c r="C253" s="113" t="n"/>
      <c r="D253" s="113" t="n"/>
      <c r="E253" s="113" t="n"/>
    </row>
    <row r="254" ht="15" customHeight="1" s="66">
      <c r="A254" s="113" t="n"/>
      <c r="B254" s="113" t="n"/>
      <c r="C254" s="113" t="n"/>
      <c r="D254" s="113" t="n"/>
      <c r="E254" s="113" t="n"/>
    </row>
    <row r="255" ht="15" customHeight="1" s="66">
      <c r="A255" s="113" t="n"/>
      <c r="B255" s="113" t="n"/>
      <c r="C255" s="113" t="n"/>
      <c r="D255" s="113" t="n"/>
      <c r="E255" s="113" t="n"/>
    </row>
    <row r="256" ht="15" customHeight="1" s="66">
      <c r="A256" s="113" t="n"/>
      <c r="B256" s="113" t="n"/>
      <c r="C256" s="113" t="n"/>
      <c r="D256" s="113" t="n"/>
      <c r="E256" s="113" t="n"/>
    </row>
    <row r="257" ht="15" customHeight="1" s="66">
      <c r="A257" s="113" t="n"/>
      <c r="B257" s="113" t="n"/>
      <c r="C257" s="113" t="n"/>
      <c r="D257" s="113" t="n"/>
      <c r="E257" s="113" t="n"/>
    </row>
    <row r="258" ht="15" customHeight="1" s="66">
      <c r="A258" s="113" t="n"/>
      <c r="B258" s="113" t="n"/>
      <c r="C258" s="113" t="n"/>
      <c r="D258" s="113" t="n"/>
      <c r="E258" s="113" t="n"/>
    </row>
    <row r="259" ht="15" customHeight="1" s="66">
      <c r="A259" s="113" t="n"/>
      <c r="B259" s="113" t="n"/>
      <c r="C259" s="113" t="n"/>
      <c r="D259" s="113" t="n"/>
      <c r="E259" s="113" t="n"/>
    </row>
    <row r="260" ht="15" customHeight="1" s="66">
      <c r="A260" s="113" t="n"/>
      <c r="B260" s="113" t="n"/>
      <c r="C260" s="113" t="n"/>
      <c r="D260" s="113" t="n"/>
      <c r="E260" s="113" t="n"/>
    </row>
    <row r="261" ht="15" customHeight="1" s="66">
      <c r="A261" s="113" t="n"/>
      <c r="B261" s="113" t="n"/>
      <c r="C261" s="113" t="n"/>
      <c r="D261" s="113" t="n"/>
      <c r="E261" s="113" t="n"/>
    </row>
    <row r="262" ht="15" customHeight="1" s="66">
      <c r="A262" s="113" t="n"/>
      <c r="B262" s="113" t="n"/>
      <c r="C262" s="113" t="n"/>
      <c r="D262" s="113" t="n"/>
      <c r="E262" s="113" t="n"/>
    </row>
    <row r="263" ht="15" customHeight="1" s="66">
      <c r="A263" s="113" t="n"/>
      <c r="B263" s="113" t="n"/>
      <c r="C263" s="113" t="n"/>
      <c r="D263" s="113" t="n"/>
      <c r="E263" s="113" t="n"/>
    </row>
    <row r="264" ht="15" customHeight="1" s="66">
      <c r="A264" s="113" t="n"/>
      <c r="B264" s="113" t="n"/>
      <c r="C264" s="113" t="n"/>
      <c r="D264" s="113" t="n"/>
      <c r="E264" s="113" t="n"/>
    </row>
    <row r="265" ht="15" customHeight="1" s="66">
      <c r="A265" s="113" t="n"/>
      <c r="B265" s="113" t="n"/>
      <c r="C265" s="113" t="n"/>
      <c r="D265" s="113" t="n"/>
      <c r="E265" s="113" t="n"/>
    </row>
    <row r="266" ht="15" customHeight="1" s="66">
      <c r="A266" s="113" t="n"/>
      <c r="B266" s="113" t="n"/>
      <c r="C266" s="113" t="n"/>
      <c r="D266" s="113" t="n"/>
      <c r="E266" s="113" t="n"/>
    </row>
    <row r="267" ht="15" customHeight="1" s="66">
      <c r="A267" s="113" t="n"/>
      <c r="B267" s="113" t="n"/>
      <c r="C267" s="113" t="n"/>
      <c r="D267" s="113" t="n"/>
      <c r="E267" s="113" t="n"/>
    </row>
    <row r="268" ht="15" customHeight="1" s="66">
      <c r="A268" s="113" t="n"/>
      <c r="B268" s="113" t="n"/>
      <c r="C268" s="113" t="n"/>
      <c r="D268" s="113" t="n"/>
      <c r="E268" s="113" t="n"/>
    </row>
    <row r="269" ht="15" customHeight="1" s="66">
      <c r="A269" s="113" t="n"/>
      <c r="B269" s="113" t="n"/>
      <c r="C269" s="113" t="n"/>
      <c r="D269" s="113" t="n"/>
      <c r="E269" s="113" t="n"/>
    </row>
    <row r="270" ht="15" customHeight="1" s="66">
      <c r="A270" s="113" t="n"/>
      <c r="B270" s="113" t="n"/>
      <c r="C270" s="113" t="n"/>
      <c r="D270" s="113" t="n"/>
      <c r="E270" s="113" t="n"/>
    </row>
    <row r="271" ht="15" customHeight="1" s="66">
      <c r="A271" s="113" t="n"/>
      <c r="B271" s="113" t="n"/>
      <c r="C271" s="113" t="n"/>
      <c r="D271" s="113" t="n"/>
      <c r="E271" s="113" t="n"/>
    </row>
    <row r="272" ht="15" customHeight="1" s="66">
      <c r="A272" s="113" t="n"/>
      <c r="B272" s="113" t="n"/>
      <c r="C272" s="113" t="n"/>
      <c r="D272" s="113" t="n"/>
      <c r="E272" s="113" t="n"/>
    </row>
    <row r="273" ht="15" customHeight="1" s="66">
      <c r="A273" s="113" t="n"/>
      <c r="B273" s="113" t="n"/>
      <c r="C273" s="113" t="n"/>
      <c r="D273" s="113" t="n"/>
      <c r="E273" s="113" t="n"/>
    </row>
    <row r="274" ht="15" customHeight="1" s="66">
      <c r="A274" s="113" t="n"/>
      <c r="B274" s="113" t="n"/>
      <c r="C274" s="113" t="n"/>
      <c r="D274" s="113" t="n"/>
      <c r="E274" s="113" t="n"/>
    </row>
    <row r="275" ht="15" customHeight="1" s="66">
      <c r="A275" s="113" t="n"/>
      <c r="B275" s="113" t="n"/>
      <c r="C275" s="113" t="n"/>
      <c r="D275" s="113" t="n"/>
      <c r="E275" s="113" t="n"/>
    </row>
    <row r="276" ht="15" customHeight="1" s="66">
      <c r="A276" s="113" t="n"/>
      <c r="B276" s="113" t="n"/>
      <c r="C276" s="113" t="n"/>
      <c r="D276" s="113" t="n"/>
      <c r="E276" s="113" t="n"/>
    </row>
    <row r="277" ht="15" customHeight="1" s="66">
      <c r="A277" s="113" t="n"/>
      <c r="B277" s="113" t="n"/>
      <c r="C277" s="113" t="n"/>
      <c r="D277" s="113" t="n"/>
      <c r="E277" s="113" t="n"/>
    </row>
    <row r="278" ht="15" customHeight="1" s="66">
      <c r="A278" s="113" t="n"/>
      <c r="B278" s="113" t="n"/>
      <c r="C278" s="113" t="n"/>
      <c r="D278" s="113" t="n"/>
      <c r="E278" s="113" t="n"/>
    </row>
    <row r="279" ht="15" customHeight="1" s="66">
      <c r="A279" s="113" t="n"/>
      <c r="B279" s="113" t="n"/>
      <c r="C279" s="113" t="n"/>
      <c r="D279" s="113" t="n"/>
      <c r="E279" s="113" t="n"/>
    </row>
    <row r="280" ht="15" customHeight="1" s="66">
      <c r="A280" s="113" t="n"/>
      <c r="B280" s="113" t="n"/>
      <c r="C280" s="113" t="n"/>
      <c r="D280" s="113" t="n"/>
      <c r="E280" s="113" t="n"/>
    </row>
    <row r="281" ht="15" customHeight="1" s="66">
      <c r="A281" s="113" t="n"/>
      <c r="B281" s="113" t="n"/>
      <c r="C281" s="113" t="n"/>
      <c r="D281" s="113" t="n"/>
      <c r="E281" s="113" t="n"/>
    </row>
    <row r="282" ht="15" customHeight="1" s="66">
      <c r="A282" s="113" t="n"/>
      <c r="B282" s="113" t="n"/>
      <c r="C282" s="113" t="n"/>
      <c r="D282" s="113" t="n"/>
      <c r="E282" s="113" t="n"/>
    </row>
    <row r="283" ht="15" customHeight="1" s="66">
      <c r="A283" s="113" t="n"/>
      <c r="B283" s="113" t="n"/>
      <c r="C283" s="113" t="n"/>
      <c r="D283" s="113" t="n"/>
      <c r="E283" s="113" t="n"/>
    </row>
    <row r="284" ht="15" customHeight="1" s="66">
      <c r="A284" s="113" t="n"/>
      <c r="B284" s="113" t="n"/>
      <c r="C284" s="113" t="n"/>
      <c r="D284" s="113" t="n"/>
      <c r="E284" s="113" t="n"/>
    </row>
    <row r="285" ht="15" customHeight="1" s="66">
      <c r="A285" s="113" t="n"/>
      <c r="B285" s="113" t="n"/>
      <c r="C285" s="113" t="n"/>
      <c r="D285" s="113" t="n"/>
      <c r="E285" s="113" t="n"/>
    </row>
    <row r="286" ht="15" customHeight="1" s="66">
      <c r="A286" s="113" t="n"/>
      <c r="B286" s="113" t="n"/>
      <c r="C286" s="113" t="n"/>
      <c r="D286" s="113" t="n"/>
      <c r="E286" s="113" t="n"/>
    </row>
    <row r="287" ht="15" customHeight="1" s="66">
      <c r="A287" s="113" t="n"/>
      <c r="B287" s="113" t="n"/>
      <c r="C287" s="113" t="n"/>
      <c r="D287" s="113" t="n"/>
      <c r="E287" s="113" t="n"/>
    </row>
    <row r="288" ht="15" customHeight="1" s="66">
      <c r="A288" s="113" t="n"/>
      <c r="B288" s="113" t="n"/>
      <c r="C288" s="113" t="n"/>
      <c r="D288" s="113" t="n"/>
      <c r="E288" s="113" t="n"/>
    </row>
    <row r="289" ht="15" customHeight="1" s="66">
      <c r="A289" s="113" t="n"/>
      <c r="B289" s="113" t="n"/>
      <c r="C289" s="113" t="n"/>
      <c r="D289" s="113" t="n"/>
      <c r="E289" s="113" t="n"/>
    </row>
    <row r="290" ht="15" customHeight="1" s="66">
      <c r="A290" s="113" t="n"/>
      <c r="B290" s="113" t="n"/>
      <c r="C290" s="113" t="n"/>
      <c r="D290" s="113" t="n"/>
      <c r="E290" s="113" t="n"/>
    </row>
    <row r="291" ht="15" customHeight="1" s="66">
      <c r="A291" s="113" t="n"/>
      <c r="B291" s="113" t="n"/>
      <c r="C291" s="113" t="n"/>
      <c r="D291" s="113" t="n"/>
      <c r="E291" s="113" t="n"/>
    </row>
    <row r="292" ht="15" customHeight="1" s="66">
      <c r="A292" s="113" t="n"/>
      <c r="B292" s="113" t="n"/>
      <c r="C292" s="113" t="n"/>
      <c r="D292" s="113" t="n"/>
      <c r="E292" s="113" t="n"/>
    </row>
    <row r="293" ht="15" customHeight="1" s="66">
      <c r="A293" s="113" t="n"/>
      <c r="B293" s="113" t="n"/>
      <c r="C293" s="113" t="n"/>
      <c r="D293" s="113" t="n"/>
      <c r="E293" s="113" t="n"/>
    </row>
    <row r="294" ht="15" customHeight="1" s="66">
      <c r="A294" s="113" t="n"/>
      <c r="B294" s="113" t="n"/>
      <c r="C294" s="113" t="n"/>
      <c r="D294" s="113" t="n"/>
      <c r="E294" s="113" t="n"/>
    </row>
    <row r="295" ht="15" customHeight="1" s="66">
      <c r="A295" s="113" t="n"/>
      <c r="B295" s="113" t="n"/>
      <c r="C295" s="113" t="n"/>
      <c r="D295" s="113" t="n"/>
      <c r="E295" s="113" t="n"/>
    </row>
    <row r="296" ht="15" customHeight="1" s="66">
      <c r="A296" s="113" t="n"/>
      <c r="B296" s="113" t="n"/>
      <c r="C296" s="113" t="n"/>
      <c r="D296" s="113" t="n"/>
      <c r="E296" s="113" t="n"/>
    </row>
    <row r="297" ht="15" customHeight="1" s="66">
      <c r="A297" s="113" t="n"/>
      <c r="B297" s="113" t="n"/>
      <c r="C297" s="113" t="n"/>
      <c r="D297" s="113" t="n"/>
      <c r="E297" s="113" t="n"/>
    </row>
    <row r="298" ht="15" customHeight="1" s="66">
      <c r="A298" s="113" t="n"/>
      <c r="B298" s="113" t="n"/>
      <c r="C298" s="113" t="n"/>
      <c r="D298" s="113" t="n"/>
      <c r="E298" s="113" t="n"/>
    </row>
    <row r="299" ht="15" customHeight="1" s="66">
      <c r="A299" s="113" t="n"/>
      <c r="B299" s="113" t="n"/>
      <c r="C299" s="113" t="n"/>
      <c r="D299" s="113" t="n"/>
      <c r="E299" s="113" t="n"/>
    </row>
    <row r="300" ht="15" customHeight="1" s="66">
      <c r="A300" s="113" t="n"/>
      <c r="B300" s="113" t="n"/>
      <c r="C300" s="113" t="n"/>
      <c r="D300" s="113" t="n"/>
      <c r="E300" s="113" t="n"/>
    </row>
    <row r="301" ht="15" customHeight="1" s="66">
      <c r="A301" s="113" t="n"/>
      <c r="B301" s="113" t="n"/>
      <c r="C301" s="113" t="n"/>
      <c r="D301" s="113" t="n"/>
      <c r="E301" s="113" t="n"/>
    </row>
    <row r="302" ht="15" customHeight="1" s="66">
      <c r="A302" s="113" t="n"/>
      <c r="B302" s="113" t="n"/>
      <c r="C302" s="113" t="n"/>
      <c r="D302" s="113" t="n"/>
      <c r="E302" s="113" t="n"/>
    </row>
    <row r="303" ht="15" customHeight="1" s="66">
      <c r="A303" s="113" t="n"/>
      <c r="B303" s="113" t="n"/>
      <c r="C303" s="113" t="n"/>
      <c r="D303" s="113" t="n"/>
      <c r="E303" s="113" t="n"/>
    </row>
    <row r="304" ht="15" customHeight="1" s="66">
      <c r="A304" s="113" t="n"/>
      <c r="B304" s="113" t="n"/>
      <c r="C304" s="113" t="n"/>
      <c r="D304" s="113" t="n"/>
      <c r="E304" s="113" t="n"/>
    </row>
    <row r="305" ht="15" customHeight="1" s="66">
      <c r="A305" s="113" t="n"/>
      <c r="B305" s="113" t="n"/>
      <c r="C305" s="113" t="n"/>
      <c r="D305" s="113" t="n"/>
      <c r="E305" s="113" t="n"/>
    </row>
    <row r="306" ht="15" customHeight="1" s="66">
      <c r="A306" s="113" t="n"/>
      <c r="B306" s="113" t="n"/>
      <c r="C306" s="113" t="n"/>
      <c r="D306" s="113" t="n"/>
      <c r="E306" s="113" t="n"/>
    </row>
    <row r="307" ht="15" customHeight="1" s="66">
      <c r="A307" s="113" t="n"/>
      <c r="B307" s="113" t="n"/>
      <c r="C307" s="113" t="n"/>
      <c r="D307" s="113" t="n"/>
      <c r="E307" s="113" t="n"/>
    </row>
    <row r="308" ht="15" customHeight="1" s="66">
      <c r="A308" s="113" t="n"/>
      <c r="B308" s="113" t="n"/>
      <c r="C308" s="113" t="n"/>
      <c r="D308" s="113" t="n"/>
      <c r="E308" s="113" t="n"/>
    </row>
    <row r="309" ht="15" customHeight="1" s="66">
      <c r="A309" s="113" t="n"/>
      <c r="B309" s="113" t="n"/>
      <c r="C309" s="113" t="n"/>
      <c r="D309" s="113" t="n"/>
      <c r="E309" s="113" t="n"/>
    </row>
    <row r="310" ht="15" customHeight="1" s="66">
      <c r="A310" s="113" t="n"/>
      <c r="B310" s="113" t="n"/>
      <c r="C310" s="113" t="n"/>
      <c r="D310" s="113" t="n"/>
      <c r="E310" s="113" t="n"/>
    </row>
    <row r="311" ht="15" customHeight="1" s="66">
      <c r="A311" s="113" t="n"/>
      <c r="B311" s="113" t="n"/>
      <c r="C311" s="113" t="n"/>
      <c r="D311" s="113" t="n"/>
      <c r="E311" s="113" t="n"/>
    </row>
    <row r="312" ht="15" customHeight="1" s="66">
      <c r="A312" s="113" t="n"/>
      <c r="B312" s="113" t="n"/>
      <c r="C312" s="113" t="n"/>
      <c r="D312" s="113" t="n"/>
      <c r="E312" s="113" t="n"/>
    </row>
    <row r="313" ht="15" customHeight="1" s="66">
      <c r="A313" s="113" t="n"/>
      <c r="B313" s="113" t="n"/>
      <c r="C313" s="113" t="n"/>
      <c r="D313" s="113" t="n"/>
      <c r="E313" s="113" t="n"/>
    </row>
    <row r="314" ht="15" customHeight="1" s="66">
      <c r="A314" s="113" t="n"/>
      <c r="B314" s="113" t="n"/>
      <c r="C314" s="113" t="n"/>
      <c r="D314" s="113" t="n"/>
      <c r="E314" s="113" t="n"/>
    </row>
    <row r="315" ht="15" customHeight="1" s="66">
      <c r="A315" s="113" t="n"/>
      <c r="B315" s="113" t="n"/>
      <c r="C315" s="113" t="n"/>
      <c r="D315" s="113" t="n"/>
      <c r="E315" s="113" t="n"/>
    </row>
    <row r="316" ht="15" customHeight="1" s="66">
      <c r="A316" s="113" t="n"/>
      <c r="B316" s="113" t="n"/>
      <c r="C316" s="113" t="n"/>
      <c r="D316" s="113" t="n"/>
      <c r="E316" s="113" t="n"/>
    </row>
    <row r="317" ht="15" customHeight="1" s="66">
      <c r="A317" s="113" t="n"/>
      <c r="B317" s="113" t="n"/>
      <c r="C317" s="113" t="n"/>
      <c r="D317" s="113" t="n"/>
      <c r="E317" s="113" t="n"/>
    </row>
    <row r="318" ht="15" customHeight="1" s="66">
      <c r="A318" s="113" t="n"/>
      <c r="B318" s="113" t="n"/>
      <c r="C318" s="113" t="n"/>
      <c r="D318" s="113" t="n"/>
      <c r="E318" s="113" t="n"/>
    </row>
    <row r="319" ht="15" customHeight="1" s="66">
      <c r="A319" s="113" t="n"/>
      <c r="B319" s="113" t="n"/>
      <c r="C319" s="113" t="n"/>
      <c r="D319" s="113" t="n"/>
      <c r="E319" s="113" t="n"/>
    </row>
    <row r="320" ht="15" customHeight="1" s="66">
      <c r="A320" s="113" t="n"/>
      <c r="B320" s="113" t="n"/>
      <c r="C320" s="113" t="n"/>
      <c r="D320" s="113" t="n"/>
      <c r="E320" s="113" t="n"/>
    </row>
    <row r="321" ht="15" customHeight="1" s="66">
      <c r="A321" s="113" t="n"/>
      <c r="B321" s="113" t="n"/>
      <c r="C321" s="113" t="n"/>
      <c r="D321" s="113" t="n"/>
      <c r="E321" s="113" t="n"/>
    </row>
    <row r="322" ht="15" customHeight="1" s="66">
      <c r="A322" s="113" t="n"/>
      <c r="B322" s="113" t="n"/>
      <c r="C322" s="113" t="n"/>
      <c r="D322" s="113" t="n"/>
      <c r="E322" s="113" t="n"/>
    </row>
    <row r="323" ht="15" customHeight="1" s="66">
      <c r="A323" s="113" t="n"/>
      <c r="B323" s="113" t="n"/>
      <c r="C323" s="113" t="n"/>
      <c r="D323" s="113" t="n"/>
      <c r="E323" s="113" t="n"/>
    </row>
    <row r="324" ht="15" customHeight="1" s="66">
      <c r="A324" s="113" t="n"/>
      <c r="B324" s="113" t="n"/>
      <c r="C324" s="113" t="n"/>
      <c r="D324" s="113" t="n"/>
      <c r="E324" s="113" t="n"/>
    </row>
    <row r="325" ht="15" customHeight="1" s="66">
      <c r="A325" s="113" t="n"/>
      <c r="B325" s="113" t="n"/>
      <c r="C325" s="113" t="n"/>
      <c r="D325" s="113" t="n"/>
      <c r="E325" s="113" t="n"/>
    </row>
    <row r="326" ht="15" customHeight="1" s="66">
      <c r="A326" s="113" t="n"/>
      <c r="B326" s="113" t="n"/>
      <c r="C326" s="113" t="n"/>
      <c r="D326" s="113" t="n"/>
      <c r="E326" s="113" t="n"/>
    </row>
    <row r="327" ht="15" customHeight="1" s="66">
      <c r="A327" s="113" t="n"/>
      <c r="B327" s="113" t="n"/>
      <c r="C327" s="113" t="n"/>
      <c r="D327" s="113" t="n"/>
      <c r="E327" s="113" t="n"/>
    </row>
    <row r="328" ht="15" customHeight="1" s="66">
      <c r="A328" s="113" t="n"/>
      <c r="B328" s="113" t="n"/>
      <c r="C328" s="113" t="n"/>
      <c r="D328" s="113" t="n"/>
      <c r="E328" s="113" t="n"/>
    </row>
    <row r="329" ht="15" customHeight="1" s="66">
      <c r="A329" s="113" t="n"/>
      <c r="B329" s="113" t="n"/>
      <c r="C329" s="113" t="n"/>
      <c r="D329" s="113" t="n"/>
      <c r="E329" s="113" t="n"/>
    </row>
    <row r="330" ht="15" customHeight="1" s="66">
      <c r="A330" s="113" t="n"/>
      <c r="B330" s="113" t="n"/>
      <c r="C330" s="113" t="n"/>
      <c r="D330" s="113" t="n"/>
      <c r="E330" s="113" t="n"/>
    </row>
    <row r="331" ht="15" customHeight="1" s="66">
      <c r="A331" s="113" t="n"/>
      <c r="B331" s="113" t="n"/>
      <c r="C331" s="113" t="n"/>
      <c r="D331" s="113" t="n"/>
      <c r="E331" s="113" t="n"/>
    </row>
    <row r="332" ht="15" customHeight="1" s="66">
      <c r="A332" s="113" t="n"/>
      <c r="B332" s="113" t="n"/>
      <c r="C332" s="113" t="n"/>
      <c r="D332" s="113" t="n"/>
      <c r="E332" s="113" t="n"/>
    </row>
    <row r="333" ht="15" customHeight="1" s="66">
      <c r="A333" s="113" t="n"/>
      <c r="B333" s="113" t="n"/>
      <c r="C333" s="113" t="n"/>
      <c r="D333" s="113" t="n"/>
      <c r="E333" s="113" t="n"/>
    </row>
    <row r="334" ht="15" customHeight="1" s="66">
      <c r="A334" s="113" t="n"/>
      <c r="B334" s="113" t="n"/>
      <c r="C334" s="113" t="n"/>
      <c r="D334" s="113" t="n"/>
      <c r="E334" s="113" t="n"/>
    </row>
    <row r="335" ht="15" customHeight="1" s="66">
      <c r="A335" s="113" t="n"/>
      <c r="B335" s="113" t="n"/>
      <c r="C335" s="113" t="n"/>
      <c r="D335" s="113" t="n"/>
      <c r="E335" s="113" t="n"/>
    </row>
    <row r="336" ht="15" customHeight="1" s="66">
      <c r="A336" s="113" t="n"/>
      <c r="B336" s="113" t="n"/>
      <c r="C336" s="113" t="n"/>
      <c r="D336" s="113" t="n"/>
      <c r="E336" s="113" t="n"/>
    </row>
    <row r="337" ht="15" customHeight="1" s="66">
      <c r="A337" s="113" t="n"/>
      <c r="B337" s="113" t="n"/>
      <c r="C337" s="113" t="n"/>
      <c r="D337" s="113" t="n"/>
      <c r="E337" s="113" t="n"/>
    </row>
    <row r="338" ht="15" customHeight="1" s="66">
      <c r="A338" s="113" t="n"/>
      <c r="B338" s="113" t="n"/>
      <c r="C338" s="113" t="n"/>
      <c r="D338" s="113" t="n"/>
      <c r="E338" s="113" t="n"/>
    </row>
    <row r="339" ht="15" customHeight="1" s="66">
      <c r="A339" s="113" t="n"/>
      <c r="B339" s="113" t="n"/>
      <c r="C339" s="113" t="n"/>
      <c r="D339" s="113" t="n"/>
      <c r="E339" s="113" t="n"/>
    </row>
    <row r="340" ht="15" customHeight="1" s="66">
      <c r="A340" s="113" t="n"/>
      <c r="B340" s="113" t="n"/>
      <c r="C340" s="113" t="n"/>
      <c r="D340" s="113" t="n"/>
      <c r="E340" s="113" t="n"/>
    </row>
    <row r="341" ht="15" customHeight="1" s="66">
      <c r="A341" s="113" t="n"/>
      <c r="B341" s="113" t="n"/>
      <c r="C341" s="113" t="n"/>
      <c r="D341" s="113" t="n"/>
      <c r="E341" s="113" t="n"/>
    </row>
    <row r="342" ht="15" customHeight="1" s="66">
      <c r="A342" s="113" t="n"/>
      <c r="B342" s="113" t="n"/>
      <c r="C342" s="113" t="n"/>
      <c r="D342" s="113" t="n"/>
      <c r="E342" s="113" t="n"/>
    </row>
    <row r="343" ht="15" customHeight="1" s="66">
      <c r="A343" s="113" t="n"/>
      <c r="B343" s="113" t="n"/>
      <c r="C343" s="113" t="n"/>
      <c r="D343" s="113" t="n"/>
      <c r="E343" s="113" t="n"/>
    </row>
    <row r="344" ht="15" customHeight="1" s="66">
      <c r="A344" s="113" t="n"/>
      <c r="B344" s="113" t="n"/>
      <c r="C344" s="113" t="n"/>
      <c r="D344" s="113" t="n"/>
      <c r="E344" s="113" t="n"/>
    </row>
    <row r="345" ht="15" customHeight="1" s="66">
      <c r="A345" s="113" t="n"/>
      <c r="B345" s="113" t="n"/>
      <c r="C345" s="113" t="n"/>
      <c r="D345" s="113" t="n"/>
      <c r="E345" s="113" t="n"/>
    </row>
    <row r="346" ht="15" customHeight="1" s="66">
      <c r="A346" s="113" t="n"/>
      <c r="B346" s="113" t="n"/>
      <c r="C346" s="113" t="n"/>
      <c r="D346" s="113" t="n"/>
      <c r="E346" s="113" t="n"/>
    </row>
    <row r="347" ht="15" customHeight="1" s="66">
      <c r="A347" s="113" t="n"/>
      <c r="B347" s="113" t="n"/>
      <c r="C347" s="113" t="n"/>
      <c r="D347" s="113" t="n"/>
      <c r="E347" s="113" t="n"/>
    </row>
    <row r="348" ht="15" customHeight="1" s="66">
      <c r="A348" s="113" t="n"/>
      <c r="B348" s="113" t="n"/>
      <c r="C348" s="113" t="n"/>
      <c r="D348" s="113" t="n"/>
      <c r="E348" s="113" t="n"/>
    </row>
    <row r="349" ht="15" customHeight="1" s="66">
      <c r="A349" s="113" t="n"/>
      <c r="B349" s="113" t="n"/>
      <c r="C349" s="113" t="n"/>
      <c r="D349" s="113" t="n"/>
      <c r="E349" s="113" t="n"/>
    </row>
    <row r="350" ht="15" customHeight="1" s="66">
      <c r="A350" s="113" t="n"/>
      <c r="B350" s="113" t="n"/>
      <c r="C350" s="113" t="n"/>
      <c r="D350" s="113" t="n"/>
      <c r="E350" s="113" t="n"/>
    </row>
    <row r="351" ht="15" customHeight="1" s="66">
      <c r="A351" s="113" t="n"/>
      <c r="B351" s="113" t="n"/>
      <c r="C351" s="113" t="n"/>
      <c r="D351" s="113" t="n"/>
      <c r="E351" s="113" t="n"/>
    </row>
    <row r="352" ht="15" customHeight="1" s="66">
      <c r="A352" s="113" t="n"/>
      <c r="B352" s="113" t="n"/>
      <c r="C352" s="113" t="n"/>
      <c r="D352" s="113" t="n"/>
      <c r="E352" s="113" t="n"/>
    </row>
    <row r="353" ht="15" customHeight="1" s="66">
      <c r="A353" s="113" t="n"/>
      <c r="B353" s="113" t="n"/>
      <c r="C353" s="113" t="n"/>
      <c r="D353" s="113" t="n"/>
      <c r="E353" s="113" t="n"/>
    </row>
    <row r="354" ht="15" customHeight="1" s="66">
      <c r="A354" s="113" t="n"/>
      <c r="B354" s="113" t="n"/>
      <c r="C354" s="113" t="n"/>
      <c r="D354" s="113" t="n"/>
      <c r="E354" s="113" t="n"/>
    </row>
    <row r="355" ht="15" customHeight="1" s="66">
      <c r="A355" s="113" t="n"/>
      <c r="B355" s="113" t="n"/>
      <c r="C355" s="113" t="n"/>
      <c r="D355" s="113" t="n"/>
      <c r="E355" s="113" t="n"/>
    </row>
    <row r="356" ht="15" customHeight="1" s="66">
      <c r="A356" s="113" t="n"/>
      <c r="B356" s="113" t="n"/>
      <c r="C356" s="113" t="n"/>
      <c r="D356" s="113" t="n"/>
      <c r="E356" s="113" t="n"/>
    </row>
    <row r="357" ht="15" customHeight="1" s="66">
      <c r="A357" s="113" t="n"/>
      <c r="B357" s="113" t="n"/>
      <c r="C357" s="113" t="n"/>
      <c r="D357" s="113" t="n"/>
      <c r="E357" s="113" t="n"/>
    </row>
    <row r="358" ht="15" customHeight="1" s="66">
      <c r="A358" s="113" t="n"/>
      <c r="B358" s="113" t="n"/>
      <c r="C358" s="113" t="n"/>
      <c r="D358" s="113" t="n"/>
      <c r="E358" s="113" t="n"/>
    </row>
    <row r="359" ht="15" customHeight="1" s="66">
      <c r="A359" s="113" t="n"/>
      <c r="B359" s="113" t="n"/>
      <c r="C359" s="113" t="n"/>
      <c r="D359" s="113" t="n"/>
      <c r="E359" s="113" t="n"/>
    </row>
    <row r="360" ht="15" customHeight="1" s="66">
      <c r="A360" s="113" t="n"/>
      <c r="B360" s="113" t="n"/>
      <c r="C360" s="113" t="n"/>
      <c r="D360" s="113" t="n"/>
      <c r="E360" s="113" t="n"/>
    </row>
    <row r="361" ht="15" customHeight="1" s="66">
      <c r="A361" s="113" t="n"/>
      <c r="B361" s="113" t="n"/>
      <c r="C361" s="113" t="n"/>
      <c r="D361" s="113" t="n"/>
      <c r="E361" s="113" t="n"/>
    </row>
    <row r="362" ht="15" customHeight="1" s="66">
      <c r="A362" s="113" t="n"/>
      <c r="B362" s="113" t="n"/>
      <c r="C362" s="113" t="n"/>
      <c r="D362" s="113" t="n"/>
      <c r="E362" s="113" t="n"/>
    </row>
    <row r="363" ht="15" customHeight="1" s="66">
      <c r="A363" s="113" t="n"/>
      <c r="B363" s="113" t="n"/>
      <c r="C363" s="113" t="n"/>
      <c r="D363" s="113" t="n"/>
      <c r="E363" s="113" t="n"/>
    </row>
    <row r="364" ht="15" customHeight="1" s="66">
      <c r="A364" s="113" t="n"/>
      <c r="B364" s="113" t="n"/>
      <c r="C364" s="113" t="n"/>
      <c r="D364" s="113" t="n"/>
      <c r="E364" s="113" t="n"/>
    </row>
    <row r="365" ht="15" customHeight="1" s="66">
      <c r="A365" s="113" t="n"/>
      <c r="B365" s="113" t="n"/>
      <c r="C365" s="113" t="n"/>
      <c r="D365" s="113" t="n"/>
      <c r="E365" s="113" t="n"/>
    </row>
    <row r="366" ht="15" customHeight="1" s="66">
      <c r="A366" s="113" t="n"/>
      <c r="B366" s="113" t="n"/>
      <c r="C366" s="113" t="n"/>
      <c r="D366" s="113" t="n"/>
      <c r="E366" s="113" t="n"/>
    </row>
    <row r="367" ht="15" customHeight="1" s="66">
      <c r="A367" s="113" t="n"/>
      <c r="B367" s="113" t="n"/>
      <c r="C367" s="113" t="n"/>
      <c r="D367" s="113" t="n"/>
      <c r="E367" s="113" t="n"/>
    </row>
    <row r="368" ht="15" customHeight="1" s="66">
      <c r="A368" s="113" t="n"/>
      <c r="B368" s="113" t="n"/>
      <c r="C368" s="113" t="n"/>
      <c r="D368" s="113" t="n"/>
      <c r="E368" s="113" t="n"/>
    </row>
    <row r="369" ht="15" customHeight="1" s="66">
      <c r="A369" s="113" t="n"/>
      <c r="B369" s="113" t="n"/>
      <c r="C369" s="113" t="n"/>
      <c r="D369" s="113" t="n"/>
      <c r="E369" s="113" t="n"/>
    </row>
    <row r="370" ht="15" customHeight="1" s="66">
      <c r="A370" s="113" t="n"/>
      <c r="B370" s="113" t="n"/>
      <c r="C370" s="113" t="n"/>
      <c r="D370" s="113" t="n"/>
      <c r="E370" s="113" t="n"/>
    </row>
    <row r="371" ht="15" customHeight="1" s="66">
      <c r="A371" s="113" t="n"/>
      <c r="B371" s="113" t="n"/>
      <c r="C371" s="113" t="n"/>
      <c r="D371" s="113" t="n"/>
      <c r="E371" s="113" t="n"/>
    </row>
    <row r="372" ht="15" customHeight="1" s="66">
      <c r="A372" s="113" t="n"/>
      <c r="B372" s="113" t="n"/>
      <c r="C372" s="113" t="n"/>
      <c r="D372" s="113" t="n"/>
      <c r="E372" s="113" t="n"/>
    </row>
    <row r="373" ht="15" customHeight="1" s="66">
      <c r="A373" s="113" t="n"/>
      <c r="B373" s="113" t="n"/>
      <c r="C373" s="113" t="n"/>
      <c r="D373" s="113" t="n"/>
      <c r="E373" s="113" t="n"/>
    </row>
    <row r="374" ht="15" customHeight="1" s="66">
      <c r="A374" s="113" t="n"/>
      <c r="B374" s="113" t="n"/>
      <c r="C374" s="113" t="n"/>
      <c r="D374" s="113" t="n"/>
      <c r="E374" s="113" t="n"/>
    </row>
    <row r="375" ht="15" customHeight="1" s="66">
      <c r="A375" s="113" t="n"/>
      <c r="B375" s="113" t="n"/>
      <c r="C375" s="113" t="n"/>
      <c r="D375" s="113" t="n"/>
      <c r="E375" s="113" t="n"/>
    </row>
    <row r="376" ht="15" customHeight="1" s="66">
      <c r="A376" s="113" t="n"/>
      <c r="B376" s="113" t="n"/>
      <c r="C376" s="113" t="n"/>
      <c r="D376" s="113" t="n"/>
      <c r="E376" s="113" t="n"/>
    </row>
    <row r="377" ht="15" customHeight="1" s="66">
      <c r="A377" s="113" t="n"/>
      <c r="B377" s="113" t="n"/>
      <c r="C377" s="113" t="n"/>
      <c r="D377" s="113" t="n"/>
      <c r="E377" s="113" t="n"/>
    </row>
    <row r="378" ht="15" customHeight="1" s="66">
      <c r="A378" s="113" t="n"/>
      <c r="B378" s="113" t="n"/>
      <c r="C378" s="113" t="n"/>
      <c r="D378" s="113" t="n"/>
      <c r="E378" s="113" t="n"/>
    </row>
    <row r="379" ht="15" customHeight="1" s="66">
      <c r="A379" s="113" t="n"/>
      <c r="B379" s="113" t="n"/>
      <c r="C379" s="113" t="n"/>
      <c r="D379" s="113" t="n"/>
      <c r="E379" s="113" t="n"/>
    </row>
    <row r="380" ht="15" customHeight="1" s="66">
      <c r="A380" s="113" t="n"/>
      <c r="B380" s="113" t="n"/>
      <c r="C380" s="113" t="n"/>
      <c r="D380" s="113" t="n"/>
      <c r="E380" s="113" t="n"/>
    </row>
    <row r="381" ht="15" customHeight="1" s="66">
      <c r="A381" s="113" t="n"/>
      <c r="B381" s="113" t="n"/>
      <c r="C381" s="113" t="n"/>
      <c r="D381" s="113" t="n"/>
      <c r="E381" s="113" t="n"/>
    </row>
    <row r="382" ht="15" customHeight="1" s="66">
      <c r="A382" s="113" t="n"/>
      <c r="B382" s="113" t="n"/>
      <c r="C382" s="113" t="n"/>
      <c r="D382" s="113" t="n"/>
      <c r="E382" s="113" t="n"/>
    </row>
    <row r="383" ht="15" customHeight="1" s="66">
      <c r="A383" s="113" t="n"/>
      <c r="B383" s="113" t="n"/>
      <c r="C383" s="113" t="n"/>
      <c r="D383" s="113" t="n"/>
      <c r="E383" s="113" t="n"/>
    </row>
    <row r="384" ht="15" customHeight="1" s="66">
      <c r="A384" s="113" t="n"/>
      <c r="B384" s="113" t="n"/>
      <c r="C384" s="113" t="n"/>
      <c r="D384" s="113" t="n"/>
      <c r="E384" s="113" t="n"/>
    </row>
    <row r="385" ht="15" customHeight="1" s="66">
      <c r="A385" s="113" t="n"/>
      <c r="B385" s="113" t="n"/>
      <c r="C385" s="113" t="n"/>
      <c r="D385" s="113" t="n"/>
      <c r="E385" s="113" t="n"/>
    </row>
    <row r="386" ht="15" customHeight="1" s="66">
      <c r="A386" s="113" t="n"/>
      <c r="B386" s="113" t="n"/>
      <c r="C386" s="113" t="n"/>
      <c r="D386" s="113" t="n"/>
      <c r="E386" s="113" t="n"/>
    </row>
    <row r="387" ht="15" customHeight="1" s="66">
      <c r="A387" s="113" t="n"/>
      <c r="B387" s="113" t="n"/>
      <c r="C387" s="113" t="n"/>
      <c r="D387" s="113" t="n"/>
      <c r="E387" s="113" t="n"/>
    </row>
    <row r="388" ht="15" customHeight="1" s="66">
      <c r="A388" s="113" t="n"/>
      <c r="B388" s="113" t="n"/>
      <c r="C388" s="113" t="n"/>
      <c r="D388" s="113" t="n"/>
      <c r="E388" s="113" t="n"/>
    </row>
    <row r="389" ht="15" customHeight="1" s="66">
      <c r="A389" s="113" t="n"/>
      <c r="B389" s="113" t="n"/>
      <c r="C389" s="113" t="n"/>
      <c r="D389" s="113" t="n"/>
      <c r="E389" s="113" t="n"/>
    </row>
    <row r="390" ht="15" customHeight="1" s="66">
      <c r="A390" s="113" t="n"/>
      <c r="B390" s="113" t="n"/>
      <c r="C390" s="113" t="n"/>
      <c r="D390" s="113" t="n"/>
      <c r="E390" s="113" t="n"/>
    </row>
    <row r="391" ht="15" customHeight="1" s="66">
      <c r="A391" s="113" t="n"/>
      <c r="B391" s="113" t="n"/>
      <c r="C391" s="113" t="n"/>
      <c r="D391" s="113" t="n"/>
      <c r="E391" s="113" t="n"/>
    </row>
    <row r="392" ht="15" customHeight="1" s="66">
      <c r="A392" s="113" t="n"/>
      <c r="B392" s="113" t="n"/>
      <c r="C392" s="113" t="n"/>
      <c r="D392" s="113" t="n"/>
      <c r="E392" s="113" t="n"/>
    </row>
    <row r="393" ht="15" customHeight="1" s="66">
      <c r="A393" s="113" t="n"/>
      <c r="B393" s="113" t="n"/>
      <c r="C393" s="113" t="n"/>
      <c r="D393" s="113" t="n"/>
      <c r="E393" s="113" t="n"/>
    </row>
    <row r="394" ht="15" customHeight="1" s="66">
      <c r="A394" s="113" t="n"/>
      <c r="B394" s="113" t="n"/>
      <c r="C394" s="113" t="n"/>
      <c r="D394" s="113" t="n"/>
      <c r="E394" s="113" t="n"/>
    </row>
    <row r="395" ht="15" customHeight="1" s="66">
      <c r="A395" s="113" t="n"/>
      <c r="B395" s="113" t="n"/>
      <c r="C395" s="113" t="n"/>
      <c r="D395" s="113" t="n"/>
      <c r="E395" s="113" t="n"/>
    </row>
    <row r="396" ht="15" customHeight="1" s="66">
      <c r="A396" s="113" t="n"/>
      <c r="B396" s="113" t="n"/>
      <c r="C396" s="113" t="n"/>
      <c r="D396" s="113" t="n"/>
      <c r="E396" s="113" t="n"/>
    </row>
    <row r="397" ht="15" customHeight="1" s="66">
      <c r="A397" s="113" t="n"/>
      <c r="B397" s="113" t="n"/>
      <c r="C397" s="113" t="n"/>
      <c r="D397" s="113" t="n"/>
      <c r="E397" s="113" t="n"/>
    </row>
    <row r="398" ht="15" customHeight="1" s="66">
      <c r="A398" s="113" t="n"/>
      <c r="B398" s="113" t="n"/>
      <c r="C398" s="113" t="n"/>
      <c r="D398" s="113" t="n"/>
      <c r="E398" s="113" t="n"/>
    </row>
    <row r="399" ht="15" customHeight="1" s="66">
      <c r="A399" s="113" t="n"/>
      <c r="B399" s="113" t="n"/>
      <c r="C399" s="113" t="n"/>
      <c r="D399" s="113" t="n"/>
      <c r="E399" s="113" t="n"/>
    </row>
    <row r="400" ht="15" customHeight="1" s="66">
      <c r="A400" s="113" t="n"/>
      <c r="B400" s="113" t="n"/>
      <c r="C400" s="113" t="n"/>
      <c r="D400" s="113" t="n"/>
      <c r="E400" s="113" t="n"/>
    </row>
    <row r="401" ht="15" customHeight="1" s="66">
      <c r="A401" s="113" t="n"/>
      <c r="B401" s="113" t="n"/>
      <c r="C401" s="113" t="n"/>
      <c r="D401" s="113" t="n"/>
      <c r="E401" s="113" t="n"/>
    </row>
    <row r="402" ht="15" customHeight="1" s="66">
      <c r="A402" s="113" t="n"/>
      <c r="B402" s="113" t="n"/>
      <c r="C402" s="113" t="n"/>
      <c r="D402" s="113" t="n"/>
      <c r="E402" s="113" t="n"/>
    </row>
    <row r="403" ht="15" customHeight="1" s="66">
      <c r="A403" s="113" t="n"/>
      <c r="B403" s="113" t="n"/>
      <c r="C403" s="113" t="n"/>
      <c r="D403" s="113" t="n"/>
      <c r="E403" s="113" t="n"/>
    </row>
    <row r="404" ht="15" customHeight="1" s="66">
      <c r="A404" s="113" t="n"/>
      <c r="B404" s="113" t="n"/>
      <c r="C404" s="113" t="n"/>
      <c r="D404" s="113" t="n"/>
      <c r="E404" s="113" t="n"/>
    </row>
    <row r="405" ht="15" customHeight="1" s="66">
      <c r="A405" s="113" t="n"/>
      <c r="B405" s="113" t="n"/>
      <c r="C405" s="113" t="n"/>
      <c r="D405" s="113" t="n"/>
      <c r="E405" s="113" t="n"/>
    </row>
    <row r="406" ht="15" customHeight="1" s="66">
      <c r="A406" s="113" t="n"/>
      <c r="B406" s="113" t="n"/>
      <c r="C406" s="113" t="n"/>
      <c r="D406" s="113" t="n"/>
      <c r="E406" s="113" t="n"/>
    </row>
    <row r="407" ht="15" customHeight="1" s="66">
      <c r="A407" s="113" t="n"/>
      <c r="B407" s="113" t="n"/>
      <c r="C407" s="113" t="n"/>
      <c r="D407" s="113" t="n"/>
      <c r="E407" s="113" t="n"/>
    </row>
    <row r="408" ht="15" customHeight="1" s="66">
      <c r="A408" s="113" t="n"/>
      <c r="B408" s="113" t="n"/>
      <c r="C408" s="113" t="n"/>
      <c r="D408" s="113" t="n"/>
      <c r="E408" s="113" t="n"/>
    </row>
    <row r="409" ht="15" customHeight="1" s="66">
      <c r="A409" s="113" t="n"/>
      <c r="B409" s="113" t="n"/>
      <c r="C409" s="113" t="n"/>
      <c r="D409" s="113" t="n"/>
      <c r="E409" s="113" t="n"/>
    </row>
    <row r="410" ht="15" customHeight="1" s="66">
      <c r="A410" s="113" t="n"/>
      <c r="B410" s="113" t="n"/>
      <c r="C410" s="113" t="n"/>
      <c r="D410" s="113" t="n"/>
      <c r="E410" s="113" t="n"/>
    </row>
    <row r="411" ht="15" customHeight="1" s="66">
      <c r="A411" s="113" t="n"/>
      <c r="B411" s="113" t="n"/>
      <c r="C411" s="113" t="n"/>
      <c r="D411" s="113" t="n"/>
      <c r="E411" s="113" t="n"/>
    </row>
    <row r="412" ht="15" customHeight="1" s="66">
      <c r="A412" s="113" t="n"/>
      <c r="B412" s="113" t="n"/>
      <c r="C412" s="113" t="n"/>
      <c r="D412" s="113" t="n"/>
      <c r="E412" s="113" t="n"/>
    </row>
    <row r="413" ht="15" customHeight="1" s="66">
      <c r="A413" s="113" t="n"/>
      <c r="B413" s="113" t="n"/>
      <c r="C413" s="113" t="n"/>
      <c r="D413" s="113" t="n"/>
      <c r="E413" s="113" t="n"/>
    </row>
    <row r="414" ht="15" customHeight="1" s="66">
      <c r="A414" s="113" t="n"/>
      <c r="B414" s="113" t="n"/>
      <c r="C414" s="113" t="n"/>
      <c r="D414" s="113" t="n"/>
      <c r="E414" s="113" t="n"/>
    </row>
    <row r="415" ht="15" customHeight="1" s="66">
      <c r="A415" s="113" t="n"/>
      <c r="B415" s="113" t="n"/>
      <c r="C415" s="113" t="n"/>
      <c r="D415" s="113" t="n"/>
      <c r="E415" s="113" t="n"/>
    </row>
    <row r="416" ht="15" customHeight="1" s="66">
      <c r="A416" s="113" t="n"/>
      <c r="B416" s="113" t="n"/>
      <c r="C416" s="113" t="n"/>
      <c r="D416" s="113" t="n"/>
      <c r="E416" s="113" t="n"/>
    </row>
    <row r="417" ht="15" customHeight="1" s="66">
      <c r="A417" s="113" t="n"/>
      <c r="B417" s="113" t="n"/>
      <c r="C417" s="113" t="n"/>
      <c r="D417" s="113" t="n"/>
      <c r="E417" s="113" t="n"/>
    </row>
    <row r="418" ht="15" customHeight="1" s="66">
      <c r="A418" s="113" t="n"/>
      <c r="B418" s="113" t="n"/>
      <c r="C418" s="113" t="n"/>
      <c r="D418" s="113" t="n"/>
      <c r="E418" s="113" t="n"/>
    </row>
    <row r="419" ht="15" customHeight="1" s="66">
      <c r="A419" s="113" t="n"/>
      <c r="B419" s="113" t="n"/>
      <c r="C419" s="113" t="n"/>
      <c r="D419" s="113" t="n"/>
      <c r="E419" s="113" t="n"/>
    </row>
    <row r="420" ht="15" customHeight="1" s="66">
      <c r="A420" s="113" t="n"/>
      <c r="B420" s="113" t="n"/>
      <c r="C420" s="113" t="n"/>
      <c r="D420" s="113" t="n"/>
      <c r="E420" s="113" t="n"/>
    </row>
    <row r="421" ht="15" customHeight="1" s="66">
      <c r="A421" s="113" t="n"/>
      <c r="B421" s="113" t="n"/>
      <c r="C421" s="113" t="n"/>
      <c r="D421" s="113" t="n"/>
      <c r="E421" s="113" t="n"/>
    </row>
    <row r="422" ht="15" customHeight="1" s="66">
      <c r="A422" s="113" t="n"/>
      <c r="B422" s="113" t="n"/>
      <c r="C422" s="113" t="n"/>
      <c r="D422" s="113" t="n"/>
      <c r="E422" s="113" t="n"/>
    </row>
    <row r="423" ht="15" customHeight="1" s="66">
      <c r="A423" s="113" t="n"/>
      <c r="B423" s="113" t="n"/>
      <c r="C423" s="113" t="n"/>
      <c r="D423" s="113" t="n"/>
      <c r="E423" s="113" t="n"/>
    </row>
    <row r="424" ht="15" customHeight="1" s="66">
      <c r="A424" s="113" t="n"/>
      <c r="B424" s="113" t="n"/>
      <c r="C424" s="113" t="n"/>
      <c r="D424" s="113" t="n"/>
      <c r="E424" s="113" t="n"/>
    </row>
    <row r="425" ht="15" customHeight="1" s="66">
      <c r="A425" s="113" t="n"/>
      <c r="B425" s="113" t="n"/>
      <c r="C425" s="113" t="n"/>
      <c r="D425" s="113" t="n"/>
      <c r="E425" s="113" t="n"/>
    </row>
    <row r="426" ht="15" customHeight="1" s="66">
      <c r="A426" s="113" t="n"/>
      <c r="B426" s="113" t="n"/>
      <c r="C426" s="113" t="n"/>
      <c r="D426" s="113" t="n"/>
      <c r="E426" s="113" t="n"/>
    </row>
    <row r="427" ht="15" customHeight="1" s="66">
      <c r="A427" s="113" t="n"/>
      <c r="B427" s="113" t="n"/>
      <c r="C427" s="113" t="n"/>
      <c r="D427" s="113" t="n"/>
      <c r="E427" s="113" t="n"/>
    </row>
    <row r="428" ht="15" customHeight="1" s="66">
      <c r="A428" s="113" t="n"/>
      <c r="B428" s="113" t="n"/>
      <c r="C428" s="113" t="n"/>
      <c r="D428" s="113" t="n"/>
      <c r="E428" s="113" t="n"/>
    </row>
    <row r="429" ht="15" customHeight="1" s="66">
      <c r="A429" s="113" t="n"/>
      <c r="B429" s="113" t="n"/>
      <c r="C429" s="113" t="n"/>
      <c r="D429" s="113" t="n"/>
      <c r="E429" s="113" t="n"/>
    </row>
    <row r="430" ht="15" customHeight="1" s="66">
      <c r="A430" s="113" t="n"/>
      <c r="B430" s="113" t="n"/>
      <c r="C430" s="113" t="n"/>
      <c r="D430" s="113" t="n"/>
      <c r="E430" s="113" t="n"/>
    </row>
    <row r="431" ht="15" customHeight="1" s="66">
      <c r="A431" s="113" t="n"/>
      <c r="B431" s="113" t="n"/>
      <c r="C431" s="113" t="n"/>
      <c r="D431" s="113" t="n"/>
      <c r="E431" s="113" t="n"/>
    </row>
    <row r="432" ht="15" customHeight="1" s="66">
      <c r="A432" s="113" t="n"/>
      <c r="B432" s="113" t="n"/>
      <c r="C432" s="113" t="n"/>
      <c r="D432" s="113" t="n"/>
      <c r="E432" s="113" t="n"/>
    </row>
    <row r="433" ht="15" customHeight="1" s="66">
      <c r="A433" s="113" t="n"/>
      <c r="B433" s="113" t="n"/>
      <c r="C433" s="113" t="n"/>
      <c r="D433" s="113" t="n"/>
      <c r="E433" s="113" t="n"/>
    </row>
    <row r="434" ht="15" customHeight="1" s="66">
      <c r="A434" s="113" t="n"/>
      <c r="B434" s="113" t="n"/>
      <c r="C434" s="113" t="n"/>
      <c r="D434" s="113" t="n"/>
      <c r="E434" s="113" t="n"/>
    </row>
    <row r="435" ht="15" customHeight="1" s="66">
      <c r="A435" s="113" t="n"/>
      <c r="B435" s="113" t="n"/>
      <c r="C435" s="113" t="n"/>
      <c r="D435" s="113" t="n"/>
      <c r="E435" s="113" t="n"/>
    </row>
    <row r="436" ht="15" customHeight="1" s="66">
      <c r="A436" s="113" t="n"/>
      <c r="B436" s="113" t="n"/>
      <c r="C436" s="113" t="n"/>
      <c r="D436" s="113" t="n"/>
      <c r="E436" s="113" t="n"/>
    </row>
    <row r="437" ht="15" customHeight="1" s="66">
      <c r="A437" s="113" t="n"/>
      <c r="B437" s="113" t="n"/>
      <c r="C437" s="113" t="n"/>
      <c r="D437" s="113" t="n"/>
      <c r="E437" s="113" t="n"/>
    </row>
    <row r="438" ht="15" customHeight="1" s="66">
      <c r="A438" s="113" t="n"/>
      <c r="B438" s="113" t="n"/>
      <c r="C438" s="113" t="n"/>
      <c r="D438" s="113" t="n"/>
      <c r="E438" s="113" t="n"/>
    </row>
    <row r="439" ht="15" customHeight="1" s="66">
      <c r="A439" s="113" t="n"/>
      <c r="B439" s="113" t="n"/>
      <c r="C439" s="113" t="n"/>
      <c r="D439" s="113" t="n"/>
      <c r="E439" s="113" t="n"/>
    </row>
    <row r="440" ht="15" customHeight="1" s="66">
      <c r="A440" s="113" t="n"/>
      <c r="B440" s="113" t="n"/>
      <c r="C440" s="113" t="n"/>
      <c r="D440" s="113" t="n"/>
      <c r="E440" s="113" t="n"/>
    </row>
    <row r="441" ht="15" customHeight="1" s="66">
      <c r="A441" s="113" t="n"/>
      <c r="B441" s="113" t="n"/>
      <c r="C441" s="113" t="n"/>
      <c r="D441" s="113" t="n"/>
      <c r="E441" s="113" t="n"/>
    </row>
    <row r="442" ht="15" customHeight="1" s="66">
      <c r="A442" s="113" t="n"/>
      <c r="B442" s="113" t="n"/>
      <c r="C442" s="113" t="n"/>
      <c r="D442" s="113" t="n"/>
      <c r="E442" s="113" t="n"/>
    </row>
    <row r="443" ht="15" customHeight="1" s="66">
      <c r="A443" s="113" t="n"/>
      <c r="B443" s="113" t="n"/>
      <c r="C443" s="113" t="n"/>
      <c r="D443" s="113" t="n"/>
      <c r="E443" s="113" t="n"/>
    </row>
    <row r="444" ht="15" customHeight="1" s="66">
      <c r="A444" s="113" t="n"/>
      <c r="B444" s="113" t="n"/>
      <c r="C444" s="113" t="n"/>
      <c r="D444" s="113" t="n"/>
      <c r="E444" s="113" t="n"/>
    </row>
    <row r="445" ht="15" customHeight="1" s="66">
      <c r="A445" s="113" t="n"/>
      <c r="B445" s="113" t="n"/>
      <c r="C445" s="113" t="n"/>
      <c r="D445" s="113" t="n"/>
      <c r="E445" s="113" t="n"/>
    </row>
    <row r="446" ht="15" customHeight="1" s="66">
      <c r="A446" s="113" t="n"/>
      <c r="B446" s="113" t="n"/>
      <c r="C446" s="113" t="n"/>
      <c r="D446" s="113" t="n"/>
      <c r="E446" s="113" t="n"/>
    </row>
    <row r="447" ht="15" customHeight="1" s="66">
      <c r="A447" s="113" t="n"/>
      <c r="B447" s="113" t="n"/>
      <c r="C447" s="113" t="n"/>
      <c r="D447" s="113" t="n"/>
      <c r="E447" s="113" t="n"/>
    </row>
    <row r="448" ht="15" customHeight="1" s="66">
      <c r="A448" s="113" t="n"/>
      <c r="B448" s="113" t="n"/>
      <c r="C448" s="113" t="n"/>
      <c r="D448" s="113" t="n"/>
      <c r="E448" s="113" t="n"/>
    </row>
    <row r="449" ht="15" customHeight="1" s="66">
      <c r="A449" s="113" t="n"/>
      <c r="B449" s="113" t="n"/>
      <c r="C449" s="113" t="n"/>
      <c r="D449" s="113" t="n"/>
      <c r="E449" s="113" t="n"/>
    </row>
    <row r="450" ht="15" customHeight="1" s="66">
      <c r="A450" s="113" t="n"/>
      <c r="B450" s="113" t="n"/>
      <c r="C450" s="113" t="n"/>
      <c r="D450" s="113" t="n"/>
      <c r="E450" s="113" t="n"/>
    </row>
    <row r="451" ht="15" customHeight="1" s="66">
      <c r="A451" s="113" t="n"/>
      <c r="B451" s="113" t="n"/>
      <c r="C451" s="113" t="n"/>
      <c r="D451" s="113" t="n"/>
      <c r="E451" s="113" t="n"/>
    </row>
    <row r="452" ht="15" customHeight="1" s="66">
      <c r="A452" s="113" t="n"/>
      <c r="B452" s="113" t="n"/>
      <c r="C452" s="113" t="n"/>
      <c r="D452" s="113" t="n"/>
      <c r="E452" s="113" t="n"/>
    </row>
    <row r="453" ht="15" customHeight="1" s="66">
      <c r="A453" s="113" t="n"/>
      <c r="B453" s="113" t="n"/>
      <c r="C453" s="113" t="n"/>
      <c r="D453" s="113" t="n"/>
      <c r="E453" s="113" t="n"/>
    </row>
    <row r="454" ht="15" customHeight="1" s="66">
      <c r="A454" s="113" t="n"/>
      <c r="B454" s="113" t="n"/>
      <c r="C454" s="113" t="n"/>
      <c r="D454" s="113" t="n"/>
      <c r="E454" s="113" t="n"/>
    </row>
    <row r="455" ht="15" customHeight="1" s="66">
      <c r="A455" s="113" t="n"/>
      <c r="B455" s="113" t="n"/>
      <c r="C455" s="113" t="n"/>
      <c r="D455" s="113" t="n"/>
      <c r="E455" s="113" t="n"/>
    </row>
    <row r="456" ht="15" customHeight="1" s="66">
      <c r="A456" s="113" t="n"/>
      <c r="B456" s="113" t="n"/>
      <c r="C456" s="113" t="n"/>
      <c r="D456" s="113" t="n"/>
      <c r="E456" s="113" t="n"/>
    </row>
    <row r="457" ht="15" customHeight="1" s="66">
      <c r="A457" s="113" t="n"/>
      <c r="B457" s="113" t="n"/>
      <c r="C457" s="113" t="n"/>
      <c r="D457" s="113" t="n"/>
      <c r="E457" s="113" t="n"/>
    </row>
    <row r="458" ht="15" customHeight="1" s="66">
      <c r="A458" s="113" t="n"/>
      <c r="B458" s="113" t="n"/>
      <c r="C458" s="113" t="n"/>
      <c r="D458" s="113" t="n"/>
      <c r="E458" s="113" t="n"/>
    </row>
    <row r="459" ht="15" customHeight="1" s="66">
      <c r="A459" s="113" t="n"/>
      <c r="B459" s="113" t="n"/>
      <c r="C459" s="113" t="n"/>
      <c r="D459" s="113" t="n"/>
      <c r="E459" s="113" t="n"/>
    </row>
    <row r="460" ht="15" customHeight="1" s="66">
      <c r="A460" s="113" t="n"/>
      <c r="B460" s="113" t="n"/>
      <c r="C460" s="113" t="n"/>
      <c r="D460" s="113" t="n"/>
      <c r="E460" s="113" t="n"/>
    </row>
    <row r="461" ht="15" customHeight="1" s="66">
      <c r="A461" s="113" t="n"/>
      <c r="B461" s="113" t="n"/>
      <c r="C461" s="113" t="n"/>
      <c r="D461" s="113" t="n"/>
      <c r="E461" s="113" t="n"/>
    </row>
    <row r="462" ht="15" customHeight="1" s="66">
      <c r="A462" s="113" t="n"/>
      <c r="B462" s="113" t="n"/>
      <c r="C462" s="113" t="n"/>
      <c r="D462" s="113" t="n"/>
      <c r="E462" s="113" t="n"/>
    </row>
    <row r="463" ht="15" customHeight="1" s="66">
      <c r="A463" s="113" t="n"/>
      <c r="B463" s="113" t="n"/>
      <c r="C463" s="113" t="n"/>
      <c r="D463" s="113" t="n"/>
      <c r="E463" s="113" t="n"/>
    </row>
    <row r="464" ht="15" customHeight="1" s="66">
      <c r="A464" s="113" t="n"/>
      <c r="B464" s="113" t="n"/>
      <c r="C464" s="113" t="n"/>
      <c r="D464" s="113" t="n"/>
      <c r="E464" s="113" t="n"/>
    </row>
    <row r="465" ht="15" customHeight="1" s="66">
      <c r="A465" s="113" t="n"/>
      <c r="B465" s="113" t="n"/>
      <c r="C465" s="113" t="n"/>
      <c r="D465" s="113" t="n"/>
      <c r="E465" s="113" t="n"/>
    </row>
    <row r="466" ht="15" customHeight="1" s="66">
      <c r="A466" s="113" t="n"/>
      <c r="B466" s="113" t="n"/>
      <c r="C466" s="113" t="n"/>
      <c r="D466" s="113" t="n"/>
      <c r="E466" s="113" t="n"/>
    </row>
    <row r="467" ht="15" customHeight="1" s="66">
      <c r="A467" s="113" t="n"/>
      <c r="B467" s="113" t="n"/>
      <c r="C467" s="113" t="n"/>
      <c r="D467" s="113" t="n"/>
      <c r="E467" s="113" t="n"/>
    </row>
    <row r="468" ht="15" customHeight="1" s="66">
      <c r="A468" s="113" t="n"/>
      <c r="B468" s="113" t="n"/>
      <c r="C468" s="113" t="n"/>
      <c r="D468" s="113" t="n"/>
      <c r="E468" s="113" t="n"/>
    </row>
    <row r="469" ht="15" customHeight="1" s="66">
      <c r="A469" s="113" t="n"/>
      <c r="B469" s="113" t="n"/>
      <c r="C469" s="113" t="n"/>
      <c r="D469" s="113" t="n"/>
      <c r="E469" s="113" t="n"/>
    </row>
    <row r="470" ht="15" customHeight="1" s="66">
      <c r="A470" s="113" t="n"/>
      <c r="B470" s="113" t="n"/>
      <c r="C470" s="113" t="n"/>
      <c r="D470" s="113" t="n"/>
      <c r="E470" s="113" t="n"/>
    </row>
    <row r="471" ht="15" customHeight="1" s="66">
      <c r="A471" s="113" t="n"/>
      <c r="B471" s="113" t="n"/>
      <c r="C471" s="113" t="n"/>
      <c r="D471" s="113" t="n"/>
      <c r="E471" s="113" t="n"/>
    </row>
    <row r="472" ht="15" customHeight="1" s="66">
      <c r="A472" s="113" t="n"/>
      <c r="B472" s="113" t="n"/>
      <c r="C472" s="113" t="n"/>
      <c r="D472" s="113" t="n"/>
      <c r="E472" s="113" t="n"/>
    </row>
    <row r="473" ht="15" customHeight="1" s="66">
      <c r="A473" s="113" t="n"/>
      <c r="B473" s="113" t="n"/>
      <c r="C473" s="113" t="n"/>
      <c r="D473" s="113" t="n"/>
      <c r="E473" s="113" t="n"/>
    </row>
    <row r="474" ht="15" customHeight="1" s="66">
      <c r="A474" s="113" t="n"/>
      <c r="B474" s="113" t="n"/>
      <c r="C474" s="113" t="n"/>
      <c r="D474" s="113" t="n"/>
      <c r="E474" s="113" t="n"/>
    </row>
    <row r="475" ht="15" customHeight="1" s="66">
      <c r="A475" s="113" t="n"/>
      <c r="B475" s="113" t="n"/>
      <c r="C475" s="113" t="n"/>
      <c r="D475" s="113" t="n"/>
      <c r="E475" s="113" t="n"/>
    </row>
    <row r="476" ht="15" customHeight="1" s="66">
      <c r="A476" s="113" t="n"/>
      <c r="B476" s="113" t="n"/>
      <c r="C476" s="113" t="n"/>
      <c r="D476" s="113" t="n"/>
      <c r="E476" s="113" t="n"/>
    </row>
    <row r="477" ht="15" customHeight="1" s="66">
      <c r="A477" s="113" t="n"/>
      <c r="B477" s="113" t="n"/>
      <c r="C477" s="113" t="n"/>
      <c r="D477" s="113" t="n"/>
      <c r="E477" s="113" t="n"/>
    </row>
    <row r="478" ht="15" customHeight="1" s="66">
      <c r="A478" s="113" t="n"/>
      <c r="B478" s="113" t="n"/>
      <c r="C478" s="113" t="n"/>
      <c r="D478" s="113" t="n"/>
      <c r="E478" s="113" t="n"/>
    </row>
    <row r="479" ht="15" customHeight="1" s="66">
      <c r="A479" s="113" t="n"/>
      <c r="B479" s="113" t="n"/>
      <c r="C479" s="113" t="n"/>
      <c r="D479" s="113" t="n"/>
      <c r="E479" s="113" t="n"/>
    </row>
    <row r="480" ht="15" customHeight="1" s="66">
      <c r="A480" s="113" t="n"/>
      <c r="B480" s="113" t="n"/>
      <c r="C480" s="113" t="n"/>
      <c r="D480" s="113" t="n"/>
      <c r="E480" s="113" t="n"/>
    </row>
    <row r="481" ht="15" customHeight="1" s="66">
      <c r="A481" s="113" t="n"/>
      <c r="B481" s="113" t="n"/>
      <c r="C481" s="113" t="n"/>
      <c r="D481" s="113" t="n"/>
      <c r="E481" s="113" t="n"/>
    </row>
    <row r="482" ht="15" customHeight="1" s="66">
      <c r="A482" s="113" t="n"/>
      <c r="B482" s="113" t="n"/>
      <c r="C482" s="113" t="n"/>
      <c r="D482" s="113" t="n"/>
      <c r="E482" s="113" t="n"/>
    </row>
    <row r="483" ht="15" customHeight="1" s="66">
      <c r="A483" s="113" t="n"/>
      <c r="B483" s="113" t="n"/>
      <c r="C483" s="113" t="n"/>
      <c r="D483" s="113" t="n"/>
      <c r="E483" s="113" t="n"/>
    </row>
    <row r="484" ht="15" customHeight="1" s="66">
      <c r="A484" s="113" t="n"/>
      <c r="B484" s="113" t="n"/>
      <c r="C484" s="113" t="n"/>
      <c r="D484" s="113" t="n"/>
      <c r="E484" s="113" t="n"/>
    </row>
    <row r="485" ht="15" customHeight="1" s="66">
      <c r="A485" s="113" t="n"/>
      <c r="B485" s="113" t="n"/>
      <c r="C485" s="113" t="n"/>
      <c r="D485" s="113" t="n"/>
      <c r="E485" s="113" t="n"/>
    </row>
    <row r="486" ht="15" customHeight="1" s="66">
      <c r="A486" s="113" t="n"/>
      <c r="B486" s="113" t="n"/>
      <c r="C486" s="113" t="n"/>
      <c r="D486" s="113" t="n"/>
      <c r="E486" s="113" t="n"/>
    </row>
    <row r="487" ht="15" customHeight="1" s="66">
      <c r="A487" s="113" t="n"/>
      <c r="B487" s="113" t="n"/>
      <c r="C487" s="113" t="n"/>
      <c r="D487" s="113" t="n"/>
      <c r="E487" s="113" t="n"/>
    </row>
    <row r="488" ht="15" customHeight="1" s="66">
      <c r="A488" s="113" t="n"/>
      <c r="B488" s="113" t="n"/>
      <c r="C488" s="113" t="n"/>
      <c r="D488" s="113" t="n"/>
      <c r="E488" s="113" t="n"/>
    </row>
    <row r="489" ht="15" customHeight="1" s="66">
      <c r="A489" s="113" t="n"/>
      <c r="B489" s="113" t="n"/>
      <c r="C489" s="113" t="n"/>
      <c r="D489" s="113" t="n"/>
      <c r="E489" s="113" t="n"/>
    </row>
    <row r="490" ht="15" customHeight="1" s="66">
      <c r="A490" s="113" t="n"/>
      <c r="B490" s="113" t="n"/>
      <c r="C490" s="113" t="n"/>
      <c r="D490" s="113" t="n"/>
      <c r="E490" s="113" t="n"/>
    </row>
    <row r="491" ht="15" customHeight="1" s="66">
      <c r="A491" s="113" t="n"/>
      <c r="B491" s="113" t="n"/>
      <c r="C491" s="113" t="n"/>
      <c r="D491" s="113" t="n"/>
      <c r="E491" s="113" t="n"/>
    </row>
    <row r="492" ht="15" customHeight="1" s="66">
      <c r="A492" s="113" t="n"/>
      <c r="B492" s="113" t="n"/>
      <c r="C492" s="113" t="n"/>
      <c r="D492" s="113" t="n"/>
      <c r="E492" s="113" t="n"/>
    </row>
    <row r="493" ht="15" customHeight="1" s="66">
      <c r="A493" s="113" t="n"/>
      <c r="B493" s="113" t="n"/>
      <c r="C493" s="113" t="n"/>
      <c r="D493" s="113" t="n"/>
      <c r="E493" s="113" t="n"/>
    </row>
    <row r="494" ht="15" customHeight="1" s="66">
      <c r="A494" s="113" t="n"/>
      <c r="B494" s="113" t="n"/>
      <c r="C494" s="113" t="n"/>
      <c r="D494" s="113" t="n"/>
      <c r="E494" s="113" t="n"/>
    </row>
    <row r="495" ht="15" customHeight="1" s="66">
      <c r="A495" s="113" t="n"/>
      <c r="B495" s="113" t="n"/>
      <c r="C495" s="113" t="n"/>
      <c r="D495" s="113" t="n"/>
      <c r="E495" s="113" t="n"/>
    </row>
    <row r="496" ht="15" customHeight="1" s="66">
      <c r="A496" s="113" t="n"/>
      <c r="B496" s="113" t="n"/>
      <c r="C496" s="113" t="n"/>
      <c r="D496" s="113" t="n"/>
      <c r="E496" s="113" t="n"/>
    </row>
    <row r="497" ht="15" customHeight="1" s="66">
      <c r="A497" s="113" t="n"/>
      <c r="B497" s="113" t="n"/>
      <c r="C497" s="113" t="n"/>
      <c r="D497" s="113" t="n"/>
      <c r="E497" s="113" t="n"/>
    </row>
    <row r="498" ht="15" customHeight="1" s="66">
      <c r="A498" s="113" t="n"/>
      <c r="B498" s="113" t="n"/>
      <c r="C498" s="113" t="n"/>
      <c r="D498" s="113" t="n"/>
      <c r="E498" s="113" t="n"/>
    </row>
    <row r="499" ht="15" customHeight="1" s="66">
      <c r="A499" s="113" t="n"/>
      <c r="B499" s="113" t="n"/>
      <c r="C499" s="113" t="n"/>
      <c r="D499" s="113" t="n"/>
      <c r="E499" s="113" t="n"/>
    </row>
    <row r="500" ht="15" customHeight="1" s="66">
      <c r="A500" s="113" t="n"/>
      <c r="B500" s="113" t="n"/>
      <c r="C500" s="113" t="n"/>
      <c r="D500" s="113" t="n"/>
      <c r="E500" s="113" t="n"/>
    </row>
    <row r="501" ht="15" customHeight="1" s="66">
      <c r="A501" s="113" t="n"/>
      <c r="B501" s="113" t="n"/>
      <c r="C501" s="113" t="n"/>
      <c r="D501" s="113" t="n"/>
      <c r="E501" s="113" t="n"/>
    </row>
    <row r="502" ht="15" customHeight="1" s="66">
      <c r="A502" s="113" t="n"/>
      <c r="B502" s="113" t="n"/>
      <c r="C502" s="113" t="n"/>
      <c r="D502" s="113" t="n"/>
      <c r="E502" s="113" t="n"/>
    </row>
    <row r="503" ht="15" customHeight="1" s="66">
      <c r="A503" s="113" t="n"/>
      <c r="B503" s="113" t="n"/>
      <c r="C503" s="113" t="n"/>
      <c r="D503" s="113" t="n"/>
      <c r="E503" s="113" t="n"/>
    </row>
    <row r="504" ht="15" customHeight="1" s="66">
      <c r="A504" s="113" t="n"/>
      <c r="B504" s="113" t="n"/>
      <c r="C504" s="113" t="n"/>
      <c r="D504" s="113" t="n"/>
      <c r="E504" s="113" t="n"/>
    </row>
    <row r="505" ht="15" customHeight="1" s="66">
      <c r="A505" s="113" t="n"/>
      <c r="B505" s="113" t="n"/>
      <c r="C505" s="113" t="n"/>
      <c r="D505" s="113" t="n"/>
      <c r="E505" s="113" t="n"/>
    </row>
    <row r="506" ht="15" customHeight="1" s="66">
      <c r="A506" s="113" t="n"/>
      <c r="B506" s="113" t="n"/>
      <c r="C506" s="113" t="n"/>
      <c r="D506" s="113" t="n"/>
      <c r="E506" s="113" t="n"/>
    </row>
    <row r="507" ht="15" customHeight="1" s="66">
      <c r="A507" s="113" t="n"/>
      <c r="B507" s="113" t="n"/>
      <c r="C507" s="113" t="n"/>
      <c r="D507" s="113" t="n"/>
      <c r="E507" s="113" t="n"/>
    </row>
    <row r="508" ht="15" customHeight="1" s="66">
      <c r="A508" s="113" t="n"/>
      <c r="B508" s="113" t="n"/>
      <c r="C508" s="113" t="n"/>
      <c r="D508" s="113" t="n"/>
      <c r="E508" s="113" t="n"/>
    </row>
    <row r="509" ht="15" customHeight="1" s="66">
      <c r="A509" s="113" t="n"/>
      <c r="B509" s="113" t="n"/>
      <c r="C509" s="113" t="n"/>
      <c r="D509" s="113" t="n"/>
      <c r="E509" s="113" t="n"/>
    </row>
    <row r="510" ht="15" customHeight="1" s="66">
      <c r="A510" s="113" t="n"/>
      <c r="B510" s="113" t="n"/>
      <c r="C510" s="113" t="n"/>
      <c r="D510" s="113" t="n"/>
      <c r="E510" s="113" t="n"/>
    </row>
    <row r="511" ht="15" customHeight="1" s="66">
      <c r="A511" s="113" t="n"/>
      <c r="B511" s="113" t="n"/>
      <c r="C511" s="113" t="n"/>
      <c r="D511" s="113" t="n"/>
      <c r="E511" s="113" t="n"/>
    </row>
    <row r="512" ht="15" customHeight="1" s="66">
      <c r="A512" s="113" t="n"/>
      <c r="B512" s="113" t="n"/>
      <c r="C512" s="113" t="n"/>
      <c r="D512" s="113" t="n"/>
      <c r="E512" s="113" t="n"/>
    </row>
    <row r="513" ht="15" customHeight="1" s="66">
      <c r="A513" s="113" t="n"/>
      <c r="B513" s="113" t="n"/>
      <c r="C513" s="113" t="n"/>
      <c r="D513" s="113" t="n"/>
      <c r="E513" s="113" t="n"/>
    </row>
    <row r="514" ht="15" customHeight="1" s="66">
      <c r="A514" s="113" t="n"/>
      <c r="B514" s="113" t="n"/>
      <c r="C514" s="113" t="n"/>
      <c r="D514" s="113" t="n"/>
      <c r="E514" s="113" t="n"/>
    </row>
    <row r="515" ht="15" customHeight="1" s="66">
      <c r="A515" s="113" t="n"/>
      <c r="B515" s="113" t="n"/>
      <c r="C515" s="113" t="n"/>
      <c r="D515" s="113" t="n"/>
      <c r="E515" s="113" t="n"/>
    </row>
    <row r="516" ht="15" customHeight="1" s="66">
      <c r="A516" s="113" t="n"/>
      <c r="B516" s="113" t="n"/>
      <c r="C516" s="113" t="n"/>
      <c r="D516" s="113" t="n"/>
      <c r="E516" s="113" t="n"/>
    </row>
    <row r="517" ht="15" customHeight="1" s="66">
      <c r="A517" s="113" t="n"/>
      <c r="B517" s="113" t="n"/>
      <c r="C517" s="113" t="n"/>
      <c r="D517" s="113" t="n"/>
      <c r="E517" s="113" t="n"/>
    </row>
    <row r="518" ht="15" customHeight="1" s="66">
      <c r="A518" s="113" t="n"/>
      <c r="B518" s="113" t="n"/>
      <c r="C518" s="113" t="n"/>
      <c r="D518" s="113" t="n"/>
      <c r="E518" s="113" t="n"/>
    </row>
    <row r="519" ht="15" customHeight="1" s="66">
      <c r="A519" s="113" t="n"/>
      <c r="B519" s="113" t="n"/>
      <c r="C519" s="113" t="n"/>
      <c r="D519" s="113" t="n"/>
      <c r="E519" s="113" t="n"/>
    </row>
    <row r="520" ht="15" customHeight="1" s="66">
      <c r="A520" s="113" t="n"/>
      <c r="B520" s="113" t="n"/>
      <c r="C520" s="113" t="n"/>
      <c r="D520" s="113" t="n"/>
      <c r="E520" s="113" t="n"/>
    </row>
    <row r="521" ht="15" customHeight="1" s="66">
      <c r="A521" s="113" t="n"/>
      <c r="B521" s="113" t="n"/>
      <c r="C521" s="113" t="n"/>
      <c r="D521" s="113" t="n"/>
      <c r="E521" s="113" t="n"/>
    </row>
    <row r="522" ht="15" customHeight="1" s="66">
      <c r="A522" s="113" t="n"/>
      <c r="B522" s="113" t="n"/>
      <c r="C522" s="113" t="n"/>
      <c r="D522" s="113" t="n"/>
      <c r="E522" s="113" t="n"/>
    </row>
    <row r="523" ht="15" customHeight="1" s="66">
      <c r="A523" s="113" t="n"/>
      <c r="B523" s="113" t="n"/>
      <c r="C523" s="113" t="n"/>
      <c r="D523" s="113" t="n"/>
      <c r="E523" s="113" t="n"/>
    </row>
    <row r="524" ht="15" customHeight="1" s="66">
      <c r="A524" s="113" t="n"/>
      <c r="B524" s="113" t="n"/>
      <c r="C524" s="113" t="n"/>
      <c r="D524" s="113" t="n"/>
      <c r="E524" s="113" t="n"/>
    </row>
    <row r="525" ht="15" customHeight="1" s="66">
      <c r="A525" s="113" t="n"/>
      <c r="B525" s="113" t="n"/>
      <c r="C525" s="113" t="n"/>
      <c r="D525" s="113" t="n"/>
      <c r="E525" s="113" t="n"/>
    </row>
    <row r="526" ht="15" customHeight="1" s="66">
      <c r="A526" s="113" t="n"/>
      <c r="B526" s="113" t="n"/>
      <c r="C526" s="113" t="n"/>
      <c r="D526" s="113" t="n"/>
      <c r="E526" s="113" t="n"/>
    </row>
    <row r="527" ht="15" customHeight="1" s="66">
      <c r="A527" s="113" t="n"/>
      <c r="B527" s="113" t="n"/>
      <c r="C527" s="113" t="n"/>
      <c r="D527" s="113" t="n"/>
      <c r="E527" s="113" t="n"/>
    </row>
    <row r="528" ht="15" customHeight="1" s="66">
      <c r="A528" s="113" t="n"/>
      <c r="B528" s="113" t="n"/>
      <c r="C528" s="113" t="n"/>
      <c r="D528" s="113" t="n"/>
      <c r="E528" s="113" t="n"/>
    </row>
    <row r="529" ht="15" customHeight="1" s="66">
      <c r="A529" s="113" t="n"/>
      <c r="B529" s="113" t="n"/>
      <c r="C529" s="113" t="n"/>
      <c r="D529" s="113" t="n"/>
      <c r="E529" s="113" t="n"/>
    </row>
    <row r="530" ht="15" customHeight="1" s="66">
      <c r="A530" s="113" t="n"/>
      <c r="B530" s="113" t="n"/>
      <c r="C530" s="113" t="n"/>
      <c r="D530" s="113" t="n"/>
      <c r="E530" s="113" t="n"/>
    </row>
    <row r="531" ht="15" customHeight="1" s="66">
      <c r="A531" s="113" t="n"/>
      <c r="B531" s="113" t="n"/>
      <c r="C531" s="113" t="n"/>
      <c r="D531" s="113" t="n"/>
      <c r="E531" s="113" t="n"/>
    </row>
    <row r="532" ht="15" customHeight="1" s="66">
      <c r="A532" s="113" t="n"/>
      <c r="B532" s="113" t="n"/>
      <c r="C532" s="113" t="n"/>
      <c r="D532" s="113" t="n"/>
      <c r="E532" s="113" t="n"/>
    </row>
    <row r="533" ht="15" customHeight="1" s="66">
      <c r="A533" s="113" t="n"/>
      <c r="B533" s="113" t="n"/>
      <c r="C533" s="113" t="n"/>
      <c r="D533" s="113" t="n"/>
      <c r="E533" s="113" t="n"/>
    </row>
    <row r="534" ht="15" customHeight="1" s="66">
      <c r="A534" s="113" t="n"/>
      <c r="B534" s="113" t="n"/>
      <c r="C534" s="113" t="n"/>
      <c r="D534" s="113" t="n"/>
      <c r="E534" s="113" t="n"/>
    </row>
    <row r="535" ht="15" customHeight="1" s="66">
      <c r="A535" s="113" t="n"/>
      <c r="B535" s="113" t="n"/>
      <c r="C535" s="113" t="n"/>
      <c r="D535" s="113" t="n"/>
      <c r="E535" s="113" t="n"/>
    </row>
    <row r="536" ht="15" customHeight="1" s="66">
      <c r="A536" s="113" t="n"/>
      <c r="B536" s="113" t="n"/>
      <c r="C536" s="113" t="n"/>
      <c r="D536" s="113" t="n"/>
      <c r="E536" s="113" t="n"/>
    </row>
    <row r="537" ht="15" customHeight="1" s="66">
      <c r="A537" s="113" t="n"/>
      <c r="B537" s="113" t="n"/>
      <c r="C537" s="113" t="n"/>
      <c r="D537" s="113" t="n"/>
      <c r="E537" s="113" t="n"/>
    </row>
    <row r="538" ht="15" customHeight="1" s="66">
      <c r="A538" s="113" t="n"/>
      <c r="B538" s="113" t="n"/>
      <c r="C538" s="113" t="n"/>
      <c r="D538" s="113" t="n"/>
      <c r="E538" s="113" t="n"/>
    </row>
    <row r="539" ht="15" customHeight="1" s="66">
      <c r="A539" s="113" t="n"/>
      <c r="B539" s="113" t="n"/>
      <c r="C539" s="113" t="n"/>
      <c r="D539" s="113" t="n"/>
      <c r="E539" s="113" t="n"/>
    </row>
    <row r="540" ht="15" customHeight="1" s="66">
      <c r="A540" s="113" t="n"/>
      <c r="B540" s="113" t="n"/>
      <c r="C540" s="113" t="n"/>
      <c r="D540" s="113" t="n"/>
      <c r="E540" s="113" t="n"/>
    </row>
    <row r="541" ht="15" customHeight="1" s="66">
      <c r="A541" s="113" t="n"/>
      <c r="B541" s="113" t="n"/>
      <c r="C541" s="113" t="n"/>
      <c r="D541" s="113" t="n"/>
      <c r="E541" s="113" t="n"/>
    </row>
    <row r="542" ht="15" customHeight="1" s="66">
      <c r="A542" s="113" t="n"/>
      <c r="B542" s="113" t="n"/>
      <c r="C542" s="113" t="n"/>
      <c r="D542" s="113" t="n"/>
      <c r="E542" s="113" t="n"/>
    </row>
    <row r="543" ht="15" customHeight="1" s="66">
      <c r="A543" s="113" t="n"/>
      <c r="B543" s="113" t="n"/>
      <c r="C543" s="113" t="n"/>
      <c r="D543" s="113" t="n"/>
      <c r="E543" s="113" t="n"/>
    </row>
    <row r="544" ht="15" customHeight="1" s="66">
      <c r="A544" s="113" t="n"/>
      <c r="B544" s="113" t="n"/>
      <c r="C544" s="113" t="n"/>
      <c r="D544" s="113" t="n"/>
      <c r="E544" s="113" t="n"/>
    </row>
    <row r="545" ht="15" customHeight="1" s="66">
      <c r="A545" s="113" t="n"/>
      <c r="B545" s="113" t="n"/>
      <c r="C545" s="113" t="n"/>
      <c r="D545" s="113" t="n"/>
      <c r="E545" s="113" t="n"/>
    </row>
    <row r="546" ht="15" customHeight="1" s="66">
      <c r="A546" s="113" t="n"/>
      <c r="B546" s="113" t="n"/>
      <c r="C546" s="113" t="n"/>
      <c r="D546" s="113" t="n"/>
      <c r="E546" s="113" t="n"/>
    </row>
    <row r="547" ht="15" customHeight="1" s="66">
      <c r="A547" s="113" t="n"/>
      <c r="B547" s="113" t="n"/>
      <c r="C547" s="113" t="n"/>
      <c r="D547" s="113" t="n"/>
      <c r="E547" s="113" t="n"/>
    </row>
    <row r="548" ht="15" customHeight="1" s="66">
      <c r="A548" s="113" t="n"/>
      <c r="B548" s="113" t="n"/>
      <c r="C548" s="113" t="n"/>
      <c r="D548" s="113" t="n"/>
      <c r="E548" s="113" t="n"/>
    </row>
    <row r="549" ht="15" customHeight="1" s="66">
      <c r="A549" s="113" t="n"/>
      <c r="B549" s="113" t="n"/>
      <c r="C549" s="113" t="n"/>
      <c r="D549" s="113" t="n"/>
      <c r="E549" s="113" t="n"/>
    </row>
    <row r="550" ht="15" customHeight="1" s="66">
      <c r="A550" s="113" t="n"/>
      <c r="B550" s="113" t="n"/>
      <c r="C550" s="113" t="n"/>
      <c r="D550" s="113" t="n"/>
      <c r="E550" s="113" t="n"/>
    </row>
    <row r="551" ht="15" customHeight="1" s="66">
      <c r="A551" s="113" t="n"/>
      <c r="B551" s="113" t="n"/>
      <c r="C551" s="113" t="n"/>
      <c r="D551" s="113" t="n"/>
      <c r="E551" s="113" t="n"/>
    </row>
    <row r="552" ht="15" customHeight="1" s="66">
      <c r="A552" s="113" t="n"/>
      <c r="B552" s="113" t="n"/>
      <c r="C552" s="113" t="n"/>
      <c r="D552" s="113" t="n"/>
      <c r="E552" s="113" t="n"/>
    </row>
    <row r="553" ht="15" customHeight="1" s="66">
      <c r="A553" s="113" t="n"/>
      <c r="B553" s="113" t="n"/>
      <c r="C553" s="113" t="n"/>
      <c r="D553" s="113" t="n"/>
      <c r="E553" s="113" t="n"/>
    </row>
    <row r="554" ht="15" customHeight="1" s="66">
      <c r="A554" s="113" t="n"/>
      <c r="B554" s="113" t="n"/>
      <c r="C554" s="113" t="n"/>
      <c r="D554" s="113" t="n"/>
      <c r="E554" s="113" t="n"/>
    </row>
    <row r="555" ht="15" customHeight="1" s="66">
      <c r="A555" s="113" t="n"/>
      <c r="B555" s="113" t="n"/>
      <c r="C555" s="113" t="n"/>
      <c r="D555" s="113" t="n"/>
      <c r="E555" s="113" t="n"/>
    </row>
    <row r="556" ht="15" customHeight="1" s="66">
      <c r="A556" s="113" t="n"/>
      <c r="B556" s="113" t="n"/>
      <c r="C556" s="113" t="n"/>
      <c r="D556" s="113" t="n"/>
      <c r="E556" s="113" t="n"/>
    </row>
    <row r="557" ht="15" customHeight="1" s="66">
      <c r="A557" s="113" t="n"/>
      <c r="B557" s="113" t="n"/>
      <c r="C557" s="113" t="n"/>
      <c r="D557" s="113" t="n"/>
      <c r="E557" s="113" t="n"/>
    </row>
    <row r="558" ht="15" customHeight="1" s="66">
      <c r="A558" s="113" t="n"/>
      <c r="B558" s="113" t="n"/>
      <c r="C558" s="113" t="n"/>
      <c r="D558" s="113" t="n"/>
      <c r="E558" s="113" t="n"/>
    </row>
    <row r="559" ht="15" customHeight="1" s="66">
      <c r="A559" s="113" t="n"/>
      <c r="B559" s="113" t="n"/>
      <c r="C559" s="113" t="n"/>
      <c r="D559" s="113" t="n"/>
      <c r="E559" s="113" t="n"/>
    </row>
    <row r="560" ht="15" customHeight="1" s="66">
      <c r="A560" s="113" t="n"/>
      <c r="B560" s="113" t="n"/>
      <c r="C560" s="113" t="n"/>
      <c r="D560" s="113" t="n"/>
      <c r="E560" s="113" t="n"/>
    </row>
    <row r="561" ht="15" customHeight="1" s="66">
      <c r="A561" s="113" t="n"/>
      <c r="B561" s="113" t="n"/>
      <c r="C561" s="113" t="n"/>
      <c r="D561" s="113" t="n"/>
      <c r="E561" s="113" t="n"/>
    </row>
    <row r="562" ht="15" customHeight="1" s="66">
      <c r="A562" s="113" t="n"/>
      <c r="B562" s="113" t="n"/>
      <c r="C562" s="113" t="n"/>
      <c r="D562" s="113" t="n"/>
      <c r="E562" s="113" t="n"/>
    </row>
    <row r="563" ht="15" customHeight="1" s="66">
      <c r="A563" s="113" t="n"/>
      <c r="B563" s="113" t="n"/>
      <c r="C563" s="113" t="n"/>
      <c r="D563" s="113" t="n"/>
      <c r="E563" s="113" t="n"/>
    </row>
    <row r="564" ht="15" customHeight="1" s="66">
      <c r="A564" s="113" t="n"/>
      <c r="B564" s="113" t="n"/>
      <c r="C564" s="113" t="n"/>
      <c r="D564" s="113" t="n"/>
      <c r="E564" s="113" t="n"/>
    </row>
    <row r="565" ht="15" customHeight="1" s="66">
      <c r="A565" s="113" t="n"/>
      <c r="B565" s="113" t="n"/>
      <c r="C565" s="113" t="n"/>
      <c r="D565" s="113" t="n"/>
      <c r="E565" s="113" t="n"/>
    </row>
    <row r="566" ht="15" customHeight="1" s="66">
      <c r="A566" s="113" t="n"/>
      <c r="B566" s="113" t="n"/>
      <c r="C566" s="113" t="n"/>
      <c r="D566" s="113" t="n"/>
      <c r="E566" s="113" t="n"/>
    </row>
    <row r="567" ht="15" customHeight="1" s="66">
      <c r="A567" s="113" t="n"/>
      <c r="B567" s="113" t="n"/>
      <c r="C567" s="113" t="n"/>
      <c r="D567" s="113" t="n"/>
      <c r="E567" s="113" t="n"/>
    </row>
    <row r="568" ht="15" customHeight="1" s="66">
      <c r="A568" s="113" t="n"/>
      <c r="B568" s="113" t="n"/>
      <c r="C568" s="113" t="n"/>
      <c r="D568" s="113" t="n"/>
      <c r="E568" s="113" t="n"/>
    </row>
    <row r="569" ht="15" customHeight="1" s="66">
      <c r="A569" s="113" t="n"/>
      <c r="B569" s="113" t="n"/>
      <c r="C569" s="113" t="n"/>
      <c r="D569" s="113" t="n"/>
      <c r="E569" s="113" t="n"/>
    </row>
    <row r="570" ht="15" customHeight="1" s="66">
      <c r="A570" s="113" t="n"/>
      <c r="B570" s="113" t="n"/>
      <c r="C570" s="113" t="n"/>
      <c r="D570" s="113" t="n"/>
      <c r="E570" s="113" t="n"/>
    </row>
    <row r="571" ht="15" customHeight="1" s="66">
      <c r="A571" s="113" t="n"/>
      <c r="B571" s="113" t="n"/>
      <c r="C571" s="113" t="n"/>
      <c r="D571" s="113" t="n"/>
      <c r="E571" s="113" t="n"/>
    </row>
    <row r="572" ht="15" customHeight="1" s="66">
      <c r="A572" s="113" t="n"/>
      <c r="B572" s="113" t="n"/>
      <c r="C572" s="113" t="n"/>
      <c r="D572" s="113" t="n"/>
      <c r="E572" s="113" t="n"/>
    </row>
    <row r="573" ht="15" customHeight="1" s="66">
      <c r="A573" s="113" t="n"/>
      <c r="B573" s="113" t="n"/>
      <c r="C573" s="113" t="n"/>
      <c r="D573" s="113" t="n"/>
      <c r="E573" s="113" t="n"/>
    </row>
    <row r="574" ht="15" customHeight="1" s="66">
      <c r="A574" s="113" t="n"/>
      <c r="B574" s="113" t="n"/>
      <c r="C574" s="113" t="n"/>
      <c r="D574" s="113" t="n"/>
      <c r="E574" s="113" t="n"/>
    </row>
    <row r="575" ht="15" customHeight="1" s="66">
      <c r="A575" s="113" t="n"/>
      <c r="B575" s="113" t="n"/>
      <c r="C575" s="113" t="n"/>
      <c r="D575" s="113" t="n"/>
      <c r="E575" s="113" t="n"/>
    </row>
    <row r="576" ht="15" customHeight="1" s="66">
      <c r="A576" s="113" t="n"/>
      <c r="B576" s="113" t="n"/>
      <c r="C576" s="113" t="n"/>
      <c r="D576" s="113" t="n"/>
      <c r="E576" s="113" t="n"/>
    </row>
    <row r="577" ht="15" customHeight="1" s="66">
      <c r="A577" s="113" t="n"/>
      <c r="B577" s="113" t="n"/>
      <c r="C577" s="113" t="n"/>
      <c r="D577" s="113" t="n"/>
      <c r="E577" s="113" t="n"/>
    </row>
    <row r="578" ht="15" customHeight="1" s="66">
      <c r="A578" s="113" t="n"/>
      <c r="B578" s="113" t="n"/>
      <c r="C578" s="113" t="n"/>
      <c r="D578" s="113" t="n"/>
      <c r="E578" s="113" t="n"/>
    </row>
    <row r="579" ht="15" customHeight="1" s="66">
      <c r="A579" s="113" t="n"/>
      <c r="B579" s="113" t="n"/>
      <c r="C579" s="113" t="n"/>
      <c r="D579" s="113" t="n"/>
      <c r="E579" s="113" t="n"/>
    </row>
    <row r="580" ht="15" customHeight="1" s="66">
      <c r="A580" s="113" t="n"/>
      <c r="B580" s="113" t="n"/>
      <c r="C580" s="113" t="n"/>
      <c r="D580" s="113" t="n"/>
      <c r="E580" s="113" t="n"/>
    </row>
    <row r="581" ht="15" customHeight="1" s="66">
      <c r="A581" s="113" t="n"/>
      <c r="B581" s="113" t="n"/>
      <c r="C581" s="113" t="n"/>
      <c r="D581" s="113" t="n"/>
      <c r="E581" s="113" t="n"/>
    </row>
    <row r="582" ht="15" customHeight="1" s="66">
      <c r="A582" s="113" t="n"/>
      <c r="B582" s="113" t="n"/>
      <c r="C582" s="113" t="n"/>
      <c r="D582" s="113" t="n"/>
      <c r="E582" s="113" t="n"/>
    </row>
    <row r="583" ht="15" customHeight="1" s="66">
      <c r="A583" s="113" t="n"/>
      <c r="B583" s="113" t="n"/>
      <c r="C583" s="113" t="n"/>
      <c r="D583" s="113" t="n"/>
      <c r="E583" s="113" t="n"/>
    </row>
    <row r="584" ht="15" customHeight="1" s="66">
      <c r="A584" s="113" t="n"/>
      <c r="B584" s="113" t="n"/>
      <c r="C584" s="113" t="n"/>
      <c r="D584" s="113" t="n"/>
      <c r="E584" s="113" t="n"/>
    </row>
    <row r="585" ht="15" customHeight="1" s="66">
      <c r="A585" s="113" t="n"/>
      <c r="B585" s="113" t="n"/>
      <c r="C585" s="113" t="n"/>
      <c r="D585" s="113" t="n"/>
      <c r="E585" s="113" t="n"/>
    </row>
    <row r="586" ht="15" customHeight="1" s="66">
      <c r="A586" s="113" t="n"/>
      <c r="B586" s="113" t="n"/>
      <c r="C586" s="113" t="n"/>
      <c r="D586" s="113" t="n"/>
      <c r="E586" s="113" t="n"/>
    </row>
    <row r="587" ht="15" customHeight="1" s="66">
      <c r="A587" s="113" t="n"/>
      <c r="B587" s="113" t="n"/>
      <c r="C587" s="113" t="n"/>
      <c r="D587" s="113" t="n"/>
      <c r="E587" s="113" t="n"/>
    </row>
    <row r="588" ht="15" customHeight="1" s="66">
      <c r="A588" s="113" t="n"/>
      <c r="B588" s="113" t="n"/>
      <c r="C588" s="113" t="n"/>
      <c r="D588" s="113" t="n"/>
      <c r="E588" s="113" t="n"/>
    </row>
    <row r="589" ht="15" customHeight="1" s="66">
      <c r="A589" s="113" t="n"/>
      <c r="B589" s="113" t="n"/>
      <c r="C589" s="113" t="n"/>
      <c r="D589" s="113" t="n"/>
      <c r="E589" s="113" t="n"/>
    </row>
    <row r="590" ht="15" customHeight="1" s="66">
      <c r="A590" s="113" t="n"/>
      <c r="B590" s="113" t="n"/>
      <c r="C590" s="113" t="n"/>
      <c r="D590" s="113" t="n"/>
      <c r="E590" s="113" t="n"/>
    </row>
    <row r="591" ht="15" customHeight="1" s="66">
      <c r="A591" s="113" t="n"/>
      <c r="B591" s="113" t="n"/>
      <c r="C591" s="113" t="n"/>
      <c r="D591" s="113" t="n"/>
      <c r="E591" s="113" t="n"/>
    </row>
    <row r="592" ht="15" customHeight="1" s="66">
      <c r="A592" s="113" t="n"/>
      <c r="B592" s="113" t="n"/>
      <c r="C592" s="113" t="n"/>
      <c r="D592" s="113" t="n"/>
      <c r="E592" s="113" t="n"/>
    </row>
    <row r="593" ht="15" customHeight="1" s="66">
      <c r="A593" s="113" t="n"/>
      <c r="B593" s="113" t="n"/>
      <c r="C593" s="113" t="n"/>
      <c r="D593" s="113" t="n"/>
      <c r="E593" s="113" t="n"/>
    </row>
    <row r="594" ht="15" customHeight="1" s="66">
      <c r="A594" s="113" t="n"/>
      <c r="B594" s="113" t="n"/>
      <c r="C594" s="113" t="n"/>
      <c r="D594" s="113" t="n"/>
      <c r="E594" s="113" t="n"/>
    </row>
    <row r="595" ht="15" customHeight="1" s="66">
      <c r="A595" s="113" t="n"/>
      <c r="B595" s="113" t="n"/>
      <c r="C595" s="113" t="n"/>
      <c r="D595" s="113" t="n"/>
      <c r="E595" s="113" t="n"/>
    </row>
    <row r="596" ht="15" customHeight="1" s="66">
      <c r="A596" s="113" t="n"/>
      <c r="B596" s="113" t="n"/>
      <c r="C596" s="113" t="n"/>
      <c r="D596" s="113" t="n"/>
      <c r="E596" s="113" t="n"/>
    </row>
    <row r="597" ht="15" customHeight="1" s="66">
      <c r="A597" s="113" t="n"/>
      <c r="B597" s="113" t="n"/>
      <c r="C597" s="113" t="n"/>
      <c r="D597" s="113" t="n"/>
      <c r="E597" s="113" t="n"/>
    </row>
    <row r="598" ht="15" customHeight="1" s="66">
      <c r="A598" s="113" t="n"/>
      <c r="B598" s="113" t="n"/>
      <c r="C598" s="113" t="n"/>
      <c r="D598" s="113" t="n"/>
      <c r="E598" s="113" t="n"/>
    </row>
    <row r="599" ht="15" customHeight="1" s="66">
      <c r="A599" s="113" t="n"/>
      <c r="B599" s="113" t="n"/>
      <c r="C599" s="113" t="n"/>
      <c r="D599" s="113" t="n"/>
      <c r="E599" s="113" t="n"/>
    </row>
    <row r="600" ht="15" customHeight="1" s="66">
      <c r="A600" s="113" t="n"/>
      <c r="B600" s="113" t="n"/>
      <c r="C600" s="113" t="n"/>
      <c r="D600" s="113" t="n"/>
      <c r="E600" s="113" t="n"/>
    </row>
    <row r="601" ht="15" customHeight="1" s="66">
      <c r="A601" s="113" t="n"/>
      <c r="B601" s="113" t="n"/>
      <c r="C601" s="113" t="n"/>
      <c r="D601" s="113" t="n"/>
      <c r="E601" s="113" t="n"/>
    </row>
    <row r="602" ht="15" customHeight="1" s="66">
      <c r="A602" s="113" t="n"/>
      <c r="B602" s="113" t="n"/>
      <c r="C602" s="113" t="n"/>
      <c r="D602" s="113" t="n"/>
      <c r="E602" s="113" t="n"/>
    </row>
    <row r="603" ht="15" customHeight="1" s="66">
      <c r="A603" s="113" t="n"/>
      <c r="B603" s="113" t="n"/>
      <c r="C603" s="113" t="n"/>
      <c r="D603" s="113" t="n"/>
      <c r="E603" s="113" t="n"/>
    </row>
    <row r="604" ht="15" customHeight="1" s="66">
      <c r="A604" s="113" t="n"/>
      <c r="B604" s="113" t="n"/>
      <c r="C604" s="113" t="n"/>
      <c r="D604" s="113" t="n"/>
      <c r="E604" s="113" t="n"/>
    </row>
    <row r="605" ht="15" customHeight="1" s="66">
      <c r="A605" s="113" t="n"/>
      <c r="B605" s="113" t="n"/>
      <c r="C605" s="113" t="n"/>
      <c r="D605" s="113" t="n"/>
      <c r="E605" s="113" t="n"/>
    </row>
    <row r="606" ht="15" customHeight="1" s="66">
      <c r="A606" s="113" t="n"/>
      <c r="B606" s="113" t="n"/>
      <c r="C606" s="113" t="n"/>
      <c r="D606" s="113" t="n"/>
      <c r="E606" s="113" t="n"/>
    </row>
    <row r="607" ht="15" customHeight="1" s="66">
      <c r="A607" s="113" t="n"/>
      <c r="B607" s="113" t="n"/>
      <c r="C607" s="113" t="n"/>
      <c r="D607" s="113" t="n"/>
      <c r="E607" s="113" t="n"/>
    </row>
    <row r="608" ht="15" customHeight="1" s="66">
      <c r="A608" s="113" t="n"/>
      <c r="B608" s="113" t="n"/>
      <c r="C608" s="113" t="n"/>
      <c r="D608" s="113" t="n"/>
      <c r="E608" s="113" t="n"/>
    </row>
    <row r="609" ht="15" customHeight="1" s="66">
      <c r="A609" s="113" t="n"/>
      <c r="B609" s="113" t="n"/>
      <c r="C609" s="113" t="n"/>
      <c r="D609" s="113" t="n"/>
      <c r="E609" s="113" t="n"/>
    </row>
    <row r="610" ht="15" customHeight="1" s="66">
      <c r="A610" s="113" t="n"/>
      <c r="B610" s="113" t="n"/>
      <c r="C610" s="113" t="n"/>
      <c r="D610" s="113" t="n"/>
      <c r="E610" s="113" t="n"/>
    </row>
    <row r="611" ht="15" customHeight="1" s="66">
      <c r="A611" s="113" t="n"/>
      <c r="B611" s="113" t="n"/>
      <c r="C611" s="113" t="n"/>
      <c r="D611" s="113" t="n"/>
      <c r="E611" s="113" t="n"/>
    </row>
    <row r="612" ht="15" customHeight="1" s="66">
      <c r="A612" s="113" t="n"/>
      <c r="B612" s="113" t="n"/>
      <c r="C612" s="113" t="n"/>
      <c r="D612" s="113" t="n"/>
      <c r="E612" s="113" t="n"/>
    </row>
    <row r="613" ht="15" customHeight="1" s="66">
      <c r="A613" s="113" t="n"/>
      <c r="B613" s="113" t="n"/>
      <c r="C613" s="113" t="n"/>
      <c r="D613" s="113" t="n"/>
      <c r="E613" s="113" t="n"/>
    </row>
    <row r="614" ht="15" customHeight="1" s="66">
      <c r="A614" s="113" t="n"/>
      <c r="B614" s="113" t="n"/>
      <c r="C614" s="113" t="n"/>
      <c r="D614" s="113" t="n"/>
      <c r="E614" s="113" t="n"/>
    </row>
    <row r="615" ht="15" customHeight="1" s="66">
      <c r="A615" s="113" t="n"/>
      <c r="B615" s="113" t="n"/>
      <c r="C615" s="113" t="n"/>
      <c r="D615" s="113" t="n"/>
      <c r="E615" s="113" t="n"/>
    </row>
    <row r="616" ht="15" customHeight="1" s="66">
      <c r="A616" s="113" t="n"/>
      <c r="B616" s="113" t="n"/>
      <c r="C616" s="113" t="n"/>
      <c r="D616" s="113" t="n"/>
      <c r="E616" s="113" t="n"/>
    </row>
    <row r="617" ht="15" customHeight="1" s="66">
      <c r="A617" s="113" t="n"/>
      <c r="B617" s="113" t="n"/>
      <c r="C617" s="113" t="n"/>
      <c r="D617" s="113" t="n"/>
      <c r="E617" s="113" t="n"/>
    </row>
    <row r="618" ht="15" customHeight="1" s="66">
      <c r="A618" s="113" t="n"/>
      <c r="B618" s="113" t="n"/>
      <c r="C618" s="113" t="n"/>
      <c r="D618" s="113" t="n"/>
      <c r="E618" s="113" t="n"/>
    </row>
    <row r="619" ht="15" customHeight="1" s="66">
      <c r="A619" s="113" t="n"/>
      <c r="B619" s="113" t="n"/>
      <c r="C619" s="113" t="n"/>
      <c r="D619" s="113" t="n"/>
      <c r="E619" s="113" t="n"/>
    </row>
    <row r="620" ht="15" customHeight="1" s="66">
      <c r="A620" s="113" t="n"/>
      <c r="B620" s="113" t="n"/>
      <c r="C620" s="113" t="n"/>
      <c r="D620" s="113" t="n"/>
      <c r="E620" s="113" t="n"/>
    </row>
    <row r="621" ht="15" customHeight="1" s="66">
      <c r="A621" s="113" t="n"/>
      <c r="B621" s="113" t="n"/>
      <c r="C621" s="113" t="n"/>
      <c r="D621" s="113" t="n"/>
      <c r="E621" s="113" t="n"/>
    </row>
    <row r="622" ht="15" customHeight="1" s="66">
      <c r="A622" s="113" t="n"/>
      <c r="B622" s="113" t="n"/>
      <c r="C622" s="113" t="n"/>
      <c r="D622" s="113" t="n"/>
      <c r="E622" s="113" t="n"/>
    </row>
    <row r="623" ht="15" customHeight="1" s="66">
      <c r="A623" s="113" t="n"/>
      <c r="B623" s="113" t="n"/>
      <c r="C623" s="113" t="n"/>
      <c r="D623" s="113" t="n"/>
      <c r="E623" s="113" t="n"/>
    </row>
    <row r="624" ht="15" customHeight="1" s="66">
      <c r="A624" s="113" t="n"/>
      <c r="B624" s="113" t="n"/>
      <c r="C624" s="113" t="n"/>
      <c r="D624" s="113" t="n"/>
      <c r="E624" s="113" t="n"/>
    </row>
    <row r="625" ht="15" customHeight="1" s="66">
      <c r="A625" s="113" t="n"/>
      <c r="B625" s="113" t="n"/>
      <c r="C625" s="113" t="n"/>
      <c r="D625" s="113" t="n"/>
      <c r="E625" s="113" t="n"/>
    </row>
    <row r="626" ht="15" customHeight="1" s="66">
      <c r="A626" s="113" t="n"/>
      <c r="B626" s="113" t="n"/>
      <c r="C626" s="113" t="n"/>
      <c r="D626" s="113" t="n"/>
      <c r="E626" s="113" t="n"/>
    </row>
    <row r="627" ht="15" customHeight="1" s="66">
      <c r="A627" s="113" t="n"/>
      <c r="B627" s="113" t="n"/>
      <c r="C627" s="113" t="n"/>
      <c r="D627" s="113" t="n"/>
      <c r="E627" s="113" t="n"/>
    </row>
    <row r="628" ht="15" customHeight="1" s="66">
      <c r="A628" s="113" t="n"/>
      <c r="B628" s="113" t="n"/>
      <c r="C628" s="113" t="n"/>
      <c r="D628" s="113" t="n"/>
      <c r="E628" s="113" t="n"/>
    </row>
    <row r="629" ht="15" customHeight="1" s="66">
      <c r="A629" s="113" t="n"/>
      <c r="B629" s="113" t="n"/>
      <c r="C629" s="113" t="n"/>
      <c r="D629" s="113" t="n"/>
      <c r="E629" s="113" t="n"/>
    </row>
    <row r="630" ht="15" customHeight="1" s="66">
      <c r="A630" s="113" t="n"/>
      <c r="B630" s="113" t="n"/>
      <c r="C630" s="113" t="n"/>
      <c r="D630" s="113" t="n"/>
      <c r="E630" s="113" t="n"/>
    </row>
    <row r="631" ht="15" customHeight="1" s="66">
      <c r="A631" s="113" t="n"/>
      <c r="B631" s="113" t="n"/>
      <c r="C631" s="113" t="n"/>
      <c r="D631" s="113" t="n"/>
      <c r="E631" s="113" t="n"/>
    </row>
    <row r="632" ht="15" customHeight="1" s="66">
      <c r="A632" s="113" t="n"/>
      <c r="B632" s="113" t="n"/>
      <c r="C632" s="113" t="n"/>
      <c r="D632" s="113" t="n"/>
      <c r="E632" s="113" t="n"/>
    </row>
    <row r="633" ht="15" customHeight="1" s="66">
      <c r="A633" s="113" t="n"/>
      <c r="B633" s="113" t="n"/>
      <c r="C633" s="113" t="n"/>
      <c r="D633" s="113" t="n"/>
      <c r="E633" s="113" t="n"/>
    </row>
    <row r="634" ht="15" customHeight="1" s="66">
      <c r="A634" s="113" t="n"/>
      <c r="B634" s="113" t="n"/>
      <c r="C634" s="113" t="n"/>
      <c r="D634" s="113" t="n"/>
      <c r="E634" s="113" t="n"/>
    </row>
    <row r="635" ht="15" customHeight="1" s="66">
      <c r="A635" s="113" t="n"/>
      <c r="B635" s="113" t="n"/>
      <c r="C635" s="113" t="n"/>
      <c r="D635" s="113" t="n"/>
      <c r="E635" s="113" t="n"/>
    </row>
    <row r="636" ht="15" customHeight="1" s="66">
      <c r="A636" s="113" t="n"/>
      <c r="B636" s="113" t="n"/>
      <c r="C636" s="113" t="n"/>
      <c r="D636" s="113" t="n"/>
      <c r="E636" s="113" t="n"/>
    </row>
    <row r="637" ht="15" customHeight="1" s="66">
      <c r="A637" s="113" t="n"/>
      <c r="B637" s="113" t="n"/>
      <c r="C637" s="113" t="n"/>
      <c r="D637" s="113" t="n"/>
      <c r="E637" s="113" t="n"/>
    </row>
    <row r="638" ht="15" customHeight="1" s="66">
      <c r="A638" s="113" t="n"/>
      <c r="B638" s="113" t="n"/>
      <c r="C638" s="113" t="n"/>
      <c r="D638" s="113" t="n"/>
      <c r="E638" s="113" t="n"/>
    </row>
    <row r="639" ht="15" customHeight="1" s="66">
      <c r="A639" s="113" t="n"/>
      <c r="B639" s="113" t="n"/>
      <c r="C639" s="113" t="n"/>
      <c r="D639" s="113" t="n"/>
      <c r="E639" s="113" t="n"/>
    </row>
    <row r="640" ht="15" customHeight="1" s="66">
      <c r="A640" s="113" t="n"/>
      <c r="B640" s="113" t="n"/>
      <c r="C640" s="113" t="n"/>
      <c r="D640" s="113" t="n"/>
      <c r="E640" s="113" t="n"/>
    </row>
    <row r="641" ht="15" customHeight="1" s="66">
      <c r="A641" s="113" t="n"/>
      <c r="B641" s="113" t="n"/>
      <c r="C641" s="113" t="n"/>
      <c r="D641" s="113" t="n"/>
      <c r="E641" s="113" t="n"/>
    </row>
    <row r="642" ht="15" customHeight="1" s="66">
      <c r="A642" s="113" t="n"/>
      <c r="B642" s="113" t="n"/>
      <c r="C642" s="113" t="n"/>
      <c r="D642" s="113" t="n"/>
      <c r="E642" s="113" t="n"/>
    </row>
    <row r="643" ht="15" customHeight="1" s="66">
      <c r="A643" s="113" t="n"/>
      <c r="B643" s="113" t="n"/>
      <c r="C643" s="113" t="n"/>
      <c r="D643" s="113" t="n"/>
      <c r="E643" s="113" t="n"/>
    </row>
    <row r="644" ht="15" customHeight="1" s="66">
      <c r="A644" s="113" t="n"/>
      <c r="B644" s="113" t="n"/>
      <c r="C644" s="113" t="n"/>
      <c r="D644" s="113" t="n"/>
      <c r="E644" s="113" t="n"/>
    </row>
    <row r="645" ht="15" customHeight="1" s="66">
      <c r="A645" s="113" t="n"/>
      <c r="B645" s="113" t="n"/>
      <c r="C645" s="113" t="n"/>
      <c r="D645" s="113" t="n"/>
      <c r="E645" s="113" t="n"/>
    </row>
    <row r="646" ht="15" customHeight="1" s="66">
      <c r="A646" s="113" t="n"/>
      <c r="B646" s="113" t="n"/>
      <c r="C646" s="113" t="n"/>
      <c r="D646" s="113" t="n"/>
      <c r="E646" s="113" t="n"/>
    </row>
    <row r="647" ht="15" customHeight="1" s="66">
      <c r="A647" s="113" t="n"/>
      <c r="B647" s="113" t="n"/>
      <c r="C647" s="113" t="n"/>
      <c r="D647" s="113" t="n"/>
      <c r="E647" s="113" t="n"/>
    </row>
    <row r="648" ht="15" customHeight="1" s="66">
      <c r="A648" s="113" t="n"/>
      <c r="B648" s="113" t="n"/>
      <c r="C648" s="113" t="n"/>
      <c r="D648" s="113" t="n"/>
      <c r="E648" s="113" t="n"/>
    </row>
    <row r="649" ht="15" customHeight="1" s="66">
      <c r="A649" s="113" t="n"/>
      <c r="B649" s="113" t="n"/>
      <c r="C649" s="113" t="n"/>
      <c r="D649" s="113" t="n"/>
      <c r="E649" s="113" t="n"/>
    </row>
    <row r="650" ht="15" customHeight="1" s="66">
      <c r="A650" s="113" t="n"/>
      <c r="B650" s="113" t="n"/>
      <c r="C650" s="113" t="n"/>
      <c r="D650" s="113" t="n"/>
      <c r="E650" s="113" t="n"/>
    </row>
    <row r="651" ht="15" customHeight="1" s="66">
      <c r="A651" s="113" t="n"/>
      <c r="B651" s="113" t="n"/>
      <c r="C651" s="113" t="n"/>
      <c r="D651" s="113" t="n"/>
      <c r="E651" s="113" t="n"/>
    </row>
    <row r="652" ht="15" customHeight="1" s="66">
      <c r="A652" s="113" t="n"/>
      <c r="B652" s="113" t="n"/>
      <c r="C652" s="113" t="n"/>
      <c r="D652" s="113" t="n"/>
      <c r="E652" s="113" t="n"/>
    </row>
    <row r="653" ht="15" customHeight="1" s="66">
      <c r="A653" s="113" t="n"/>
      <c r="B653" s="113" t="n"/>
      <c r="C653" s="113" t="n"/>
      <c r="D653" s="113" t="n"/>
      <c r="E653" s="113" t="n"/>
    </row>
    <row r="654" ht="15" customHeight="1" s="66">
      <c r="A654" s="113" t="n"/>
      <c r="B654" s="113" t="n"/>
      <c r="C654" s="113" t="n"/>
      <c r="D654" s="113" t="n"/>
      <c r="E654" s="113" t="n"/>
    </row>
    <row r="655" ht="15" customHeight="1" s="66">
      <c r="A655" s="113" t="n"/>
      <c r="B655" s="113" t="n"/>
      <c r="C655" s="113" t="n"/>
      <c r="D655" s="113" t="n"/>
      <c r="E655" s="113" t="n"/>
    </row>
    <row r="656" ht="15" customHeight="1" s="66">
      <c r="A656" s="113" t="n"/>
      <c r="B656" s="113" t="n"/>
      <c r="C656" s="113" t="n"/>
      <c r="D656" s="113" t="n"/>
      <c r="E656" s="113" t="n"/>
    </row>
    <row r="657" ht="15" customHeight="1" s="66">
      <c r="A657" s="113" t="n"/>
      <c r="B657" s="113" t="n"/>
      <c r="C657" s="113" t="n"/>
      <c r="D657" s="113" t="n"/>
      <c r="E657" s="113" t="n"/>
    </row>
    <row r="658" ht="15" customHeight="1" s="66">
      <c r="A658" s="113" t="n"/>
      <c r="B658" s="113" t="n"/>
      <c r="C658" s="113" t="n"/>
      <c r="D658" s="113" t="n"/>
      <c r="E658" s="113" t="n"/>
    </row>
    <row r="659" ht="15" customHeight="1" s="66">
      <c r="A659" s="113" t="n"/>
      <c r="B659" s="113" t="n"/>
      <c r="C659" s="113" t="n"/>
      <c r="D659" s="113" t="n"/>
      <c r="E659" s="113" t="n"/>
    </row>
    <row r="660" ht="15" customHeight="1" s="66">
      <c r="A660" s="113" t="n"/>
      <c r="B660" s="113" t="n"/>
      <c r="C660" s="113" t="n"/>
      <c r="D660" s="113" t="n"/>
      <c r="E660" s="113" t="n"/>
    </row>
    <row r="661" ht="15" customHeight="1" s="66">
      <c r="A661" s="113" t="n"/>
      <c r="B661" s="113" t="n"/>
      <c r="C661" s="113" t="n"/>
      <c r="D661" s="113" t="n"/>
      <c r="E661" s="113" t="n"/>
    </row>
    <row r="662" ht="15" customHeight="1" s="66">
      <c r="A662" s="113" t="n"/>
      <c r="B662" s="113" t="n"/>
      <c r="C662" s="113" t="n"/>
      <c r="D662" s="113" t="n"/>
      <c r="E662" s="113" t="n"/>
    </row>
    <row r="663" ht="15" customHeight="1" s="66">
      <c r="A663" s="113" t="n"/>
      <c r="B663" s="113" t="n"/>
      <c r="C663" s="113" t="n"/>
      <c r="D663" s="113" t="n"/>
      <c r="E663" s="113" t="n"/>
    </row>
    <row r="664" ht="15" customHeight="1" s="66">
      <c r="A664" s="113" t="n"/>
      <c r="B664" s="113" t="n"/>
      <c r="C664" s="113" t="n"/>
      <c r="D664" s="113" t="n"/>
      <c r="E664" s="113" t="n"/>
    </row>
    <row r="665" ht="15" customHeight="1" s="66">
      <c r="A665" s="113" t="n"/>
      <c r="B665" s="113" t="n"/>
      <c r="C665" s="113" t="n"/>
      <c r="D665" s="113" t="n"/>
      <c r="E665" s="113" t="n"/>
    </row>
    <row r="666" ht="15" customHeight="1" s="66">
      <c r="A666" s="113" t="n"/>
      <c r="B666" s="113" t="n"/>
      <c r="C666" s="113" t="n"/>
      <c r="D666" s="113" t="n"/>
      <c r="E666" s="113" t="n"/>
    </row>
    <row r="667" ht="15" customHeight="1" s="66">
      <c r="A667" s="113" t="n"/>
      <c r="B667" s="113" t="n"/>
      <c r="C667" s="113" t="n"/>
      <c r="D667" s="113" t="n"/>
      <c r="E667" s="113" t="n"/>
    </row>
    <row r="668" ht="15" customHeight="1" s="66">
      <c r="A668" s="113" t="n"/>
      <c r="B668" s="113" t="n"/>
      <c r="C668" s="113" t="n"/>
      <c r="D668" s="113" t="n"/>
      <c r="E668" s="113" t="n"/>
    </row>
    <row r="669" ht="15" customHeight="1" s="66">
      <c r="A669" s="113" t="n"/>
      <c r="B669" s="113" t="n"/>
      <c r="C669" s="113" t="n"/>
      <c r="D669" s="113" t="n"/>
      <c r="E669" s="113" t="n"/>
    </row>
    <row r="670" ht="15" customHeight="1" s="66">
      <c r="A670" s="113" t="n"/>
      <c r="B670" s="113" t="n"/>
      <c r="C670" s="113" t="n"/>
      <c r="D670" s="113" t="n"/>
      <c r="E670" s="113" t="n"/>
    </row>
    <row r="671" ht="15" customHeight="1" s="66">
      <c r="A671" s="113" t="n"/>
      <c r="B671" s="113" t="n"/>
      <c r="C671" s="113" t="n"/>
      <c r="D671" s="113" t="n"/>
      <c r="E671" s="113" t="n"/>
    </row>
    <row r="672" ht="15" customHeight="1" s="66">
      <c r="A672" s="113" t="n"/>
      <c r="B672" s="113" t="n"/>
      <c r="C672" s="113" t="n"/>
      <c r="D672" s="113" t="n"/>
      <c r="E672" s="113" t="n"/>
    </row>
    <row r="673" ht="15" customHeight="1" s="66">
      <c r="A673" s="113" t="n"/>
      <c r="B673" s="113" t="n"/>
      <c r="C673" s="113" t="n"/>
      <c r="D673" s="113" t="n"/>
      <c r="E673" s="113" t="n"/>
    </row>
    <row r="674" ht="15" customHeight="1" s="66">
      <c r="A674" s="113" t="n"/>
      <c r="B674" s="113" t="n"/>
      <c r="C674" s="113" t="n"/>
      <c r="D674" s="113" t="n"/>
      <c r="E674" s="113" t="n"/>
    </row>
    <row r="675" ht="15" customHeight="1" s="66">
      <c r="A675" s="113" t="n"/>
      <c r="B675" s="113" t="n"/>
      <c r="C675" s="113" t="n"/>
      <c r="D675" s="113" t="n"/>
      <c r="E675" s="113" t="n"/>
    </row>
    <row r="676" ht="15" customHeight="1" s="66">
      <c r="A676" s="113" t="n"/>
      <c r="B676" s="113" t="n"/>
      <c r="C676" s="113" t="n"/>
      <c r="D676" s="113" t="n"/>
      <c r="E676" s="113" t="n"/>
    </row>
    <row r="677" ht="15" customHeight="1" s="66">
      <c r="A677" s="113" t="n"/>
      <c r="B677" s="113" t="n"/>
      <c r="C677" s="113" t="n"/>
      <c r="D677" s="113" t="n"/>
      <c r="E677" s="113" t="n"/>
    </row>
    <row r="678" ht="15" customHeight="1" s="66">
      <c r="A678" s="113" t="n"/>
      <c r="B678" s="113" t="n"/>
      <c r="C678" s="113" t="n"/>
      <c r="D678" s="113" t="n"/>
      <c r="E678" s="113" t="n"/>
    </row>
    <row r="679" ht="15" customHeight="1" s="66">
      <c r="A679" s="113" t="n"/>
      <c r="B679" s="113" t="n"/>
      <c r="C679" s="113" t="n"/>
      <c r="D679" s="113" t="n"/>
      <c r="E679" s="113" t="n"/>
    </row>
    <row r="680" ht="15" customHeight="1" s="66">
      <c r="A680" s="113" t="n"/>
      <c r="B680" s="113" t="n"/>
      <c r="C680" s="113" t="n"/>
      <c r="D680" s="113" t="n"/>
      <c r="E680" s="113" t="n"/>
    </row>
    <row r="681" ht="15" customHeight="1" s="66">
      <c r="A681" s="113" t="n"/>
      <c r="B681" s="113" t="n"/>
      <c r="C681" s="113" t="n"/>
      <c r="D681" s="113" t="n"/>
      <c r="E681" s="113" t="n"/>
    </row>
    <row r="682" ht="15" customHeight="1" s="66">
      <c r="A682" s="113" t="n"/>
      <c r="B682" s="113" t="n"/>
      <c r="C682" s="113" t="n"/>
      <c r="D682" s="113" t="n"/>
      <c r="E682" s="113" t="n"/>
    </row>
    <row r="683" ht="15" customHeight="1" s="66">
      <c r="A683" s="113" t="n"/>
      <c r="B683" s="113" t="n"/>
      <c r="C683" s="113" t="n"/>
      <c r="D683" s="113" t="n"/>
      <c r="E683" s="113" t="n"/>
    </row>
    <row r="684" ht="15" customHeight="1" s="66">
      <c r="A684" s="113" t="n"/>
      <c r="B684" s="113" t="n"/>
      <c r="C684" s="113" t="n"/>
      <c r="D684" s="113" t="n"/>
      <c r="E684" s="113" t="n"/>
    </row>
    <row r="685" ht="15" customHeight="1" s="66">
      <c r="A685" s="113" t="n"/>
      <c r="B685" s="113" t="n"/>
      <c r="C685" s="113" t="n"/>
      <c r="D685" s="113" t="n"/>
      <c r="E685" s="113" t="n"/>
    </row>
    <row r="686" ht="15" customHeight="1" s="66">
      <c r="A686" s="113" t="n"/>
      <c r="B686" s="113" t="n"/>
      <c r="C686" s="113" t="n"/>
      <c r="D686" s="113" t="n"/>
      <c r="E686" s="113" t="n"/>
    </row>
    <row r="687" ht="15" customHeight="1" s="66">
      <c r="A687" s="113" t="n"/>
      <c r="B687" s="113" t="n"/>
      <c r="C687" s="113" t="n"/>
      <c r="D687" s="113" t="n"/>
      <c r="E687" s="113" t="n"/>
    </row>
    <row r="688" ht="15" customHeight="1" s="66">
      <c r="A688" s="113" t="n"/>
      <c r="B688" s="113" t="n"/>
      <c r="C688" s="113" t="n"/>
      <c r="D688" s="113" t="n"/>
      <c r="E688" s="113" t="n"/>
    </row>
    <row r="689" ht="15" customHeight="1" s="66">
      <c r="A689" s="113" t="n"/>
      <c r="B689" s="113" t="n"/>
      <c r="C689" s="113" t="n"/>
      <c r="D689" s="113" t="n"/>
      <c r="E689" s="113" t="n"/>
    </row>
    <row r="690" ht="15" customHeight="1" s="66">
      <c r="A690" s="113" t="n"/>
      <c r="B690" s="113" t="n"/>
      <c r="C690" s="113" t="n"/>
      <c r="D690" s="113" t="n"/>
      <c r="E690" s="113" t="n"/>
    </row>
    <row r="691" ht="15" customHeight="1" s="66">
      <c r="A691" s="113" t="n"/>
      <c r="B691" s="113" t="n"/>
      <c r="C691" s="113" t="n"/>
      <c r="D691" s="113" t="n"/>
      <c r="E691" s="113" t="n"/>
    </row>
    <row r="692" ht="15" customHeight="1" s="66">
      <c r="A692" s="113" t="n"/>
      <c r="B692" s="113" t="n"/>
      <c r="C692" s="113" t="n"/>
      <c r="D692" s="113" t="n"/>
      <c r="E692" s="113" t="n"/>
    </row>
    <row r="693" ht="15" customHeight="1" s="66">
      <c r="A693" s="113" t="n"/>
      <c r="B693" s="113" t="n"/>
      <c r="C693" s="113" t="n"/>
      <c r="D693" s="113" t="n"/>
      <c r="E693" s="113" t="n"/>
    </row>
    <row r="694" ht="15" customHeight="1" s="66">
      <c r="A694" s="113" t="n"/>
      <c r="B694" s="113" t="n"/>
      <c r="C694" s="113" t="n"/>
      <c r="D694" s="113" t="n"/>
      <c r="E694" s="113" t="n"/>
    </row>
    <row r="695" ht="15" customHeight="1" s="66">
      <c r="A695" s="113" t="n"/>
      <c r="B695" s="113" t="n"/>
      <c r="C695" s="113" t="n"/>
      <c r="D695" s="113" t="n"/>
      <c r="E695" s="113" t="n"/>
    </row>
    <row r="696" ht="15" customHeight="1" s="66">
      <c r="A696" s="113" t="n"/>
      <c r="B696" s="113" t="n"/>
      <c r="C696" s="113" t="n"/>
      <c r="D696" s="113" t="n"/>
      <c r="E696" s="113" t="n"/>
    </row>
    <row r="697" ht="15" customHeight="1" s="66">
      <c r="A697" s="113" t="n"/>
      <c r="B697" s="113" t="n"/>
      <c r="C697" s="113" t="n"/>
      <c r="D697" s="113" t="n"/>
      <c r="E697" s="113" t="n"/>
    </row>
    <row r="698" ht="15" customHeight="1" s="66">
      <c r="A698" s="113" t="n"/>
      <c r="B698" s="113" t="n"/>
      <c r="C698" s="113" t="n"/>
      <c r="D698" s="113" t="n"/>
      <c r="E698" s="113" t="n"/>
    </row>
    <row r="699" ht="15" customHeight="1" s="66">
      <c r="A699" s="113" t="n"/>
      <c r="B699" s="113" t="n"/>
      <c r="C699" s="113" t="n"/>
      <c r="D699" s="113" t="n"/>
      <c r="E699" s="113" t="n"/>
    </row>
    <row r="700" ht="15" customHeight="1" s="66">
      <c r="A700" s="113" t="n"/>
      <c r="B700" s="113" t="n"/>
      <c r="C700" s="113" t="n"/>
      <c r="D700" s="113" t="n"/>
      <c r="E700" s="113" t="n"/>
    </row>
    <row r="701" ht="15" customHeight="1" s="66">
      <c r="A701" s="113" t="n"/>
      <c r="B701" s="113" t="n"/>
      <c r="C701" s="113" t="n"/>
      <c r="D701" s="113" t="n"/>
      <c r="E701" s="113" t="n"/>
    </row>
    <row r="702" ht="15" customHeight="1" s="66">
      <c r="A702" s="113" t="n"/>
      <c r="B702" s="113" t="n"/>
      <c r="C702" s="113" t="n"/>
      <c r="D702" s="113" t="n"/>
      <c r="E702" s="113" t="n"/>
    </row>
    <row r="703" ht="15" customHeight="1" s="66">
      <c r="A703" s="113" t="n"/>
      <c r="B703" s="113" t="n"/>
      <c r="C703" s="113" t="n"/>
      <c r="D703" s="113" t="n"/>
      <c r="E703" s="113" t="n"/>
    </row>
    <row r="704" ht="15" customHeight="1" s="66">
      <c r="A704" s="113" t="n"/>
      <c r="B704" s="113" t="n"/>
      <c r="C704" s="113" t="n"/>
      <c r="D704" s="113" t="n"/>
      <c r="E704" s="113" t="n"/>
    </row>
    <row r="705" ht="15" customHeight="1" s="66">
      <c r="A705" s="113" t="n"/>
      <c r="B705" s="113" t="n"/>
      <c r="C705" s="113" t="n"/>
      <c r="D705" s="113" t="n"/>
      <c r="E705" s="113" t="n"/>
    </row>
    <row r="706" ht="15" customHeight="1" s="66">
      <c r="A706" s="113" t="n"/>
      <c r="B706" s="113" t="n"/>
      <c r="C706" s="113" t="n"/>
      <c r="D706" s="113" t="n"/>
      <c r="E706" s="113" t="n"/>
    </row>
    <row r="707" ht="15" customHeight="1" s="66">
      <c r="A707" s="113" t="n"/>
      <c r="B707" s="113" t="n"/>
      <c r="C707" s="113" t="n"/>
      <c r="D707" s="113" t="n"/>
      <c r="E707" s="113" t="n"/>
    </row>
    <row r="708" ht="15" customHeight="1" s="66">
      <c r="A708" s="113" t="n"/>
      <c r="B708" s="113" t="n"/>
      <c r="C708" s="113" t="n"/>
      <c r="D708" s="113" t="n"/>
      <c r="E708" s="113" t="n"/>
    </row>
    <row r="709" ht="15" customHeight="1" s="66">
      <c r="A709" s="113" t="n"/>
      <c r="B709" s="113" t="n"/>
      <c r="C709" s="113" t="n"/>
      <c r="D709" s="113" t="n"/>
      <c r="E709" s="113" t="n"/>
    </row>
    <row r="710" ht="15" customHeight="1" s="66">
      <c r="A710" s="113" t="n"/>
      <c r="B710" s="113" t="n"/>
      <c r="C710" s="113" t="n"/>
      <c r="D710" s="113" t="n"/>
      <c r="E710" s="113" t="n"/>
    </row>
    <row r="711" ht="15" customHeight="1" s="66">
      <c r="A711" s="113" t="n"/>
      <c r="B711" s="113" t="n"/>
      <c r="C711" s="113" t="n"/>
      <c r="D711" s="113" t="n"/>
      <c r="E711" s="113" t="n"/>
    </row>
    <row r="712" ht="15" customHeight="1" s="66">
      <c r="A712" s="113" t="n"/>
      <c r="B712" s="113" t="n"/>
      <c r="C712" s="113" t="n"/>
      <c r="D712" s="113" t="n"/>
      <c r="E712" s="113" t="n"/>
    </row>
    <row r="713" ht="15" customHeight="1" s="66">
      <c r="A713" s="113" t="n"/>
      <c r="B713" s="113" t="n"/>
      <c r="C713" s="113" t="n"/>
      <c r="D713" s="113" t="n"/>
      <c r="E713" s="113" t="n"/>
    </row>
    <row r="714" ht="15" customHeight="1" s="66">
      <c r="A714" s="113" t="n"/>
      <c r="B714" s="113" t="n"/>
      <c r="C714" s="113" t="n"/>
      <c r="D714" s="113" t="n"/>
      <c r="E714" s="113" t="n"/>
    </row>
    <row r="715" ht="15" customHeight="1" s="66">
      <c r="A715" s="113" t="n"/>
      <c r="B715" s="113" t="n"/>
      <c r="C715" s="113" t="n"/>
      <c r="D715" s="113" t="n"/>
      <c r="E715" s="113" t="n"/>
    </row>
    <row r="716" ht="15" customHeight="1" s="66">
      <c r="A716" s="113" t="n"/>
      <c r="B716" s="113" t="n"/>
      <c r="C716" s="113" t="n"/>
      <c r="D716" s="113" t="n"/>
      <c r="E716" s="113" t="n"/>
    </row>
    <row r="717" ht="15" customHeight="1" s="66">
      <c r="A717" s="113" t="n"/>
      <c r="B717" s="113" t="n"/>
      <c r="C717" s="113" t="n"/>
      <c r="D717" s="113" t="n"/>
      <c r="E717" s="113" t="n"/>
    </row>
    <row r="718" ht="15" customHeight="1" s="66">
      <c r="A718" s="113" t="n"/>
      <c r="B718" s="113" t="n"/>
      <c r="C718" s="113" t="n"/>
      <c r="D718" s="113" t="n"/>
      <c r="E718" s="113" t="n"/>
    </row>
    <row r="719" ht="15" customHeight="1" s="66">
      <c r="A719" s="113" t="n"/>
      <c r="B719" s="113" t="n"/>
      <c r="C719" s="113" t="n"/>
      <c r="D719" s="113" t="n"/>
      <c r="E719" s="113" t="n"/>
    </row>
    <row r="720" ht="15" customHeight="1" s="66">
      <c r="A720" s="113" t="n"/>
      <c r="B720" s="113" t="n"/>
      <c r="C720" s="113" t="n"/>
      <c r="D720" s="113" t="n"/>
      <c r="E720" s="113" t="n"/>
    </row>
    <row r="721" ht="15" customHeight="1" s="66">
      <c r="A721" s="113" t="n"/>
      <c r="B721" s="113" t="n"/>
      <c r="C721" s="113" t="n"/>
      <c r="D721" s="113" t="n"/>
      <c r="E721" s="113" t="n"/>
    </row>
    <row r="722" ht="15" customHeight="1" s="66">
      <c r="A722" s="113" t="n"/>
      <c r="B722" s="113" t="n"/>
      <c r="C722" s="113" t="n"/>
      <c r="D722" s="113" t="n"/>
      <c r="E722" s="113" t="n"/>
    </row>
    <row r="723" ht="15" customHeight="1" s="66">
      <c r="A723" s="113" t="n"/>
      <c r="B723" s="113" t="n"/>
      <c r="C723" s="113" t="n"/>
      <c r="D723" s="113" t="n"/>
      <c r="E723" s="113" t="n"/>
    </row>
    <row r="724" ht="15" customHeight="1" s="66">
      <c r="A724" s="113" t="n"/>
      <c r="B724" s="113" t="n"/>
      <c r="C724" s="113" t="n"/>
      <c r="D724" s="113" t="n"/>
      <c r="E724" s="113" t="n"/>
    </row>
    <row r="725" ht="15" customHeight="1" s="66">
      <c r="A725" s="113" t="n"/>
      <c r="B725" s="113" t="n"/>
      <c r="C725" s="113" t="n"/>
      <c r="D725" s="113" t="n"/>
      <c r="E725" s="113" t="n"/>
    </row>
    <row r="726" ht="15" customHeight="1" s="66">
      <c r="A726" s="113" t="n"/>
      <c r="B726" s="113" t="n"/>
      <c r="C726" s="113" t="n"/>
      <c r="D726" s="113" t="n"/>
      <c r="E726" s="113" t="n"/>
    </row>
    <row r="727" ht="15" customHeight="1" s="66">
      <c r="A727" s="113" t="n"/>
      <c r="B727" s="113" t="n"/>
      <c r="C727" s="113" t="n"/>
      <c r="D727" s="113" t="n"/>
      <c r="E727" s="113" t="n"/>
    </row>
    <row r="728" ht="15" customHeight="1" s="66">
      <c r="A728" s="113" t="n"/>
      <c r="B728" s="113" t="n"/>
      <c r="C728" s="113" t="n"/>
      <c r="D728" s="113" t="n"/>
      <c r="E728" s="113" t="n"/>
    </row>
    <row r="729" ht="15" customHeight="1" s="66">
      <c r="A729" s="113" t="n"/>
      <c r="B729" s="113" t="n"/>
      <c r="C729" s="113" t="n"/>
      <c r="D729" s="113" t="n"/>
      <c r="E729" s="113" t="n"/>
    </row>
    <row r="730" ht="15" customHeight="1" s="66">
      <c r="A730" s="113" t="n"/>
      <c r="B730" s="113" t="n"/>
      <c r="C730" s="113" t="n"/>
      <c r="D730" s="113" t="n"/>
      <c r="E730" s="113" t="n"/>
    </row>
    <row r="731" ht="15" customHeight="1" s="66">
      <c r="A731" s="113" t="n"/>
      <c r="B731" s="113" t="n"/>
      <c r="C731" s="113" t="n"/>
      <c r="D731" s="113" t="n"/>
      <c r="E731" s="113" t="n"/>
    </row>
    <row r="732" ht="15" customHeight="1" s="66">
      <c r="A732" s="113" t="n"/>
      <c r="B732" s="113" t="n"/>
      <c r="C732" s="113" t="n"/>
      <c r="D732" s="113" t="n"/>
      <c r="E732" s="113" t="n"/>
    </row>
    <row r="733" ht="15" customHeight="1" s="66">
      <c r="A733" s="113" t="n"/>
      <c r="B733" s="113" t="n"/>
      <c r="C733" s="113" t="n"/>
      <c r="D733" s="113" t="n"/>
      <c r="E733" s="113" t="n"/>
    </row>
    <row r="734" ht="15" customHeight="1" s="66">
      <c r="A734" s="113" t="n"/>
      <c r="B734" s="113" t="n"/>
      <c r="C734" s="113" t="n"/>
      <c r="D734" s="113" t="n"/>
      <c r="E734" s="113" t="n"/>
    </row>
    <row r="735" ht="15" customHeight="1" s="66">
      <c r="A735" s="113" t="n"/>
      <c r="B735" s="113" t="n"/>
      <c r="C735" s="113" t="n"/>
      <c r="D735" s="113" t="n"/>
      <c r="E735" s="113" t="n"/>
    </row>
    <row r="736" ht="15" customHeight="1" s="66">
      <c r="A736" s="113" t="n"/>
      <c r="B736" s="113" t="n"/>
      <c r="C736" s="113" t="n"/>
      <c r="D736" s="113" t="n"/>
      <c r="E736" s="113" t="n"/>
    </row>
    <row r="737" ht="15" customHeight="1" s="66">
      <c r="A737" s="113" t="n"/>
      <c r="B737" s="113" t="n"/>
      <c r="C737" s="113" t="n"/>
      <c r="D737" s="113" t="n"/>
      <c r="E737" s="113" t="n"/>
    </row>
    <row r="738" ht="15" customHeight="1" s="66">
      <c r="A738" s="113" t="n"/>
      <c r="B738" s="113" t="n"/>
      <c r="C738" s="113" t="n"/>
      <c r="D738" s="113" t="n"/>
      <c r="E738" s="113" t="n"/>
    </row>
    <row r="739" ht="15" customHeight="1" s="66">
      <c r="A739" s="113" t="n"/>
      <c r="B739" s="113" t="n"/>
      <c r="C739" s="113" t="n"/>
      <c r="D739" s="113" t="n"/>
      <c r="E739" s="113" t="n"/>
    </row>
    <row r="740" ht="15" customHeight="1" s="66">
      <c r="A740" s="113" t="n"/>
      <c r="B740" s="113" t="n"/>
      <c r="C740" s="113" t="n"/>
      <c r="D740" s="113" t="n"/>
      <c r="E740" s="113" t="n"/>
    </row>
    <row r="741" ht="15" customHeight="1" s="66">
      <c r="A741" s="113" t="n"/>
      <c r="B741" s="113" t="n"/>
      <c r="C741" s="113" t="n"/>
      <c r="D741" s="113" t="n"/>
      <c r="E741" s="113" t="n"/>
    </row>
    <row r="742" ht="15" customHeight="1" s="66">
      <c r="A742" s="113" t="n"/>
      <c r="B742" s="113" t="n"/>
      <c r="C742" s="113" t="n"/>
      <c r="D742" s="113" t="n"/>
      <c r="E742" s="113" t="n"/>
    </row>
    <row r="743" ht="15" customHeight="1" s="66">
      <c r="A743" s="113" t="n"/>
      <c r="B743" s="113" t="n"/>
      <c r="C743" s="113" t="n"/>
      <c r="D743" s="113" t="n"/>
      <c r="E743" s="113" t="n"/>
    </row>
    <row r="744" ht="15" customHeight="1" s="66">
      <c r="A744" s="113" t="n"/>
      <c r="B744" s="113" t="n"/>
      <c r="C744" s="113" t="n"/>
      <c r="D744" s="113" t="n"/>
      <c r="E744" s="113" t="n"/>
    </row>
    <row r="745" ht="15" customHeight="1" s="66">
      <c r="A745" s="113" t="n"/>
      <c r="B745" s="113" t="n"/>
      <c r="C745" s="113" t="n"/>
      <c r="D745" s="113" t="n"/>
      <c r="E745" s="113" t="n"/>
    </row>
    <row r="746" ht="15" customHeight="1" s="66">
      <c r="A746" s="113" t="n"/>
      <c r="B746" s="113" t="n"/>
      <c r="C746" s="113" t="n"/>
      <c r="D746" s="113" t="n"/>
      <c r="E746" s="113" t="n"/>
    </row>
    <row r="747" ht="15" customHeight="1" s="66">
      <c r="A747" s="113" t="n"/>
      <c r="B747" s="113" t="n"/>
      <c r="C747" s="113" t="n"/>
      <c r="D747" s="113" t="n"/>
      <c r="E747" s="113" t="n"/>
    </row>
    <row r="748" ht="15" customHeight="1" s="66">
      <c r="A748" s="113" t="n"/>
      <c r="B748" s="113" t="n"/>
      <c r="C748" s="113" t="n"/>
      <c r="D748" s="113" t="n"/>
      <c r="E748" s="113" t="n"/>
    </row>
    <row r="749" ht="15" customHeight="1" s="66">
      <c r="A749" s="113" t="n"/>
      <c r="B749" s="113" t="n"/>
      <c r="C749" s="113" t="n"/>
      <c r="D749" s="113" t="n"/>
      <c r="E749" s="113" t="n"/>
    </row>
    <row r="750" ht="15" customHeight="1" s="66">
      <c r="A750" s="113" t="n"/>
      <c r="B750" s="113" t="n"/>
      <c r="C750" s="113" t="n"/>
      <c r="D750" s="113" t="n"/>
      <c r="E750" s="113" t="n"/>
    </row>
    <row r="751" ht="15" customHeight="1" s="66">
      <c r="A751" s="113" t="n"/>
      <c r="B751" s="113" t="n"/>
      <c r="C751" s="113" t="n"/>
      <c r="D751" s="113" t="n"/>
      <c r="E751" s="113" t="n"/>
    </row>
    <row r="752" ht="15" customHeight="1" s="66">
      <c r="A752" s="113" t="n"/>
      <c r="B752" s="113" t="n"/>
      <c r="C752" s="113" t="n"/>
      <c r="D752" s="113" t="n"/>
      <c r="E752" s="113" t="n"/>
    </row>
    <row r="753" ht="15" customHeight="1" s="66">
      <c r="A753" s="113" t="n"/>
      <c r="B753" s="113" t="n"/>
      <c r="C753" s="113" t="n"/>
      <c r="D753" s="113" t="n"/>
      <c r="E753" s="113" t="n"/>
    </row>
    <row r="754" ht="15" customHeight="1" s="66">
      <c r="A754" s="113" t="n"/>
      <c r="B754" s="113" t="n"/>
      <c r="C754" s="113" t="n"/>
      <c r="D754" s="113" t="n"/>
      <c r="E754" s="113" t="n"/>
    </row>
    <row r="755" ht="15" customHeight="1" s="66">
      <c r="A755" s="113" t="n"/>
      <c r="B755" s="113" t="n"/>
      <c r="C755" s="113" t="n"/>
      <c r="D755" s="113" t="n"/>
      <c r="E755" s="113" t="n"/>
    </row>
    <row r="756" ht="15" customHeight="1" s="66">
      <c r="A756" s="113" t="n"/>
      <c r="B756" s="113" t="n"/>
      <c r="C756" s="113" t="n"/>
      <c r="D756" s="113" t="n"/>
      <c r="E756" s="113" t="n"/>
    </row>
    <row r="757" ht="15" customHeight="1" s="66">
      <c r="A757" s="113" t="n"/>
      <c r="B757" s="113" t="n"/>
      <c r="C757" s="113" t="n"/>
      <c r="D757" s="113" t="n"/>
      <c r="E757" s="113" t="n"/>
    </row>
    <row r="758" ht="15" customHeight="1" s="66">
      <c r="A758" s="113" t="n"/>
      <c r="B758" s="113" t="n"/>
      <c r="C758" s="113" t="n"/>
      <c r="D758" s="113" t="n"/>
      <c r="E758" s="113" t="n"/>
    </row>
    <row r="759" ht="15" customHeight="1" s="66">
      <c r="A759" s="113" t="n"/>
      <c r="B759" s="113" t="n"/>
      <c r="C759" s="113" t="n"/>
      <c r="D759" s="113" t="n"/>
      <c r="E759" s="113" t="n"/>
    </row>
    <row r="760" ht="15" customHeight="1" s="66">
      <c r="A760" s="113" t="n"/>
      <c r="B760" s="113" t="n"/>
      <c r="C760" s="113" t="n"/>
      <c r="D760" s="113" t="n"/>
      <c r="E760" s="113" t="n"/>
    </row>
    <row r="761" ht="15" customHeight="1" s="66">
      <c r="A761" s="113" t="n"/>
      <c r="B761" s="113" t="n"/>
      <c r="C761" s="113" t="n"/>
      <c r="D761" s="113" t="n"/>
      <c r="E761" s="113" t="n"/>
    </row>
    <row r="762" ht="15" customHeight="1" s="66">
      <c r="A762" s="113" t="n"/>
      <c r="B762" s="113" t="n"/>
      <c r="C762" s="113" t="n"/>
      <c r="D762" s="113" t="n"/>
      <c r="E762" s="113" t="n"/>
    </row>
    <row r="763" ht="15" customHeight="1" s="66">
      <c r="A763" s="113" t="n"/>
      <c r="B763" s="113" t="n"/>
      <c r="C763" s="113" t="n"/>
      <c r="D763" s="113" t="n"/>
      <c r="E763" s="113" t="n"/>
    </row>
    <row r="764" ht="15" customHeight="1" s="66">
      <c r="A764" s="113" t="n"/>
      <c r="B764" s="113" t="n"/>
      <c r="C764" s="113" t="n"/>
      <c r="D764" s="113" t="n"/>
      <c r="E764" s="113" t="n"/>
    </row>
    <row r="765" ht="15" customHeight="1" s="66">
      <c r="A765" s="113" t="n"/>
      <c r="B765" s="113" t="n"/>
      <c r="C765" s="113" t="n"/>
      <c r="D765" s="113" t="n"/>
      <c r="E765" s="113" t="n"/>
    </row>
    <row r="766" ht="15" customHeight="1" s="66">
      <c r="A766" s="113" t="n"/>
      <c r="B766" s="113" t="n"/>
      <c r="C766" s="113" t="n"/>
      <c r="D766" s="113" t="n"/>
      <c r="E766" s="113" t="n"/>
    </row>
    <row r="767" ht="15" customHeight="1" s="66">
      <c r="A767" s="113" t="n"/>
      <c r="B767" s="113" t="n"/>
      <c r="C767" s="113" t="n"/>
      <c r="D767" s="113" t="n"/>
      <c r="E767" s="113" t="n"/>
    </row>
    <row r="768" ht="15" customHeight="1" s="66">
      <c r="A768" s="113" t="n"/>
      <c r="B768" s="113" t="n"/>
      <c r="C768" s="113" t="n"/>
      <c r="D768" s="113" t="n"/>
      <c r="E768" s="113" t="n"/>
    </row>
    <row r="769" ht="15" customHeight="1" s="66">
      <c r="A769" s="113" t="n"/>
      <c r="B769" s="113" t="n"/>
      <c r="C769" s="113" t="n"/>
      <c r="D769" s="113" t="n"/>
      <c r="E769" s="113" t="n"/>
    </row>
    <row r="770" ht="15" customHeight="1" s="66">
      <c r="A770" s="113" t="n"/>
      <c r="B770" s="113" t="n"/>
      <c r="C770" s="113" t="n"/>
      <c r="D770" s="113" t="n"/>
      <c r="E770" s="113" t="n"/>
    </row>
    <row r="771" ht="15" customHeight="1" s="66">
      <c r="A771" s="113" t="n"/>
      <c r="B771" s="113" t="n"/>
      <c r="C771" s="113" t="n"/>
      <c r="D771" s="113" t="n"/>
      <c r="E771" s="113" t="n"/>
    </row>
    <row r="772" ht="15" customHeight="1" s="66">
      <c r="A772" s="113" t="n"/>
      <c r="B772" s="113" t="n"/>
      <c r="C772" s="113" t="n"/>
      <c r="D772" s="113" t="n"/>
      <c r="E772" s="113" t="n"/>
    </row>
    <row r="773" ht="15" customHeight="1" s="66">
      <c r="A773" s="113" t="n"/>
      <c r="B773" s="113" t="n"/>
      <c r="C773" s="113" t="n"/>
      <c r="D773" s="113" t="n"/>
      <c r="E773" s="113" t="n"/>
    </row>
    <row r="774" ht="15" customHeight="1" s="66">
      <c r="A774" s="113" t="n"/>
      <c r="B774" s="113" t="n"/>
      <c r="C774" s="113" t="n"/>
      <c r="D774" s="113" t="n"/>
      <c r="E774" s="113" t="n"/>
    </row>
    <row r="775" ht="15" customHeight="1" s="66">
      <c r="A775" s="113" t="n"/>
      <c r="B775" s="113" t="n"/>
      <c r="C775" s="113" t="n"/>
      <c r="D775" s="113" t="n"/>
      <c r="E775" s="113" t="n"/>
    </row>
    <row r="776" ht="15" customHeight="1" s="66">
      <c r="A776" s="113" t="n"/>
      <c r="B776" s="113" t="n"/>
      <c r="C776" s="113" t="n"/>
      <c r="D776" s="113" t="n"/>
      <c r="E776" s="113" t="n"/>
    </row>
    <row r="777" ht="15" customHeight="1" s="66">
      <c r="A777" s="113" t="n"/>
      <c r="B777" s="113" t="n"/>
      <c r="C777" s="113" t="n"/>
      <c r="D777" s="113" t="n"/>
      <c r="E777" s="113" t="n"/>
    </row>
    <row r="778" ht="15" customHeight="1" s="66">
      <c r="A778" s="113" t="n"/>
      <c r="B778" s="113" t="n"/>
      <c r="C778" s="113" t="n"/>
      <c r="D778" s="113" t="n"/>
      <c r="E778" s="113" t="n"/>
    </row>
    <row r="779" ht="15" customHeight="1" s="66">
      <c r="A779" s="113" t="n"/>
      <c r="B779" s="113" t="n"/>
      <c r="C779" s="113" t="n"/>
      <c r="D779" s="113" t="n"/>
      <c r="E779" s="113" t="n"/>
    </row>
    <row r="780" ht="15" customHeight="1" s="66">
      <c r="A780" s="113" t="n"/>
      <c r="B780" s="113" t="n"/>
      <c r="C780" s="113" t="n"/>
      <c r="D780" s="113" t="n"/>
      <c r="E780" s="113" t="n"/>
    </row>
    <row r="781" ht="15" customHeight="1" s="66">
      <c r="A781" s="113" t="n"/>
      <c r="B781" s="113" t="n"/>
      <c r="C781" s="113" t="n"/>
      <c r="D781" s="113" t="n"/>
      <c r="E781" s="113" t="n"/>
    </row>
    <row r="782" ht="15" customHeight="1" s="66">
      <c r="A782" s="113" t="n"/>
      <c r="B782" s="113" t="n"/>
      <c r="C782" s="113" t="n"/>
      <c r="D782" s="113" t="n"/>
      <c r="E782" s="113" t="n"/>
    </row>
    <row r="783" ht="15" customHeight="1" s="66">
      <c r="A783" s="113" t="n"/>
      <c r="B783" s="113" t="n"/>
      <c r="C783" s="113" t="n"/>
      <c r="D783" s="113" t="n"/>
      <c r="E783" s="113" t="n"/>
    </row>
    <row r="784" ht="15" customHeight="1" s="66">
      <c r="A784" s="113" t="n"/>
      <c r="B784" s="113" t="n"/>
      <c r="C784" s="113" t="n"/>
      <c r="D784" s="113" t="n"/>
      <c r="E784" s="113" t="n"/>
    </row>
    <row r="785" ht="15" customHeight="1" s="66">
      <c r="A785" s="113" t="n"/>
      <c r="B785" s="113" t="n"/>
      <c r="C785" s="113" t="n"/>
      <c r="D785" s="113" t="n"/>
      <c r="E785" s="113" t="n"/>
    </row>
    <row r="786" ht="15" customHeight="1" s="66">
      <c r="A786" s="113" t="n"/>
      <c r="B786" s="113" t="n"/>
      <c r="C786" s="113" t="n"/>
      <c r="D786" s="113" t="n"/>
      <c r="E786" s="113" t="n"/>
    </row>
    <row r="787" ht="15" customHeight="1" s="66">
      <c r="A787" s="113" t="n"/>
      <c r="B787" s="113" t="n"/>
      <c r="C787" s="113" t="n"/>
      <c r="D787" s="113" t="n"/>
      <c r="E787" s="113" t="n"/>
    </row>
    <row r="788" ht="15" customHeight="1" s="66">
      <c r="A788" s="113" t="n"/>
      <c r="B788" s="113" t="n"/>
      <c r="C788" s="113" t="n"/>
      <c r="D788" s="113" t="n"/>
      <c r="E788" s="113" t="n"/>
    </row>
    <row r="789" ht="15" customHeight="1" s="66">
      <c r="A789" s="113" t="n"/>
      <c r="B789" s="113" t="n"/>
      <c r="C789" s="113" t="n"/>
      <c r="D789" s="113" t="n"/>
      <c r="E789" s="113" t="n"/>
    </row>
    <row r="790" ht="15" customHeight="1" s="66">
      <c r="A790" s="113" t="n"/>
      <c r="B790" s="113" t="n"/>
      <c r="C790" s="113" t="n"/>
      <c r="D790" s="113" t="n"/>
      <c r="E790" s="113" t="n"/>
    </row>
    <row r="791" ht="15" customHeight="1" s="66">
      <c r="A791" s="113" t="n"/>
      <c r="B791" s="113" t="n"/>
      <c r="C791" s="113" t="n"/>
      <c r="D791" s="113" t="n"/>
      <c r="E791" s="113" t="n"/>
    </row>
    <row r="792" ht="15" customHeight="1" s="66">
      <c r="A792" s="113" t="n"/>
      <c r="B792" s="113" t="n"/>
      <c r="C792" s="113" t="n"/>
      <c r="D792" s="113" t="n"/>
      <c r="E792" s="113" t="n"/>
    </row>
    <row r="793" ht="15" customHeight="1" s="66">
      <c r="A793" s="113" t="n"/>
      <c r="B793" s="113" t="n"/>
      <c r="C793" s="113" t="n"/>
      <c r="D793" s="113" t="n"/>
      <c r="E793" s="113" t="n"/>
    </row>
    <row r="794" ht="15" customHeight="1" s="66">
      <c r="A794" s="113" t="n"/>
      <c r="B794" s="113" t="n"/>
      <c r="C794" s="113" t="n"/>
      <c r="D794" s="113" t="n"/>
      <c r="E794" s="113" t="n"/>
    </row>
    <row r="795" ht="15" customHeight="1" s="66">
      <c r="A795" s="113" t="n"/>
      <c r="B795" s="113" t="n"/>
      <c r="C795" s="113" t="n"/>
      <c r="D795" s="113" t="n"/>
      <c r="E795" s="113" t="n"/>
    </row>
    <row r="796" ht="15" customHeight="1" s="66">
      <c r="A796" s="113" t="n"/>
      <c r="B796" s="113" t="n"/>
      <c r="C796" s="113" t="n"/>
      <c r="D796" s="113" t="n"/>
      <c r="E796" s="113" t="n"/>
    </row>
    <row r="797" ht="15" customHeight="1" s="66">
      <c r="A797" s="113" t="n"/>
      <c r="B797" s="113" t="n"/>
      <c r="C797" s="113" t="n"/>
      <c r="D797" s="113" t="n"/>
      <c r="E797" s="113" t="n"/>
    </row>
    <row r="798" ht="15" customHeight="1" s="66">
      <c r="A798" s="113" t="n"/>
      <c r="B798" s="113" t="n"/>
      <c r="C798" s="113" t="n"/>
      <c r="D798" s="113" t="n"/>
      <c r="E798" s="113" t="n"/>
    </row>
    <row r="799" ht="15" customHeight="1" s="66">
      <c r="A799" s="113" t="n"/>
      <c r="B799" s="113" t="n"/>
      <c r="C799" s="113" t="n"/>
      <c r="D799" s="113" t="n"/>
      <c r="E799" s="113" t="n"/>
    </row>
    <row r="800" ht="15" customHeight="1" s="66">
      <c r="A800" s="113" t="n"/>
      <c r="B800" s="113" t="n"/>
      <c r="C800" s="113" t="n"/>
      <c r="D800" s="113" t="n"/>
      <c r="E800" s="113" t="n"/>
    </row>
    <row r="801" ht="15" customHeight="1" s="66">
      <c r="A801" s="113" t="n"/>
      <c r="B801" s="113" t="n"/>
      <c r="C801" s="113" t="n"/>
      <c r="D801" s="113" t="n"/>
      <c r="E801" s="113" t="n"/>
    </row>
    <row r="802" ht="15" customHeight="1" s="66">
      <c r="A802" s="113" t="n"/>
      <c r="B802" s="113" t="n"/>
      <c r="C802" s="113" t="n"/>
      <c r="D802" s="113" t="n"/>
      <c r="E802" s="113" t="n"/>
    </row>
    <row r="803" ht="15" customHeight="1" s="66">
      <c r="A803" s="113" t="n"/>
      <c r="B803" s="113" t="n"/>
      <c r="C803" s="113" t="n"/>
      <c r="D803" s="113" t="n"/>
      <c r="E803" s="113" t="n"/>
    </row>
    <row r="804" ht="15" customHeight="1" s="66">
      <c r="A804" s="113" t="n"/>
      <c r="B804" s="113" t="n"/>
      <c r="C804" s="113" t="n"/>
      <c r="D804" s="113" t="n"/>
      <c r="E804" s="113" t="n"/>
    </row>
    <row r="805" ht="15" customHeight="1" s="66">
      <c r="A805" s="113" t="n"/>
      <c r="B805" s="113" t="n"/>
      <c r="C805" s="113" t="n"/>
      <c r="D805" s="113" t="n"/>
      <c r="E805" s="113" t="n"/>
    </row>
    <row r="806" ht="15" customHeight="1" s="66">
      <c r="A806" s="113" t="n"/>
      <c r="B806" s="113" t="n"/>
      <c r="C806" s="113" t="n"/>
      <c r="D806" s="113" t="n"/>
      <c r="E806" s="113" t="n"/>
    </row>
    <row r="807" ht="15" customHeight="1" s="66">
      <c r="A807" s="113" t="n"/>
      <c r="B807" s="113" t="n"/>
      <c r="C807" s="113" t="n"/>
      <c r="D807" s="113" t="n"/>
      <c r="E807" s="113" t="n"/>
    </row>
    <row r="808" ht="15" customHeight="1" s="66">
      <c r="A808" s="113" t="n"/>
      <c r="B808" s="113" t="n"/>
      <c r="C808" s="113" t="n"/>
      <c r="D808" s="113" t="n"/>
      <c r="E808" s="113" t="n"/>
    </row>
    <row r="809" ht="15" customHeight="1" s="66">
      <c r="A809" s="113" t="n"/>
      <c r="B809" s="113" t="n"/>
      <c r="C809" s="113" t="n"/>
      <c r="D809" s="113" t="n"/>
      <c r="E809" s="113" t="n"/>
    </row>
    <row r="810" ht="15" customHeight="1" s="66">
      <c r="A810" s="113" t="n"/>
      <c r="B810" s="113" t="n"/>
      <c r="C810" s="113" t="n"/>
      <c r="D810" s="113" t="n"/>
      <c r="E810" s="113" t="n"/>
    </row>
    <row r="811" ht="15" customHeight="1" s="66">
      <c r="A811" s="113" t="n"/>
      <c r="B811" s="113" t="n"/>
      <c r="C811" s="113" t="n"/>
      <c r="D811" s="113" t="n"/>
      <c r="E811" s="113" t="n"/>
    </row>
    <row r="812" ht="15" customHeight="1" s="66">
      <c r="A812" s="113" t="n"/>
      <c r="B812" s="113" t="n"/>
      <c r="C812" s="113" t="n"/>
      <c r="D812" s="113" t="n"/>
      <c r="E812" s="113" t="n"/>
    </row>
    <row r="813" ht="15" customHeight="1" s="66">
      <c r="A813" s="113" t="n"/>
      <c r="B813" s="113" t="n"/>
      <c r="C813" s="113" t="n"/>
      <c r="D813" s="113" t="n"/>
      <c r="E813" s="113" t="n"/>
    </row>
    <row r="814" ht="15" customHeight="1" s="66">
      <c r="A814" s="113" t="n"/>
      <c r="B814" s="113" t="n"/>
      <c r="C814" s="113" t="n"/>
      <c r="D814" s="113" t="n"/>
      <c r="E814" s="113" t="n"/>
    </row>
    <row r="815" ht="15" customHeight="1" s="66">
      <c r="A815" s="113" t="n"/>
      <c r="B815" s="113" t="n"/>
      <c r="C815" s="113" t="n"/>
      <c r="D815" s="113" t="n"/>
      <c r="E815" s="113" t="n"/>
    </row>
    <row r="816" ht="15" customHeight="1" s="66">
      <c r="A816" s="113" t="n"/>
      <c r="B816" s="113" t="n"/>
      <c r="C816" s="113" t="n"/>
      <c r="D816" s="113" t="n"/>
      <c r="E816" s="113" t="n"/>
    </row>
    <row r="817" ht="15" customHeight="1" s="66">
      <c r="A817" s="113" t="n"/>
      <c r="B817" s="113" t="n"/>
      <c r="C817" s="113" t="n"/>
      <c r="D817" s="113" t="n"/>
      <c r="E817" s="113" t="n"/>
    </row>
    <row r="818" ht="15" customHeight="1" s="66">
      <c r="A818" s="113" t="n"/>
      <c r="B818" s="113" t="n"/>
      <c r="C818" s="113" t="n"/>
      <c r="D818" s="113" t="n"/>
      <c r="E818" s="113" t="n"/>
    </row>
    <row r="819" ht="15" customHeight="1" s="66">
      <c r="A819" s="113" t="n"/>
      <c r="B819" s="113" t="n"/>
      <c r="C819" s="113" t="n"/>
      <c r="D819" s="113" t="n"/>
      <c r="E819" s="113" t="n"/>
    </row>
    <row r="820" ht="15" customHeight="1" s="66">
      <c r="A820" s="113" t="n"/>
      <c r="B820" s="113" t="n"/>
      <c r="C820" s="113" t="n"/>
      <c r="D820" s="113" t="n"/>
      <c r="E820" s="113" t="n"/>
    </row>
    <row r="821" ht="15" customHeight="1" s="66">
      <c r="A821" s="113" t="n"/>
      <c r="B821" s="113" t="n"/>
      <c r="C821" s="113" t="n"/>
      <c r="D821" s="113" t="n"/>
      <c r="E821" s="113" t="n"/>
    </row>
    <row r="822" ht="15" customHeight="1" s="66">
      <c r="A822" s="113" t="n"/>
      <c r="B822" s="113" t="n"/>
      <c r="C822" s="113" t="n"/>
      <c r="D822" s="113" t="n"/>
      <c r="E822" s="113" t="n"/>
    </row>
    <row r="823" ht="15" customHeight="1" s="66">
      <c r="A823" s="113" t="n"/>
      <c r="B823" s="113" t="n"/>
      <c r="C823" s="113" t="n"/>
      <c r="D823" s="113" t="n"/>
      <c r="E823" s="113" t="n"/>
    </row>
    <row r="824" ht="15" customHeight="1" s="66">
      <c r="A824" s="113" t="n"/>
      <c r="B824" s="113" t="n"/>
      <c r="C824" s="113" t="n"/>
      <c r="D824" s="113" t="n"/>
      <c r="E824" s="113" t="n"/>
    </row>
    <row r="825" ht="15" customHeight="1" s="66">
      <c r="A825" s="113" t="n"/>
      <c r="B825" s="113" t="n"/>
      <c r="C825" s="113" t="n"/>
      <c r="D825" s="113" t="n"/>
      <c r="E825" s="113" t="n"/>
    </row>
    <row r="826" ht="15" customHeight="1" s="66">
      <c r="A826" s="113" t="n"/>
      <c r="B826" s="113" t="n"/>
      <c r="C826" s="113" t="n"/>
      <c r="D826" s="113" t="n"/>
      <c r="E826" s="113" t="n"/>
    </row>
    <row r="827" ht="15" customHeight="1" s="66">
      <c r="A827" s="113" t="n"/>
      <c r="B827" s="113" t="n"/>
      <c r="C827" s="113" t="n"/>
      <c r="D827" s="113" t="n"/>
      <c r="E827" s="113" t="n"/>
    </row>
    <row r="828" ht="15" customHeight="1" s="66">
      <c r="A828" s="113" t="n"/>
      <c r="B828" s="113" t="n"/>
      <c r="C828" s="113" t="n"/>
      <c r="D828" s="113" t="n"/>
      <c r="E828" s="113" t="n"/>
    </row>
    <row r="829" ht="15" customHeight="1" s="66">
      <c r="A829" s="113" t="n"/>
      <c r="B829" s="113" t="n"/>
      <c r="C829" s="113" t="n"/>
      <c r="D829" s="113" t="n"/>
      <c r="E829" s="113" t="n"/>
    </row>
    <row r="830" ht="15" customHeight="1" s="66">
      <c r="A830" s="113" t="n"/>
      <c r="B830" s="113" t="n"/>
      <c r="C830" s="113" t="n"/>
      <c r="D830" s="113" t="n"/>
      <c r="E830" s="113" t="n"/>
    </row>
    <row r="831" ht="15" customHeight="1" s="66">
      <c r="A831" s="113" t="n"/>
      <c r="B831" s="113" t="n"/>
      <c r="C831" s="113" t="n"/>
      <c r="D831" s="113" t="n"/>
      <c r="E831" s="113" t="n"/>
    </row>
    <row r="832" ht="15" customHeight="1" s="66">
      <c r="A832" s="113" t="n"/>
      <c r="B832" s="113" t="n"/>
      <c r="C832" s="113" t="n"/>
      <c r="D832" s="113" t="n"/>
      <c r="E832" s="113" t="n"/>
    </row>
    <row r="833" ht="15" customHeight="1" s="66">
      <c r="A833" s="113" t="n"/>
      <c r="B833" s="113" t="n"/>
      <c r="C833" s="113" t="n"/>
      <c r="D833" s="113" t="n"/>
      <c r="E833" s="113" t="n"/>
    </row>
    <row r="834" ht="15" customHeight="1" s="66">
      <c r="A834" s="113" t="n"/>
      <c r="B834" s="113" t="n"/>
      <c r="C834" s="113" t="n"/>
      <c r="D834" s="113" t="n"/>
      <c r="E834" s="113" t="n"/>
    </row>
    <row r="835" ht="15" customHeight="1" s="66">
      <c r="A835" s="113" t="n"/>
      <c r="B835" s="113" t="n"/>
      <c r="C835" s="113" t="n"/>
      <c r="D835" s="113" t="n"/>
      <c r="E835" s="113" t="n"/>
    </row>
    <row r="836" ht="15" customHeight="1" s="66">
      <c r="A836" s="113" t="n"/>
      <c r="B836" s="113" t="n"/>
      <c r="C836" s="113" t="n"/>
      <c r="D836" s="113" t="n"/>
      <c r="E836" s="113" t="n"/>
    </row>
    <row r="837" ht="15" customHeight="1" s="66">
      <c r="A837" s="113" t="n"/>
      <c r="B837" s="113" t="n"/>
      <c r="C837" s="113" t="n"/>
      <c r="D837" s="113" t="n"/>
      <c r="E837" s="113" t="n"/>
    </row>
    <row r="838" ht="15" customHeight="1" s="66">
      <c r="A838" s="113" t="n"/>
      <c r="B838" s="113" t="n"/>
      <c r="C838" s="113" t="n"/>
      <c r="D838" s="113" t="n"/>
      <c r="E838" s="113" t="n"/>
    </row>
    <row r="839" ht="15" customHeight="1" s="66">
      <c r="A839" s="113" t="n"/>
      <c r="B839" s="113" t="n"/>
      <c r="C839" s="113" t="n"/>
      <c r="D839" s="113" t="n"/>
      <c r="E839" s="113" t="n"/>
    </row>
    <row r="840" ht="15" customHeight="1" s="66">
      <c r="A840" s="113" t="n"/>
      <c r="B840" s="113" t="n"/>
      <c r="C840" s="113" t="n"/>
      <c r="D840" s="113" t="n"/>
      <c r="E840" s="113" t="n"/>
    </row>
    <row r="841" ht="15" customHeight="1" s="66">
      <c r="A841" s="113" t="n"/>
      <c r="B841" s="113" t="n"/>
      <c r="C841" s="113" t="n"/>
      <c r="D841" s="113" t="n"/>
      <c r="E841" s="113" t="n"/>
    </row>
    <row r="842" ht="15" customHeight="1" s="66">
      <c r="A842" s="113" t="n"/>
      <c r="B842" s="113" t="n"/>
      <c r="C842" s="113" t="n"/>
      <c r="D842" s="113" t="n"/>
      <c r="E842" s="113" t="n"/>
    </row>
    <row r="843" ht="15" customHeight="1" s="66">
      <c r="A843" s="113" t="n"/>
      <c r="B843" s="113" t="n"/>
      <c r="C843" s="113" t="n"/>
      <c r="D843" s="113" t="n"/>
      <c r="E843" s="113" t="n"/>
    </row>
    <row r="844" ht="15" customHeight="1" s="66">
      <c r="A844" s="113" t="n"/>
      <c r="B844" s="113" t="n"/>
      <c r="C844" s="113" t="n"/>
      <c r="D844" s="113" t="n"/>
      <c r="E844" s="113" t="n"/>
    </row>
    <row r="845" ht="15" customHeight="1" s="66">
      <c r="A845" s="113" t="n"/>
      <c r="B845" s="113" t="n"/>
      <c r="C845" s="113" t="n"/>
      <c r="D845" s="113" t="n"/>
      <c r="E845" s="113" t="n"/>
    </row>
    <row r="846" ht="15" customHeight="1" s="66">
      <c r="A846" s="113" t="n"/>
      <c r="B846" s="113" t="n"/>
      <c r="C846" s="113" t="n"/>
      <c r="D846" s="113" t="n"/>
      <c r="E846" s="113" t="n"/>
    </row>
    <row r="847" ht="15" customHeight="1" s="66">
      <c r="A847" s="113" t="n"/>
      <c r="B847" s="113" t="n"/>
      <c r="C847" s="113" t="n"/>
      <c r="D847" s="113" t="n"/>
      <c r="E847" s="113" t="n"/>
    </row>
    <row r="848" ht="15" customHeight="1" s="66">
      <c r="A848" s="113" t="n"/>
      <c r="B848" s="113" t="n"/>
      <c r="C848" s="113" t="n"/>
      <c r="D848" s="113" t="n"/>
      <c r="E848" s="113" t="n"/>
    </row>
    <row r="849" ht="15" customHeight="1" s="66">
      <c r="A849" s="113" t="n"/>
      <c r="B849" s="113" t="n"/>
      <c r="C849" s="113" t="n"/>
      <c r="D849" s="113" t="n"/>
      <c r="E849" s="113" t="n"/>
    </row>
    <row r="850" ht="15" customHeight="1" s="66">
      <c r="A850" s="113" t="n"/>
      <c r="B850" s="113" t="n"/>
      <c r="C850" s="113" t="n"/>
      <c r="D850" s="113" t="n"/>
      <c r="E850" s="113" t="n"/>
    </row>
    <row r="851" ht="15" customHeight="1" s="66">
      <c r="A851" s="113" t="n"/>
      <c r="B851" s="113" t="n"/>
      <c r="C851" s="113" t="n"/>
      <c r="D851" s="113" t="n"/>
      <c r="E851" s="113" t="n"/>
    </row>
    <row r="852" ht="15" customHeight="1" s="66">
      <c r="A852" s="113" t="n"/>
      <c r="B852" s="113" t="n"/>
      <c r="C852" s="113" t="n"/>
      <c r="D852" s="113" t="n"/>
      <c r="E852" s="113" t="n"/>
    </row>
    <row r="853" ht="15" customHeight="1" s="66">
      <c r="A853" s="113" t="n"/>
      <c r="B853" s="113" t="n"/>
      <c r="C853" s="113" t="n"/>
      <c r="D853" s="113" t="n"/>
      <c r="E853" s="113" t="n"/>
    </row>
    <row r="854" ht="15" customHeight="1" s="66">
      <c r="A854" s="113" t="n"/>
      <c r="B854" s="113" t="n"/>
      <c r="C854" s="113" t="n"/>
      <c r="D854" s="113" t="n"/>
      <c r="E854" s="113" t="n"/>
    </row>
    <row r="855" ht="15" customHeight="1" s="66">
      <c r="A855" s="113" t="n"/>
      <c r="B855" s="113" t="n"/>
      <c r="C855" s="113" t="n"/>
      <c r="D855" s="113" t="n"/>
      <c r="E855" s="113" t="n"/>
    </row>
    <row r="856" ht="15" customHeight="1" s="66">
      <c r="A856" s="113" t="n"/>
      <c r="B856" s="113" t="n"/>
      <c r="C856" s="113" t="n"/>
      <c r="D856" s="113" t="n"/>
      <c r="E856" s="113" t="n"/>
    </row>
    <row r="857" ht="15" customHeight="1" s="66">
      <c r="A857" s="113" t="n"/>
      <c r="B857" s="113" t="n"/>
      <c r="C857" s="113" t="n"/>
      <c r="D857" s="113" t="n"/>
      <c r="E857" s="113" t="n"/>
    </row>
    <row r="858" ht="15" customHeight="1" s="66">
      <c r="A858" s="113" t="n"/>
      <c r="B858" s="113" t="n"/>
      <c r="C858" s="113" t="n"/>
      <c r="D858" s="113" t="n"/>
      <c r="E858" s="113" t="n"/>
    </row>
    <row r="859" ht="15" customHeight="1" s="66">
      <c r="A859" s="113" t="n"/>
      <c r="B859" s="113" t="n"/>
      <c r="C859" s="113" t="n"/>
      <c r="D859" s="113" t="n"/>
      <c r="E859" s="113" t="n"/>
    </row>
    <row r="860" ht="15" customHeight="1" s="66">
      <c r="A860" s="113" t="n"/>
      <c r="B860" s="113" t="n"/>
      <c r="C860" s="113" t="n"/>
      <c r="D860" s="113" t="n"/>
      <c r="E860" s="113" t="n"/>
    </row>
    <row r="861" ht="15" customHeight="1" s="66">
      <c r="A861" s="113" t="n"/>
      <c r="B861" s="113" t="n"/>
      <c r="C861" s="113" t="n"/>
      <c r="D861" s="113" t="n"/>
      <c r="E861" s="113" t="n"/>
    </row>
    <row r="862" ht="15" customHeight="1" s="66">
      <c r="A862" s="113" t="n"/>
      <c r="B862" s="113" t="n"/>
      <c r="C862" s="113" t="n"/>
      <c r="D862" s="113" t="n"/>
      <c r="E862" s="113" t="n"/>
    </row>
    <row r="863" ht="15" customHeight="1" s="66">
      <c r="A863" s="113" t="n"/>
      <c r="B863" s="113" t="n"/>
      <c r="C863" s="113" t="n"/>
      <c r="D863" s="113" t="n"/>
      <c r="E863" s="113" t="n"/>
    </row>
    <row r="864" ht="15" customHeight="1" s="66">
      <c r="A864" s="113" t="n"/>
      <c r="B864" s="113" t="n"/>
      <c r="C864" s="113" t="n"/>
      <c r="D864" s="113" t="n"/>
      <c r="E864" s="113" t="n"/>
    </row>
    <row r="865" ht="15" customHeight="1" s="66">
      <c r="A865" s="113" t="n"/>
      <c r="B865" s="113" t="n"/>
      <c r="C865" s="113" t="n"/>
      <c r="D865" s="113" t="n"/>
      <c r="E865" s="113" t="n"/>
    </row>
    <row r="866" ht="15" customHeight="1" s="66">
      <c r="A866" s="113" t="n"/>
      <c r="B866" s="113" t="n"/>
      <c r="C866" s="113" t="n"/>
      <c r="D866" s="113" t="n"/>
      <c r="E866" s="113" t="n"/>
    </row>
    <row r="867" ht="15" customHeight="1" s="66">
      <c r="A867" s="113" t="n"/>
      <c r="B867" s="113" t="n"/>
      <c r="C867" s="113" t="n"/>
      <c r="D867" s="113" t="n"/>
      <c r="E867" s="113" t="n"/>
    </row>
    <row r="868" ht="15" customHeight="1" s="66">
      <c r="A868" s="113" t="n"/>
      <c r="B868" s="113" t="n"/>
      <c r="C868" s="113" t="n"/>
      <c r="D868" s="113" t="n"/>
      <c r="E868" s="113" t="n"/>
    </row>
    <row r="869" ht="15" customHeight="1" s="66">
      <c r="A869" s="113" t="n"/>
      <c r="B869" s="113" t="n"/>
      <c r="C869" s="113" t="n"/>
      <c r="D869" s="113" t="n"/>
      <c r="E869" s="113" t="n"/>
    </row>
    <row r="870" ht="15" customHeight="1" s="66">
      <c r="A870" s="113" t="n"/>
      <c r="B870" s="113" t="n"/>
      <c r="C870" s="113" t="n"/>
      <c r="D870" s="113" t="n"/>
      <c r="E870" s="113" t="n"/>
    </row>
    <row r="871" ht="15" customHeight="1" s="66">
      <c r="A871" s="113" t="n"/>
      <c r="B871" s="113" t="n"/>
      <c r="C871" s="113" t="n"/>
      <c r="D871" s="113" t="n"/>
      <c r="E871" s="113" t="n"/>
    </row>
    <row r="872" ht="15" customHeight="1" s="66">
      <c r="A872" s="113" t="n"/>
      <c r="B872" s="113" t="n"/>
      <c r="C872" s="113" t="n"/>
      <c r="D872" s="113" t="n"/>
      <c r="E872" s="113" t="n"/>
    </row>
    <row r="873" ht="15" customHeight="1" s="66">
      <c r="A873" s="113" t="n"/>
      <c r="B873" s="113" t="n"/>
      <c r="C873" s="113" t="n"/>
      <c r="D873" s="113" t="n"/>
      <c r="E873" s="113" t="n"/>
    </row>
    <row r="874" ht="15" customHeight="1" s="66">
      <c r="A874" s="113" t="n"/>
      <c r="B874" s="113" t="n"/>
      <c r="C874" s="113" t="n"/>
      <c r="D874" s="113" t="n"/>
      <c r="E874" s="113" t="n"/>
    </row>
    <row r="875" ht="15" customHeight="1" s="66">
      <c r="A875" s="113" t="n"/>
      <c r="B875" s="113" t="n"/>
      <c r="C875" s="113" t="n"/>
      <c r="D875" s="113" t="n"/>
      <c r="E875" s="113" t="n"/>
    </row>
    <row r="876" ht="15" customHeight="1" s="66">
      <c r="A876" s="113" t="n"/>
      <c r="B876" s="113" t="n"/>
      <c r="C876" s="113" t="n"/>
      <c r="D876" s="113" t="n"/>
      <c r="E876" s="113" t="n"/>
    </row>
    <row r="877" ht="15" customHeight="1" s="66">
      <c r="A877" s="113" t="n"/>
      <c r="B877" s="113" t="n"/>
      <c r="C877" s="113" t="n"/>
      <c r="D877" s="113" t="n"/>
      <c r="E877" s="113" t="n"/>
    </row>
    <row r="878" ht="15" customHeight="1" s="66">
      <c r="A878" s="113" t="n"/>
      <c r="B878" s="113" t="n"/>
      <c r="C878" s="113" t="n"/>
      <c r="D878" s="113" t="n"/>
      <c r="E878" s="113" t="n"/>
    </row>
    <row r="879" ht="15" customHeight="1" s="66">
      <c r="A879" s="113" t="n"/>
      <c r="B879" s="113" t="n"/>
      <c r="C879" s="113" t="n"/>
      <c r="D879" s="113" t="n"/>
      <c r="E879" s="113" t="n"/>
    </row>
    <row r="880" ht="15" customHeight="1" s="66">
      <c r="A880" s="113" t="n"/>
      <c r="B880" s="113" t="n"/>
      <c r="C880" s="113" t="n"/>
      <c r="D880" s="113" t="n"/>
      <c r="E880" s="113" t="n"/>
    </row>
    <row r="881" ht="15" customHeight="1" s="66">
      <c r="A881" s="113" t="n"/>
      <c r="B881" s="113" t="n"/>
      <c r="C881" s="113" t="n"/>
      <c r="D881" s="113" t="n"/>
      <c r="E881" s="113" t="n"/>
    </row>
    <row r="882" ht="15" customHeight="1" s="66">
      <c r="A882" s="113" t="n"/>
      <c r="B882" s="113" t="n"/>
      <c r="C882" s="113" t="n"/>
      <c r="D882" s="113" t="n"/>
      <c r="E882" s="113" t="n"/>
    </row>
    <row r="883" ht="15" customHeight="1" s="66">
      <c r="A883" s="113" t="n"/>
      <c r="B883" s="113" t="n"/>
      <c r="C883" s="113" t="n"/>
      <c r="D883" s="113" t="n"/>
      <c r="E883" s="113" t="n"/>
    </row>
    <row r="884" ht="15" customHeight="1" s="66">
      <c r="A884" s="113" t="n"/>
      <c r="B884" s="113" t="n"/>
      <c r="C884" s="113" t="n"/>
      <c r="D884" s="113" t="n"/>
      <c r="E884" s="113" t="n"/>
    </row>
    <row r="885" ht="15" customHeight="1" s="66">
      <c r="A885" s="113" t="n"/>
      <c r="B885" s="113" t="n"/>
      <c r="C885" s="113" t="n"/>
      <c r="D885" s="113" t="n"/>
      <c r="E885" s="113" t="n"/>
    </row>
    <row r="886" ht="15" customHeight="1" s="66">
      <c r="A886" s="113" t="n"/>
      <c r="B886" s="113" t="n"/>
      <c r="C886" s="113" t="n"/>
      <c r="D886" s="113" t="n"/>
      <c r="E886" s="113" t="n"/>
    </row>
    <row r="887" ht="15" customHeight="1" s="66">
      <c r="A887" s="113" t="n"/>
      <c r="B887" s="113" t="n"/>
      <c r="C887" s="113" t="n"/>
      <c r="D887" s="113" t="n"/>
      <c r="E887" s="113" t="n"/>
    </row>
    <row r="888" ht="15" customHeight="1" s="66">
      <c r="A888" s="113" t="n"/>
      <c r="B888" s="113" t="n"/>
      <c r="C888" s="113" t="n"/>
      <c r="D888" s="113" t="n"/>
      <c r="E888" s="113" t="n"/>
    </row>
    <row r="889" ht="15" customHeight="1" s="66">
      <c r="A889" s="113" t="n"/>
      <c r="B889" s="113" t="n"/>
      <c r="C889" s="113" t="n"/>
      <c r="D889" s="113" t="n"/>
      <c r="E889" s="113" t="n"/>
    </row>
    <row r="890" ht="15" customHeight="1" s="66">
      <c r="A890" s="113" t="n"/>
      <c r="B890" s="113" t="n"/>
      <c r="C890" s="113" t="n"/>
      <c r="D890" s="113" t="n"/>
      <c r="E890" s="113" t="n"/>
    </row>
    <row r="891" ht="15" customHeight="1" s="66">
      <c r="A891" s="113" t="n"/>
      <c r="B891" s="113" t="n"/>
      <c r="C891" s="113" t="n"/>
      <c r="D891" s="113" t="n"/>
      <c r="E891" s="113" t="n"/>
    </row>
    <row r="892" ht="15" customHeight="1" s="66">
      <c r="A892" s="113" t="n"/>
      <c r="B892" s="113" t="n"/>
      <c r="C892" s="113" t="n"/>
      <c r="D892" s="113" t="n"/>
      <c r="E892" s="113" t="n"/>
    </row>
    <row r="893" ht="15" customHeight="1" s="66">
      <c r="A893" s="113" t="n"/>
      <c r="B893" s="113" t="n"/>
      <c r="C893" s="113" t="n"/>
      <c r="D893" s="113" t="n"/>
      <c r="E893" s="113" t="n"/>
    </row>
    <row r="894" ht="15" customHeight="1" s="66">
      <c r="A894" s="113" t="n"/>
      <c r="B894" s="113" t="n"/>
      <c r="C894" s="113" t="n"/>
      <c r="D894" s="113" t="n"/>
      <c r="E894" s="113" t="n"/>
    </row>
    <row r="895" ht="15" customHeight="1" s="66">
      <c r="A895" s="113" t="n"/>
      <c r="B895" s="113" t="n"/>
      <c r="C895" s="113" t="n"/>
      <c r="D895" s="113" t="n"/>
      <c r="E895" s="113" t="n"/>
    </row>
    <row r="896" ht="15" customHeight="1" s="66">
      <c r="A896" s="113" t="n"/>
      <c r="B896" s="113" t="n"/>
      <c r="C896" s="113" t="n"/>
      <c r="D896" s="113" t="n"/>
      <c r="E896" s="113" t="n"/>
    </row>
    <row r="897" ht="15" customHeight="1" s="66">
      <c r="A897" s="113" t="n"/>
      <c r="B897" s="113" t="n"/>
      <c r="C897" s="113" t="n"/>
      <c r="D897" s="113" t="n"/>
      <c r="E897" s="113" t="n"/>
    </row>
    <row r="898" ht="15" customHeight="1" s="66">
      <c r="A898" s="113" t="n"/>
      <c r="B898" s="113" t="n"/>
      <c r="C898" s="113" t="n"/>
      <c r="D898" s="113" t="n"/>
      <c r="E898" s="113" t="n"/>
    </row>
    <row r="899" ht="15" customHeight="1" s="66">
      <c r="A899" s="113" t="n"/>
      <c r="B899" s="113" t="n"/>
      <c r="C899" s="113" t="n"/>
      <c r="D899" s="113" t="n"/>
      <c r="E899" s="113" t="n"/>
    </row>
    <row r="900" ht="15" customHeight="1" s="66">
      <c r="A900" s="113" t="n"/>
      <c r="B900" s="113" t="n"/>
      <c r="C900" s="113" t="n"/>
      <c r="D900" s="113" t="n"/>
      <c r="E900" s="113" t="n"/>
    </row>
    <row r="901" ht="15" customHeight="1" s="66">
      <c r="A901" s="113" t="n"/>
      <c r="B901" s="113" t="n"/>
      <c r="C901" s="113" t="n"/>
      <c r="D901" s="113" t="n"/>
      <c r="E901" s="113" t="n"/>
    </row>
    <row r="902" ht="15" customHeight="1" s="66">
      <c r="A902" s="113" t="n"/>
      <c r="B902" s="113" t="n"/>
      <c r="C902" s="113" t="n"/>
      <c r="D902" s="113" t="n"/>
      <c r="E902" s="113" t="n"/>
    </row>
    <row r="903" ht="15" customHeight="1" s="66">
      <c r="A903" s="113" t="n"/>
      <c r="B903" s="113" t="n"/>
      <c r="C903" s="113" t="n"/>
      <c r="D903" s="113" t="n"/>
      <c r="E903" s="113" t="n"/>
    </row>
    <row r="904" ht="15" customHeight="1" s="66">
      <c r="A904" s="113" t="n"/>
      <c r="B904" s="113" t="n"/>
      <c r="C904" s="113" t="n"/>
      <c r="D904" s="113" t="n"/>
      <c r="E904" s="113" t="n"/>
    </row>
    <row r="905" ht="15" customHeight="1" s="66">
      <c r="A905" s="113" t="n"/>
      <c r="B905" s="113" t="n"/>
      <c r="C905" s="113" t="n"/>
      <c r="D905" s="113" t="n"/>
      <c r="E905" s="113" t="n"/>
    </row>
    <row r="906" ht="15" customHeight="1" s="66">
      <c r="A906" s="113" t="n"/>
      <c r="B906" s="113" t="n"/>
      <c r="C906" s="113" t="n"/>
      <c r="D906" s="113" t="n"/>
      <c r="E906" s="113" t="n"/>
    </row>
    <row r="907" ht="15" customHeight="1" s="66">
      <c r="A907" s="113" t="n"/>
      <c r="B907" s="113" t="n"/>
      <c r="C907" s="113" t="n"/>
      <c r="D907" s="113" t="n"/>
      <c r="E907" s="113" t="n"/>
    </row>
    <row r="908" ht="15" customHeight="1" s="66">
      <c r="A908" s="113" t="n"/>
      <c r="B908" s="113" t="n"/>
      <c r="C908" s="113" t="n"/>
      <c r="D908" s="113" t="n"/>
      <c r="E908" s="113" t="n"/>
    </row>
    <row r="909" ht="15" customHeight="1" s="66">
      <c r="A909" s="113" t="n"/>
      <c r="B909" s="113" t="n"/>
      <c r="C909" s="113" t="n"/>
      <c r="D909" s="113" t="n"/>
      <c r="E909" s="113" t="n"/>
    </row>
    <row r="910" ht="15" customHeight="1" s="66">
      <c r="A910" s="113" t="n"/>
      <c r="B910" s="113" t="n"/>
      <c r="C910" s="113" t="n"/>
      <c r="D910" s="113" t="n"/>
      <c r="E910" s="113" t="n"/>
    </row>
    <row r="911" ht="15" customHeight="1" s="66">
      <c r="A911" s="113" t="n"/>
      <c r="B911" s="113" t="n"/>
      <c r="C911" s="113" t="n"/>
      <c r="D911" s="113" t="n"/>
      <c r="E911" s="113" t="n"/>
    </row>
    <row r="912" ht="15" customHeight="1" s="66">
      <c r="A912" s="113" t="n"/>
      <c r="B912" s="113" t="n"/>
      <c r="C912" s="113" t="n"/>
      <c r="D912" s="113" t="n"/>
      <c r="E912" s="113" t="n"/>
    </row>
    <row r="913" ht="15" customHeight="1" s="66">
      <c r="A913" s="113" t="n"/>
      <c r="B913" s="113" t="n"/>
      <c r="C913" s="113" t="n"/>
      <c r="D913" s="113" t="n"/>
      <c r="E913" s="113" t="n"/>
    </row>
    <row r="914" ht="15" customHeight="1" s="66">
      <c r="A914" s="113" t="n"/>
      <c r="B914" s="113" t="n"/>
      <c r="C914" s="113" t="n"/>
      <c r="D914" s="113" t="n"/>
      <c r="E914" s="113" t="n"/>
    </row>
    <row r="915" ht="15" customHeight="1" s="66">
      <c r="A915" s="113" t="n"/>
      <c r="B915" s="113" t="n"/>
      <c r="C915" s="113" t="n"/>
      <c r="D915" s="113" t="n"/>
      <c r="E915" s="113" t="n"/>
    </row>
    <row r="916" ht="15" customHeight="1" s="66">
      <c r="A916" s="113" t="n"/>
      <c r="B916" s="113" t="n"/>
      <c r="C916" s="113" t="n"/>
      <c r="D916" s="113" t="n"/>
      <c r="E916" s="113" t="n"/>
    </row>
    <row r="917" ht="15" customHeight="1" s="66">
      <c r="A917" s="113" t="n"/>
      <c r="B917" s="113" t="n"/>
      <c r="C917" s="113" t="n"/>
      <c r="D917" s="113" t="n"/>
      <c r="E917" s="113" t="n"/>
    </row>
    <row r="918" ht="15" customHeight="1" s="66">
      <c r="A918" s="113" t="n"/>
      <c r="B918" s="113" t="n"/>
      <c r="C918" s="113" t="n"/>
      <c r="D918" s="113" t="n"/>
      <c r="E918" s="113" t="n"/>
    </row>
    <row r="919" ht="15" customHeight="1" s="66">
      <c r="A919" s="113" t="n"/>
      <c r="B919" s="113" t="n"/>
      <c r="C919" s="113" t="n"/>
      <c r="D919" s="113" t="n"/>
      <c r="E919" s="113" t="n"/>
    </row>
    <row r="920" ht="15" customHeight="1" s="66">
      <c r="A920" s="113" t="n"/>
      <c r="B920" s="113" t="n"/>
      <c r="C920" s="113" t="n"/>
      <c r="D920" s="113" t="n"/>
      <c r="E920" s="113" t="n"/>
    </row>
    <row r="921" ht="15" customHeight="1" s="66">
      <c r="A921" s="113" t="n"/>
      <c r="B921" s="113" t="n"/>
      <c r="C921" s="113" t="n"/>
      <c r="D921" s="113" t="n"/>
      <c r="E921" s="113" t="n"/>
    </row>
    <row r="922" ht="15" customHeight="1" s="66">
      <c r="A922" s="113" t="n"/>
      <c r="B922" s="113" t="n"/>
      <c r="C922" s="113" t="n"/>
      <c r="D922" s="113" t="n"/>
      <c r="E922" s="113" t="n"/>
    </row>
    <row r="923" ht="15" customHeight="1" s="66">
      <c r="A923" s="113" t="n"/>
      <c r="B923" s="113" t="n"/>
      <c r="C923" s="113" t="n"/>
      <c r="D923" s="113" t="n"/>
      <c r="E923" s="113" t="n"/>
    </row>
    <row r="924" ht="15" customHeight="1" s="66">
      <c r="A924" s="113" t="n"/>
      <c r="B924" s="113" t="n"/>
      <c r="C924" s="113" t="n"/>
      <c r="D924" s="113" t="n"/>
      <c r="E924" s="113" t="n"/>
    </row>
    <row r="925" ht="15" customHeight="1" s="66">
      <c r="A925" s="113" t="n"/>
      <c r="B925" s="113" t="n"/>
      <c r="C925" s="113" t="n"/>
      <c r="D925" s="113" t="n"/>
      <c r="E925" s="113" t="n"/>
    </row>
    <row r="926" ht="15" customHeight="1" s="66">
      <c r="A926" s="113" t="n"/>
      <c r="B926" s="113" t="n"/>
      <c r="C926" s="113" t="n"/>
      <c r="D926" s="113" t="n"/>
      <c r="E926" s="113" t="n"/>
    </row>
    <row r="927" ht="15" customHeight="1" s="66">
      <c r="A927" s="113" t="n"/>
      <c r="B927" s="113" t="n"/>
      <c r="C927" s="113" t="n"/>
      <c r="D927" s="113" t="n"/>
      <c r="E927" s="113" t="n"/>
    </row>
    <row r="928" ht="15" customHeight="1" s="66">
      <c r="A928" s="113" t="n"/>
      <c r="B928" s="113" t="n"/>
      <c r="C928" s="113" t="n"/>
      <c r="D928" s="113" t="n"/>
      <c r="E928" s="113" t="n"/>
    </row>
    <row r="929" ht="15" customHeight="1" s="66">
      <c r="A929" s="113" t="n"/>
      <c r="B929" s="113" t="n"/>
      <c r="C929" s="113" t="n"/>
      <c r="D929" s="113" t="n"/>
      <c r="E929" s="113" t="n"/>
    </row>
    <row r="930" ht="15" customHeight="1" s="66">
      <c r="A930" s="113" t="n"/>
      <c r="B930" s="113" t="n"/>
      <c r="C930" s="113" t="n"/>
      <c r="D930" s="113" t="n"/>
      <c r="E930" s="113" t="n"/>
    </row>
    <row r="931" ht="15" customHeight="1" s="66">
      <c r="A931" s="113" t="n"/>
      <c r="B931" s="113" t="n"/>
      <c r="C931" s="113" t="n"/>
      <c r="D931" s="113" t="n"/>
      <c r="E931" s="113" t="n"/>
    </row>
    <row r="932" ht="15" customHeight="1" s="66">
      <c r="A932" s="113" t="n"/>
      <c r="B932" s="113" t="n"/>
      <c r="C932" s="113" t="n"/>
      <c r="D932" s="113" t="n"/>
      <c r="E932" s="113" t="n"/>
    </row>
    <row r="933" ht="15" customHeight="1" s="66">
      <c r="A933" s="113" t="n"/>
      <c r="B933" s="113" t="n"/>
      <c r="C933" s="113" t="n"/>
      <c r="D933" s="113" t="n"/>
      <c r="E933" s="113" t="n"/>
    </row>
    <row r="934" ht="15" customHeight="1" s="66">
      <c r="A934" s="113" t="n"/>
      <c r="B934" s="113" t="n"/>
      <c r="C934" s="113" t="n"/>
      <c r="D934" s="113" t="n"/>
      <c r="E934" s="113" t="n"/>
    </row>
    <row r="935" ht="15" customHeight="1" s="66">
      <c r="A935" s="113" t="n"/>
      <c r="B935" s="113" t="n"/>
      <c r="C935" s="113" t="n"/>
      <c r="D935" s="113" t="n"/>
      <c r="E935" s="113" t="n"/>
    </row>
    <row r="936" ht="15" customHeight="1" s="66">
      <c r="A936" s="113" t="n"/>
      <c r="B936" s="113" t="n"/>
      <c r="C936" s="113" t="n"/>
      <c r="D936" s="113" t="n"/>
      <c r="E936" s="113" t="n"/>
    </row>
    <row r="937" ht="15" customHeight="1" s="66">
      <c r="A937" s="113" t="n"/>
      <c r="B937" s="113" t="n"/>
      <c r="C937" s="113" t="n"/>
      <c r="D937" s="113" t="n"/>
      <c r="E937" s="113" t="n"/>
    </row>
    <row r="938" ht="15" customHeight="1" s="66">
      <c r="A938" s="113" t="n"/>
      <c r="B938" s="113" t="n"/>
      <c r="C938" s="113" t="n"/>
      <c r="D938" s="113" t="n"/>
      <c r="E938" s="113" t="n"/>
    </row>
    <row r="939" ht="15" customHeight="1" s="66">
      <c r="A939" s="113" t="n"/>
      <c r="B939" s="113" t="n"/>
      <c r="C939" s="113" t="n"/>
      <c r="D939" s="113" t="n"/>
      <c r="E939" s="113" t="n"/>
    </row>
    <row r="940" ht="15" customHeight="1" s="66">
      <c r="A940" s="113" t="n"/>
      <c r="B940" s="113" t="n"/>
      <c r="C940" s="113" t="n"/>
      <c r="D940" s="113" t="n"/>
      <c r="E940" s="113" t="n"/>
    </row>
    <row r="941" ht="15" customHeight="1" s="66">
      <c r="A941" s="113" t="n"/>
      <c r="B941" s="113" t="n"/>
      <c r="C941" s="113" t="n"/>
      <c r="D941" s="113" t="n"/>
      <c r="E941" s="113" t="n"/>
    </row>
    <row r="942" ht="15" customHeight="1" s="66">
      <c r="A942" s="113" t="n"/>
      <c r="B942" s="113" t="n"/>
      <c r="C942" s="113" t="n"/>
      <c r="D942" s="113" t="n"/>
      <c r="E942" s="113" t="n"/>
    </row>
    <row r="943" ht="15" customHeight="1" s="66">
      <c r="A943" s="113" t="n"/>
      <c r="B943" s="113" t="n"/>
      <c r="C943" s="113" t="n"/>
      <c r="D943" s="113" t="n"/>
      <c r="E943" s="113" t="n"/>
    </row>
    <row r="944" ht="15" customHeight="1" s="66">
      <c r="A944" s="113" t="n"/>
      <c r="B944" s="113" t="n"/>
      <c r="C944" s="113" t="n"/>
      <c r="D944" s="113" t="n"/>
      <c r="E944" s="113" t="n"/>
    </row>
    <row r="945" ht="15" customHeight="1" s="66">
      <c r="A945" s="113" t="n"/>
      <c r="B945" s="113" t="n"/>
      <c r="C945" s="113" t="n"/>
      <c r="D945" s="113" t="n"/>
      <c r="E945" s="113" t="n"/>
    </row>
    <row r="946" ht="15" customHeight="1" s="66">
      <c r="A946" s="113" t="n"/>
      <c r="B946" s="113" t="n"/>
      <c r="C946" s="113" t="n"/>
      <c r="D946" s="113" t="n"/>
      <c r="E946" s="113" t="n"/>
    </row>
    <row r="947" ht="15" customHeight="1" s="66">
      <c r="A947" s="113" t="n"/>
      <c r="B947" s="113" t="n"/>
      <c r="C947" s="113" t="n"/>
      <c r="D947" s="113" t="n"/>
      <c r="E947" s="113" t="n"/>
    </row>
    <row r="948" ht="15" customHeight="1" s="66">
      <c r="A948" s="113" t="n"/>
      <c r="B948" s="113" t="n"/>
      <c r="C948" s="113" t="n"/>
      <c r="D948" s="113" t="n"/>
      <c r="E948" s="113" t="n"/>
    </row>
    <row r="949" ht="15" customHeight="1" s="66">
      <c r="A949" s="113" t="n"/>
      <c r="B949" s="113" t="n"/>
      <c r="C949" s="113" t="n"/>
      <c r="D949" s="113" t="n"/>
      <c r="E949" s="113" t="n"/>
    </row>
    <row r="950" ht="15" customHeight="1" s="66">
      <c r="A950" s="113" t="n"/>
      <c r="B950" s="113" t="n"/>
      <c r="C950" s="113" t="n"/>
      <c r="D950" s="113" t="n"/>
      <c r="E950" s="113" t="n"/>
    </row>
    <row r="951" ht="15" customHeight="1" s="66">
      <c r="A951" s="113" t="n"/>
      <c r="B951" s="113" t="n"/>
      <c r="C951" s="113" t="n"/>
      <c r="D951" s="113" t="n"/>
      <c r="E951" s="113" t="n"/>
    </row>
    <row r="952" ht="15" customHeight="1" s="66">
      <c r="A952" s="113" t="n"/>
      <c r="B952" s="113" t="n"/>
      <c r="C952" s="113" t="n"/>
      <c r="D952" s="113" t="n"/>
      <c r="E952" s="113" t="n"/>
    </row>
    <row r="953" ht="15" customHeight="1" s="66">
      <c r="A953" s="113" t="n"/>
      <c r="B953" s="113" t="n"/>
      <c r="C953" s="113" t="n"/>
      <c r="D953" s="113" t="n"/>
      <c r="E953" s="113" t="n"/>
    </row>
    <row r="954" ht="15" customHeight="1" s="66">
      <c r="A954" s="113" t="n"/>
      <c r="B954" s="113" t="n"/>
      <c r="C954" s="113" t="n"/>
      <c r="D954" s="113" t="n"/>
      <c r="E954" s="113" t="n"/>
    </row>
    <row r="955" ht="15" customHeight="1" s="66">
      <c r="A955" s="113" t="n"/>
      <c r="B955" s="113" t="n"/>
      <c r="C955" s="113" t="n"/>
      <c r="D955" s="113" t="n"/>
      <c r="E955" s="113" t="n"/>
    </row>
    <row r="956" ht="15" customHeight="1" s="66">
      <c r="A956" s="113" t="n"/>
      <c r="B956" s="113" t="n"/>
      <c r="C956" s="113" t="n"/>
      <c r="D956" s="113" t="n"/>
      <c r="E956" s="113" t="n"/>
    </row>
    <row r="957" ht="15" customHeight="1" s="66">
      <c r="A957" s="113" t="n"/>
      <c r="B957" s="113" t="n"/>
      <c r="C957" s="113" t="n"/>
      <c r="D957" s="113" t="n"/>
      <c r="E957" s="113" t="n"/>
    </row>
    <row r="958" ht="15" customHeight="1" s="66">
      <c r="A958" s="113" t="n"/>
      <c r="B958" s="113" t="n"/>
      <c r="C958" s="113" t="n"/>
      <c r="D958" s="113" t="n"/>
      <c r="E958" s="113" t="n"/>
    </row>
    <row r="959" ht="15" customHeight="1" s="66">
      <c r="A959" s="113" t="n"/>
      <c r="B959" s="113" t="n"/>
      <c r="C959" s="113" t="n"/>
      <c r="D959" s="113" t="n"/>
      <c r="E959" s="113" t="n"/>
    </row>
    <row r="960" ht="15" customHeight="1" s="66">
      <c r="A960" s="113" t="n"/>
      <c r="B960" s="113" t="n"/>
      <c r="C960" s="113" t="n"/>
      <c r="D960" s="113" t="n"/>
      <c r="E960" s="113" t="n"/>
    </row>
    <row r="961" ht="15" customHeight="1" s="66">
      <c r="A961" s="113" t="n"/>
      <c r="B961" s="113" t="n"/>
      <c r="C961" s="113" t="n"/>
      <c r="D961" s="113" t="n"/>
      <c r="E961" s="113" t="n"/>
    </row>
    <row r="962" ht="15" customHeight="1" s="66">
      <c r="A962" s="113" t="n"/>
      <c r="B962" s="113" t="n"/>
      <c r="C962" s="113" t="n"/>
      <c r="D962" s="113" t="n"/>
      <c r="E962" s="113" t="n"/>
    </row>
    <row r="963" ht="15" customHeight="1" s="66">
      <c r="A963" s="113" t="n"/>
      <c r="B963" s="113" t="n"/>
      <c r="C963" s="113" t="n"/>
      <c r="D963" s="113" t="n"/>
      <c r="E963" s="113" t="n"/>
    </row>
    <row r="964" ht="15" customHeight="1" s="66">
      <c r="A964" s="113" t="n"/>
      <c r="B964" s="113" t="n"/>
      <c r="C964" s="113" t="n"/>
      <c r="D964" s="113" t="n"/>
      <c r="E964" s="113" t="n"/>
    </row>
    <row r="965" ht="15" customHeight="1" s="66">
      <c r="A965" s="113" t="n"/>
      <c r="B965" s="113" t="n"/>
      <c r="C965" s="113" t="n"/>
      <c r="D965" s="113" t="n"/>
      <c r="E965" s="113" t="n"/>
    </row>
    <row r="966" ht="15" customHeight="1" s="66">
      <c r="A966" s="113" t="n"/>
      <c r="B966" s="113" t="n"/>
      <c r="C966" s="113" t="n"/>
      <c r="D966" s="113" t="n"/>
      <c r="E966" s="113" t="n"/>
    </row>
    <row r="967" ht="15" customHeight="1" s="66">
      <c r="A967" s="113" t="n"/>
      <c r="B967" s="113" t="n"/>
      <c r="C967" s="113" t="n"/>
      <c r="D967" s="113" t="n"/>
      <c r="E967" s="113" t="n"/>
    </row>
    <row r="968" ht="15" customHeight="1" s="66">
      <c r="A968" s="113" t="n"/>
      <c r="B968" s="113" t="n"/>
      <c r="C968" s="113" t="n"/>
      <c r="D968" s="113" t="n"/>
      <c r="E968" s="113" t="n"/>
    </row>
    <row r="969" ht="15" customHeight="1" s="66">
      <c r="A969" s="113" t="n"/>
      <c r="B969" s="113" t="n"/>
      <c r="C969" s="113" t="n"/>
      <c r="D969" s="113" t="n"/>
      <c r="E969" s="113" t="n"/>
    </row>
    <row r="970" ht="15" customHeight="1" s="66">
      <c r="A970" s="113" t="n"/>
      <c r="B970" s="113" t="n"/>
      <c r="C970" s="113" t="n"/>
      <c r="D970" s="113" t="n"/>
      <c r="E970" s="113" t="n"/>
    </row>
    <row r="971" ht="15" customHeight="1" s="66">
      <c r="A971" s="113" t="n"/>
      <c r="B971" s="113" t="n"/>
      <c r="C971" s="113" t="n"/>
      <c r="D971" s="113" t="n"/>
      <c r="E971" s="113" t="n"/>
    </row>
    <row r="972" ht="15" customHeight="1" s="66">
      <c r="A972" s="113" t="n"/>
      <c r="B972" s="113" t="n"/>
      <c r="C972" s="113" t="n"/>
      <c r="D972" s="113" t="n"/>
      <c r="E972" s="113" t="n"/>
    </row>
    <row r="973" ht="15" customHeight="1" s="66">
      <c r="A973" s="113" t="n"/>
      <c r="B973" s="113" t="n"/>
      <c r="C973" s="113" t="n"/>
      <c r="D973" s="113" t="n"/>
      <c r="E973" s="113" t="n"/>
    </row>
    <row r="974" ht="15" customHeight="1" s="66">
      <c r="A974" s="113" t="n"/>
      <c r="B974" s="113" t="n"/>
      <c r="C974" s="113" t="n"/>
      <c r="D974" s="113" t="n"/>
      <c r="E974" s="113" t="n"/>
    </row>
    <row r="975" ht="15" customHeight="1" s="66">
      <c r="A975" s="113" t="n"/>
      <c r="B975" s="113" t="n"/>
      <c r="C975" s="113" t="n"/>
      <c r="D975" s="113" t="n"/>
      <c r="E975" s="113" t="n"/>
    </row>
    <row r="976" ht="15" customHeight="1" s="66">
      <c r="A976" s="113" t="n"/>
      <c r="B976" s="113" t="n"/>
      <c r="C976" s="113" t="n"/>
      <c r="D976" s="113" t="n"/>
      <c r="E976" s="113" t="n"/>
    </row>
    <row r="977" ht="15" customHeight="1" s="66">
      <c r="A977" s="113" t="n"/>
      <c r="B977" s="113" t="n"/>
      <c r="C977" s="113" t="n"/>
      <c r="D977" s="113" t="n"/>
      <c r="E977" s="113" t="n"/>
    </row>
    <row r="978" ht="15" customHeight="1" s="66">
      <c r="A978" s="113" t="n"/>
      <c r="B978" s="113" t="n"/>
      <c r="C978" s="113" t="n"/>
      <c r="D978" s="113" t="n"/>
      <c r="E978" s="113" t="n"/>
    </row>
    <row r="979" ht="15" customHeight="1" s="66">
      <c r="A979" s="113" t="n"/>
      <c r="B979" s="113" t="n"/>
      <c r="C979" s="113" t="n"/>
      <c r="D979" s="113" t="n"/>
      <c r="E979" s="113" t="n"/>
    </row>
    <row r="980" ht="15" customHeight="1" s="66">
      <c r="A980" s="113" t="n"/>
      <c r="B980" s="113" t="n"/>
      <c r="C980" s="113" t="n"/>
      <c r="D980" s="113" t="n"/>
      <c r="E980" s="113" t="n"/>
    </row>
    <row r="981" ht="15" customHeight="1" s="66">
      <c r="A981" s="113" t="n"/>
      <c r="B981" s="113" t="n"/>
      <c r="C981" s="113" t="n"/>
      <c r="D981" s="113" t="n"/>
      <c r="E981" s="113" t="n"/>
    </row>
    <row r="982" ht="15" customHeight="1" s="66">
      <c r="A982" s="113" t="n"/>
      <c r="B982" s="113" t="n"/>
      <c r="C982" s="113" t="n"/>
      <c r="D982" s="113" t="n"/>
      <c r="E982" s="113" t="n"/>
    </row>
    <row r="983" ht="15" customHeight="1" s="66">
      <c r="A983" s="113" t="n"/>
      <c r="B983" s="113" t="n"/>
      <c r="C983" s="113" t="n"/>
      <c r="D983" s="113" t="n"/>
      <c r="E983" s="113" t="n"/>
    </row>
    <row r="984" ht="15" customHeight="1" s="66">
      <c r="A984" s="113" t="n"/>
      <c r="B984" s="113" t="n"/>
      <c r="C984" s="113" t="n"/>
      <c r="D984" s="113" t="n"/>
      <c r="E984" s="113" t="n"/>
    </row>
    <row r="985" ht="15" customHeight="1" s="66">
      <c r="A985" s="113" t="n"/>
      <c r="B985" s="113" t="n"/>
      <c r="C985" s="113" t="n"/>
      <c r="D985" s="113" t="n"/>
      <c r="E985" s="113" t="n"/>
    </row>
    <row r="986" ht="15" customHeight="1" s="66">
      <c r="A986" s="113" t="n"/>
      <c r="B986" s="113" t="n"/>
      <c r="C986" s="113" t="n"/>
      <c r="D986" s="113" t="n"/>
      <c r="E986" s="113" t="n"/>
    </row>
    <row r="987" ht="15" customHeight="1" s="66">
      <c r="A987" s="113" t="n"/>
      <c r="B987" s="113" t="n"/>
      <c r="C987" s="113" t="n"/>
      <c r="D987" s="113" t="n"/>
      <c r="E987" s="113" t="n"/>
    </row>
    <row r="988" ht="15" customHeight="1" s="66">
      <c r="A988" s="113" t="n"/>
      <c r="B988" s="113" t="n"/>
      <c r="C988" s="113" t="n"/>
      <c r="D988" s="113" t="n"/>
      <c r="E988" s="113" t="n"/>
    </row>
    <row r="989" ht="15" customHeight="1" s="66">
      <c r="A989" s="113" t="n"/>
      <c r="B989" s="113" t="n"/>
      <c r="C989" s="113" t="n"/>
      <c r="D989" s="113" t="n"/>
      <c r="E989" s="113" t="n"/>
    </row>
    <row r="990" ht="15" customHeight="1" s="66">
      <c r="A990" s="113" t="n"/>
      <c r="B990" s="113" t="n"/>
      <c r="C990" s="113" t="n"/>
      <c r="D990" s="113" t="n"/>
      <c r="E990" s="113" t="n"/>
    </row>
    <row r="991" ht="15" customHeight="1" s="66">
      <c r="A991" s="113" t="n"/>
      <c r="B991" s="113" t="n"/>
      <c r="C991" s="113" t="n"/>
      <c r="D991" s="113" t="n"/>
      <c r="E991" s="113" t="n"/>
    </row>
    <row r="992" ht="15" customHeight="1" s="66">
      <c r="A992" s="113" t="n"/>
      <c r="B992" s="113" t="n"/>
      <c r="C992" s="113" t="n"/>
      <c r="D992" s="113" t="n"/>
      <c r="E992" s="113" t="n"/>
    </row>
    <row r="993" ht="15" customHeight="1" s="66">
      <c r="A993" s="113" t="n"/>
      <c r="B993" s="113" t="n"/>
      <c r="C993" s="113" t="n"/>
      <c r="D993" s="113" t="n"/>
      <c r="E993" s="113" t="n"/>
    </row>
    <row r="994" ht="15" customHeight="1" s="66">
      <c r="A994" s="113" t="n"/>
      <c r="B994" s="113" t="n"/>
      <c r="C994" s="113" t="n"/>
      <c r="D994" s="113" t="n"/>
      <c r="E994" s="113" t="n"/>
    </row>
    <row r="995" ht="15" customHeight="1" s="66">
      <c r="A995" s="113" t="n"/>
      <c r="B995" s="113" t="n"/>
      <c r="C995" s="113" t="n"/>
      <c r="D995" s="113" t="n"/>
      <c r="E995" s="113" t="n"/>
    </row>
    <row r="996" ht="15" customHeight="1" s="66">
      <c r="A996" s="113" t="n"/>
      <c r="B996" s="113" t="n"/>
      <c r="C996" s="113" t="n"/>
      <c r="D996" s="113" t="n"/>
      <c r="E996" s="113" t="n"/>
    </row>
    <row r="997" ht="15" customHeight="1" s="66">
      <c r="A997" s="113" t="n"/>
      <c r="B997" s="113" t="n"/>
      <c r="C997" s="113" t="n"/>
      <c r="D997" s="113" t="n"/>
      <c r="E997" s="113" t="n"/>
    </row>
    <row r="998" ht="15" customHeight="1" s="66">
      <c r="A998" s="113" t="n"/>
      <c r="B998" s="113" t="n"/>
      <c r="C998" s="113" t="n"/>
      <c r="D998" s="113" t="n"/>
      <c r="E998" s="113" t="n"/>
    </row>
    <row r="999" ht="15" customHeight="1" s="66">
      <c r="A999" s="113" t="n"/>
      <c r="B999" s="113" t="n"/>
      <c r="C999" s="113" t="n"/>
      <c r="D999" s="113" t="n"/>
      <c r="E999" s="113" t="n"/>
    </row>
    <row r="1000" ht="15" customHeight="1" s="66">
      <c r="A1000" s="113" t="n"/>
      <c r="B1000" s="113" t="n"/>
      <c r="C1000" s="113" t="n"/>
      <c r="D1000" s="113" t="n"/>
      <c r="E1000" s="113" t="n"/>
    </row>
    <row r="1001" ht="15" customHeight="1" s="66">
      <c r="A1001" s="113" t="n"/>
      <c r="B1001" s="113" t="n"/>
      <c r="C1001" s="113" t="n"/>
      <c r="D1001" s="113" t="n"/>
      <c r="E1001" s="113" t="n"/>
    </row>
    <row r="1002" ht="15" customHeight="1" s="66">
      <c r="A1002" s="113" t="n"/>
      <c r="B1002" s="113" t="n"/>
      <c r="C1002" s="113" t="n"/>
      <c r="D1002" s="113" t="n"/>
      <c r="E1002" s="113" t="n"/>
    </row>
    <row r="1003" ht="15" customHeight="1" s="66">
      <c r="A1003" s="113" t="n"/>
      <c r="B1003" s="113" t="n"/>
      <c r="C1003" s="113" t="n"/>
      <c r="D1003" s="113" t="n"/>
      <c r="E1003" s="113" t="n"/>
    </row>
    <row r="1004" ht="15" customHeight="1" s="66">
      <c r="A1004" s="113" t="n"/>
      <c r="B1004" s="113" t="n"/>
      <c r="C1004" s="113" t="n"/>
      <c r="D1004" s="113" t="n"/>
      <c r="E1004" s="113" t="n"/>
    </row>
    <row r="1006" ht="19.5" customHeight="1" s="66">
      <c r="A1006" s="103" t="inlineStr">
        <is>
          <t>Zam öncesi/sonrası maliyetler AYARLAR'daki oranlarla hesaplanır; veri girişi yalnızca sarı hücreleredir.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3:L3"/>
    <mergeCell ref="A1006:AN1006"/>
    <mergeCell ref="A1:L1"/>
    <mergeCell ref="A4:L4"/>
  </mergeCells>
  <conditionalFormatting sqref="J6:J1004">
    <cfRule type="cellIs" rank="0" priority="2" equalAverage="0" operator="greaterThan" aboveAverage="0" dxfId="7" text="" percent="0" bottom="0">
      <formula>0</formula>
    </cfRule>
  </conditionalFormatting>
  <conditionalFormatting sqref="K6:K1004">
    <cfRule type="cellIs" rank="0" priority="3" equalAverage="0" operator="greaterThan" aboveAverage="0" dxfId="8" text="" percent="0" bottom="0">
      <formula>MaliyetArtisEsik</formula>
    </cfRule>
  </conditionalFormatting>
  <conditionalFormatting sqref="G6:G1004">
    <cfRule type="cellIs" rank="0" priority="4" equalAverage="0" operator="greaterThan" aboveAverage="0" dxfId="9" text="" percent="0" bottom="0">
      <formula>0</formula>
    </cfRule>
  </conditionalFormatting>
  <conditionalFormatting sqref="C6:C1004">
    <cfRule type="cellIs" rank="0" priority="5" equalAverage="0" operator="lessThan" aboveAverage="0" dxfId="7" text="" percent="0" bottom="0">
      <formula>0</formula>
    </cfRule>
  </conditionalFormatting>
  <conditionalFormatting sqref="E6:E1004">
    <cfRule type="cellIs" rank="0" priority="6" equalAverage="0" operator="greaterThan" aboveAverage="0" dxfId="9" text="" percent="0" bottom="0">
      <formula>0</formula>
    </cfRule>
  </conditionalFormatting>
  <dataValidations count="2">
    <dataValidation sqref="B6:B1004" showDropDown="0" showInputMessage="1" showErrorMessage="1" allowBlank="1" errorTitle="Geçersiz tarih" error="01.01.2000'den sonraki bir tarih girin." promptTitle="İşe Giriş Tarihi" prompt="Çalışanın işe başladığı tarih." type="date" errorStyle="stop" operator="greaterThan">
      <formula1>2000-1-1</formula1>
      <formula2>0</formula2>
    </dataValidation>
    <dataValidation sqref="D6:D1004" showDropDown="0" showInputMessage="1" showErrorMessage="1" allowBlank="1" errorTitle="Geçersiz ücret türü" error="Listeden bir değer seçin." promptTitle="Ücret Türü" prompt="Asgari / Ust Oran / Sabit seçin. (Asgari = asgari ücret, Ust Oran = asgari üstü oran)" type="list" errorStyle="stop" operator="between">
      <formula1>ucretturleri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AN2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28" customWidth="1" style="92" min="1" max="1"/>
    <col width="26.5" customWidth="1" style="92" min="2" max="3"/>
    <col width="28.5" customWidth="1" style="66" min="3" max="3"/>
    <col width="14.5" customWidth="1" style="92" min="4" max="5"/>
    <col width="17.5" customWidth="1" style="66" min="5" max="5"/>
    <col width="24.5" customWidth="1" style="92" min="6" max="6"/>
    <col width="27.5" customWidth="1" style="92" min="7" max="9"/>
    <col width="33.5" customWidth="1" style="66" min="8" max="8"/>
    <col width="26.5" customWidth="1" style="66" min="9" max="9"/>
    <col width="13" customWidth="1" style="66" min="10" max="10"/>
  </cols>
  <sheetData>
    <row r="1" ht="32" customHeight="1" s="66">
      <c r="A1" s="265" t="inlineStr">
        <is>
          <t>URUNLER — ASGARİ ÜCRET ZAM ETKİSİ &amp; FİYAT AYARLAMA CETVELİ</t>
        </is>
      </c>
    </row>
    <row r="3" ht="22" customHeight="1" s="66">
      <c r="A3" s="284" t="inlineStr">
        <is>
          <t>Ürün/Hizmet Fiyat Ayarlama Cetveli</t>
        </is>
      </c>
    </row>
    <row r="4" ht="15" customHeight="1" s="66">
      <c r="A4" s="106" t="inlineStr">
        <is>
          <t>Sarı hücrelere fiyat, birim işçilik ve aylık adet girin; yansıtma oranı ve yeni fiyat formülle hesaplanır.</t>
        </is>
      </c>
    </row>
    <row r="5" ht="30" customHeight="1" s="66">
      <c r="A5" s="107" t="inlineStr">
        <is>
          <t>Ürün/Hizmet Adı</t>
        </is>
      </c>
      <c r="B5" s="107" t="inlineStr">
        <is>
          <t>Birim Satış Fiyatı (₺)</t>
        </is>
      </c>
      <c r="C5" s="107" t="inlineStr">
        <is>
          <t>Birim Başına İşçilik (₺)</t>
        </is>
      </c>
      <c r="D5" s="107" t="inlineStr">
        <is>
          <t>Aylık Adet</t>
        </is>
      </c>
      <c r="E5" s="107" t="inlineStr">
        <is>
          <t>İşçilik Oranı</t>
        </is>
      </c>
      <c r="F5" s="107" t="inlineStr">
        <is>
          <t>Fiyat Yansıtma Oranı</t>
        </is>
      </c>
      <c r="G5" s="107" t="inlineStr">
        <is>
          <t>Önerilen Yeni Fiyat (₺)</t>
        </is>
      </c>
      <c r="H5" s="107" t="inlineStr">
        <is>
          <t>Aylık Yeni Satış Hasılatı (₺)</t>
        </is>
      </c>
      <c r="I5" s="107" t="inlineStr">
        <is>
          <t>Aylık İşçilik Yükü (₺)</t>
        </is>
      </c>
    </row>
    <row r="6" ht="15" customHeight="1" s="66">
      <c r="A6" s="108" t="inlineStr">
        <is>
          <t>Beton İşçiliği</t>
        </is>
      </c>
      <c r="B6" s="109" t="n">
        <v>1200</v>
      </c>
      <c r="C6" s="109" t="n">
        <v>300</v>
      </c>
      <c r="D6" s="114" t="n">
        <v>50</v>
      </c>
      <c r="E6" s="92">
        <f>IF(OR($B6="",$C6=""),"",IFERROR($C6/MAX(BolumPaydaTaban,$B6),0))</f>
        <v/>
      </c>
      <c r="F6" s="92">
        <f>IF(OR($E6="",MaliyetArtisOrani=""),"",IFERROR($E6*MaliyetArtisOrani,0))</f>
        <v/>
      </c>
      <c r="G6" s="92">
        <f>IF(OR($B6="",$F6=""),"",IFERROR($B6*(1+$F6),0))</f>
        <v/>
      </c>
      <c r="H6" s="92">
        <f>IF(OR($G6="",$D6=""),"",IFERROR($G6*$D6,0))</f>
        <v/>
      </c>
      <c r="I6" s="92">
        <f>IF(OR($C6="",$D6=""),"",IFERROR($C6*$D6,0))</f>
        <v/>
      </c>
    </row>
    <row r="7" ht="15" customHeight="1" s="66">
      <c r="A7" s="108" t="inlineStr">
        <is>
          <t>Kalıp İşçiliği</t>
        </is>
      </c>
      <c r="B7" s="109" t="n">
        <v>900</v>
      </c>
      <c r="C7" s="109" t="n">
        <v>250</v>
      </c>
      <c r="D7" s="114" t="n">
        <v>60</v>
      </c>
      <c r="E7" s="92">
        <f>IF(OR($B7="",$C7=""),"",IFERROR($C7/MAX(BolumPaydaTaban,$B7),0))</f>
        <v/>
      </c>
      <c r="F7" s="92">
        <f>IF(OR($E7="",MaliyetArtisOrani=""),"",IFERROR($E7*MaliyetArtisOrani,0))</f>
        <v/>
      </c>
      <c r="G7" s="92">
        <f>IF(OR($B7="",$F7=""),"",IFERROR($B7*(1+$F7),0))</f>
        <v/>
      </c>
      <c r="H7" s="92">
        <f>IF(OR($G7="",$D7=""),"",IFERROR($G7*$D7,0))</f>
        <v/>
      </c>
      <c r="I7" s="92">
        <f>IF(OR($C7="",$D7=""),"",IFERROR($C7*$D7,0))</f>
        <v/>
      </c>
    </row>
    <row r="8" ht="15" customHeight="1" s="66">
      <c r="A8" s="108" t="inlineStr">
        <is>
          <t>Demir İşçiliği</t>
        </is>
      </c>
      <c r="B8" s="109" t="n">
        <v>1500</v>
      </c>
      <c r="C8" s="109" t="n">
        <v>400</v>
      </c>
      <c r="D8" s="114" t="n">
        <v>30</v>
      </c>
      <c r="E8" s="92">
        <f>IF(OR($B8="",$C8=""),"",IFERROR($C8/MAX(BolumPaydaTaban,$B8),0))</f>
        <v/>
      </c>
      <c r="F8" s="92">
        <f>IF(OR($E8="",MaliyetArtisOrani=""),"",IFERROR($E8*MaliyetArtisOrani,0))</f>
        <v/>
      </c>
      <c r="G8" s="92">
        <f>IF(OR($B8="",$F8=""),"",IFERROR($B8*(1+$F8),0))</f>
        <v/>
      </c>
      <c r="H8" s="92">
        <f>IF(OR($G8="",$D8=""),"",IFERROR($G8*$D8,0))</f>
        <v/>
      </c>
      <c r="I8" s="92">
        <f>IF(OR($C8="",$D8=""),"",IFERROR($C8*$D8,0))</f>
        <v/>
      </c>
    </row>
    <row r="9" ht="15" customHeight="1" s="66">
      <c r="A9" s="108" t="inlineStr">
        <is>
          <t>İskele Kurulumu</t>
        </is>
      </c>
      <c r="B9" s="109" t="n">
        <v>700</v>
      </c>
      <c r="C9" s="109" t="n">
        <v>180</v>
      </c>
      <c r="D9" s="114" t="n">
        <v>40</v>
      </c>
      <c r="E9" s="92">
        <f>IF(OR($B9="",$C9=""),"",IFERROR($C9/MAX(BolumPaydaTaban,$B9),0))</f>
        <v/>
      </c>
      <c r="F9" s="92">
        <f>IF(OR($E9="",MaliyetArtisOrani=""),"",IFERROR($E9*MaliyetArtisOrani,0))</f>
        <v/>
      </c>
      <c r="G9" s="92">
        <f>IF(OR($B9="",$F9=""),"",IFERROR($B9*(1+$F9),0))</f>
        <v/>
      </c>
      <c r="H9" s="92">
        <f>IF(OR($G9="",$D9=""),"",IFERROR($G9*$D9,0))</f>
        <v/>
      </c>
      <c r="I9" s="92">
        <f>IF(OR($C9="",$D9=""),"",IFERROR($C9*$D9,0))</f>
        <v/>
      </c>
    </row>
    <row r="10" ht="15" customHeight="1" s="66">
      <c r="A10" s="108" t="inlineStr">
        <is>
          <t>Duvar Örme</t>
        </is>
      </c>
      <c r="B10" s="109" t="n">
        <v>850</v>
      </c>
      <c r="C10" s="109" t="n">
        <v>220</v>
      </c>
      <c r="D10" s="114" t="n">
        <v>45</v>
      </c>
      <c r="E10" s="92">
        <f>IF(OR($B10="",$C10=""),"",IFERROR($C10/MAX(BolumPaydaTaban,$B10),0))</f>
        <v/>
      </c>
      <c r="F10" s="92">
        <f>IF(OR($E10="",MaliyetArtisOrani=""),"",IFERROR($E10*MaliyetArtisOrani,0))</f>
        <v/>
      </c>
      <c r="G10" s="92">
        <f>IF(OR($B10="",$F10=""),"",IFERROR($B10*(1+$F10),0))</f>
        <v/>
      </c>
      <c r="H10" s="92">
        <f>IF(OR($G10="",$D10=""),"",IFERROR($G10*$D10,0))</f>
        <v/>
      </c>
      <c r="I10" s="92">
        <f>IF(OR($C10="",$D10=""),"",IFERROR($C10*$D10,0))</f>
        <v/>
      </c>
    </row>
    <row r="11" ht="15" customHeight="1" s="66">
      <c r="A11" s="108" t="inlineStr">
        <is>
          <t>Sıva İşleri</t>
        </is>
      </c>
      <c r="B11" s="109" t="n">
        <v>600</v>
      </c>
      <c r="C11" s="109" t="n">
        <v>190</v>
      </c>
      <c r="D11" s="114" t="n">
        <v>35</v>
      </c>
      <c r="E11" s="92">
        <f>IF(OR($B11="",$C11=""),"",IFERROR($C11/MAX(BolumPaydaTaban,$B11),0))</f>
        <v/>
      </c>
      <c r="F11" s="92">
        <f>IF(OR($E11="",MaliyetArtisOrani=""),"",IFERROR($E11*MaliyetArtisOrani,0))</f>
        <v/>
      </c>
      <c r="G11" s="92">
        <f>IF(OR($B11="",$F11=""),"",IFERROR($B11*(1+$F11),0))</f>
        <v/>
      </c>
      <c r="H11" s="92">
        <f>IF(OR($G11="",$D11=""),"",IFERROR($G11*$D11,0))</f>
        <v/>
      </c>
      <c r="I11" s="92">
        <f>IF(OR($C11="",$D11=""),"",IFERROR($C11*$D11,0))</f>
        <v/>
      </c>
    </row>
    <row r="12" ht="15" customHeight="1" s="66">
      <c r="A12" s="108" t="inlineStr">
        <is>
          <t>Mermer Kaplama</t>
        </is>
      </c>
      <c r="B12" s="109" t="n">
        <v>350</v>
      </c>
      <c r="C12" s="109" t="n">
        <v>420</v>
      </c>
      <c r="D12" s="114" t="n">
        <v>25</v>
      </c>
      <c r="E12" s="92">
        <f>IF(OR($B12="",$C12=""),"",IFERROR($C12/MAX(BolumPaydaTaban,$B12),0))</f>
        <v/>
      </c>
      <c r="F12" s="92">
        <f>IF(OR($E12="",MaliyetArtisOrani=""),"",IFERROR($E12*MaliyetArtisOrani,0))</f>
        <v/>
      </c>
      <c r="G12" s="92">
        <f>IF(OR($B12="",$F12=""),"",IFERROR($B12*(1+$F12),0))</f>
        <v/>
      </c>
      <c r="H12" s="92">
        <f>IF(OR($G12="",$D12=""),"",IFERROR($G12*$D12,0))</f>
        <v/>
      </c>
      <c r="I12" s="92">
        <f>IF(OR($C12="",$D12=""),"",IFERROR($C12*$D12,0))</f>
        <v/>
      </c>
    </row>
    <row r="13" ht="15" customHeight="1" s="66">
      <c r="A13" s="108" t="inlineStr">
        <is>
          <t>Çatı Yalıtımı</t>
        </is>
      </c>
      <c r="B13" s="109" t="n">
        <v>420</v>
      </c>
      <c r="C13" s="109" t="n">
        <v>280</v>
      </c>
      <c r="D13" s="114" t="n">
        <v>20</v>
      </c>
      <c r="E13" s="92">
        <f>IF(OR($B13="",$C13=""),"",IFERROR($C13/MAX(BolumPaydaTaban,$B13),0))</f>
        <v/>
      </c>
      <c r="F13" s="92">
        <f>IF(OR($E13="",MaliyetArtisOrani=""),"",IFERROR($E13*MaliyetArtisOrani,0))</f>
        <v/>
      </c>
      <c r="G13" s="92">
        <f>IF(OR($B13="",$F13=""),"",IFERROR($B13*(1+$F13),0))</f>
        <v/>
      </c>
      <c r="H13" s="92">
        <f>IF(OR($G13="",$D13=""),"",IFERROR($G13*$D13,0))</f>
        <v/>
      </c>
      <c r="I13" s="92">
        <f>IF(OR($C13="",$D13=""),"",IFERROR($C13*$D13,0))</f>
        <v/>
      </c>
    </row>
    <row r="14" ht="15" customHeight="1" s="66">
      <c r="A14" s="108" t="inlineStr">
        <is>
          <t>Boyacılık</t>
        </is>
      </c>
      <c r="B14" s="109" t="n">
        <v>1100</v>
      </c>
      <c r="C14" s="109" t="n">
        <v>160</v>
      </c>
      <c r="D14" s="114" t="n">
        <v>55</v>
      </c>
      <c r="E14" s="92">
        <f>IF(OR($B14="",$C14=""),"",IFERROR($C14/MAX(BolumPaydaTaban,$B14),0))</f>
        <v/>
      </c>
      <c r="F14" s="92">
        <f>IF(OR($E14="",MaliyetArtisOrani=""),"",IFERROR($E14*MaliyetArtisOrani,0))</f>
        <v/>
      </c>
      <c r="G14" s="92">
        <f>IF(OR($B14="",$F14=""),"",IFERROR($B14*(1+$F14),0))</f>
        <v/>
      </c>
      <c r="H14" s="92">
        <f>IF(OR($G14="",$D14=""),"",IFERROR($G14*$D14,0))</f>
        <v/>
      </c>
      <c r="I14" s="92">
        <f>IF(OR($C14="",$D14=""),"",IFERROR($C14*$D14,0))</f>
        <v/>
      </c>
    </row>
    <row r="15" ht="15" customHeight="1" s="66">
      <c r="A15" s="108" t="inlineStr">
        <is>
          <t>Asmolen Döşeme</t>
        </is>
      </c>
      <c r="B15" s="109" t="n">
        <v>750</v>
      </c>
      <c r="C15" s="109" t="n">
        <v>210</v>
      </c>
      <c r="D15" s="114" t="n">
        <v>38</v>
      </c>
      <c r="E15" s="92">
        <f>IF(OR($B15="",$C15=""),"",IFERROR($C15/MAX(BolumPaydaTaban,$B15),0))</f>
        <v/>
      </c>
      <c r="F15" s="92">
        <f>IF(OR($E15="",MaliyetArtisOrani=""),"",IFERROR($E15*MaliyetArtisOrani,0))</f>
        <v/>
      </c>
      <c r="G15" s="92">
        <f>IF(OR($B15="",$F15=""),"",IFERROR($B15*(1+$F15),0))</f>
        <v/>
      </c>
      <c r="H15" s="92">
        <f>IF(OR($G15="",$D15=""),"",IFERROR($G15*$D15,0))</f>
        <v/>
      </c>
      <c r="I15" s="92">
        <f>IF(OR($C15="",$D15=""),"",IFERROR($C15*$D15,0))</f>
        <v/>
      </c>
    </row>
    <row r="16" ht="15" customHeight="1" s="66">
      <c r="A16" s="113" t="n"/>
      <c r="B16" s="113" t="n"/>
      <c r="C16" s="113" t="n"/>
      <c r="D16" s="113" t="n"/>
    </row>
    <row r="17" ht="15" customHeight="1" s="66">
      <c r="A17" s="113" t="n"/>
      <c r="B17" s="113" t="n"/>
      <c r="C17" s="113" t="n"/>
      <c r="D17" s="113" t="n"/>
    </row>
    <row r="18" ht="15" customHeight="1" s="66">
      <c r="A18" s="113" t="n"/>
      <c r="B18" s="113" t="n"/>
      <c r="C18" s="113" t="n"/>
      <c r="D18" s="113" t="n"/>
    </row>
    <row r="19" ht="15" customHeight="1" s="66">
      <c r="A19" s="113" t="n"/>
      <c r="B19" s="113" t="n"/>
      <c r="C19" s="113" t="n"/>
      <c r="D19" s="113" t="n"/>
    </row>
    <row r="20" ht="15" customHeight="1" s="66">
      <c r="A20" s="113" t="n"/>
      <c r="B20" s="113" t="n"/>
      <c r="C20" s="113" t="n"/>
      <c r="D20" s="113" t="n"/>
    </row>
    <row r="21" ht="15" customHeight="1" s="66">
      <c r="A21" s="113" t="n"/>
      <c r="B21" s="113" t="n"/>
      <c r="C21" s="113" t="n"/>
      <c r="D21" s="113" t="n"/>
    </row>
    <row r="22" ht="15" customHeight="1" s="66">
      <c r="A22" s="113" t="n"/>
      <c r="B22" s="113" t="n"/>
      <c r="C22" s="113" t="n"/>
      <c r="D22" s="113" t="n"/>
    </row>
    <row r="23" ht="15" customHeight="1" s="66">
      <c r="A23" s="113" t="n"/>
      <c r="B23" s="113" t="n"/>
      <c r="C23" s="113" t="n"/>
      <c r="D23" s="113" t="n"/>
    </row>
    <row r="24" ht="15" customHeight="1" s="66">
      <c r="A24" s="113" t="n"/>
      <c r="B24" s="113" t="n"/>
      <c r="C24" s="113" t="n"/>
      <c r="D24" s="113" t="n"/>
    </row>
    <row r="25" ht="15" customHeight="1" s="66">
      <c r="A25" s="113" t="n"/>
      <c r="B25" s="113" t="n"/>
      <c r="C25" s="113" t="n"/>
      <c r="D25" s="113" t="n"/>
    </row>
    <row r="26" ht="15" customHeight="1" s="66">
      <c r="A26" s="113" t="n"/>
      <c r="B26" s="113" t="n"/>
      <c r="C26" s="113" t="n"/>
      <c r="D26" s="113" t="n"/>
    </row>
    <row r="27" ht="15" customHeight="1" s="66">
      <c r="A27" s="113" t="n"/>
      <c r="B27" s="113" t="n"/>
      <c r="C27" s="113" t="n"/>
      <c r="D27" s="113" t="n"/>
    </row>
    <row r="28" ht="15" customHeight="1" s="66">
      <c r="A28" s="113" t="n"/>
      <c r="B28" s="113" t="n"/>
      <c r="C28" s="113" t="n"/>
      <c r="D28" s="113" t="n"/>
    </row>
    <row r="29" ht="15" customHeight="1" s="66">
      <c r="A29" s="113" t="n"/>
      <c r="B29" s="113" t="n"/>
      <c r="C29" s="113" t="n"/>
      <c r="D29" s="113" t="n"/>
    </row>
    <row r="30" ht="15" customHeight="1" s="66">
      <c r="A30" s="113" t="n"/>
      <c r="B30" s="113" t="n"/>
      <c r="C30" s="113" t="n"/>
      <c r="D30" s="113" t="n"/>
    </row>
    <row r="31" ht="15" customHeight="1" s="66">
      <c r="A31" s="113" t="n"/>
      <c r="B31" s="113" t="n"/>
      <c r="C31" s="113" t="n"/>
      <c r="D31" s="113" t="n"/>
    </row>
    <row r="32" ht="15" customHeight="1" s="66">
      <c r="A32" s="113" t="n"/>
      <c r="B32" s="113" t="n"/>
      <c r="C32" s="113" t="n"/>
      <c r="D32" s="113" t="n"/>
    </row>
    <row r="33" ht="15" customHeight="1" s="66">
      <c r="A33" s="113" t="n"/>
      <c r="B33" s="113" t="n"/>
      <c r="C33" s="113" t="n"/>
      <c r="D33" s="113" t="n"/>
    </row>
    <row r="34" ht="15" customHeight="1" s="66">
      <c r="A34" s="113" t="n"/>
      <c r="B34" s="113" t="n"/>
      <c r="C34" s="113" t="n"/>
      <c r="D34" s="113" t="n"/>
    </row>
    <row r="35" ht="15" customHeight="1" s="66">
      <c r="A35" s="113" t="n"/>
      <c r="B35" s="113" t="n"/>
      <c r="C35" s="113" t="n"/>
      <c r="D35" s="113" t="n"/>
    </row>
    <row r="36" ht="15" customHeight="1" s="66">
      <c r="A36" s="113" t="n"/>
      <c r="B36" s="113" t="n"/>
      <c r="C36" s="113" t="n"/>
      <c r="D36" s="113" t="n"/>
    </row>
    <row r="37" ht="15" customHeight="1" s="66">
      <c r="A37" s="113" t="n"/>
      <c r="B37" s="113" t="n"/>
      <c r="C37" s="113" t="n"/>
      <c r="D37" s="113" t="n"/>
    </row>
    <row r="38" ht="15" customHeight="1" s="66">
      <c r="A38" s="113" t="n"/>
      <c r="B38" s="113" t="n"/>
      <c r="C38" s="113" t="n"/>
      <c r="D38" s="113" t="n"/>
    </row>
    <row r="39" ht="15" customHeight="1" s="66">
      <c r="A39" s="113" t="n"/>
      <c r="B39" s="113" t="n"/>
      <c r="C39" s="113" t="n"/>
      <c r="D39" s="113" t="n"/>
    </row>
    <row r="40" ht="15" customHeight="1" s="66">
      <c r="A40" s="113" t="n"/>
      <c r="B40" s="113" t="n"/>
      <c r="C40" s="113" t="n"/>
      <c r="D40" s="113" t="n"/>
    </row>
    <row r="41" ht="15" customHeight="1" s="66">
      <c r="A41" s="113" t="n"/>
      <c r="B41" s="113" t="n"/>
      <c r="C41" s="113" t="n"/>
      <c r="D41" s="113" t="n"/>
    </row>
    <row r="42" ht="15" customHeight="1" s="66">
      <c r="A42" s="113" t="n"/>
      <c r="B42" s="113" t="n"/>
      <c r="C42" s="113" t="n"/>
      <c r="D42" s="113" t="n"/>
    </row>
    <row r="43" ht="15" customHeight="1" s="66">
      <c r="A43" s="113" t="n"/>
      <c r="B43" s="113" t="n"/>
      <c r="C43" s="113" t="n"/>
      <c r="D43" s="113" t="n"/>
    </row>
    <row r="44" ht="15" customHeight="1" s="66">
      <c r="A44" s="113" t="n"/>
      <c r="B44" s="113" t="n"/>
      <c r="C44" s="113" t="n"/>
      <c r="D44" s="113" t="n"/>
    </row>
    <row r="45" ht="15" customHeight="1" s="66">
      <c r="A45" s="113" t="n"/>
      <c r="B45" s="113" t="n"/>
      <c r="C45" s="113" t="n"/>
      <c r="D45" s="113" t="n"/>
    </row>
    <row r="46" ht="15" customHeight="1" s="66">
      <c r="A46" s="113" t="n"/>
      <c r="B46" s="113" t="n"/>
      <c r="C46" s="113" t="n"/>
      <c r="D46" s="113" t="n"/>
    </row>
    <row r="47" ht="15" customHeight="1" s="66">
      <c r="A47" s="113" t="n"/>
      <c r="B47" s="113" t="n"/>
      <c r="C47" s="113" t="n"/>
      <c r="D47" s="113" t="n"/>
    </row>
    <row r="48" ht="15" customHeight="1" s="66">
      <c r="A48" s="113" t="n"/>
      <c r="B48" s="113" t="n"/>
      <c r="C48" s="113" t="n"/>
      <c r="D48" s="113" t="n"/>
    </row>
    <row r="49" ht="15" customHeight="1" s="66">
      <c r="A49" s="113" t="n"/>
      <c r="B49" s="113" t="n"/>
      <c r="C49" s="113" t="n"/>
      <c r="D49" s="113" t="n"/>
    </row>
    <row r="50" ht="15" customHeight="1" s="66">
      <c r="A50" s="113" t="n"/>
      <c r="B50" s="113" t="n"/>
      <c r="C50" s="113" t="n"/>
      <c r="D50" s="113" t="n"/>
    </row>
    <row r="51" ht="15" customHeight="1" s="66">
      <c r="A51" s="113" t="n"/>
      <c r="B51" s="113" t="n"/>
      <c r="C51" s="113" t="n"/>
      <c r="D51" s="113" t="n"/>
    </row>
    <row r="52" ht="15" customHeight="1" s="66">
      <c r="A52" s="113" t="n"/>
      <c r="B52" s="113" t="n"/>
      <c r="C52" s="113" t="n"/>
      <c r="D52" s="113" t="n"/>
    </row>
    <row r="53" ht="15" customHeight="1" s="66">
      <c r="A53" s="113" t="n"/>
      <c r="B53" s="113" t="n"/>
      <c r="C53" s="113" t="n"/>
      <c r="D53" s="113" t="n"/>
    </row>
    <row r="54" ht="15" customHeight="1" s="66">
      <c r="A54" s="113" t="n"/>
      <c r="B54" s="113" t="n"/>
      <c r="C54" s="113" t="n"/>
      <c r="D54" s="113" t="n"/>
    </row>
    <row r="55" ht="15" customHeight="1" s="66">
      <c r="A55" s="113" t="n"/>
      <c r="B55" s="113" t="n"/>
      <c r="C55" s="113" t="n"/>
      <c r="D55" s="113" t="n"/>
    </row>
    <row r="56" ht="15" customHeight="1" s="66">
      <c r="A56" s="113" t="n"/>
      <c r="B56" s="113" t="n"/>
      <c r="C56" s="113" t="n"/>
      <c r="D56" s="113" t="n"/>
    </row>
    <row r="57" ht="15" customHeight="1" s="66">
      <c r="A57" s="113" t="n"/>
      <c r="B57" s="113" t="n"/>
      <c r="C57" s="113" t="n"/>
      <c r="D57" s="113" t="n"/>
    </row>
    <row r="58" ht="15" customHeight="1" s="66">
      <c r="A58" s="113" t="n"/>
      <c r="B58" s="113" t="n"/>
      <c r="C58" s="113" t="n"/>
      <c r="D58" s="113" t="n"/>
    </row>
    <row r="59" ht="15" customHeight="1" s="66">
      <c r="A59" s="113" t="n"/>
      <c r="B59" s="113" t="n"/>
      <c r="C59" s="113" t="n"/>
      <c r="D59" s="113" t="n"/>
    </row>
    <row r="60" ht="15" customHeight="1" s="66">
      <c r="A60" s="113" t="n"/>
      <c r="B60" s="113" t="n"/>
      <c r="C60" s="113" t="n"/>
      <c r="D60" s="113" t="n"/>
    </row>
    <row r="61" ht="15" customHeight="1" s="66">
      <c r="A61" s="113" t="n"/>
      <c r="B61" s="113" t="n"/>
      <c r="C61" s="113" t="n"/>
      <c r="D61" s="113" t="n"/>
    </row>
    <row r="62" ht="15" customHeight="1" s="66">
      <c r="A62" s="113" t="n"/>
      <c r="B62" s="113" t="n"/>
      <c r="C62" s="113" t="n"/>
      <c r="D62" s="113" t="n"/>
    </row>
    <row r="63" ht="15" customHeight="1" s="66">
      <c r="A63" s="113" t="n"/>
      <c r="B63" s="113" t="n"/>
      <c r="C63" s="113" t="n"/>
      <c r="D63" s="113" t="n"/>
    </row>
    <row r="64" ht="15" customHeight="1" s="66">
      <c r="A64" s="113" t="n"/>
      <c r="B64" s="113" t="n"/>
      <c r="C64" s="113" t="n"/>
      <c r="D64" s="113" t="n"/>
    </row>
    <row r="65" ht="15" customHeight="1" s="66">
      <c r="A65" s="113" t="n"/>
      <c r="B65" s="113" t="n"/>
      <c r="C65" s="113" t="n"/>
      <c r="D65" s="113" t="n"/>
    </row>
    <row r="66" ht="15" customHeight="1" s="66">
      <c r="A66" s="113" t="n"/>
      <c r="B66" s="113" t="n"/>
      <c r="C66" s="113" t="n"/>
      <c r="D66" s="113" t="n"/>
    </row>
    <row r="67" ht="15" customHeight="1" s="66">
      <c r="A67" s="113" t="n"/>
      <c r="B67" s="113" t="n"/>
      <c r="C67" s="113" t="n"/>
      <c r="D67" s="113" t="n"/>
    </row>
    <row r="68" ht="15" customHeight="1" s="66">
      <c r="A68" s="113" t="n"/>
      <c r="B68" s="113" t="n"/>
      <c r="C68" s="113" t="n"/>
      <c r="D68" s="113" t="n"/>
    </row>
    <row r="69" ht="15" customHeight="1" s="66">
      <c r="A69" s="113" t="n"/>
      <c r="B69" s="113" t="n"/>
      <c r="C69" s="113" t="n"/>
      <c r="D69" s="113" t="n"/>
    </row>
    <row r="70" ht="15" customHeight="1" s="66">
      <c r="A70" s="113" t="n"/>
      <c r="B70" s="113" t="n"/>
      <c r="C70" s="113" t="n"/>
      <c r="D70" s="113" t="n"/>
    </row>
    <row r="71" ht="15" customHeight="1" s="66">
      <c r="A71" s="113" t="n"/>
      <c r="B71" s="113" t="n"/>
      <c r="C71" s="113" t="n"/>
      <c r="D71" s="113" t="n"/>
    </row>
    <row r="72" ht="15" customHeight="1" s="66">
      <c r="A72" s="113" t="n"/>
      <c r="B72" s="113" t="n"/>
      <c r="C72" s="113" t="n"/>
      <c r="D72" s="113" t="n"/>
    </row>
    <row r="73" ht="15" customHeight="1" s="66">
      <c r="A73" s="113" t="n"/>
      <c r="B73" s="113" t="n"/>
      <c r="C73" s="113" t="n"/>
      <c r="D73" s="113" t="n"/>
    </row>
    <row r="74" ht="15" customHeight="1" s="66">
      <c r="A74" s="113" t="n"/>
      <c r="B74" s="113" t="n"/>
      <c r="C74" s="113" t="n"/>
      <c r="D74" s="113" t="n"/>
    </row>
    <row r="75" ht="15" customHeight="1" s="66">
      <c r="A75" s="113" t="n"/>
      <c r="B75" s="113" t="n"/>
      <c r="C75" s="113" t="n"/>
      <c r="D75" s="113" t="n"/>
    </row>
    <row r="76" ht="15" customHeight="1" s="66">
      <c r="A76" s="113" t="n"/>
      <c r="B76" s="113" t="n"/>
      <c r="C76" s="113" t="n"/>
      <c r="D76" s="113" t="n"/>
    </row>
    <row r="77" ht="15" customHeight="1" s="66">
      <c r="A77" s="113" t="n"/>
      <c r="B77" s="113" t="n"/>
      <c r="C77" s="113" t="n"/>
      <c r="D77" s="113" t="n"/>
    </row>
    <row r="78" ht="15" customHeight="1" s="66">
      <c r="A78" s="113" t="n"/>
      <c r="B78" s="113" t="n"/>
      <c r="C78" s="113" t="n"/>
      <c r="D78" s="113" t="n"/>
    </row>
    <row r="79" ht="15" customHeight="1" s="66">
      <c r="A79" s="113" t="n"/>
      <c r="B79" s="113" t="n"/>
      <c r="C79" s="113" t="n"/>
      <c r="D79" s="113" t="n"/>
    </row>
    <row r="80" ht="15" customHeight="1" s="66">
      <c r="A80" s="113" t="n"/>
      <c r="B80" s="113" t="n"/>
      <c r="C80" s="113" t="n"/>
      <c r="D80" s="113" t="n"/>
    </row>
    <row r="81" ht="15" customHeight="1" s="66">
      <c r="A81" s="113" t="n"/>
      <c r="B81" s="113" t="n"/>
      <c r="C81" s="113" t="n"/>
      <c r="D81" s="113" t="n"/>
    </row>
    <row r="82" ht="15" customHeight="1" s="66">
      <c r="A82" s="113" t="n"/>
      <c r="B82" s="113" t="n"/>
      <c r="C82" s="113" t="n"/>
      <c r="D82" s="113" t="n"/>
    </row>
    <row r="83" ht="15" customHeight="1" s="66">
      <c r="A83" s="113" t="n"/>
      <c r="B83" s="113" t="n"/>
      <c r="C83" s="113" t="n"/>
      <c r="D83" s="113" t="n"/>
    </row>
    <row r="84" ht="15" customHeight="1" s="66">
      <c r="A84" s="113" t="n"/>
      <c r="B84" s="113" t="n"/>
      <c r="C84" s="113" t="n"/>
      <c r="D84" s="113" t="n"/>
    </row>
    <row r="85" ht="15" customHeight="1" s="66">
      <c r="A85" s="113" t="n"/>
      <c r="B85" s="113" t="n"/>
      <c r="C85" s="113" t="n"/>
      <c r="D85" s="113" t="n"/>
    </row>
    <row r="86" ht="15" customHeight="1" s="66">
      <c r="A86" s="113" t="n"/>
      <c r="B86" s="113" t="n"/>
      <c r="C86" s="113" t="n"/>
      <c r="D86" s="113" t="n"/>
    </row>
    <row r="87" ht="15" customHeight="1" s="66">
      <c r="A87" s="113" t="n"/>
      <c r="B87" s="113" t="n"/>
      <c r="C87" s="113" t="n"/>
      <c r="D87" s="113" t="n"/>
    </row>
    <row r="88" ht="15" customHeight="1" s="66">
      <c r="A88" s="113" t="n"/>
      <c r="B88" s="113" t="n"/>
      <c r="C88" s="113" t="n"/>
      <c r="D88" s="113" t="n"/>
    </row>
    <row r="89" ht="15" customHeight="1" s="66">
      <c r="A89" s="113" t="n"/>
      <c r="B89" s="113" t="n"/>
      <c r="C89" s="113" t="n"/>
      <c r="D89" s="113" t="n"/>
    </row>
    <row r="90" ht="15" customHeight="1" s="66">
      <c r="A90" s="113" t="n"/>
      <c r="B90" s="113" t="n"/>
      <c r="C90" s="113" t="n"/>
      <c r="D90" s="113" t="n"/>
    </row>
    <row r="91" ht="15" customHeight="1" s="66">
      <c r="A91" s="113" t="n"/>
      <c r="B91" s="113" t="n"/>
      <c r="C91" s="113" t="n"/>
      <c r="D91" s="113" t="n"/>
    </row>
    <row r="92" ht="15" customHeight="1" s="66">
      <c r="A92" s="113" t="n"/>
      <c r="B92" s="113" t="n"/>
      <c r="C92" s="113" t="n"/>
      <c r="D92" s="113" t="n"/>
    </row>
    <row r="93" ht="15" customHeight="1" s="66">
      <c r="A93" s="113" t="n"/>
      <c r="B93" s="113" t="n"/>
      <c r="C93" s="113" t="n"/>
      <c r="D93" s="113" t="n"/>
    </row>
    <row r="94" ht="15" customHeight="1" s="66">
      <c r="A94" s="113" t="n"/>
      <c r="B94" s="113" t="n"/>
      <c r="C94" s="113" t="n"/>
      <c r="D94" s="113" t="n"/>
    </row>
    <row r="95" ht="15" customHeight="1" s="66">
      <c r="A95" s="113" t="n"/>
      <c r="B95" s="113" t="n"/>
      <c r="C95" s="113" t="n"/>
      <c r="D95" s="113" t="n"/>
    </row>
    <row r="96" ht="15" customHeight="1" s="66">
      <c r="A96" s="113" t="n"/>
      <c r="B96" s="113" t="n"/>
      <c r="C96" s="113" t="n"/>
      <c r="D96" s="113" t="n"/>
    </row>
    <row r="97" ht="15" customHeight="1" s="66">
      <c r="A97" s="113" t="n"/>
      <c r="B97" s="113" t="n"/>
      <c r="C97" s="113" t="n"/>
      <c r="D97" s="113" t="n"/>
    </row>
    <row r="98" ht="15" customHeight="1" s="66">
      <c r="A98" s="113" t="n"/>
      <c r="B98" s="113" t="n"/>
      <c r="C98" s="113" t="n"/>
      <c r="D98" s="113" t="n"/>
    </row>
    <row r="99" ht="15" customHeight="1" s="66">
      <c r="A99" s="113" t="n"/>
      <c r="B99" s="113" t="n"/>
      <c r="C99" s="113" t="n"/>
      <c r="D99" s="113" t="n"/>
    </row>
    <row r="100" ht="15" customHeight="1" s="66">
      <c r="A100" s="113" t="n"/>
      <c r="B100" s="113" t="n"/>
      <c r="C100" s="113" t="n"/>
      <c r="D100" s="113" t="n"/>
    </row>
    <row r="101" ht="15" customHeight="1" s="66">
      <c r="A101" s="113" t="n"/>
      <c r="B101" s="113" t="n"/>
      <c r="C101" s="113" t="n"/>
      <c r="D101" s="113" t="n"/>
    </row>
    <row r="102" ht="15" customHeight="1" s="66">
      <c r="A102" s="113" t="n"/>
      <c r="B102" s="113" t="n"/>
      <c r="C102" s="113" t="n"/>
      <c r="D102" s="113" t="n"/>
    </row>
    <row r="103" ht="15" customHeight="1" s="66">
      <c r="A103" s="113" t="n"/>
      <c r="B103" s="113" t="n"/>
      <c r="C103" s="113" t="n"/>
      <c r="D103" s="113" t="n"/>
    </row>
    <row r="104" ht="15" customHeight="1" s="66">
      <c r="A104" s="113" t="n"/>
      <c r="B104" s="113" t="n"/>
      <c r="C104" s="113" t="n"/>
      <c r="D104" s="113" t="n"/>
    </row>
    <row r="105" ht="15" customHeight="1" s="66">
      <c r="A105" s="113" t="n"/>
      <c r="B105" s="113" t="n"/>
      <c r="C105" s="113" t="n"/>
      <c r="D105" s="113" t="n"/>
    </row>
    <row r="106" ht="15" customHeight="1" s="66">
      <c r="A106" s="113" t="n"/>
      <c r="B106" s="113" t="n"/>
      <c r="C106" s="113" t="n"/>
      <c r="D106" s="113" t="n"/>
    </row>
    <row r="107" ht="15" customHeight="1" s="66">
      <c r="A107" s="113" t="n"/>
      <c r="B107" s="113" t="n"/>
      <c r="C107" s="113" t="n"/>
      <c r="D107" s="113" t="n"/>
    </row>
    <row r="108" ht="15" customHeight="1" s="66">
      <c r="A108" s="113" t="n"/>
      <c r="B108" s="113" t="n"/>
      <c r="C108" s="113" t="n"/>
      <c r="D108" s="113" t="n"/>
    </row>
    <row r="109" ht="15" customHeight="1" s="66">
      <c r="A109" s="113" t="n"/>
      <c r="B109" s="113" t="n"/>
      <c r="C109" s="113" t="n"/>
      <c r="D109" s="113" t="n"/>
    </row>
    <row r="110" ht="15" customHeight="1" s="66">
      <c r="A110" s="113" t="n"/>
      <c r="B110" s="113" t="n"/>
      <c r="C110" s="113" t="n"/>
      <c r="D110" s="113" t="n"/>
    </row>
    <row r="111" ht="15" customHeight="1" s="66">
      <c r="A111" s="113" t="n"/>
      <c r="B111" s="113" t="n"/>
      <c r="C111" s="113" t="n"/>
      <c r="D111" s="113" t="n"/>
    </row>
    <row r="112" ht="15" customHeight="1" s="66">
      <c r="A112" s="113" t="n"/>
      <c r="B112" s="113" t="n"/>
      <c r="C112" s="113" t="n"/>
      <c r="D112" s="113" t="n"/>
    </row>
    <row r="113" ht="15" customHeight="1" s="66">
      <c r="A113" s="113" t="n"/>
      <c r="B113" s="113" t="n"/>
      <c r="C113" s="113" t="n"/>
      <c r="D113" s="113" t="n"/>
    </row>
    <row r="114" ht="15" customHeight="1" s="66">
      <c r="A114" s="113" t="n"/>
      <c r="B114" s="113" t="n"/>
      <c r="C114" s="113" t="n"/>
      <c r="D114" s="113" t="n"/>
    </row>
    <row r="115" ht="15" customHeight="1" s="66">
      <c r="A115" s="113" t="n"/>
      <c r="B115" s="113" t="n"/>
      <c r="C115" s="113" t="n"/>
      <c r="D115" s="113" t="n"/>
    </row>
    <row r="116" ht="15" customHeight="1" s="66">
      <c r="A116" s="113" t="n"/>
      <c r="B116" s="113" t="n"/>
      <c r="C116" s="113" t="n"/>
      <c r="D116" s="113" t="n"/>
    </row>
    <row r="117" ht="15" customHeight="1" s="66">
      <c r="A117" s="113" t="n"/>
      <c r="B117" s="113" t="n"/>
      <c r="C117" s="113" t="n"/>
      <c r="D117" s="113" t="n"/>
    </row>
    <row r="118" ht="15" customHeight="1" s="66">
      <c r="A118" s="113" t="n"/>
      <c r="B118" s="113" t="n"/>
      <c r="C118" s="113" t="n"/>
      <c r="D118" s="113" t="n"/>
    </row>
    <row r="119" ht="15" customHeight="1" s="66">
      <c r="A119" s="113" t="n"/>
      <c r="B119" s="113" t="n"/>
      <c r="C119" s="113" t="n"/>
      <c r="D119" s="113" t="n"/>
    </row>
    <row r="120" ht="15" customHeight="1" s="66">
      <c r="A120" s="113" t="n"/>
      <c r="B120" s="113" t="n"/>
      <c r="C120" s="113" t="n"/>
      <c r="D120" s="113" t="n"/>
    </row>
    <row r="121" ht="15" customHeight="1" s="66">
      <c r="A121" s="113" t="n"/>
      <c r="B121" s="113" t="n"/>
      <c r="C121" s="113" t="n"/>
      <c r="D121" s="113" t="n"/>
    </row>
    <row r="122" ht="15" customHeight="1" s="66">
      <c r="A122" s="113" t="n"/>
      <c r="B122" s="113" t="n"/>
      <c r="C122" s="113" t="n"/>
      <c r="D122" s="113" t="n"/>
    </row>
    <row r="123" ht="15" customHeight="1" s="66">
      <c r="A123" s="113" t="n"/>
      <c r="B123" s="113" t="n"/>
      <c r="C123" s="113" t="n"/>
      <c r="D123" s="113" t="n"/>
    </row>
    <row r="124" ht="15" customHeight="1" s="66">
      <c r="A124" s="113" t="n"/>
      <c r="B124" s="113" t="n"/>
      <c r="C124" s="113" t="n"/>
      <c r="D124" s="113" t="n"/>
    </row>
    <row r="125" ht="15" customHeight="1" s="66">
      <c r="A125" s="113" t="n"/>
      <c r="B125" s="113" t="n"/>
      <c r="C125" s="113" t="n"/>
      <c r="D125" s="113" t="n"/>
    </row>
    <row r="126" ht="15" customHeight="1" s="66">
      <c r="A126" s="113" t="n"/>
      <c r="B126" s="113" t="n"/>
      <c r="C126" s="113" t="n"/>
      <c r="D126" s="113" t="n"/>
    </row>
    <row r="127" ht="15" customHeight="1" s="66">
      <c r="A127" s="113" t="n"/>
      <c r="B127" s="113" t="n"/>
      <c r="C127" s="113" t="n"/>
      <c r="D127" s="113" t="n"/>
    </row>
    <row r="128" ht="15" customHeight="1" s="66">
      <c r="A128" s="113" t="n"/>
      <c r="B128" s="113" t="n"/>
      <c r="C128" s="113" t="n"/>
      <c r="D128" s="113" t="n"/>
    </row>
    <row r="129" ht="15" customHeight="1" s="66">
      <c r="A129" s="113" t="n"/>
      <c r="B129" s="113" t="n"/>
      <c r="C129" s="113" t="n"/>
      <c r="D129" s="113" t="n"/>
    </row>
    <row r="130" ht="15" customHeight="1" s="66">
      <c r="A130" s="113" t="n"/>
      <c r="B130" s="113" t="n"/>
      <c r="C130" s="113" t="n"/>
      <c r="D130" s="113" t="n"/>
    </row>
    <row r="131" ht="15" customHeight="1" s="66">
      <c r="A131" s="113" t="n"/>
      <c r="B131" s="113" t="n"/>
      <c r="C131" s="113" t="n"/>
      <c r="D131" s="113" t="n"/>
    </row>
    <row r="132" ht="15" customHeight="1" s="66">
      <c r="A132" s="113" t="n"/>
      <c r="B132" s="113" t="n"/>
      <c r="C132" s="113" t="n"/>
      <c r="D132" s="113" t="n"/>
    </row>
    <row r="133" ht="15" customHeight="1" s="66">
      <c r="A133" s="113" t="n"/>
      <c r="B133" s="113" t="n"/>
      <c r="C133" s="113" t="n"/>
      <c r="D133" s="113" t="n"/>
    </row>
    <row r="134" ht="15" customHeight="1" s="66">
      <c r="A134" s="113" t="n"/>
      <c r="B134" s="113" t="n"/>
      <c r="C134" s="113" t="n"/>
      <c r="D134" s="113" t="n"/>
    </row>
    <row r="135" ht="15" customHeight="1" s="66">
      <c r="A135" s="113" t="n"/>
      <c r="B135" s="113" t="n"/>
      <c r="C135" s="113" t="n"/>
      <c r="D135" s="113" t="n"/>
    </row>
    <row r="136" ht="15" customHeight="1" s="66">
      <c r="A136" s="113" t="n"/>
      <c r="B136" s="113" t="n"/>
      <c r="C136" s="113" t="n"/>
      <c r="D136" s="113" t="n"/>
    </row>
    <row r="137" ht="15" customHeight="1" s="66">
      <c r="A137" s="113" t="n"/>
      <c r="B137" s="113" t="n"/>
      <c r="C137" s="113" t="n"/>
      <c r="D137" s="113" t="n"/>
    </row>
    <row r="138" ht="15" customHeight="1" s="66">
      <c r="A138" s="113" t="n"/>
      <c r="B138" s="113" t="n"/>
      <c r="C138" s="113" t="n"/>
      <c r="D138" s="113" t="n"/>
    </row>
    <row r="139" ht="15" customHeight="1" s="66">
      <c r="A139" s="113" t="n"/>
      <c r="B139" s="113" t="n"/>
      <c r="C139" s="113" t="n"/>
      <c r="D139" s="113" t="n"/>
    </row>
    <row r="140" ht="15" customHeight="1" s="66">
      <c r="A140" s="113" t="n"/>
      <c r="B140" s="113" t="n"/>
      <c r="C140" s="113" t="n"/>
      <c r="D140" s="113" t="n"/>
    </row>
    <row r="141" ht="15" customHeight="1" s="66">
      <c r="A141" s="113" t="n"/>
      <c r="B141" s="113" t="n"/>
      <c r="C141" s="113" t="n"/>
      <c r="D141" s="113" t="n"/>
    </row>
    <row r="142" ht="15" customHeight="1" s="66">
      <c r="A142" s="113" t="n"/>
      <c r="B142" s="113" t="n"/>
      <c r="C142" s="113" t="n"/>
      <c r="D142" s="113" t="n"/>
    </row>
    <row r="143" ht="15" customHeight="1" s="66">
      <c r="A143" s="113" t="n"/>
      <c r="B143" s="113" t="n"/>
      <c r="C143" s="113" t="n"/>
      <c r="D143" s="113" t="n"/>
    </row>
    <row r="144" ht="15" customHeight="1" s="66">
      <c r="A144" s="113" t="n"/>
      <c r="B144" s="113" t="n"/>
      <c r="C144" s="113" t="n"/>
      <c r="D144" s="113" t="n"/>
    </row>
    <row r="145" ht="15" customHeight="1" s="66">
      <c r="A145" s="113" t="n"/>
      <c r="B145" s="113" t="n"/>
      <c r="C145" s="113" t="n"/>
      <c r="D145" s="113" t="n"/>
    </row>
    <row r="146" ht="15" customHeight="1" s="66">
      <c r="A146" s="113" t="n"/>
      <c r="B146" s="113" t="n"/>
      <c r="C146" s="113" t="n"/>
      <c r="D146" s="113" t="n"/>
    </row>
    <row r="147" ht="15" customHeight="1" s="66">
      <c r="A147" s="113" t="n"/>
      <c r="B147" s="113" t="n"/>
      <c r="C147" s="113" t="n"/>
      <c r="D147" s="113" t="n"/>
    </row>
    <row r="148" ht="15" customHeight="1" s="66">
      <c r="A148" s="113" t="n"/>
      <c r="B148" s="113" t="n"/>
      <c r="C148" s="113" t="n"/>
      <c r="D148" s="113" t="n"/>
    </row>
    <row r="149" ht="15" customHeight="1" s="66">
      <c r="A149" s="113" t="n"/>
      <c r="B149" s="113" t="n"/>
      <c r="C149" s="113" t="n"/>
      <c r="D149" s="113" t="n"/>
    </row>
    <row r="150" ht="15" customHeight="1" s="66">
      <c r="A150" s="113" t="n"/>
      <c r="B150" s="113" t="n"/>
      <c r="C150" s="113" t="n"/>
      <c r="D150" s="113" t="n"/>
    </row>
    <row r="151" ht="15" customHeight="1" s="66">
      <c r="A151" s="113" t="n"/>
      <c r="B151" s="113" t="n"/>
      <c r="C151" s="113" t="n"/>
      <c r="D151" s="113" t="n"/>
    </row>
    <row r="152" ht="15" customHeight="1" s="66">
      <c r="A152" s="113" t="n"/>
      <c r="B152" s="113" t="n"/>
      <c r="C152" s="113" t="n"/>
      <c r="D152" s="113" t="n"/>
    </row>
    <row r="153" ht="15" customHeight="1" s="66">
      <c r="A153" s="113" t="n"/>
      <c r="B153" s="113" t="n"/>
      <c r="C153" s="113" t="n"/>
      <c r="D153" s="113" t="n"/>
    </row>
    <row r="154" ht="15" customHeight="1" s="66">
      <c r="A154" s="113" t="n"/>
      <c r="B154" s="113" t="n"/>
      <c r="C154" s="113" t="n"/>
      <c r="D154" s="113" t="n"/>
    </row>
    <row r="155" ht="15" customHeight="1" s="66">
      <c r="A155" s="113" t="n"/>
      <c r="B155" s="113" t="n"/>
      <c r="C155" s="113" t="n"/>
      <c r="D155" s="113" t="n"/>
    </row>
    <row r="156" ht="15" customHeight="1" s="66">
      <c r="A156" s="113" t="n"/>
      <c r="B156" s="113" t="n"/>
      <c r="C156" s="113" t="n"/>
      <c r="D156" s="113" t="n"/>
    </row>
    <row r="157" ht="15" customHeight="1" s="66">
      <c r="A157" s="113" t="n"/>
      <c r="B157" s="113" t="n"/>
      <c r="C157" s="113" t="n"/>
      <c r="D157" s="113" t="n"/>
    </row>
    <row r="158" ht="15" customHeight="1" s="66">
      <c r="A158" s="113" t="n"/>
      <c r="B158" s="113" t="n"/>
      <c r="C158" s="113" t="n"/>
      <c r="D158" s="113" t="n"/>
    </row>
    <row r="159" ht="15" customHeight="1" s="66">
      <c r="A159" s="113" t="n"/>
      <c r="B159" s="113" t="n"/>
      <c r="C159" s="113" t="n"/>
      <c r="D159" s="113" t="n"/>
    </row>
    <row r="160" ht="15" customHeight="1" s="66">
      <c r="A160" s="113" t="n"/>
      <c r="B160" s="113" t="n"/>
      <c r="C160" s="113" t="n"/>
      <c r="D160" s="113" t="n"/>
    </row>
    <row r="161" ht="15" customHeight="1" s="66">
      <c r="A161" s="113" t="n"/>
      <c r="B161" s="113" t="n"/>
      <c r="C161" s="113" t="n"/>
      <c r="D161" s="113" t="n"/>
    </row>
    <row r="162" ht="15" customHeight="1" s="66">
      <c r="A162" s="113" t="n"/>
      <c r="B162" s="113" t="n"/>
      <c r="C162" s="113" t="n"/>
      <c r="D162" s="113" t="n"/>
    </row>
    <row r="163" ht="15" customHeight="1" s="66">
      <c r="A163" s="113" t="n"/>
      <c r="B163" s="113" t="n"/>
      <c r="C163" s="113" t="n"/>
      <c r="D163" s="113" t="n"/>
    </row>
    <row r="164" ht="15" customHeight="1" s="66">
      <c r="A164" s="113" t="n"/>
      <c r="B164" s="113" t="n"/>
      <c r="C164" s="113" t="n"/>
      <c r="D164" s="113" t="n"/>
    </row>
    <row r="165" ht="15" customHeight="1" s="66">
      <c r="A165" s="113" t="n"/>
      <c r="B165" s="113" t="n"/>
      <c r="C165" s="113" t="n"/>
      <c r="D165" s="113" t="n"/>
    </row>
    <row r="166" ht="15" customHeight="1" s="66">
      <c r="A166" s="113" t="n"/>
      <c r="B166" s="113" t="n"/>
      <c r="C166" s="113" t="n"/>
      <c r="D166" s="113" t="n"/>
    </row>
    <row r="167" ht="15" customHeight="1" s="66">
      <c r="A167" s="113" t="n"/>
      <c r="B167" s="113" t="n"/>
      <c r="C167" s="113" t="n"/>
      <c r="D167" s="113" t="n"/>
    </row>
    <row r="168" ht="15" customHeight="1" s="66">
      <c r="A168" s="113" t="n"/>
      <c r="B168" s="113" t="n"/>
      <c r="C168" s="113" t="n"/>
      <c r="D168" s="113" t="n"/>
    </row>
    <row r="169" ht="15" customHeight="1" s="66">
      <c r="A169" s="113" t="n"/>
      <c r="B169" s="113" t="n"/>
      <c r="C169" s="113" t="n"/>
      <c r="D169" s="113" t="n"/>
    </row>
    <row r="170" ht="15" customHeight="1" s="66">
      <c r="A170" s="113" t="n"/>
      <c r="B170" s="113" t="n"/>
      <c r="C170" s="113" t="n"/>
      <c r="D170" s="113" t="n"/>
    </row>
    <row r="171" ht="15" customHeight="1" s="66">
      <c r="A171" s="113" t="n"/>
      <c r="B171" s="113" t="n"/>
      <c r="C171" s="113" t="n"/>
      <c r="D171" s="113" t="n"/>
    </row>
    <row r="172" ht="15" customHeight="1" s="66">
      <c r="A172" s="113" t="n"/>
      <c r="B172" s="113" t="n"/>
      <c r="C172" s="113" t="n"/>
      <c r="D172" s="113" t="n"/>
    </row>
    <row r="173" ht="15" customHeight="1" s="66">
      <c r="A173" s="113" t="n"/>
      <c r="B173" s="113" t="n"/>
      <c r="C173" s="113" t="n"/>
      <c r="D173" s="113" t="n"/>
    </row>
    <row r="174" ht="15" customHeight="1" s="66">
      <c r="A174" s="113" t="n"/>
      <c r="B174" s="113" t="n"/>
      <c r="C174" s="113" t="n"/>
      <c r="D174" s="113" t="n"/>
    </row>
    <row r="175" ht="15" customHeight="1" s="66">
      <c r="A175" s="113" t="n"/>
      <c r="B175" s="113" t="n"/>
      <c r="C175" s="113" t="n"/>
      <c r="D175" s="113" t="n"/>
    </row>
    <row r="176" ht="15" customHeight="1" s="66">
      <c r="A176" s="113" t="n"/>
      <c r="B176" s="113" t="n"/>
      <c r="C176" s="113" t="n"/>
      <c r="D176" s="113" t="n"/>
    </row>
    <row r="177" ht="15" customHeight="1" s="66">
      <c r="A177" s="113" t="n"/>
      <c r="B177" s="113" t="n"/>
      <c r="C177" s="113" t="n"/>
      <c r="D177" s="113" t="n"/>
    </row>
    <row r="178" ht="15" customHeight="1" s="66">
      <c r="A178" s="113" t="n"/>
      <c r="B178" s="113" t="n"/>
      <c r="C178" s="113" t="n"/>
      <c r="D178" s="113" t="n"/>
    </row>
    <row r="179" ht="15" customHeight="1" s="66">
      <c r="A179" s="113" t="n"/>
      <c r="B179" s="113" t="n"/>
      <c r="C179" s="113" t="n"/>
      <c r="D179" s="113" t="n"/>
    </row>
    <row r="180" ht="15" customHeight="1" s="66">
      <c r="A180" s="113" t="n"/>
      <c r="B180" s="113" t="n"/>
      <c r="C180" s="113" t="n"/>
      <c r="D180" s="113" t="n"/>
    </row>
    <row r="181" ht="15" customHeight="1" s="66">
      <c r="A181" s="113" t="n"/>
      <c r="B181" s="113" t="n"/>
      <c r="C181" s="113" t="n"/>
      <c r="D181" s="113" t="n"/>
    </row>
    <row r="182" ht="15" customHeight="1" s="66">
      <c r="A182" s="113" t="n"/>
      <c r="B182" s="113" t="n"/>
      <c r="C182" s="113" t="n"/>
      <c r="D182" s="113" t="n"/>
    </row>
    <row r="183" ht="15" customHeight="1" s="66">
      <c r="A183" s="113" t="n"/>
      <c r="B183" s="113" t="n"/>
      <c r="C183" s="113" t="n"/>
      <c r="D183" s="113" t="n"/>
    </row>
    <row r="184" ht="15" customHeight="1" s="66">
      <c r="A184" s="113" t="n"/>
      <c r="B184" s="113" t="n"/>
      <c r="C184" s="113" t="n"/>
      <c r="D184" s="113" t="n"/>
    </row>
    <row r="185" ht="15" customHeight="1" s="66">
      <c r="A185" s="113" t="n"/>
      <c r="B185" s="113" t="n"/>
      <c r="C185" s="113" t="n"/>
      <c r="D185" s="113" t="n"/>
    </row>
    <row r="186" ht="15" customHeight="1" s="66">
      <c r="A186" s="113" t="n"/>
      <c r="B186" s="113" t="n"/>
      <c r="C186" s="113" t="n"/>
      <c r="D186" s="113" t="n"/>
    </row>
    <row r="187" ht="15" customHeight="1" s="66">
      <c r="A187" s="113" t="n"/>
      <c r="B187" s="113" t="n"/>
      <c r="C187" s="113" t="n"/>
      <c r="D187" s="113" t="n"/>
    </row>
    <row r="188" ht="15" customHeight="1" s="66">
      <c r="A188" s="113" t="n"/>
      <c r="B188" s="113" t="n"/>
      <c r="C188" s="113" t="n"/>
      <c r="D188" s="113" t="n"/>
    </row>
    <row r="189" ht="15" customHeight="1" s="66">
      <c r="A189" s="113" t="n"/>
      <c r="B189" s="113" t="n"/>
      <c r="C189" s="113" t="n"/>
      <c r="D189" s="113" t="n"/>
    </row>
    <row r="190" ht="15" customHeight="1" s="66">
      <c r="A190" s="113" t="n"/>
      <c r="B190" s="113" t="n"/>
      <c r="C190" s="113" t="n"/>
      <c r="D190" s="113" t="n"/>
    </row>
    <row r="191" ht="15" customHeight="1" s="66">
      <c r="A191" s="113" t="n"/>
      <c r="B191" s="113" t="n"/>
      <c r="C191" s="113" t="n"/>
      <c r="D191" s="113" t="n"/>
    </row>
    <row r="192" ht="15" customHeight="1" s="66">
      <c r="A192" s="113" t="n"/>
      <c r="B192" s="113" t="n"/>
      <c r="C192" s="113" t="n"/>
      <c r="D192" s="113" t="n"/>
    </row>
    <row r="193" ht="15" customHeight="1" s="66">
      <c r="A193" s="113" t="n"/>
      <c r="B193" s="113" t="n"/>
      <c r="C193" s="113" t="n"/>
      <c r="D193" s="113" t="n"/>
    </row>
    <row r="194" ht="15" customHeight="1" s="66">
      <c r="A194" s="113" t="n"/>
      <c r="B194" s="113" t="n"/>
      <c r="C194" s="113" t="n"/>
      <c r="D194" s="113" t="n"/>
    </row>
    <row r="195" ht="15" customHeight="1" s="66">
      <c r="A195" s="113" t="n"/>
      <c r="B195" s="113" t="n"/>
      <c r="C195" s="113" t="n"/>
      <c r="D195" s="113" t="n"/>
    </row>
    <row r="196" ht="15" customHeight="1" s="66">
      <c r="A196" s="113" t="n"/>
      <c r="B196" s="113" t="n"/>
      <c r="C196" s="113" t="n"/>
      <c r="D196" s="113" t="n"/>
    </row>
    <row r="197" ht="15" customHeight="1" s="66">
      <c r="A197" s="113" t="n"/>
      <c r="B197" s="113" t="n"/>
      <c r="C197" s="113" t="n"/>
      <c r="D197" s="113" t="n"/>
    </row>
    <row r="198" ht="15" customHeight="1" s="66">
      <c r="A198" s="113" t="n"/>
      <c r="B198" s="113" t="n"/>
      <c r="C198" s="113" t="n"/>
      <c r="D198" s="113" t="n"/>
    </row>
    <row r="199" ht="15" customHeight="1" s="66">
      <c r="A199" s="113" t="n"/>
      <c r="B199" s="113" t="n"/>
      <c r="C199" s="113" t="n"/>
      <c r="D199" s="113" t="n"/>
    </row>
    <row r="200" ht="15" customHeight="1" s="66">
      <c r="A200" s="113" t="n"/>
      <c r="B200" s="113" t="n"/>
      <c r="C200" s="113" t="n"/>
      <c r="D200" s="113" t="n"/>
    </row>
    <row r="201" ht="15" customHeight="1" s="66">
      <c r="A201" s="113" t="n"/>
      <c r="B201" s="113" t="n"/>
      <c r="C201" s="113" t="n"/>
      <c r="D201" s="113" t="n"/>
    </row>
    <row r="202" ht="15" customHeight="1" s="66">
      <c r="A202" s="113" t="n"/>
      <c r="B202" s="113" t="n"/>
      <c r="C202" s="113" t="n"/>
      <c r="D202" s="113" t="n"/>
    </row>
    <row r="203" ht="15" customHeight="1" s="66">
      <c r="A203" s="113" t="n"/>
      <c r="B203" s="113" t="n"/>
      <c r="C203" s="113" t="n"/>
      <c r="D203" s="113" t="n"/>
    </row>
    <row r="204" ht="15" customHeight="1" s="66">
      <c r="A204" s="113" t="n"/>
      <c r="B204" s="113" t="n"/>
      <c r="C204" s="113" t="n"/>
      <c r="D204" s="113" t="n"/>
    </row>
    <row r="205" ht="15" customHeight="1" s="66">
      <c r="A205" s="113" t="n"/>
      <c r="B205" s="113" t="n"/>
      <c r="C205" s="113" t="n"/>
      <c r="D205" s="113" t="n"/>
    </row>
    <row r="206" ht="15" customHeight="1" s="66">
      <c r="A206" s="113" t="n"/>
      <c r="B206" s="113" t="n"/>
      <c r="C206" s="113" t="n"/>
      <c r="D206" s="113" t="n"/>
    </row>
    <row r="207" ht="15" customHeight="1" s="66">
      <c r="A207" s="113" t="n"/>
      <c r="B207" s="113" t="n"/>
      <c r="C207" s="113" t="n"/>
      <c r="D207" s="113" t="n"/>
    </row>
    <row r="208" ht="15" customHeight="1" s="66">
      <c r="A208" s="113" t="n"/>
      <c r="B208" s="113" t="n"/>
      <c r="C208" s="113" t="n"/>
      <c r="D208" s="113" t="n"/>
    </row>
    <row r="209" ht="15" customHeight="1" s="66">
      <c r="A209" s="113" t="n"/>
      <c r="B209" s="113" t="n"/>
      <c r="C209" s="113" t="n"/>
      <c r="D209" s="113" t="n"/>
    </row>
    <row r="210" ht="15" customHeight="1" s="66">
      <c r="A210" s="113" t="n"/>
      <c r="B210" s="113" t="n"/>
      <c r="C210" s="113" t="n"/>
      <c r="D210" s="113" t="n"/>
    </row>
    <row r="211" ht="15" customHeight="1" s="66">
      <c r="A211" s="113" t="n"/>
      <c r="B211" s="113" t="n"/>
      <c r="C211" s="113" t="n"/>
      <c r="D211" s="113" t="n"/>
    </row>
    <row r="212" ht="15" customHeight="1" s="66">
      <c r="A212" s="113" t="n"/>
      <c r="B212" s="113" t="n"/>
      <c r="C212" s="113" t="n"/>
      <c r="D212" s="113" t="n"/>
    </row>
    <row r="213" ht="15" customHeight="1" s="66">
      <c r="A213" s="113" t="n"/>
      <c r="B213" s="113" t="n"/>
      <c r="C213" s="113" t="n"/>
      <c r="D213" s="113" t="n"/>
    </row>
    <row r="214" ht="15" customHeight="1" s="66">
      <c r="A214" s="113" t="n"/>
      <c r="B214" s="113" t="n"/>
      <c r="C214" s="113" t="n"/>
      <c r="D214" s="113" t="n"/>
    </row>
    <row r="215" ht="15" customHeight="1" s="66">
      <c r="A215" s="113" t="n"/>
      <c r="B215" s="113" t="n"/>
      <c r="C215" s="113" t="n"/>
      <c r="D215" s="113" t="n"/>
    </row>
    <row r="216" ht="15" customHeight="1" s="66">
      <c r="A216" s="113" t="n"/>
      <c r="B216" s="113" t="n"/>
      <c r="C216" s="113" t="n"/>
      <c r="D216" s="113" t="n"/>
    </row>
    <row r="217" ht="15" customHeight="1" s="66">
      <c r="A217" s="113" t="n"/>
      <c r="B217" s="113" t="n"/>
      <c r="C217" s="113" t="n"/>
      <c r="D217" s="113" t="n"/>
    </row>
    <row r="218" ht="15" customHeight="1" s="66">
      <c r="A218" s="113" t="n"/>
      <c r="B218" s="113" t="n"/>
      <c r="C218" s="113" t="n"/>
      <c r="D218" s="113" t="n"/>
    </row>
    <row r="219" ht="15" customHeight="1" s="66">
      <c r="A219" s="113" t="n"/>
      <c r="B219" s="113" t="n"/>
      <c r="C219" s="113" t="n"/>
      <c r="D219" s="113" t="n"/>
    </row>
    <row r="220" ht="15" customHeight="1" s="66">
      <c r="A220" s="113" t="n"/>
      <c r="B220" s="113" t="n"/>
      <c r="C220" s="113" t="n"/>
      <c r="D220" s="113" t="n"/>
    </row>
    <row r="221" ht="15" customHeight="1" s="66">
      <c r="A221" s="113" t="n"/>
      <c r="B221" s="113" t="n"/>
      <c r="C221" s="113" t="n"/>
      <c r="D221" s="113" t="n"/>
    </row>
    <row r="222" ht="15" customHeight="1" s="66">
      <c r="A222" s="113" t="n"/>
      <c r="B222" s="113" t="n"/>
      <c r="C222" s="113" t="n"/>
      <c r="D222" s="113" t="n"/>
    </row>
    <row r="223" ht="15" customHeight="1" s="66">
      <c r="A223" s="113" t="n"/>
      <c r="B223" s="113" t="n"/>
      <c r="C223" s="113" t="n"/>
      <c r="D223" s="113" t="n"/>
    </row>
    <row r="224" ht="15" customHeight="1" s="66">
      <c r="A224" s="113" t="n"/>
      <c r="B224" s="113" t="n"/>
      <c r="C224" s="113" t="n"/>
      <c r="D224" s="113" t="n"/>
    </row>
    <row r="225" ht="15" customHeight="1" s="66">
      <c r="A225" s="113" t="n"/>
      <c r="B225" s="113" t="n"/>
      <c r="C225" s="113" t="n"/>
      <c r="D225" s="113" t="n"/>
    </row>
    <row r="226" ht="15" customHeight="1" s="66">
      <c r="A226" s="113" t="n"/>
      <c r="B226" s="113" t="n"/>
      <c r="C226" s="113" t="n"/>
      <c r="D226" s="113" t="n"/>
    </row>
    <row r="227" ht="15" customHeight="1" s="66">
      <c r="A227" s="113" t="n"/>
      <c r="B227" s="113" t="n"/>
      <c r="C227" s="113" t="n"/>
      <c r="D227" s="113" t="n"/>
    </row>
    <row r="228" ht="15" customHeight="1" s="66">
      <c r="A228" s="113" t="n"/>
      <c r="B228" s="113" t="n"/>
      <c r="C228" s="113" t="n"/>
      <c r="D228" s="113" t="n"/>
    </row>
    <row r="229" ht="15" customHeight="1" s="66">
      <c r="A229" s="113" t="n"/>
      <c r="B229" s="113" t="n"/>
      <c r="C229" s="113" t="n"/>
      <c r="D229" s="113" t="n"/>
    </row>
    <row r="230" ht="15" customHeight="1" s="66">
      <c r="A230" s="113" t="n"/>
      <c r="B230" s="113" t="n"/>
      <c r="C230" s="113" t="n"/>
      <c r="D230" s="113" t="n"/>
    </row>
    <row r="231" ht="15" customHeight="1" s="66">
      <c r="A231" s="113" t="n"/>
      <c r="B231" s="113" t="n"/>
      <c r="C231" s="113" t="n"/>
      <c r="D231" s="113" t="n"/>
    </row>
    <row r="232" ht="15" customHeight="1" s="66">
      <c r="A232" s="113" t="n"/>
      <c r="B232" s="113" t="n"/>
      <c r="C232" s="113" t="n"/>
      <c r="D232" s="113" t="n"/>
    </row>
    <row r="233" ht="15" customHeight="1" s="66">
      <c r="A233" s="113" t="n"/>
      <c r="B233" s="113" t="n"/>
      <c r="C233" s="113" t="n"/>
      <c r="D233" s="113" t="n"/>
    </row>
    <row r="234" ht="15" customHeight="1" s="66">
      <c r="A234" s="113" t="n"/>
      <c r="B234" s="113" t="n"/>
      <c r="C234" s="113" t="n"/>
      <c r="D234" s="113" t="n"/>
    </row>
    <row r="235" ht="15" customHeight="1" s="66">
      <c r="A235" s="113" t="n"/>
      <c r="B235" s="113" t="n"/>
      <c r="C235" s="113" t="n"/>
      <c r="D235" s="113" t="n"/>
    </row>
    <row r="236" ht="15" customHeight="1" s="66">
      <c r="A236" s="113" t="n"/>
      <c r="B236" s="113" t="n"/>
      <c r="C236" s="113" t="n"/>
      <c r="D236" s="113" t="n"/>
    </row>
    <row r="237" ht="15" customHeight="1" s="66">
      <c r="A237" s="113" t="n"/>
      <c r="B237" s="113" t="n"/>
      <c r="C237" s="113" t="n"/>
      <c r="D237" s="113" t="n"/>
    </row>
    <row r="238" ht="15" customHeight="1" s="66">
      <c r="A238" s="113" t="n"/>
      <c r="B238" s="113" t="n"/>
      <c r="C238" s="113" t="n"/>
      <c r="D238" s="113" t="n"/>
    </row>
    <row r="239" ht="15" customHeight="1" s="66">
      <c r="A239" s="113" t="n"/>
      <c r="B239" s="113" t="n"/>
      <c r="C239" s="113" t="n"/>
      <c r="D239" s="113" t="n"/>
    </row>
    <row r="240" ht="15" customHeight="1" s="66">
      <c r="A240" s="113" t="n"/>
      <c r="B240" s="113" t="n"/>
      <c r="C240" s="113" t="n"/>
      <c r="D240" s="113" t="n"/>
    </row>
    <row r="241" ht="15" customHeight="1" s="66">
      <c r="A241" s="113" t="n"/>
      <c r="B241" s="113" t="n"/>
      <c r="C241" s="113" t="n"/>
      <c r="D241" s="113" t="n"/>
    </row>
    <row r="242" ht="15" customHeight="1" s="66">
      <c r="A242" s="113" t="n"/>
      <c r="B242" s="113" t="n"/>
      <c r="C242" s="113" t="n"/>
      <c r="D242" s="113" t="n"/>
    </row>
    <row r="243" ht="15" customHeight="1" s="66">
      <c r="A243" s="113" t="n"/>
      <c r="B243" s="113" t="n"/>
      <c r="C243" s="113" t="n"/>
      <c r="D243" s="113" t="n"/>
    </row>
    <row r="244" ht="15" customHeight="1" s="66">
      <c r="A244" s="113" t="n"/>
      <c r="B244" s="113" t="n"/>
      <c r="C244" s="113" t="n"/>
      <c r="D244" s="113" t="n"/>
    </row>
    <row r="245" ht="15" customHeight="1" s="66">
      <c r="A245" s="113" t="n"/>
      <c r="B245" s="113" t="n"/>
      <c r="C245" s="113" t="n"/>
      <c r="D245" s="113" t="n"/>
    </row>
    <row r="246" ht="15" customHeight="1" s="66">
      <c r="A246" s="113" t="n"/>
      <c r="B246" s="113" t="n"/>
      <c r="C246" s="113" t="n"/>
      <c r="D246" s="113" t="n"/>
    </row>
    <row r="247" ht="15" customHeight="1" s="66">
      <c r="A247" s="113" t="n"/>
      <c r="B247" s="113" t="n"/>
      <c r="C247" s="113" t="n"/>
      <c r="D247" s="113" t="n"/>
    </row>
    <row r="248" ht="15" customHeight="1" s="66">
      <c r="A248" s="113" t="n"/>
      <c r="B248" s="113" t="n"/>
      <c r="C248" s="113" t="n"/>
      <c r="D248" s="113" t="n"/>
    </row>
    <row r="249" ht="15" customHeight="1" s="66">
      <c r="A249" s="113" t="n"/>
      <c r="B249" s="113" t="n"/>
      <c r="C249" s="113" t="n"/>
      <c r="D249" s="113" t="n"/>
    </row>
    <row r="250" ht="15" customHeight="1" s="66">
      <c r="A250" s="113" t="n"/>
      <c r="B250" s="113" t="n"/>
      <c r="C250" s="113" t="n"/>
      <c r="D250" s="113" t="n"/>
    </row>
    <row r="251" ht="15" customHeight="1" s="66">
      <c r="A251" s="113" t="n"/>
      <c r="B251" s="113" t="n"/>
      <c r="C251" s="113" t="n"/>
      <c r="D251" s="113" t="n"/>
    </row>
    <row r="252" ht="15" customHeight="1" s="66">
      <c r="A252" s="113" t="n"/>
      <c r="B252" s="113" t="n"/>
      <c r="C252" s="113" t="n"/>
      <c r="D252" s="113" t="n"/>
    </row>
    <row r="253" ht="15" customHeight="1" s="66">
      <c r="A253" s="113" t="n"/>
      <c r="B253" s="113" t="n"/>
      <c r="C253" s="113" t="n"/>
      <c r="D253" s="113" t="n"/>
    </row>
    <row r="254" ht="15" customHeight="1" s="66">
      <c r="A254" s="113" t="n"/>
      <c r="B254" s="113" t="n"/>
      <c r="C254" s="113" t="n"/>
      <c r="D254" s="113" t="n"/>
    </row>
    <row r="255" ht="15" customHeight="1" s="66">
      <c r="A255" s="113" t="n"/>
      <c r="B255" s="113" t="n"/>
      <c r="C255" s="113" t="n"/>
      <c r="D255" s="113" t="n"/>
    </row>
    <row r="256" ht="15" customHeight="1" s="66">
      <c r="A256" s="113" t="n"/>
      <c r="B256" s="113" t="n"/>
      <c r="C256" s="113" t="n"/>
      <c r="D256" s="113" t="n"/>
    </row>
    <row r="257" ht="15" customHeight="1" s="66">
      <c r="A257" s="113" t="n"/>
      <c r="B257" s="113" t="n"/>
      <c r="C257" s="113" t="n"/>
      <c r="D257" s="113" t="n"/>
    </row>
    <row r="258" ht="15" customHeight="1" s="66">
      <c r="A258" s="113" t="n"/>
      <c r="B258" s="113" t="n"/>
      <c r="C258" s="113" t="n"/>
      <c r="D258" s="113" t="n"/>
    </row>
    <row r="259" ht="15" customHeight="1" s="66">
      <c r="A259" s="113" t="n"/>
      <c r="B259" s="113" t="n"/>
      <c r="C259" s="113" t="n"/>
      <c r="D259" s="113" t="n"/>
    </row>
    <row r="260" ht="15" customHeight="1" s="66">
      <c r="A260" s="113" t="n"/>
      <c r="B260" s="113" t="n"/>
      <c r="C260" s="113" t="n"/>
      <c r="D260" s="113" t="n"/>
    </row>
    <row r="261" ht="15" customHeight="1" s="66">
      <c r="A261" s="113" t="n"/>
      <c r="B261" s="113" t="n"/>
      <c r="C261" s="113" t="n"/>
      <c r="D261" s="113" t="n"/>
    </row>
    <row r="262" ht="15" customHeight="1" s="66">
      <c r="A262" s="113" t="n"/>
      <c r="B262" s="113" t="n"/>
      <c r="C262" s="113" t="n"/>
      <c r="D262" s="113" t="n"/>
    </row>
    <row r="263" ht="15" customHeight="1" s="66">
      <c r="A263" s="113" t="n"/>
      <c r="B263" s="113" t="n"/>
      <c r="C263" s="113" t="n"/>
      <c r="D263" s="113" t="n"/>
    </row>
    <row r="264" ht="15" customHeight="1" s="66">
      <c r="A264" s="113" t="n"/>
      <c r="B264" s="113" t="n"/>
      <c r="C264" s="113" t="n"/>
      <c r="D264" s="113" t="n"/>
    </row>
    <row r="265" ht="15" customHeight="1" s="66">
      <c r="A265" s="113" t="n"/>
      <c r="B265" s="113" t="n"/>
      <c r="C265" s="113" t="n"/>
      <c r="D265" s="113" t="n"/>
    </row>
    <row r="266" ht="15" customHeight="1" s="66">
      <c r="A266" s="113" t="n"/>
      <c r="B266" s="113" t="n"/>
      <c r="C266" s="113" t="n"/>
      <c r="D266" s="113" t="n"/>
    </row>
    <row r="267" ht="15" customHeight="1" s="66">
      <c r="A267" s="113" t="n"/>
      <c r="B267" s="113" t="n"/>
      <c r="C267" s="113" t="n"/>
      <c r="D267" s="113" t="n"/>
    </row>
    <row r="268" ht="15" customHeight="1" s="66">
      <c r="A268" s="113" t="n"/>
      <c r="B268" s="113" t="n"/>
      <c r="C268" s="113" t="n"/>
      <c r="D268" s="113" t="n"/>
    </row>
    <row r="269" ht="15" customHeight="1" s="66">
      <c r="A269" s="113" t="n"/>
      <c r="B269" s="113" t="n"/>
      <c r="C269" s="113" t="n"/>
      <c r="D269" s="113" t="n"/>
    </row>
    <row r="270" ht="15" customHeight="1" s="66">
      <c r="A270" s="113" t="n"/>
      <c r="B270" s="113" t="n"/>
      <c r="C270" s="113" t="n"/>
      <c r="D270" s="113" t="n"/>
    </row>
    <row r="271" ht="15" customHeight="1" s="66">
      <c r="A271" s="113" t="n"/>
      <c r="B271" s="113" t="n"/>
      <c r="C271" s="113" t="n"/>
      <c r="D271" s="113" t="n"/>
    </row>
    <row r="272" ht="15" customHeight="1" s="66">
      <c r="A272" s="113" t="n"/>
      <c r="B272" s="113" t="n"/>
      <c r="C272" s="113" t="n"/>
      <c r="D272" s="113" t="n"/>
    </row>
    <row r="273" ht="15" customHeight="1" s="66">
      <c r="A273" s="113" t="n"/>
      <c r="B273" s="113" t="n"/>
      <c r="C273" s="113" t="n"/>
      <c r="D273" s="113" t="n"/>
    </row>
    <row r="274" ht="15" customHeight="1" s="66">
      <c r="A274" s="113" t="n"/>
      <c r="B274" s="113" t="n"/>
      <c r="C274" s="113" t="n"/>
      <c r="D274" s="113" t="n"/>
    </row>
    <row r="275" ht="15" customHeight="1" s="66">
      <c r="A275" s="113" t="n"/>
      <c r="B275" s="113" t="n"/>
      <c r="C275" s="113" t="n"/>
      <c r="D275" s="113" t="n"/>
    </row>
    <row r="276" ht="15" customHeight="1" s="66">
      <c r="A276" s="113" t="n"/>
      <c r="B276" s="113" t="n"/>
      <c r="C276" s="113" t="n"/>
      <c r="D276" s="113" t="n"/>
    </row>
    <row r="277" ht="15" customHeight="1" s="66">
      <c r="A277" s="113" t="n"/>
      <c r="B277" s="113" t="n"/>
      <c r="C277" s="113" t="n"/>
      <c r="D277" s="113" t="n"/>
    </row>
    <row r="278" ht="15" customHeight="1" s="66">
      <c r="A278" s="113" t="n"/>
      <c r="B278" s="113" t="n"/>
      <c r="C278" s="113" t="n"/>
      <c r="D278" s="113" t="n"/>
    </row>
    <row r="279" ht="15" customHeight="1" s="66">
      <c r="A279" s="113" t="n"/>
      <c r="B279" s="113" t="n"/>
      <c r="C279" s="113" t="n"/>
      <c r="D279" s="113" t="n"/>
    </row>
    <row r="280" ht="15" customHeight="1" s="66">
      <c r="A280" s="113" t="n"/>
      <c r="B280" s="113" t="n"/>
      <c r="C280" s="113" t="n"/>
      <c r="D280" s="113" t="n"/>
    </row>
    <row r="281" ht="15" customHeight="1" s="66">
      <c r="A281" s="113" t="n"/>
      <c r="B281" s="113" t="n"/>
      <c r="C281" s="113" t="n"/>
      <c r="D281" s="113" t="n"/>
    </row>
    <row r="282" ht="15" customHeight="1" s="66">
      <c r="A282" s="113" t="n"/>
      <c r="B282" s="113" t="n"/>
      <c r="C282" s="113" t="n"/>
      <c r="D282" s="113" t="n"/>
    </row>
    <row r="283" ht="15" customHeight="1" s="66">
      <c r="A283" s="113" t="n"/>
      <c r="B283" s="113" t="n"/>
      <c r="C283" s="113" t="n"/>
      <c r="D283" s="113" t="n"/>
    </row>
    <row r="284" ht="15" customHeight="1" s="66">
      <c r="A284" s="113" t="n"/>
      <c r="B284" s="113" t="n"/>
      <c r="C284" s="113" t="n"/>
      <c r="D284" s="113" t="n"/>
    </row>
    <row r="285" ht="15" customHeight="1" s="66">
      <c r="A285" s="113" t="n"/>
      <c r="B285" s="113" t="n"/>
      <c r="C285" s="113" t="n"/>
      <c r="D285" s="113" t="n"/>
    </row>
    <row r="286" ht="15" customHeight="1" s="66">
      <c r="A286" s="113" t="n"/>
      <c r="B286" s="113" t="n"/>
      <c r="C286" s="113" t="n"/>
      <c r="D286" s="113" t="n"/>
    </row>
    <row r="287" ht="15" customHeight="1" s="66">
      <c r="A287" s="113" t="n"/>
      <c r="B287" s="113" t="n"/>
      <c r="C287" s="113" t="n"/>
      <c r="D287" s="113" t="n"/>
    </row>
    <row r="288" ht="15" customHeight="1" s="66">
      <c r="A288" s="113" t="n"/>
      <c r="B288" s="113" t="n"/>
      <c r="C288" s="113" t="n"/>
      <c r="D288" s="113" t="n"/>
    </row>
    <row r="289" ht="15" customHeight="1" s="66">
      <c r="A289" s="113" t="n"/>
      <c r="B289" s="113" t="n"/>
      <c r="C289" s="113" t="n"/>
      <c r="D289" s="113" t="n"/>
    </row>
    <row r="290" ht="15" customHeight="1" s="66">
      <c r="A290" s="113" t="n"/>
      <c r="B290" s="113" t="n"/>
      <c r="C290" s="113" t="n"/>
      <c r="D290" s="113" t="n"/>
    </row>
    <row r="291" ht="15" customHeight="1" s="66">
      <c r="A291" s="113" t="n"/>
      <c r="B291" s="113" t="n"/>
      <c r="C291" s="113" t="n"/>
      <c r="D291" s="113" t="n"/>
    </row>
    <row r="292" ht="15" customHeight="1" s="66">
      <c r="A292" s="113" t="n"/>
      <c r="B292" s="113" t="n"/>
      <c r="C292" s="113" t="n"/>
      <c r="D292" s="113" t="n"/>
    </row>
    <row r="293" ht="15" customHeight="1" s="66">
      <c r="A293" s="113" t="n"/>
      <c r="B293" s="113" t="n"/>
      <c r="C293" s="113" t="n"/>
      <c r="D293" s="113" t="n"/>
    </row>
    <row r="294" ht="15" customHeight="1" s="66">
      <c r="A294" s="113" t="n"/>
      <c r="B294" s="113" t="n"/>
      <c r="C294" s="113" t="n"/>
      <c r="D294" s="113" t="n"/>
    </row>
    <row r="295" ht="15" customHeight="1" s="66">
      <c r="A295" s="113" t="n"/>
      <c r="B295" s="113" t="n"/>
      <c r="C295" s="113" t="n"/>
      <c r="D295" s="113" t="n"/>
    </row>
    <row r="296" ht="15" customHeight="1" s="66">
      <c r="A296" s="113" t="n"/>
      <c r="B296" s="113" t="n"/>
      <c r="C296" s="113" t="n"/>
      <c r="D296" s="113" t="n"/>
    </row>
    <row r="297" ht="15" customHeight="1" s="66">
      <c r="A297" s="113" t="n"/>
      <c r="B297" s="113" t="n"/>
      <c r="C297" s="113" t="n"/>
      <c r="D297" s="113" t="n"/>
    </row>
    <row r="298" ht="15" customHeight="1" s="66">
      <c r="A298" s="113" t="n"/>
      <c r="B298" s="113" t="n"/>
      <c r="C298" s="113" t="n"/>
      <c r="D298" s="113" t="n"/>
    </row>
    <row r="299" ht="15" customHeight="1" s="66">
      <c r="A299" s="113" t="n"/>
      <c r="B299" s="113" t="n"/>
      <c r="C299" s="113" t="n"/>
      <c r="D299" s="113" t="n"/>
    </row>
    <row r="300" ht="15" customHeight="1" s="66">
      <c r="A300" s="113" t="n"/>
      <c r="B300" s="113" t="n"/>
      <c r="C300" s="113" t="n"/>
      <c r="D300" s="113" t="n"/>
    </row>
    <row r="301" ht="15" customHeight="1" s="66">
      <c r="A301" s="113" t="n"/>
      <c r="B301" s="113" t="n"/>
      <c r="C301" s="113" t="n"/>
      <c r="D301" s="113" t="n"/>
    </row>
    <row r="302" ht="15" customHeight="1" s="66">
      <c r="A302" s="113" t="n"/>
      <c r="B302" s="113" t="n"/>
      <c r="C302" s="113" t="n"/>
      <c r="D302" s="113" t="n"/>
    </row>
    <row r="303" ht="15" customHeight="1" s="66">
      <c r="A303" s="113" t="n"/>
      <c r="B303" s="113" t="n"/>
      <c r="C303" s="113" t="n"/>
      <c r="D303" s="113" t="n"/>
    </row>
    <row r="304" ht="15" customHeight="1" s="66">
      <c r="A304" s="113" t="n"/>
      <c r="B304" s="113" t="n"/>
      <c r="C304" s="113" t="n"/>
      <c r="D304" s="113" t="n"/>
    </row>
    <row r="305" ht="15" customHeight="1" s="66">
      <c r="A305" s="113" t="n"/>
      <c r="B305" s="113" t="n"/>
      <c r="C305" s="113" t="n"/>
      <c r="D305" s="113" t="n"/>
    </row>
    <row r="306" ht="15" customHeight="1" s="66">
      <c r="A306" s="113" t="n"/>
      <c r="B306" s="113" t="n"/>
      <c r="C306" s="113" t="n"/>
      <c r="D306" s="113" t="n"/>
    </row>
    <row r="307" ht="15" customHeight="1" s="66">
      <c r="A307" s="113" t="n"/>
      <c r="B307" s="113" t="n"/>
      <c r="C307" s="113" t="n"/>
      <c r="D307" s="113" t="n"/>
    </row>
    <row r="308" ht="15" customHeight="1" s="66">
      <c r="A308" s="113" t="n"/>
      <c r="B308" s="113" t="n"/>
      <c r="C308" s="113" t="n"/>
      <c r="D308" s="113" t="n"/>
    </row>
    <row r="309" ht="15" customHeight="1" s="66">
      <c r="A309" s="113" t="n"/>
      <c r="B309" s="113" t="n"/>
      <c r="C309" s="113" t="n"/>
      <c r="D309" s="113" t="n"/>
    </row>
    <row r="310" ht="15" customHeight="1" s="66">
      <c r="A310" s="113" t="n"/>
      <c r="B310" s="113" t="n"/>
      <c r="C310" s="113" t="n"/>
      <c r="D310" s="113" t="n"/>
    </row>
    <row r="311" ht="15" customHeight="1" s="66">
      <c r="A311" s="113" t="n"/>
      <c r="B311" s="113" t="n"/>
      <c r="C311" s="113" t="n"/>
      <c r="D311" s="113" t="n"/>
    </row>
    <row r="312" ht="15" customHeight="1" s="66">
      <c r="A312" s="113" t="n"/>
      <c r="B312" s="113" t="n"/>
      <c r="C312" s="113" t="n"/>
      <c r="D312" s="113" t="n"/>
    </row>
    <row r="313" ht="15" customHeight="1" s="66">
      <c r="A313" s="113" t="n"/>
      <c r="B313" s="113" t="n"/>
      <c r="C313" s="113" t="n"/>
      <c r="D313" s="113" t="n"/>
    </row>
    <row r="314" ht="15" customHeight="1" s="66">
      <c r="A314" s="113" t="n"/>
      <c r="B314" s="113" t="n"/>
      <c r="C314" s="113" t="n"/>
      <c r="D314" s="113" t="n"/>
    </row>
    <row r="315" ht="15" customHeight="1" s="66">
      <c r="A315" s="113" t="n"/>
      <c r="B315" s="113" t="n"/>
      <c r="C315" s="113" t="n"/>
      <c r="D315" s="113" t="n"/>
    </row>
    <row r="316" ht="15" customHeight="1" s="66">
      <c r="A316" s="113" t="n"/>
      <c r="B316" s="113" t="n"/>
      <c r="C316" s="113" t="n"/>
      <c r="D316" s="113" t="n"/>
    </row>
    <row r="317" ht="15" customHeight="1" s="66">
      <c r="A317" s="113" t="n"/>
      <c r="B317" s="113" t="n"/>
      <c r="C317" s="113" t="n"/>
      <c r="D317" s="113" t="n"/>
    </row>
    <row r="318" ht="15" customHeight="1" s="66">
      <c r="A318" s="113" t="n"/>
      <c r="B318" s="113" t="n"/>
      <c r="C318" s="113" t="n"/>
      <c r="D318" s="113" t="n"/>
    </row>
    <row r="319" ht="15" customHeight="1" s="66">
      <c r="A319" s="113" t="n"/>
      <c r="B319" s="113" t="n"/>
      <c r="C319" s="113" t="n"/>
      <c r="D319" s="113" t="n"/>
    </row>
    <row r="320" ht="15" customHeight="1" s="66">
      <c r="A320" s="113" t="n"/>
      <c r="B320" s="113" t="n"/>
      <c r="C320" s="113" t="n"/>
      <c r="D320" s="113" t="n"/>
    </row>
    <row r="321" ht="15" customHeight="1" s="66">
      <c r="A321" s="113" t="n"/>
      <c r="B321" s="113" t="n"/>
      <c r="C321" s="113" t="n"/>
      <c r="D321" s="113" t="n"/>
    </row>
    <row r="322" ht="15" customHeight="1" s="66">
      <c r="A322" s="113" t="n"/>
      <c r="B322" s="113" t="n"/>
      <c r="C322" s="113" t="n"/>
      <c r="D322" s="113" t="n"/>
    </row>
    <row r="323" ht="15" customHeight="1" s="66">
      <c r="A323" s="113" t="n"/>
      <c r="B323" s="113" t="n"/>
      <c r="C323" s="113" t="n"/>
      <c r="D323" s="113" t="n"/>
    </row>
    <row r="324" ht="15" customHeight="1" s="66">
      <c r="A324" s="113" t="n"/>
      <c r="B324" s="113" t="n"/>
      <c r="C324" s="113" t="n"/>
      <c r="D324" s="113" t="n"/>
    </row>
    <row r="325" ht="15" customHeight="1" s="66">
      <c r="A325" s="113" t="n"/>
      <c r="B325" s="113" t="n"/>
      <c r="C325" s="113" t="n"/>
      <c r="D325" s="113" t="n"/>
    </row>
    <row r="326" ht="15" customHeight="1" s="66">
      <c r="A326" s="113" t="n"/>
      <c r="B326" s="113" t="n"/>
      <c r="C326" s="113" t="n"/>
      <c r="D326" s="113" t="n"/>
    </row>
    <row r="327" ht="15" customHeight="1" s="66">
      <c r="A327" s="113" t="n"/>
      <c r="B327" s="113" t="n"/>
      <c r="C327" s="113" t="n"/>
      <c r="D327" s="113" t="n"/>
    </row>
    <row r="328" ht="15" customHeight="1" s="66">
      <c r="A328" s="113" t="n"/>
      <c r="B328" s="113" t="n"/>
      <c r="C328" s="113" t="n"/>
      <c r="D328" s="113" t="n"/>
    </row>
    <row r="329" ht="15" customHeight="1" s="66">
      <c r="A329" s="113" t="n"/>
      <c r="B329" s="113" t="n"/>
      <c r="C329" s="113" t="n"/>
      <c r="D329" s="113" t="n"/>
    </row>
    <row r="330" ht="15" customHeight="1" s="66">
      <c r="A330" s="113" t="n"/>
      <c r="B330" s="113" t="n"/>
      <c r="C330" s="113" t="n"/>
      <c r="D330" s="113" t="n"/>
    </row>
    <row r="331" ht="15" customHeight="1" s="66">
      <c r="A331" s="113" t="n"/>
      <c r="B331" s="113" t="n"/>
      <c r="C331" s="113" t="n"/>
      <c r="D331" s="113" t="n"/>
    </row>
    <row r="332" ht="15" customHeight="1" s="66">
      <c r="A332" s="113" t="n"/>
      <c r="B332" s="113" t="n"/>
      <c r="C332" s="113" t="n"/>
      <c r="D332" s="113" t="n"/>
    </row>
    <row r="333" ht="15" customHeight="1" s="66">
      <c r="A333" s="113" t="n"/>
      <c r="B333" s="113" t="n"/>
      <c r="C333" s="113" t="n"/>
      <c r="D333" s="113" t="n"/>
    </row>
    <row r="334" ht="15" customHeight="1" s="66">
      <c r="A334" s="113" t="n"/>
      <c r="B334" s="113" t="n"/>
      <c r="C334" s="113" t="n"/>
      <c r="D334" s="113" t="n"/>
    </row>
    <row r="335" ht="15" customHeight="1" s="66">
      <c r="A335" s="113" t="n"/>
      <c r="B335" s="113" t="n"/>
      <c r="C335" s="113" t="n"/>
      <c r="D335" s="113" t="n"/>
    </row>
    <row r="336" ht="15" customHeight="1" s="66">
      <c r="A336" s="113" t="n"/>
      <c r="B336" s="113" t="n"/>
      <c r="C336" s="113" t="n"/>
      <c r="D336" s="113" t="n"/>
    </row>
    <row r="337" ht="15" customHeight="1" s="66">
      <c r="A337" s="113" t="n"/>
      <c r="B337" s="113" t="n"/>
      <c r="C337" s="113" t="n"/>
      <c r="D337" s="113" t="n"/>
    </row>
    <row r="338" ht="15" customHeight="1" s="66">
      <c r="A338" s="113" t="n"/>
      <c r="B338" s="113" t="n"/>
      <c r="C338" s="113" t="n"/>
      <c r="D338" s="113" t="n"/>
    </row>
    <row r="339" ht="15" customHeight="1" s="66">
      <c r="A339" s="113" t="n"/>
      <c r="B339" s="113" t="n"/>
      <c r="C339" s="113" t="n"/>
      <c r="D339" s="113" t="n"/>
    </row>
    <row r="340" ht="15" customHeight="1" s="66">
      <c r="A340" s="113" t="n"/>
      <c r="B340" s="113" t="n"/>
      <c r="C340" s="113" t="n"/>
      <c r="D340" s="113" t="n"/>
    </row>
    <row r="341" ht="15" customHeight="1" s="66">
      <c r="A341" s="113" t="n"/>
      <c r="B341" s="113" t="n"/>
      <c r="C341" s="113" t="n"/>
      <c r="D341" s="113" t="n"/>
    </row>
    <row r="342" ht="15" customHeight="1" s="66">
      <c r="A342" s="113" t="n"/>
      <c r="B342" s="113" t="n"/>
      <c r="C342" s="113" t="n"/>
      <c r="D342" s="113" t="n"/>
    </row>
    <row r="343" ht="15" customHeight="1" s="66">
      <c r="A343" s="113" t="n"/>
      <c r="B343" s="113" t="n"/>
      <c r="C343" s="113" t="n"/>
      <c r="D343" s="113" t="n"/>
    </row>
    <row r="344" ht="15" customHeight="1" s="66">
      <c r="A344" s="113" t="n"/>
      <c r="B344" s="113" t="n"/>
      <c r="C344" s="113" t="n"/>
      <c r="D344" s="113" t="n"/>
    </row>
    <row r="345" ht="15" customHeight="1" s="66">
      <c r="A345" s="113" t="n"/>
      <c r="B345" s="113" t="n"/>
      <c r="C345" s="113" t="n"/>
      <c r="D345" s="113" t="n"/>
    </row>
    <row r="346" ht="15" customHeight="1" s="66">
      <c r="A346" s="113" t="n"/>
      <c r="B346" s="113" t="n"/>
      <c r="C346" s="113" t="n"/>
      <c r="D346" s="113" t="n"/>
    </row>
    <row r="347" ht="15" customHeight="1" s="66">
      <c r="A347" s="113" t="n"/>
      <c r="B347" s="113" t="n"/>
      <c r="C347" s="113" t="n"/>
      <c r="D347" s="113" t="n"/>
    </row>
    <row r="348" ht="15" customHeight="1" s="66">
      <c r="A348" s="113" t="n"/>
      <c r="B348" s="113" t="n"/>
      <c r="C348" s="113" t="n"/>
      <c r="D348" s="113" t="n"/>
    </row>
    <row r="349" ht="15" customHeight="1" s="66">
      <c r="A349" s="113" t="n"/>
      <c r="B349" s="113" t="n"/>
      <c r="C349" s="113" t="n"/>
      <c r="D349" s="113" t="n"/>
    </row>
    <row r="350" ht="15" customHeight="1" s="66">
      <c r="A350" s="113" t="n"/>
      <c r="B350" s="113" t="n"/>
      <c r="C350" s="113" t="n"/>
      <c r="D350" s="113" t="n"/>
    </row>
    <row r="351" ht="15" customHeight="1" s="66">
      <c r="A351" s="113" t="n"/>
      <c r="B351" s="113" t="n"/>
      <c r="C351" s="113" t="n"/>
      <c r="D351" s="113" t="n"/>
    </row>
    <row r="352" ht="15" customHeight="1" s="66">
      <c r="A352" s="113" t="n"/>
      <c r="B352" s="113" t="n"/>
      <c r="C352" s="113" t="n"/>
      <c r="D352" s="113" t="n"/>
    </row>
    <row r="353" ht="15" customHeight="1" s="66">
      <c r="A353" s="113" t="n"/>
      <c r="B353" s="113" t="n"/>
      <c r="C353" s="113" t="n"/>
      <c r="D353" s="113" t="n"/>
    </row>
    <row r="354" ht="15" customHeight="1" s="66">
      <c r="A354" s="113" t="n"/>
      <c r="B354" s="113" t="n"/>
      <c r="C354" s="113" t="n"/>
      <c r="D354" s="113" t="n"/>
    </row>
    <row r="355" ht="15" customHeight="1" s="66">
      <c r="A355" s="113" t="n"/>
      <c r="B355" s="113" t="n"/>
      <c r="C355" s="113" t="n"/>
      <c r="D355" s="113" t="n"/>
    </row>
    <row r="356" ht="15" customHeight="1" s="66">
      <c r="A356" s="113" t="n"/>
      <c r="B356" s="113" t="n"/>
      <c r="C356" s="113" t="n"/>
      <c r="D356" s="113" t="n"/>
    </row>
    <row r="357" ht="15" customHeight="1" s="66">
      <c r="A357" s="113" t="n"/>
      <c r="B357" s="113" t="n"/>
      <c r="C357" s="113" t="n"/>
      <c r="D357" s="113" t="n"/>
    </row>
    <row r="358" ht="15" customHeight="1" s="66">
      <c r="A358" s="113" t="n"/>
      <c r="B358" s="113" t="n"/>
      <c r="C358" s="113" t="n"/>
      <c r="D358" s="113" t="n"/>
    </row>
    <row r="359" ht="15" customHeight="1" s="66">
      <c r="A359" s="113" t="n"/>
      <c r="B359" s="113" t="n"/>
      <c r="C359" s="113" t="n"/>
      <c r="D359" s="113" t="n"/>
    </row>
    <row r="360" ht="15" customHeight="1" s="66">
      <c r="A360" s="113" t="n"/>
      <c r="B360" s="113" t="n"/>
      <c r="C360" s="113" t="n"/>
      <c r="D360" s="113" t="n"/>
    </row>
    <row r="361" ht="15" customHeight="1" s="66">
      <c r="A361" s="113" t="n"/>
      <c r="B361" s="113" t="n"/>
      <c r="C361" s="113" t="n"/>
      <c r="D361" s="113" t="n"/>
    </row>
    <row r="362" ht="15" customHeight="1" s="66">
      <c r="A362" s="113" t="n"/>
      <c r="B362" s="113" t="n"/>
      <c r="C362" s="113" t="n"/>
      <c r="D362" s="113" t="n"/>
    </row>
    <row r="363" ht="15" customHeight="1" s="66">
      <c r="A363" s="113" t="n"/>
      <c r="B363" s="113" t="n"/>
      <c r="C363" s="113" t="n"/>
      <c r="D363" s="113" t="n"/>
    </row>
    <row r="364" ht="15" customHeight="1" s="66">
      <c r="A364" s="113" t="n"/>
      <c r="B364" s="113" t="n"/>
      <c r="C364" s="113" t="n"/>
      <c r="D364" s="113" t="n"/>
    </row>
    <row r="365" ht="15" customHeight="1" s="66">
      <c r="A365" s="113" t="n"/>
      <c r="B365" s="113" t="n"/>
      <c r="C365" s="113" t="n"/>
      <c r="D365" s="113" t="n"/>
    </row>
    <row r="366" ht="15" customHeight="1" s="66">
      <c r="A366" s="113" t="n"/>
      <c r="B366" s="113" t="n"/>
      <c r="C366" s="113" t="n"/>
      <c r="D366" s="113" t="n"/>
    </row>
    <row r="367" ht="15" customHeight="1" s="66">
      <c r="A367" s="113" t="n"/>
      <c r="B367" s="113" t="n"/>
      <c r="C367" s="113" t="n"/>
      <c r="D367" s="113" t="n"/>
    </row>
    <row r="368" ht="15" customHeight="1" s="66">
      <c r="A368" s="113" t="n"/>
      <c r="B368" s="113" t="n"/>
      <c r="C368" s="113" t="n"/>
      <c r="D368" s="113" t="n"/>
    </row>
    <row r="369" ht="15" customHeight="1" s="66">
      <c r="A369" s="113" t="n"/>
      <c r="B369" s="113" t="n"/>
      <c r="C369" s="113" t="n"/>
      <c r="D369" s="113" t="n"/>
    </row>
    <row r="370" ht="15" customHeight="1" s="66">
      <c r="A370" s="113" t="n"/>
      <c r="B370" s="113" t="n"/>
      <c r="C370" s="113" t="n"/>
      <c r="D370" s="113" t="n"/>
    </row>
    <row r="371" ht="15" customHeight="1" s="66">
      <c r="A371" s="113" t="n"/>
      <c r="B371" s="113" t="n"/>
      <c r="C371" s="113" t="n"/>
      <c r="D371" s="113" t="n"/>
    </row>
    <row r="372" ht="15" customHeight="1" s="66">
      <c r="A372" s="113" t="n"/>
      <c r="B372" s="113" t="n"/>
      <c r="C372" s="113" t="n"/>
      <c r="D372" s="113" t="n"/>
    </row>
    <row r="373" ht="15" customHeight="1" s="66">
      <c r="A373" s="113" t="n"/>
      <c r="B373" s="113" t="n"/>
      <c r="C373" s="113" t="n"/>
      <c r="D373" s="113" t="n"/>
    </row>
    <row r="374" ht="15" customHeight="1" s="66">
      <c r="A374" s="113" t="n"/>
      <c r="B374" s="113" t="n"/>
      <c r="C374" s="113" t="n"/>
      <c r="D374" s="113" t="n"/>
    </row>
    <row r="375" ht="15" customHeight="1" s="66">
      <c r="A375" s="113" t="n"/>
      <c r="B375" s="113" t="n"/>
      <c r="C375" s="113" t="n"/>
      <c r="D375" s="113" t="n"/>
    </row>
    <row r="376" ht="15" customHeight="1" s="66">
      <c r="A376" s="113" t="n"/>
      <c r="B376" s="113" t="n"/>
      <c r="C376" s="113" t="n"/>
      <c r="D376" s="113" t="n"/>
    </row>
    <row r="377" ht="15" customHeight="1" s="66">
      <c r="A377" s="113" t="n"/>
      <c r="B377" s="113" t="n"/>
      <c r="C377" s="113" t="n"/>
      <c r="D377" s="113" t="n"/>
    </row>
    <row r="378" ht="15" customHeight="1" s="66">
      <c r="A378" s="113" t="n"/>
      <c r="B378" s="113" t="n"/>
      <c r="C378" s="113" t="n"/>
      <c r="D378" s="113" t="n"/>
    </row>
    <row r="379" ht="15" customHeight="1" s="66">
      <c r="A379" s="113" t="n"/>
      <c r="B379" s="113" t="n"/>
      <c r="C379" s="113" t="n"/>
      <c r="D379" s="113" t="n"/>
    </row>
    <row r="380" ht="15" customHeight="1" s="66">
      <c r="A380" s="113" t="n"/>
      <c r="B380" s="113" t="n"/>
      <c r="C380" s="113" t="n"/>
      <c r="D380" s="113" t="n"/>
    </row>
    <row r="381" ht="15" customHeight="1" s="66">
      <c r="A381" s="113" t="n"/>
      <c r="B381" s="113" t="n"/>
      <c r="C381" s="113" t="n"/>
      <c r="D381" s="113" t="n"/>
    </row>
    <row r="382" ht="15" customHeight="1" s="66">
      <c r="A382" s="113" t="n"/>
      <c r="B382" s="113" t="n"/>
      <c r="C382" s="113" t="n"/>
      <c r="D382" s="113" t="n"/>
    </row>
    <row r="383" ht="15" customHeight="1" s="66">
      <c r="A383" s="113" t="n"/>
      <c r="B383" s="113" t="n"/>
      <c r="C383" s="113" t="n"/>
      <c r="D383" s="113" t="n"/>
    </row>
    <row r="384" ht="15" customHeight="1" s="66">
      <c r="A384" s="113" t="n"/>
      <c r="B384" s="113" t="n"/>
      <c r="C384" s="113" t="n"/>
      <c r="D384" s="113" t="n"/>
    </row>
    <row r="385" ht="15" customHeight="1" s="66">
      <c r="A385" s="113" t="n"/>
      <c r="B385" s="113" t="n"/>
      <c r="C385" s="113" t="n"/>
      <c r="D385" s="113" t="n"/>
    </row>
    <row r="386" ht="15" customHeight="1" s="66">
      <c r="A386" s="113" t="n"/>
      <c r="B386" s="113" t="n"/>
      <c r="C386" s="113" t="n"/>
      <c r="D386" s="113" t="n"/>
    </row>
    <row r="387" ht="15" customHeight="1" s="66">
      <c r="A387" s="113" t="n"/>
      <c r="B387" s="113" t="n"/>
      <c r="C387" s="113" t="n"/>
      <c r="D387" s="113" t="n"/>
    </row>
    <row r="388" ht="15" customHeight="1" s="66">
      <c r="A388" s="113" t="n"/>
      <c r="B388" s="113" t="n"/>
      <c r="C388" s="113" t="n"/>
      <c r="D388" s="113" t="n"/>
    </row>
    <row r="389" ht="15" customHeight="1" s="66">
      <c r="A389" s="113" t="n"/>
      <c r="B389" s="113" t="n"/>
      <c r="C389" s="113" t="n"/>
      <c r="D389" s="113" t="n"/>
    </row>
    <row r="390" ht="15" customHeight="1" s="66">
      <c r="A390" s="113" t="n"/>
      <c r="B390" s="113" t="n"/>
      <c r="C390" s="113" t="n"/>
      <c r="D390" s="113" t="n"/>
    </row>
    <row r="391" ht="15" customHeight="1" s="66">
      <c r="A391" s="113" t="n"/>
      <c r="B391" s="113" t="n"/>
      <c r="C391" s="113" t="n"/>
      <c r="D391" s="113" t="n"/>
    </row>
    <row r="392" ht="15" customHeight="1" s="66">
      <c r="A392" s="113" t="n"/>
      <c r="B392" s="113" t="n"/>
      <c r="C392" s="113" t="n"/>
      <c r="D392" s="113" t="n"/>
    </row>
    <row r="393" ht="15" customHeight="1" s="66">
      <c r="A393" s="113" t="n"/>
      <c r="B393" s="113" t="n"/>
      <c r="C393" s="113" t="n"/>
      <c r="D393" s="113" t="n"/>
    </row>
    <row r="394" ht="15" customHeight="1" s="66">
      <c r="A394" s="113" t="n"/>
      <c r="B394" s="113" t="n"/>
      <c r="C394" s="113" t="n"/>
      <c r="D394" s="113" t="n"/>
    </row>
    <row r="395" ht="15" customHeight="1" s="66">
      <c r="A395" s="113" t="n"/>
      <c r="B395" s="113" t="n"/>
      <c r="C395" s="113" t="n"/>
      <c r="D395" s="113" t="n"/>
    </row>
    <row r="396" ht="15" customHeight="1" s="66">
      <c r="A396" s="113" t="n"/>
      <c r="B396" s="113" t="n"/>
      <c r="C396" s="113" t="n"/>
      <c r="D396" s="113" t="n"/>
    </row>
    <row r="397" ht="15" customHeight="1" s="66">
      <c r="A397" s="113" t="n"/>
      <c r="B397" s="113" t="n"/>
      <c r="C397" s="113" t="n"/>
      <c r="D397" s="113" t="n"/>
    </row>
    <row r="398" ht="15" customHeight="1" s="66">
      <c r="A398" s="113" t="n"/>
      <c r="B398" s="113" t="n"/>
      <c r="C398" s="113" t="n"/>
      <c r="D398" s="113" t="n"/>
    </row>
    <row r="399" ht="15" customHeight="1" s="66">
      <c r="A399" s="113" t="n"/>
      <c r="B399" s="113" t="n"/>
      <c r="C399" s="113" t="n"/>
      <c r="D399" s="113" t="n"/>
    </row>
    <row r="400" ht="15" customHeight="1" s="66">
      <c r="A400" s="113" t="n"/>
      <c r="B400" s="113" t="n"/>
      <c r="C400" s="113" t="n"/>
      <c r="D400" s="113" t="n"/>
    </row>
    <row r="401" ht="15" customHeight="1" s="66">
      <c r="A401" s="113" t="n"/>
      <c r="B401" s="113" t="n"/>
      <c r="C401" s="113" t="n"/>
      <c r="D401" s="113" t="n"/>
    </row>
    <row r="402" ht="15" customHeight="1" s="66">
      <c r="A402" s="113" t="n"/>
      <c r="B402" s="113" t="n"/>
      <c r="C402" s="113" t="n"/>
      <c r="D402" s="113" t="n"/>
    </row>
    <row r="403" ht="15" customHeight="1" s="66">
      <c r="A403" s="113" t="n"/>
      <c r="B403" s="113" t="n"/>
      <c r="C403" s="113" t="n"/>
      <c r="D403" s="113" t="n"/>
    </row>
    <row r="404" ht="15" customHeight="1" s="66">
      <c r="A404" s="113" t="n"/>
      <c r="B404" s="113" t="n"/>
      <c r="C404" s="113" t="n"/>
      <c r="D404" s="113" t="n"/>
    </row>
    <row r="405" ht="15" customHeight="1" s="66">
      <c r="A405" s="113" t="n"/>
      <c r="B405" s="113" t="n"/>
      <c r="C405" s="113" t="n"/>
      <c r="D405" s="113" t="n"/>
    </row>
    <row r="406" ht="15" customHeight="1" s="66">
      <c r="A406" s="113" t="n"/>
      <c r="B406" s="113" t="n"/>
      <c r="C406" s="113" t="n"/>
      <c r="D406" s="113" t="n"/>
    </row>
    <row r="407" ht="15" customHeight="1" s="66">
      <c r="A407" s="113" t="n"/>
      <c r="B407" s="113" t="n"/>
      <c r="C407" s="113" t="n"/>
      <c r="D407" s="113" t="n"/>
    </row>
    <row r="408" ht="15" customHeight="1" s="66">
      <c r="A408" s="113" t="n"/>
      <c r="B408" s="113" t="n"/>
      <c r="C408" s="113" t="n"/>
      <c r="D408" s="113" t="n"/>
    </row>
    <row r="409" ht="15" customHeight="1" s="66">
      <c r="A409" s="113" t="n"/>
      <c r="B409" s="113" t="n"/>
      <c r="C409" s="113" t="n"/>
      <c r="D409" s="113" t="n"/>
    </row>
    <row r="410" ht="15" customHeight="1" s="66">
      <c r="A410" s="113" t="n"/>
      <c r="B410" s="113" t="n"/>
      <c r="C410" s="113" t="n"/>
      <c r="D410" s="113" t="n"/>
    </row>
    <row r="411" ht="15" customHeight="1" s="66">
      <c r="A411" s="113" t="n"/>
      <c r="B411" s="113" t="n"/>
      <c r="C411" s="113" t="n"/>
      <c r="D411" s="113" t="n"/>
    </row>
    <row r="412" ht="15" customHeight="1" s="66">
      <c r="A412" s="113" t="n"/>
      <c r="B412" s="113" t="n"/>
      <c r="C412" s="113" t="n"/>
      <c r="D412" s="113" t="n"/>
    </row>
    <row r="413" ht="15" customHeight="1" s="66">
      <c r="A413" s="113" t="n"/>
      <c r="B413" s="113" t="n"/>
      <c r="C413" s="113" t="n"/>
      <c r="D413" s="113" t="n"/>
    </row>
    <row r="414" ht="15" customHeight="1" s="66">
      <c r="A414" s="113" t="n"/>
      <c r="B414" s="113" t="n"/>
      <c r="C414" s="113" t="n"/>
      <c r="D414" s="113" t="n"/>
    </row>
    <row r="415" ht="15" customHeight="1" s="66">
      <c r="A415" s="113" t="n"/>
      <c r="B415" s="113" t="n"/>
      <c r="C415" s="113" t="n"/>
      <c r="D415" s="113" t="n"/>
    </row>
    <row r="416" ht="15" customHeight="1" s="66">
      <c r="A416" s="113" t="n"/>
      <c r="B416" s="113" t="n"/>
      <c r="C416" s="113" t="n"/>
      <c r="D416" s="113" t="n"/>
    </row>
    <row r="417" ht="15" customHeight="1" s="66">
      <c r="A417" s="113" t="n"/>
      <c r="B417" s="113" t="n"/>
      <c r="C417" s="113" t="n"/>
      <c r="D417" s="113" t="n"/>
    </row>
    <row r="418" ht="15" customHeight="1" s="66">
      <c r="A418" s="113" t="n"/>
      <c r="B418" s="113" t="n"/>
      <c r="C418" s="113" t="n"/>
      <c r="D418" s="113" t="n"/>
    </row>
    <row r="419" ht="15" customHeight="1" s="66">
      <c r="A419" s="113" t="n"/>
      <c r="B419" s="113" t="n"/>
      <c r="C419" s="113" t="n"/>
      <c r="D419" s="113" t="n"/>
    </row>
    <row r="420" ht="15" customHeight="1" s="66">
      <c r="A420" s="113" t="n"/>
      <c r="B420" s="113" t="n"/>
      <c r="C420" s="113" t="n"/>
      <c r="D420" s="113" t="n"/>
    </row>
    <row r="421" ht="15" customHeight="1" s="66">
      <c r="A421" s="113" t="n"/>
      <c r="B421" s="113" t="n"/>
      <c r="C421" s="113" t="n"/>
      <c r="D421" s="113" t="n"/>
    </row>
    <row r="422" ht="15" customHeight="1" s="66">
      <c r="A422" s="113" t="n"/>
      <c r="B422" s="113" t="n"/>
      <c r="C422" s="113" t="n"/>
      <c r="D422" s="113" t="n"/>
    </row>
    <row r="423" ht="15" customHeight="1" s="66">
      <c r="A423" s="113" t="n"/>
      <c r="B423" s="113" t="n"/>
      <c r="C423" s="113" t="n"/>
      <c r="D423" s="113" t="n"/>
    </row>
    <row r="424" ht="15" customHeight="1" s="66">
      <c r="A424" s="113" t="n"/>
      <c r="B424" s="113" t="n"/>
      <c r="C424" s="113" t="n"/>
      <c r="D424" s="113" t="n"/>
    </row>
    <row r="425" ht="15" customHeight="1" s="66">
      <c r="A425" s="113" t="n"/>
      <c r="B425" s="113" t="n"/>
      <c r="C425" s="113" t="n"/>
      <c r="D425" s="113" t="n"/>
    </row>
    <row r="426" ht="15" customHeight="1" s="66">
      <c r="A426" s="113" t="n"/>
      <c r="B426" s="113" t="n"/>
      <c r="C426" s="113" t="n"/>
      <c r="D426" s="113" t="n"/>
    </row>
    <row r="427" ht="15" customHeight="1" s="66">
      <c r="A427" s="113" t="n"/>
      <c r="B427" s="113" t="n"/>
      <c r="C427" s="113" t="n"/>
      <c r="D427" s="113" t="n"/>
    </row>
    <row r="428" ht="15" customHeight="1" s="66">
      <c r="A428" s="113" t="n"/>
      <c r="B428" s="113" t="n"/>
      <c r="C428" s="113" t="n"/>
      <c r="D428" s="113" t="n"/>
    </row>
    <row r="429" ht="15" customHeight="1" s="66">
      <c r="A429" s="113" t="n"/>
      <c r="B429" s="113" t="n"/>
      <c r="C429" s="113" t="n"/>
      <c r="D429" s="113" t="n"/>
    </row>
    <row r="430" ht="15" customHeight="1" s="66">
      <c r="A430" s="113" t="n"/>
      <c r="B430" s="113" t="n"/>
      <c r="C430" s="113" t="n"/>
      <c r="D430" s="113" t="n"/>
    </row>
    <row r="431" ht="15" customHeight="1" s="66">
      <c r="A431" s="113" t="n"/>
      <c r="B431" s="113" t="n"/>
      <c r="C431" s="113" t="n"/>
      <c r="D431" s="113" t="n"/>
    </row>
    <row r="432" ht="15" customHeight="1" s="66">
      <c r="A432" s="113" t="n"/>
      <c r="B432" s="113" t="n"/>
      <c r="C432" s="113" t="n"/>
      <c r="D432" s="113" t="n"/>
    </row>
    <row r="433" ht="15" customHeight="1" s="66">
      <c r="A433" s="113" t="n"/>
      <c r="B433" s="113" t="n"/>
      <c r="C433" s="113" t="n"/>
      <c r="D433" s="113" t="n"/>
    </row>
    <row r="434" ht="15" customHeight="1" s="66">
      <c r="A434" s="113" t="n"/>
      <c r="B434" s="113" t="n"/>
      <c r="C434" s="113" t="n"/>
      <c r="D434" s="113" t="n"/>
    </row>
    <row r="435" ht="15" customHeight="1" s="66">
      <c r="A435" s="113" t="n"/>
      <c r="B435" s="113" t="n"/>
      <c r="C435" s="113" t="n"/>
      <c r="D435" s="113" t="n"/>
    </row>
    <row r="436" ht="15" customHeight="1" s="66">
      <c r="A436" s="113" t="n"/>
      <c r="B436" s="113" t="n"/>
      <c r="C436" s="113" t="n"/>
      <c r="D436" s="113" t="n"/>
    </row>
    <row r="437" ht="15" customHeight="1" s="66">
      <c r="A437" s="113" t="n"/>
      <c r="B437" s="113" t="n"/>
      <c r="C437" s="113" t="n"/>
      <c r="D437" s="113" t="n"/>
    </row>
    <row r="438" ht="15" customHeight="1" s="66">
      <c r="A438" s="113" t="n"/>
      <c r="B438" s="113" t="n"/>
      <c r="C438" s="113" t="n"/>
      <c r="D438" s="113" t="n"/>
    </row>
    <row r="439" ht="15" customHeight="1" s="66">
      <c r="A439" s="113" t="n"/>
      <c r="B439" s="113" t="n"/>
      <c r="C439" s="113" t="n"/>
      <c r="D439" s="113" t="n"/>
    </row>
    <row r="440" ht="15" customHeight="1" s="66">
      <c r="A440" s="113" t="n"/>
      <c r="B440" s="113" t="n"/>
      <c r="C440" s="113" t="n"/>
      <c r="D440" s="113" t="n"/>
    </row>
    <row r="441" ht="15" customHeight="1" s="66">
      <c r="A441" s="113" t="n"/>
      <c r="B441" s="113" t="n"/>
      <c r="C441" s="113" t="n"/>
      <c r="D441" s="113" t="n"/>
    </row>
    <row r="442" ht="15" customHeight="1" s="66">
      <c r="A442" s="113" t="n"/>
      <c r="B442" s="113" t="n"/>
      <c r="C442" s="113" t="n"/>
      <c r="D442" s="113" t="n"/>
    </row>
    <row r="443" ht="15" customHeight="1" s="66">
      <c r="A443" s="113" t="n"/>
      <c r="B443" s="113" t="n"/>
      <c r="C443" s="113" t="n"/>
      <c r="D443" s="113" t="n"/>
    </row>
    <row r="444" ht="15" customHeight="1" s="66">
      <c r="A444" s="113" t="n"/>
      <c r="B444" s="113" t="n"/>
      <c r="C444" s="113" t="n"/>
      <c r="D444" s="113" t="n"/>
    </row>
    <row r="445" ht="15" customHeight="1" s="66">
      <c r="A445" s="113" t="n"/>
      <c r="B445" s="113" t="n"/>
      <c r="C445" s="113" t="n"/>
      <c r="D445" s="113" t="n"/>
    </row>
    <row r="446" ht="15" customHeight="1" s="66">
      <c r="A446" s="113" t="n"/>
      <c r="B446" s="113" t="n"/>
      <c r="C446" s="113" t="n"/>
      <c r="D446" s="113" t="n"/>
    </row>
    <row r="447" ht="15" customHeight="1" s="66">
      <c r="A447" s="113" t="n"/>
      <c r="B447" s="113" t="n"/>
      <c r="C447" s="113" t="n"/>
      <c r="D447" s="113" t="n"/>
    </row>
    <row r="448" ht="15" customHeight="1" s="66">
      <c r="A448" s="113" t="n"/>
      <c r="B448" s="113" t="n"/>
      <c r="C448" s="113" t="n"/>
      <c r="D448" s="113" t="n"/>
    </row>
    <row r="449" ht="15" customHeight="1" s="66">
      <c r="A449" s="113" t="n"/>
      <c r="B449" s="113" t="n"/>
      <c r="C449" s="113" t="n"/>
      <c r="D449" s="113" t="n"/>
    </row>
    <row r="450" ht="15" customHeight="1" s="66">
      <c r="A450" s="113" t="n"/>
      <c r="B450" s="113" t="n"/>
      <c r="C450" s="113" t="n"/>
      <c r="D450" s="113" t="n"/>
    </row>
    <row r="451" ht="15" customHeight="1" s="66">
      <c r="A451" s="113" t="n"/>
      <c r="B451" s="113" t="n"/>
      <c r="C451" s="113" t="n"/>
      <c r="D451" s="113" t="n"/>
    </row>
    <row r="452" ht="15" customHeight="1" s="66">
      <c r="A452" s="113" t="n"/>
      <c r="B452" s="113" t="n"/>
      <c r="C452" s="113" t="n"/>
      <c r="D452" s="113" t="n"/>
    </row>
    <row r="453" ht="15" customHeight="1" s="66">
      <c r="A453" s="113" t="n"/>
      <c r="B453" s="113" t="n"/>
      <c r="C453" s="113" t="n"/>
      <c r="D453" s="113" t="n"/>
    </row>
    <row r="454" ht="15" customHeight="1" s="66">
      <c r="A454" s="113" t="n"/>
      <c r="B454" s="113" t="n"/>
      <c r="C454" s="113" t="n"/>
      <c r="D454" s="113" t="n"/>
    </row>
    <row r="455" ht="15" customHeight="1" s="66">
      <c r="A455" s="113" t="n"/>
      <c r="B455" s="113" t="n"/>
      <c r="C455" s="113" t="n"/>
      <c r="D455" s="113" t="n"/>
    </row>
    <row r="456" ht="15" customHeight="1" s="66">
      <c r="A456" s="113" t="n"/>
      <c r="B456" s="113" t="n"/>
      <c r="C456" s="113" t="n"/>
      <c r="D456" s="113" t="n"/>
    </row>
    <row r="457" ht="15" customHeight="1" s="66">
      <c r="A457" s="113" t="n"/>
      <c r="B457" s="113" t="n"/>
      <c r="C457" s="113" t="n"/>
      <c r="D457" s="113" t="n"/>
    </row>
    <row r="458" ht="15" customHeight="1" s="66">
      <c r="A458" s="113" t="n"/>
      <c r="B458" s="113" t="n"/>
      <c r="C458" s="113" t="n"/>
      <c r="D458" s="113" t="n"/>
    </row>
    <row r="459" ht="15" customHeight="1" s="66">
      <c r="A459" s="113" t="n"/>
      <c r="B459" s="113" t="n"/>
      <c r="C459" s="113" t="n"/>
      <c r="D459" s="113" t="n"/>
    </row>
    <row r="460" ht="15" customHeight="1" s="66">
      <c r="A460" s="113" t="n"/>
      <c r="B460" s="113" t="n"/>
      <c r="C460" s="113" t="n"/>
      <c r="D460" s="113" t="n"/>
    </row>
    <row r="461" ht="15" customHeight="1" s="66">
      <c r="A461" s="113" t="n"/>
      <c r="B461" s="113" t="n"/>
      <c r="C461" s="113" t="n"/>
      <c r="D461" s="113" t="n"/>
    </row>
    <row r="462" ht="15" customHeight="1" s="66">
      <c r="A462" s="113" t="n"/>
      <c r="B462" s="113" t="n"/>
      <c r="C462" s="113" t="n"/>
      <c r="D462" s="113" t="n"/>
    </row>
    <row r="463" ht="15" customHeight="1" s="66">
      <c r="A463" s="113" t="n"/>
      <c r="B463" s="113" t="n"/>
      <c r="C463" s="113" t="n"/>
      <c r="D463" s="113" t="n"/>
    </row>
    <row r="464" ht="15" customHeight="1" s="66">
      <c r="A464" s="113" t="n"/>
      <c r="B464" s="113" t="n"/>
      <c r="C464" s="113" t="n"/>
      <c r="D464" s="113" t="n"/>
    </row>
    <row r="465" ht="15" customHeight="1" s="66">
      <c r="A465" s="113" t="n"/>
      <c r="B465" s="113" t="n"/>
      <c r="C465" s="113" t="n"/>
      <c r="D465" s="113" t="n"/>
    </row>
    <row r="466" ht="15" customHeight="1" s="66">
      <c r="A466" s="113" t="n"/>
      <c r="B466" s="113" t="n"/>
      <c r="C466" s="113" t="n"/>
      <c r="D466" s="113" t="n"/>
    </row>
    <row r="467" ht="15" customHeight="1" s="66">
      <c r="A467" s="113" t="n"/>
      <c r="B467" s="113" t="n"/>
      <c r="C467" s="113" t="n"/>
      <c r="D467" s="113" t="n"/>
    </row>
    <row r="468" ht="15" customHeight="1" s="66">
      <c r="A468" s="113" t="n"/>
      <c r="B468" s="113" t="n"/>
      <c r="C468" s="113" t="n"/>
      <c r="D468" s="113" t="n"/>
    </row>
    <row r="469" ht="15" customHeight="1" s="66">
      <c r="A469" s="113" t="n"/>
      <c r="B469" s="113" t="n"/>
      <c r="C469" s="113" t="n"/>
      <c r="D469" s="113" t="n"/>
    </row>
    <row r="470" ht="15" customHeight="1" s="66">
      <c r="A470" s="113" t="n"/>
      <c r="B470" s="113" t="n"/>
      <c r="C470" s="113" t="n"/>
      <c r="D470" s="113" t="n"/>
    </row>
    <row r="471" ht="15" customHeight="1" s="66">
      <c r="A471" s="113" t="n"/>
      <c r="B471" s="113" t="n"/>
      <c r="C471" s="113" t="n"/>
      <c r="D471" s="113" t="n"/>
    </row>
    <row r="472" ht="15" customHeight="1" s="66">
      <c r="A472" s="113" t="n"/>
      <c r="B472" s="113" t="n"/>
      <c r="C472" s="113" t="n"/>
      <c r="D472" s="113" t="n"/>
    </row>
    <row r="473" ht="15" customHeight="1" s="66">
      <c r="A473" s="113" t="n"/>
      <c r="B473" s="113" t="n"/>
      <c r="C473" s="113" t="n"/>
      <c r="D473" s="113" t="n"/>
    </row>
    <row r="474" ht="15" customHeight="1" s="66">
      <c r="A474" s="113" t="n"/>
      <c r="B474" s="113" t="n"/>
      <c r="C474" s="113" t="n"/>
      <c r="D474" s="113" t="n"/>
    </row>
    <row r="475" ht="15" customHeight="1" s="66">
      <c r="A475" s="113" t="n"/>
      <c r="B475" s="113" t="n"/>
      <c r="C475" s="113" t="n"/>
      <c r="D475" s="113" t="n"/>
    </row>
    <row r="476" ht="15" customHeight="1" s="66">
      <c r="A476" s="113" t="n"/>
      <c r="B476" s="113" t="n"/>
      <c r="C476" s="113" t="n"/>
      <c r="D476" s="113" t="n"/>
    </row>
    <row r="477" ht="15" customHeight="1" s="66">
      <c r="A477" s="113" t="n"/>
      <c r="B477" s="113" t="n"/>
      <c r="C477" s="113" t="n"/>
      <c r="D477" s="113" t="n"/>
    </row>
    <row r="478" ht="15" customHeight="1" s="66">
      <c r="A478" s="113" t="n"/>
      <c r="B478" s="113" t="n"/>
      <c r="C478" s="113" t="n"/>
      <c r="D478" s="113" t="n"/>
    </row>
    <row r="479" ht="15" customHeight="1" s="66">
      <c r="A479" s="113" t="n"/>
      <c r="B479" s="113" t="n"/>
      <c r="C479" s="113" t="n"/>
      <c r="D479" s="113" t="n"/>
    </row>
    <row r="480" ht="15" customHeight="1" s="66">
      <c r="A480" s="113" t="n"/>
      <c r="B480" s="113" t="n"/>
      <c r="C480" s="113" t="n"/>
      <c r="D480" s="113" t="n"/>
    </row>
    <row r="481" ht="15" customHeight="1" s="66">
      <c r="A481" s="113" t="n"/>
      <c r="B481" s="113" t="n"/>
      <c r="C481" s="113" t="n"/>
      <c r="D481" s="113" t="n"/>
    </row>
    <row r="482" ht="15" customHeight="1" s="66">
      <c r="A482" s="113" t="n"/>
      <c r="B482" s="113" t="n"/>
      <c r="C482" s="113" t="n"/>
      <c r="D482" s="113" t="n"/>
    </row>
    <row r="483" ht="15" customHeight="1" s="66">
      <c r="A483" s="113" t="n"/>
      <c r="B483" s="113" t="n"/>
      <c r="C483" s="113" t="n"/>
      <c r="D483" s="113" t="n"/>
    </row>
    <row r="484" ht="15" customHeight="1" s="66">
      <c r="A484" s="113" t="n"/>
      <c r="B484" s="113" t="n"/>
      <c r="C484" s="113" t="n"/>
      <c r="D484" s="113" t="n"/>
    </row>
    <row r="485" ht="15" customHeight="1" s="66">
      <c r="A485" s="113" t="n"/>
      <c r="B485" s="113" t="n"/>
      <c r="C485" s="113" t="n"/>
      <c r="D485" s="113" t="n"/>
    </row>
    <row r="486" ht="15" customHeight="1" s="66">
      <c r="A486" s="113" t="n"/>
      <c r="B486" s="113" t="n"/>
      <c r="C486" s="113" t="n"/>
      <c r="D486" s="113" t="n"/>
    </row>
    <row r="487" ht="15" customHeight="1" s="66">
      <c r="A487" s="113" t="n"/>
      <c r="B487" s="113" t="n"/>
      <c r="C487" s="113" t="n"/>
      <c r="D487" s="113" t="n"/>
    </row>
    <row r="488" ht="15" customHeight="1" s="66">
      <c r="A488" s="113" t="n"/>
      <c r="B488" s="113" t="n"/>
      <c r="C488" s="113" t="n"/>
      <c r="D488" s="113" t="n"/>
    </row>
    <row r="489" ht="15" customHeight="1" s="66">
      <c r="A489" s="113" t="n"/>
      <c r="B489" s="113" t="n"/>
      <c r="C489" s="113" t="n"/>
      <c r="D489" s="113" t="n"/>
    </row>
    <row r="490" ht="15" customHeight="1" s="66">
      <c r="A490" s="113" t="n"/>
      <c r="B490" s="113" t="n"/>
      <c r="C490" s="113" t="n"/>
      <c r="D490" s="113" t="n"/>
    </row>
    <row r="491" ht="15" customHeight="1" s="66">
      <c r="A491" s="113" t="n"/>
      <c r="B491" s="113" t="n"/>
      <c r="C491" s="113" t="n"/>
      <c r="D491" s="113" t="n"/>
    </row>
    <row r="492" ht="15" customHeight="1" s="66">
      <c r="A492" s="113" t="n"/>
      <c r="B492" s="113" t="n"/>
      <c r="C492" s="113" t="n"/>
      <c r="D492" s="113" t="n"/>
    </row>
    <row r="493" ht="15" customHeight="1" s="66">
      <c r="A493" s="113" t="n"/>
      <c r="B493" s="113" t="n"/>
      <c r="C493" s="113" t="n"/>
      <c r="D493" s="113" t="n"/>
    </row>
    <row r="494" ht="15" customHeight="1" s="66">
      <c r="A494" s="113" t="n"/>
      <c r="B494" s="113" t="n"/>
      <c r="C494" s="113" t="n"/>
      <c r="D494" s="113" t="n"/>
    </row>
    <row r="495" ht="15" customHeight="1" s="66">
      <c r="A495" s="113" t="n"/>
      <c r="B495" s="113" t="n"/>
      <c r="C495" s="113" t="n"/>
      <c r="D495" s="113" t="n"/>
    </row>
    <row r="496" ht="15" customHeight="1" s="66">
      <c r="A496" s="113" t="n"/>
      <c r="B496" s="113" t="n"/>
      <c r="C496" s="113" t="n"/>
      <c r="D496" s="113" t="n"/>
    </row>
    <row r="497" ht="15" customHeight="1" s="66">
      <c r="A497" s="113" t="n"/>
      <c r="B497" s="113" t="n"/>
      <c r="C497" s="113" t="n"/>
      <c r="D497" s="113" t="n"/>
    </row>
    <row r="498" ht="15" customHeight="1" s="66">
      <c r="A498" s="113" t="n"/>
      <c r="B498" s="113" t="n"/>
      <c r="C498" s="113" t="n"/>
      <c r="D498" s="113" t="n"/>
    </row>
    <row r="499" ht="15" customHeight="1" s="66">
      <c r="A499" s="113" t="n"/>
      <c r="B499" s="113" t="n"/>
      <c r="C499" s="113" t="n"/>
      <c r="D499" s="113" t="n"/>
    </row>
    <row r="500" ht="15" customHeight="1" s="66">
      <c r="A500" s="113" t="n"/>
      <c r="B500" s="113" t="n"/>
      <c r="C500" s="113" t="n"/>
      <c r="D500" s="113" t="n"/>
    </row>
    <row r="501" ht="15" customHeight="1" s="66">
      <c r="A501" s="113" t="n"/>
      <c r="B501" s="113" t="n"/>
      <c r="C501" s="113" t="n"/>
      <c r="D501" s="113" t="n"/>
    </row>
    <row r="502" ht="15" customHeight="1" s="66">
      <c r="A502" s="113" t="n"/>
      <c r="B502" s="113" t="n"/>
      <c r="C502" s="113" t="n"/>
      <c r="D502" s="113" t="n"/>
    </row>
    <row r="503" ht="15" customHeight="1" s="66">
      <c r="A503" s="113" t="n"/>
      <c r="B503" s="113" t="n"/>
      <c r="C503" s="113" t="n"/>
      <c r="D503" s="113" t="n"/>
    </row>
    <row r="504" ht="15" customHeight="1" s="66">
      <c r="A504" s="113" t="n"/>
      <c r="B504" s="113" t="n"/>
      <c r="C504" s="113" t="n"/>
      <c r="D504" s="113" t="n"/>
    </row>
    <row r="505" ht="15" customHeight="1" s="66">
      <c r="A505" s="113" t="n"/>
      <c r="B505" s="113" t="n"/>
      <c r="C505" s="113" t="n"/>
      <c r="D505" s="113" t="n"/>
    </row>
    <row r="506" ht="15" customHeight="1" s="66">
      <c r="A506" s="113" t="n"/>
      <c r="B506" s="113" t="n"/>
      <c r="C506" s="113" t="n"/>
      <c r="D506" s="113" t="n"/>
    </row>
    <row r="507" ht="15" customHeight="1" s="66">
      <c r="A507" s="113" t="n"/>
      <c r="B507" s="113" t="n"/>
      <c r="C507" s="113" t="n"/>
      <c r="D507" s="113" t="n"/>
    </row>
    <row r="508" ht="15" customHeight="1" s="66">
      <c r="A508" s="113" t="n"/>
      <c r="B508" s="113" t="n"/>
      <c r="C508" s="113" t="n"/>
      <c r="D508" s="113" t="n"/>
    </row>
    <row r="509" ht="15" customHeight="1" s="66">
      <c r="A509" s="113" t="n"/>
      <c r="B509" s="113" t="n"/>
      <c r="C509" s="113" t="n"/>
      <c r="D509" s="113" t="n"/>
    </row>
    <row r="510" ht="15" customHeight="1" s="66">
      <c r="A510" s="113" t="n"/>
      <c r="B510" s="113" t="n"/>
      <c r="C510" s="113" t="n"/>
      <c r="D510" s="113" t="n"/>
    </row>
    <row r="511" ht="15" customHeight="1" s="66">
      <c r="A511" s="113" t="n"/>
      <c r="B511" s="113" t="n"/>
      <c r="C511" s="113" t="n"/>
      <c r="D511" s="113" t="n"/>
    </row>
    <row r="512" ht="15" customHeight="1" s="66">
      <c r="A512" s="113" t="n"/>
      <c r="B512" s="113" t="n"/>
      <c r="C512" s="113" t="n"/>
      <c r="D512" s="113" t="n"/>
    </row>
    <row r="513" ht="15" customHeight="1" s="66">
      <c r="A513" s="113" t="n"/>
      <c r="B513" s="113" t="n"/>
      <c r="C513" s="113" t="n"/>
      <c r="D513" s="113" t="n"/>
    </row>
    <row r="514" ht="15" customHeight="1" s="66">
      <c r="A514" s="113" t="n"/>
      <c r="B514" s="113" t="n"/>
      <c r="C514" s="113" t="n"/>
      <c r="D514" s="113" t="n"/>
    </row>
    <row r="515" ht="15" customHeight="1" s="66">
      <c r="A515" s="113" t="n"/>
      <c r="B515" s="113" t="n"/>
      <c r="C515" s="113" t="n"/>
      <c r="D515" s="113" t="n"/>
    </row>
    <row r="516" ht="15" customHeight="1" s="66">
      <c r="A516" s="113" t="n"/>
      <c r="B516" s="113" t="n"/>
      <c r="C516" s="113" t="n"/>
      <c r="D516" s="113" t="n"/>
    </row>
    <row r="517" ht="15" customHeight="1" s="66">
      <c r="A517" s="113" t="n"/>
      <c r="B517" s="113" t="n"/>
      <c r="C517" s="113" t="n"/>
      <c r="D517" s="113" t="n"/>
    </row>
    <row r="518" ht="15" customHeight="1" s="66">
      <c r="A518" s="113" t="n"/>
      <c r="B518" s="113" t="n"/>
      <c r="C518" s="113" t="n"/>
      <c r="D518" s="113" t="n"/>
    </row>
    <row r="519" ht="15" customHeight="1" s="66">
      <c r="A519" s="113" t="n"/>
      <c r="B519" s="113" t="n"/>
      <c r="C519" s="113" t="n"/>
      <c r="D519" s="113" t="n"/>
    </row>
    <row r="520" ht="15" customHeight="1" s="66">
      <c r="A520" s="113" t="n"/>
      <c r="B520" s="113" t="n"/>
      <c r="C520" s="113" t="n"/>
      <c r="D520" s="113" t="n"/>
    </row>
    <row r="521" ht="15" customHeight="1" s="66">
      <c r="A521" s="113" t="n"/>
      <c r="B521" s="113" t="n"/>
      <c r="C521" s="113" t="n"/>
      <c r="D521" s="113" t="n"/>
    </row>
    <row r="522" ht="15" customHeight="1" s="66">
      <c r="A522" s="113" t="n"/>
      <c r="B522" s="113" t="n"/>
      <c r="C522" s="113" t="n"/>
      <c r="D522" s="113" t="n"/>
    </row>
    <row r="523" ht="15" customHeight="1" s="66">
      <c r="A523" s="113" t="n"/>
      <c r="B523" s="113" t="n"/>
      <c r="C523" s="113" t="n"/>
      <c r="D523" s="113" t="n"/>
    </row>
    <row r="524" ht="15" customHeight="1" s="66">
      <c r="A524" s="113" t="n"/>
      <c r="B524" s="113" t="n"/>
      <c r="C524" s="113" t="n"/>
      <c r="D524" s="113" t="n"/>
    </row>
    <row r="525" ht="15" customHeight="1" s="66">
      <c r="A525" s="113" t="n"/>
      <c r="B525" s="113" t="n"/>
      <c r="C525" s="113" t="n"/>
      <c r="D525" s="113" t="n"/>
    </row>
    <row r="526" ht="15" customHeight="1" s="66">
      <c r="A526" s="113" t="n"/>
      <c r="B526" s="113" t="n"/>
      <c r="C526" s="113" t="n"/>
      <c r="D526" s="113" t="n"/>
    </row>
    <row r="527" ht="15" customHeight="1" s="66">
      <c r="A527" s="113" t="n"/>
      <c r="B527" s="113" t="n"/>
      <c r="C527" s="113" t="n"/>
      <c r="D527" s="113" t="n"/>
    </row>
    <row r="528" ht="15" customHeight="1" s="66">
      <c r="A528" s="113" t="n"/>
      <c r="B528" s="113" t="n"/>
      <c r="C528" s="113" t="n"/>
      <c r="D528" s="113" t="n"/>
    </row>
    <row r="529" ht="15" customHeight="1" s="66">
      <c r="A529" s="113" t="n"/>
      <c r="B529" s="113" t="n"/>
      <c r="C529" s="113" t="n"/>
      <c r="D529" s="113" t="n"/>
    </row>
    <row r="530" ht="15" customHeight="1" s="66">
      <c r="A530" s="113" t="n"/>
      <c r="B530" s="113" t="n"/>
      <c r="C530" s="113" t="n"/>
      <c r="D530" s="113" t="n"/>
    </row>
    <row r="531" ht="15" customHeight="1" s="66">
      <c r="A531" s="113" t="n"/>
      <c r="B531" s="113" t="n"/>
      <c r="C531" s="113" t="n"/>
      <c r="D531" s="113" t="n"/>
    </row>
    <row r="532" ht="15" customHeight="1" s="66">
      <c r="A532" s="113" t="n"/>
      <c r="B532" s="113" t="n"/>
      <c r="C532" s="113" t="n"/>
      <c r="D532" s="113" t="n"/>
    </row>
    <row r="533" ht="15" customHeight="1" s="66">
      <c r="A533" s="113" t="n"/>
      <c r="B533" s="113" t="n"/>
      <c r="C533" s="113" t="n"/>
      <c r="D533" s="113" t="n"/>
    </row>
    <row r="534" ht="15" customHeight="1" s="66">
      <c r="A534" s="113" t="n"/>
      <c r="B534" s="113" t="n"/>
      <c r="C534" s="113" t="n"/>
      <c r="D534" s="113" t="n"/>
    </row>
    <row r="535" ht="15" customHeight="1" s="66">
      <c r="A535" s="113" t="n"/>
      <c r="B535" s="113" t="n"/>
      <c r="C535" s="113" t="n"/>
      <c r="D535" s="113" t="n"/>
    </row>
    <row r="536" ht="15" customHeight="1" s="66">
      <c r="A536" s="113" t="n"/>
      <c r="B536" s="113" t="n"/>
      <c r="C536" s="113" t="n"/>
      <c r="D536" s="113" t="n"/>
    </row>
    <row r="537" ht="15" customHeight="1" s="66">
      <c r="A537" s="113" t="n"/>
      <c r="B537" s="113" t="n"/>
      <c r="C537" s="113" t="n"/>
      <c r="D537" s="113" t="n"/>
    </row>
    <row r="538" ht="15" customHeight="1" s="66">
      <c r="A538" s="113" t="n"/>
      <c r="B538" s="113" t="n"/>
      <c r="C538" s="113" t="n"/>
      <c r="D538" s="113" t="n"/>
    </row>
    <row r="539" ht="15" customHeight="1" s="66">
      <c r="A539" s="113" t="n"/>
      <c r="B539" s="113" t="n"/>
      <c r="C539" s="113" t="n"/>
      <c r="D539" s="113" t="n"/>
    </row>
    <row r="540" ht="15" customHeight="1" s="66">
      <c r="A540" s="113" t="n"/>
      <c r="B540" s="113" t="n"/>
      <c r="C540" s="113" t="n"/>
      <c r="D540" s="113" t="n"/>
    </row>
    <row r="541" ht="15" customHeight="1" s="66">
      <c r="A541" s="113" t="n"/>
      <c r="B541" s="113" t="n"/>
      <c r="C541" s="113" t="n"/>
      <c r="D541" s="113" t="n"/>
    </row>
    <row r="542" ht="15" customHeight="1" s="66">
      <c r="A542" s="113" t="n"/>
      <c r="B542" s="113" t="n"/>
      <c r="C542" s="113" t="n"/>
      <c r="D542" s="113" t="n"/>
    </row>
    <row r="543" ht="15" customHeight="1" s="66">
      <c r="A543" s="113" t="n"/>
      <c r="B543" s="113" t="n"/>
      <c r="C543" s="113" t="n"/>
      <c r="D543" s="113" t="n"/>
    </row>
    <row r="544" ht="15" customHeight="1" s="66">
      <c r="A544" s="113" t="n"/>
      <c r="B544" s="113" t="n"/>
      <c r="C544" s="113" t="n"/>
      <c r="D544" s="113" t="n"/>
    </row>
    <row r="545" ht="15" customHeight="1" s="66">
      <c r="A545" s="113" t="n"/>
      <c r="B545" s="113" t="n"/>
      <c r="C545" s="113" t="n"/>
      <c r="D545" s="113" t="n"/>
    </row>
    <row r="546" ht="15" customHeight="1" s="66">
      <c r="A546" s="113" t="n"/>
      <c r="B546" s="113" t="n"/>
      <c r="C546" s="113" t="n"/>
      <c r="D546" s="113" t="n"/>
    </row>
    <row r="547" ht="15" customHeight="1" s="66">
      <c r="A547" s="113" t="n"/>
      <c r="B547" s="113" t="n"/>
      <c r="C547" s="113" t="n"/>
      <c r="D547" s="113" t="n"/>
    </row>
    <row r="548" ht="15" customHeight="1" s="66">
      <c r="A548" s="113" t="n"/>
      <c r="B548" s="113" t="n"/>
      <c r="C548" s="113" t="n"/>
      <c r="D548" s="113" t="n"/>
    </row>
    <row r="549" ht="15" customHeight="1" s="66">
      <c r="A549" s="113" t="n"/>
      <c r="B549" s="113" t="n"/>
      <c r="C549" s="113" t="n"/>
      <c r="D549" s="113" t="n"/>
    </row>
    <row r="550" ht="15" customHeight="1" s="66">
      <c r="A550" s="113" t="n"/>
      <c r="B550" s="113" t="n"/>
      <c r="C550" s="113" t="n"/>
      <c r="D550" s="113" t="n"/>
    </row>
    <row r="551" ht="15" customHeight="1" s="66">
      <c r="A551" s="113" t="n"/>
      <c r="B551" s="113" t="n"/>
      <c r="C551" s="113" t="n"/>
      <c r="D551" s="113" t="n"/>
    </row>
    <row r="552" ht="15" customHeight="1" s="66">
      <c r="A552" s="113" t="n"/>
      <c r="B552" s="113" t="n"/>
      <c r="C552" s="113" t="n"/>
      <c r="D552" s="113" t="n"/>
    </row>
    <row r="553" ht="15" customHeight="1" s="66">
      <c r="A553" s="113" t="n"/>
      <c r="B553" s="113" t="n"/>
      <c r="C553" s="113" t="n"/>
      <c r="D553" s="113" t="n"/>
    </row>
    <row r="554" ht="15" customHeight="1" s="66">
      <c r="A554" s="113" t="n"/>
      <c r="B554" s="113" t="n"/>
      <c r="C554" s="113" t="n"/>
      <c r="D554" s="113" t="n"/>
    </row>
    <row r="555" ht="15" customHeight="1" s="66">
      <c r="A555" s="113" t="n"/>
      <c r="B555" s="113" t="n"/>
      <c r="C555" s="113" t="n"/>
      <c r="D555" s="113" t="n"/>
    </row>
    <row r="556" ht="15" customHeight="1" s="66">
      <c r="A556" s="113" t="n"/>
      <c r="B556" s="113" t="n"/>
      <c r="C556" s="113" t="n"/>
      <c r="D556" s="113" t="n"/>
    </row>
    <row r="557" ht="15" customHeight="1" s="66">
      <c r="A557" s="113" t="n"/>
      <c r="B557" s="113" t="n"/>
      <c r="C557" s="113" t="n"/>
      <c r="D557" s="113" t="n"/>
    </row>
    <row r="558" ht="15" customHeight="1" s="66">
      <c r="A558" s="113" t="n"/>
      <c r="B558" s="113" t="n"/>
      <c r="C558" s="113" t="n"/>
      <c r="D558" s="113" t="n"/>
    </row>
    <row r="559" ht="15" customHeight="1" s="66">
      <c r="A559" s="113" t="n"/>
      <c r="B559" s="113" t="n"/>
      <c r="C559" s="113" t="n"/>
      <c r="D559" s="113" t="n"/>
    </row>
    <row r="560" ht="15" customHeight="1" s="66">
      <c r="A560" s="113" t="n"/>
      <c r="B560" s="113" t="n"/>
      <c r="C560" s="113" t="n"/>
      <c r="D560" s="113" t="n"/>
    </row>
    <row r="561" ht="15" customHeight="1" s="66">
      <c r="A561" s="113" t="n"/>
      <c r="B561" s="113" t="n"/>
      <c r="C561" s="113" t="n"/>
      <c r="D561" s="113" t="n"/>
    </row>
    <row r="562" ht="15" customHeight="1" s="66">
      <c r="A562" s="113" t="n"/>
      <c r="B562" s="113" t="n"/>
      <c r="C562" s="113" t="n"/>
      <c r="D562" s="113" t="n"/>
    </row>
    <row r="563" ht="15" customHeight="1" s="66">
      <c r="A563" s="113" t="n"/>
      <c r="B563" s="113" t="n"/>
      <c r="C563" s="113" t="n"/>
      <c r="D563" s="113" t="n"/>
    </row>
    <row r="564" ht="15" customHeight="1" s="66">
      <c r="A564" s="113" t="n"/>
      <c r="B564" s="113" t="n"/>
      <c r="C564" s="113" t="n"/>
      <c r="D564" s="113" t="n"/>
    </row>
    <row r="565" ht="15" customHeight="1" s="66">
      <c r="A565" s="113" t="n"/>
      <c r="B565" s="113" t="n"/>
      <c r="C565" s="113" t="n"/>
      <c r="D565" s="113" t="n"/>
    </row>
    <row r="566" ht="15" customHeight="1" s="66">
      <c r="A566" s="113" t="n"/>
      <c r="B566" s="113" t="n"/>
      <c r="C566" s="113" t="n"/>
      <c r="D566" s="113" t="n"/>
    </row>
    <row r="567" ht="15" customHeight="1" s="66">
      <c r="A567" s="113" t="n"/>
      <c r="B567" s="113" t="n"/>
      <c r="C567" s="113" t="n"/>
      <c r="D567" s="113" t="n"/>
    </row>
    <row r="568" ht="15" customHeight="1" s="66">
      <c r="A568" s="113" t="n"/>
      <c r="B568" s="113" t="n"/>
      <c r="C568" s="113" t="n"/>
      <c r="D568" s="113" t="n"/>
    </row>
    <row r="569" ht="15" customHeight="1" s="66">
      <c r="A569" s="113" t="n"/>
      <c r="B569" s="113" t="n"/>
      <c r="C569" s="113" t="n"/>
      <c r="D569" s="113" t="n"/>
    </row>
    <row r="570" ht="15" customHeight="1" s="66">
      <c r="A570" s="113" t="n"/>
      <c r="B570" s="113" t="n"/>
      <c r="C570" s="113" t="n"/>
      <c r="D570" s="113" t="n"/>
    </row>
    <row r="571" ht="15" customHeight="1" s="66">
      <c r="A571" s="113" t="n"/>
      <c r="B571" s="113" t="n"/>
      <c r="C571" s="113" t="n"/>
      <c r="D571" s="113" t="n"/>
    </row>
    <row r="572" ht="15" customHeight="1" s="66">
      <c r="A572" s="113" t="n"/>
      <c r="B572" s="113" t="n"/>
      <c r="C572" s="113" t="n"/>
      <c r="D572" s="113" t="n"/>
    </row>
    <row r="573" ht="15" customHeight="1" s="66">
      <c r="A573" s="113" t="n"/>
      <c r="B573" s="113" t="n"/>
      <c r="C573" s="113" t="n"/>
      <c r="D573" s="113" t="n"/>
    </row>
    <row r="574" ht="15" customHeight="1" s="66">
      <c r="A574" s="113" t="n"/>
      <c r="B574" s="113" t="n"/>
      <c r="C574" s="113" t="n"/>
      <c r="D574" s="113" t="n"/>
    </row>
    <row r="575" ht="15" customHeight="1" s="66">
      <c r="A575" s="113" t="n"/>
      <c r="B575" s="113" t="n"/>
      <c r="C575" s="113" t="n"/>
      <c r="D575" s="113" t="n"/>
    </row>
    <row r="576" ht="15" customHeight="1" s="66">
      <c r="A576" s="113" t="n"/>
      <c r="B576" s="113" t="n"/>
      <c r="C576" s="113" t="n"/>
      <c r="D576" s="113" t="n"/>
    </row>
    <row r="577" ht="15" customHeight="1" s="66">
      <c r="A577" s="113" t="n"/>
      <c r="B577" s="113" t="n"/>
      <c r="C577" s="113" t="n"/>
      <c r="D577" s="113" t="n"/>
    </row>
    <row r="578" ht="15" customHeight="1" s="66">
      <c r="A578" s="113" t="n"/>
      <c r="B578" s="113" t="n"/>
      <c r="C578" s="113" t="n"/>
      <c r="D578" s="113" t="n"/>
    </row>
    <row r="579" ht="15" customHeight="1" s="66">
      <c r="A579" s="113" t="n"/>
      <c r="B579" s="113" t="n"/>
      <c r="C579" s="113" t="n"/>
      <c r="D579" s="113" t="n"/>
    </row>
    <row r="580" ht="15" customHeight="1" s="66">
      <c r="A580" s="113" t="n"/>
      <c r="B580" s="113" t="n"/>
      <c r="C580" s="113" t="n"/>
      <c r="D580" s="113" t="n"/>
    </row>
    <row r="581" ht="15" customHeight="1" s="66">
      <c r="A581" s="113" t="n"/>
      <c r="B581" s="113" t="n"/>
      <c r="C581" s="113" t="n"/>
      <c r="D581" s="113" t="n"/>
    </row>
    <row r="582" ht="15" customHeight="1" s="66">
      <c r="A582" s="113" t="n"/>
      <c r="B582" s="113" t="n"/>
      <c r="C582" s="113" t="n"/>
      <c r="D582" s="113" t="n"/>
    </row>
    <row r="583" ht="15" customHeight="1" s="66">
      <c r="A583" s="113" t="n"/>
      <c r="B583" s="113" t="n"/>
      <c r="C583" s="113" t="n"/>
      <c r="D583" s="113" t="n"/>
    </row>
    <row r="584" ht="15" customHeight="1" s="66">
      <c r="A584" s="113" t="n"/>
      <c r="B584" s="113" t="n"/>
      <c r="C584" s="113" t="n"/>
      <c r="D584" s="113" t="n"/>
    </row>
    <row r="585" ht="15" customHeight="1" s="66">
      <c r="A585" s="113" t="n"/>
      <c r="B585" s="113" t="n"/>
      <c r="C585" s="113" t="n"/>
      <c r="D585" s="113" t="n"/>
    </row>
    <row r="586" ht="15" customHeight="1" s="66">
      <c r="A586" s="113" t="n"/>
      <c r="B586" s="113" t="n"/>
      <c r="C586" s="113" t="n"/>
      <c r="D586" s="113" t="n"/>
    </row>
    <row r="587" ht="15" customHeight="1" s="66">
      <c r="A587" s="113" t="n"/>
      <c r="B587" s="113" t="n"/>
      <c r="C587" s="113" t="n"/>
      <c r="D587" s="113" t="n"/>
    </row>
    <row r="588" ht="15" customHeight="1" s="66">
      <c r="A588" s="113" t="n"/>
      <c r="B588" s="113" t="n"/>
      <c r="C588" s="113" t="n"/>
      <c r="D588" s="113" t="n"/>
    </row>
    <row r="589" ht="15" customHeight="1" s="66">
      <c r="A589" s="113" t="n"/>
      <c r="B589" s="113" t="n"/>
      <c r="C589" s="113" t="n"/>
      <c r="D589" s="113" t="n"/>
    </row>
    <row r="590" ht="15" customHeight="1" s="66">
      <c r="A590" s="113" t="n"/>
      <c r="B590" s="113" t="n"/>
      <c r="C590" s="113" t="n"/>
      <c r="D590" s="113" t="n"/>
    </row>
    <row r="591" ht="15" customHeight="1" s="66">
      <c r="A591" s="113" t="n"/>
      <c r="B591" s="113" t="n"/>
      <c r="C591" s="113" t="n"/>
      <c r="D591" s="113" t="n"/>
    </row>
    <row r="592" ht="15" customHeight="1" s="66">
      <c r="A592" s="113" t="n"/>
      <c r="B592" s="113" t="n"/>
      <c r="C592" s="113" t="n"/>
      <c r="D592" s="113" t="n"/>
    </row>
    <row r="593" ht="15" customHeight="1" s="66">
      <c r="A593" s="113" t="n"/>
      <c r="B593" s="113" t="n"/>
      <c r="C593" s="113" t="n"/>
      <c r="D593" s="113" t="n"/>
    </row>
    <row r="594" ht="15" customHeight="1" s="66">
      <c r="A594" s="113" t="n"/>
      <c r="B594" s="113" t="n"/>
      <c r="C594" s="113" t="n"/>
      <c r="D594" s="113" t="n"/>
    </row>
    <row r="595" ht="15" customHeight="1" s="66">
      <c r="A595" s="113" t="n"/>
      <c r="B595" s="113" t="n"/>
      <c r="C595" s="113" t="n"/>
      <c r="D595" s="113" t="n"/>
    </row>
    <row r="596" ht="15" customHeight="1" s="66">
      <c r="A596" s="113" t="n"/>
      <c r="B596" s="113" t="n"/>
      <c r="C596" s="113" t="n"/>
      <c r="D596" s="113" t="n"/>
    </row>
    <row r="597" ht="15" customHeight="1" s="66">
      <c r="A597" s="113" t="n"/>
      <c r="B597" s="113" t="n"/>
      <c r="C597" s="113" t="n"/>
      <c r="D597" s="113" t="n"/>
    </row>
    <row r="598" ht="15" customHeight="1" s="66">
      <c r="A598" s="113" t="n"/>
      <c r="B598" s="113" t="n"/>
      <c r="C598" s="113" t="n"/>
      <c r="D598" s="113" t="n"/>
    </row>
    <row r="599" ht="15" customHeight="1" s="66">
      <c r="A599" s="113" t="n"/>
      <c r="B599" s="113" t="n"/>
      <c r="C599" s="113" t="n"/>
      <c r="D599" s="113" t="n"/>
    </row>
    <row r="600" ht="15" customHeight="1" s="66">
      <c r="A600" s="113" t="n"/>
      <c r="B600" s="113" t="n"/>
      <c r="C600" s="113" t="n"/>
      <c r="D600" s="113" t="n"/>
    </row>
    <row r="601" ht="15" customHeight="1" s="66">
      <c r="A601" s="113" t="n"/>
      <c r="B601" s="113" t="n"/>
      <c r="C601" s="113" t="n"/>
      <c r="D601" s="113" t="n"/>
    </row>
    <row r="602" ht="15" customHeight="1" s="66">
      <c r="A602" s="113" t="n"/>
      <c r="B602" s="113" t="n"/>
      <c r="C602" s="113" t="n"/>
      <c r="D602" s="113" t="n"/>
    </row>
    <row r="603" ht="15" customHeight="1" s="66">
      <c r="A603" s="113" t="n"/>
      <c r="B603" s="113" t="n"/>
      <c r="C603" s="113" t="n"/>
      <c r="D603" s="113" t="n"/>
    </row>
    <row r="604" ht="15" customHeight="1" s="66">
      <c r="A604" s="113" t="n"/>
      <c r="B604" s="113" t="n"/>
      <c r="C604" s="113" t="n"/>
      <c r="D604" s="113" t="n"/>
    </row>
    <row r="605" ht="15" customHeight="1" s="66">
      <c r="A605" s="113" t="n"/>
      <c r="B605" s="113" t="n"/>
      <c r="C605" s="113" t="n"/>
      <c r="D605" s="113" t="n"/>
    </row>
    <row r="606" ht="15" customHeight="1" s="66">
      <c r="A606" s="113" t="n"/>
      <c r="B606" s="113" t="n"/>
      <c r="C606" s="113" t="n"/>
      <c r="D606" s="113" t="n"/>
    </row>
    <row r="607" ht="15" customHeight="1" s="66">
      <c r="A607" s="113" t="n"/>
      <c r="B607" s="113" t="n"/>
      <c r="C607" s="113" t="n"/>
      <c r="D607" s="113" t="n"/>
    </row>
    <row r="608" ht="15" customHeight="1" s="66">
      <c r="A608" s="113" t="n"/>
      <c r="B608" s="113" t="n"/>
      <c r="C608" s="113" t="n"/>
      <c r="D608" s="113" t="n"/>
    </row>
    <row r="609" ht="15" customHeight="1" s="66">
      <c r="A609" s="113" t="n"/>
      <c r="B609" s="113" t="n"/>
      <c r="C609" s="113" t="n"/>
      <c r="D609" s="113" t="n"/>
    </row>
    <row r="610" ht="15" customHeight="1" s="66">
      <c r="A610" s="113" t="n"/>
      <c r="B610" s="113" t="n"/>
      <c r="C610" s="113" t="n"/>
      <c r="D610" s="113" t="n"/>
    </row>
    <row r="611" ht="15" customHeight="1" s="66">
      <c r="A611" s="113" t="n"/>
      <c r="B611" s="113" t="n"/>
      <c r="C611" s="113" t="n"/>
      <c r="D611" s="113" t="n"/>
    </row>
    <row r="612" ht="15" customHeight="1" s="66">
      <c r="A612" s="113" t="n"/>
      <c r="B612" s="113" t="n"/>
      <c r="C612" s="113" t="n"/>
      <c r="D612" s="113" t="n"/>
    </row>
    <row r="613" ht="15" customHeight="1" s="66">
      <c r="A613" s="113" t="n"/>
      <c r="B613" s="113" t="n"/>
      <c r="C613" s="113" t="n"/>
      <c r="D613" s="113" t="n"/>
    </row>
    <row r="614" ht="15" customHeight="1" s="66">
      <c r="A614" s="113" t="n"/>
      <c r="B614" s="113" t="n"/>
      <c r="C614" s="113" t="n"/>
      <c r="D614" s="113" t="n"/>
    </row>
    <row r="615" ht="15" customHeight="1" s="66">
      <c r="A615" s="113" t="n"/>
      <c r="B615" s="113" t="n"/>
      <c r="C615" s="113" t="n"/>
      <c r="D615" s="113" t="n"/>
    </row>
    <row r="616" ht="15" customHeight="1" s="66">
      <c r="A616" s="113" t="n"/>
      <c r="B616" s="113" t="n"/>
      <c r="C616" s="113" t="n"/>
      <c r="D616" s="113" t="n"/>
    </row>
    <row r="617" ht="15" customHeight="1" s="66">
      <c r="A617" s="113" t="n"/>
      <c r="B617" s="113" t="n"/>
      <c r="C617" s="113" t="n"/>
      <c r="D617" s="113" t="n"/>
    </row>
    <row r="618" ht="15" customHeight="1" s="66">
      <c r="A618" s="113" t="n"/>
      <c r="B618" s="113" t="n"/>
      <c r="C618" s="113" t="n"/>
      <c r="D618" s="113" t="n"/>
    </row>
    <row r="619" ht="15" customHeight="1" s="66">
      <c r="A619" s="113" t="n"/>
      <c r="B619" s="113" t="n"/>
      <c r="C619" s="113" t="n"/>
      <c r="D619" s="113" t="n"/>
    </row>
    <row r="620" ht="15" customHeight="1" s="66">
      <c r="A620" s="113" t="n"/>
      <c r="B620" s="113" t="n"/>
      <c r="C620" s="113" t="n"/>
      <c r="D620" s="113" t="n"/>
    </row>
    <row r="621" ht="15" customHeight="1" s="66">
      <c r="A621" s="113" t="n"/>
      <c r="B621" s="113" t="n"/>
      <c r="C621" s="113" t="n"/>
      <c r="D621" s="113" t="n"/>
    </row>
    <row r="622" ht="15" customHeight="1" s="66">
      <c r="A622" s="113" t="n"/>
      <c r="B622" s="113" t="n"/>
      <c r="C622" s="113" t="n"/>
      <c r="D622" s="113" t="n"/>
    </row>
    <row r="623" ht="15" customHeight="1" s="66">
      <c r="A623" s="113" t="n"/>
      <c r="B623" s="113" t="n"/>
      <c r="C623" s="113" t="n"/>
      <c r="D623" s="113" t="n"/>
    </row>
    <row r="624" ht="15" customHeight="1" s="66">
      <c r="A624" s="113" t="n"/>
      <c r="B624" s="113" t="n"/>
      <c r="C624" s="113" t="n"/>
      <c r="D624" s="113" t="n"/>
    </row>
    <row r="625" ht="15" customHeight="1" s="66">
      <c r="A625" s="113" t="n"/>
      <c r="B625" s="113" t="n"/>
      <c r="C625" s="113" t="n"/>
      <c r="D625" s="113" t="n"/>
    </row>
    <row r="626" ht="15" customHeight="1" s="66">
      <c r="A626" s="113" t="n"/>
      <c r="B626" s="113" t="n"/>
      <c r="C626" s="113" t="n"/>
      <c r="D626" s="113" t="n"/>
    </row>
    <row r="627" ht="15" customHeight="1" s="66">
      <c r="A627" s="113" t="n"/>
      <c r="B627" s="113" t="n"/>
      <c r="C627" s="113" t="n"/>
      <c r="D627" s="113" t="n"/>
    </row>
    <row r="628" ht="15" customHeight="1" s="66">
      <c r="A628" s="113" t="n"/>
      <c r="B628" s="113" t="n"/>
      <c r="C628" s="113" t="n"/>
      <c r="D628" s="113" t="n"/>
    </row>
    <row r="629" ht="15" customHeight="1" s="66">
      <c r="A629" s="113" t="n"/>
      <c r="B629" s="113" t="n"/>
      <c r="C629" s="113" t="n"/>
      <c r="D629" s="113" t="n"/>
    </row>
    <row r="630" ht="15" customHeight="1" s="66">
      <c r="A630" s="113" t="n"/>
      <c r="B630" s="113" t="n"/>
      <c r="C630" s="113" t="n"/>
      <c r="D630" s="113" t="n"/>
    </row>
    <row r="631" ht="15" customHeight="1" s="66">
      <c r="A631" s="113" t="n"/>
      <c r="B631" s="113" t="n"/>
      <c r="C631" s="113" t="n"/>
      <c r="D631" s="113" t="n"/>
    </row>
    <row r="632" ht="15" customHeight="1" s="66">
      <c r="A632" s="113" t="n"/>
      <c r="B632" s="113" t="n"/>
      <c r="C632" s="113" t="n"/>
      <c r="D632" s="113" t="n"/>
    </row>
    <row r="633" ht="15" customHeight="1" s="66">
      <c r="A633" s="113" t="n"/>
      <c r="B633" s="113" t="n"/>
      <c r="C633" s="113" t="n"/>
      <c r="D633" s="113" t="n"/>
    </row>
    <row r="634" ht="15" customHeight="1" s="66">
      <c r="A634" s="113" t="n"/>
      <c r="B634" s="113" t="n"/>
      <c r="C634" s="113" t="n"/>
      <c r="D634" s="113" t="n"/>
    </row>
    <row r="635" ht="15" customHeight="1" s="66">
      <c r="A635" s="113" t="n"/>
      <c r="B635" s="113" t="n"/>
      <c r="C635" s="113" t="n"/>
      <c r="D635" s="113" t="n"/>
    </row>
    <row r="636" ht="15" customHeight="1" s="66">
      <c r="A636" s="113" t="n"/>
      <c r="B636" s="113" t="n"/>
      <c r="C636" s="113" t="n"/>
      <c r="D636" s="113" t="n"/>
    </row>
    <row r="637" ht="15" customHeight="1" s="66">
      <c r="A637" s="113" t="n"/>
      <c r="B637" s="113" t="n"/>
      <c r="C637" s="113" t="n"/>
      <c r="D637" s="113" t="n"/>
    </row>
    <row r="638" ht="15" customHeight="1" s="66">
      <c r="A638" s="113" t="n"/>
      <c r="B638" s="113" t="n"/>
      <c r="C638" s="113" t="n"/>
      <c r="D638" s="113" t="n"/>
    </row>
    <row r="639" ht="15" customHeight="1" s="66">
      <c r="A639" s="113" t="n"/>
      <c r="B639" s="113" t="n"/>
      <c r="C639" s="113" t="n"/>
      <c r="D639" s="113" t="n"/>
    </row>
    <row r="640" ht="15" customHeight="1" s="66">
      <c r="A640" s="113" t="n"/>
      <c r="B640" s="113" t="n"/>
      <c r="C640" s="113" t="n"/>
      <c r="D640" s="113" t="n"/>
    </row>
    <row r="641" ht="15" customHeight="1" s="66">
      <c r="A641" s="113" t="n"/>
      <c r="B641" s="113" t="n"/>
      <c r="C641" s="113" t="n"/>
      <c r="D641" s="113" t="n"/>
    </row>
    <row r="642" ht="15" customHeight="1" s="66">
      <c r="A642" s="113" t="n"/>
      <c r="B642" s="113" t="n"/>
      <c r="C642" s="113" t="n"/>
      <c r="D642" s="113" t="n"/>
    </row>
    <row r="643" ht="15" customHeight="1" s="66">
      <c r="A643" s="113" t="n"/>
      <c r="B643" s="113" t="n"/>
      <c r="C643" s="113" t="n"/>
      <c r="D643" s="113" t="n"/>
    </row>
    <row r="644" ht="15" customHeight="1" s="66">
      <c r="A644" s="113" t="n"/>
      <c r="B644" s="113" t="n"/>
      <c r="C644" s="113" t="n"/>
      <c r="D644" s="113" t="n"/>
    </row>
    <row r="645" ht="15" customHeight="1" s="66">
      <c r="A645" s="113" t="n"/>
      <c r="B645" s="113" t="n"/>
      <c r="C645" s="113" t="n"/>
      <c r="D645" s="113" t="n"/>
    </row>
    <row r="646" ht="15" customHeight="1" s="66">
      <c r="A646" s="113" t="n"/>
      <c r="B646" s="113" t="n"/>
      <c r="C646" s="113" t="n"/>
      <c r="D646" s="113" t="n"/>
    </row>
    <row r="647" ht="15" customHeight="1" s="66">
      <c r="A647" s="113" t="n"/>
      <c r="B647" s="113" t="n"/>
      <c r="C647" s="113" t="n"/>
      <c r="D647" s="113" t="n"/>
    </row>
    <row r="648" ht="15" customHeight="1" s="66">
      <c r="A648" s="113" t="n"/>
      <c r="B648" s="113" t="n"/>
      <c r="C648" s="113" t="n"/>
      <c r="D648" s="113" t="n"/>
    </row>
    <row r="649" ht="15" customHeight="1" s="66">
      <c r="A649" s="113" t="n"/>
      <c r="B649" s="113" t="n"/>
      <c r="C649" s="113" t="n"/>
      <c r="D649" s="113" t="n"/>
    </row>
    <row r="650" ht="15" customHeight="1" s="66">
      <c r="A650" s="113" t="n"/>
      <c r="B650" s="113" t="n"/>
      <c r="C650" s="113" t="n"/>
      <c r="D650" s="113" t="n"/>
    </row>
    <row r="651" ht="15" customHeight="1" s="66">
      <c r="A651" s="113" t="n"/>
      <c r="B651" s="113" t="n"/>
      <c r="C651" s="113" t="n"/>
      <c r="D651" s="113" t="n"/>
    </row>
    <row r="652" ht="15" customHeight="1" s="66">
      <c r="A652" s="113" t="n"/>
      <c r="B652" s="113" t="n"/>
      <c r="C652" s="113" t="n"/>
      <c r="D652" s="113" t="n"/>
    </row>
    <row r="653" ht="15" customHeight="1" s="66">
      <c r="A653" s="113" t="n"/>
      <c r="B653" s="113" t="n"/>
      <c r="C653" s="113" t="n"/>
      <c r="D653" s="113" t="n"/>
    </row>
    <row r="654" ht="15" customHeight="1" s="66">
      <c r="A654" s="113" t="n"/>
      <c r="B654" s="113" t="n"/>
      <c r="C654" s="113" t="n"/>
      <c r="D654" s="113" t="n"/>
    </row>
    <row r="655" ht="15" customHeight="1" s="66">
      <c r="A655" s="113" t="n"/>
      <c r="B655" s="113" t="n"/>
      <c r="C655" s="113" t="n"/>
      <c r="D655" s="113" t="n"/>
    </row>
    <row r="656" ht="15" customHeight="1" s="66">
      <c r="A656" s="113" t="n"/>
      <c r="B656" s="113" t="n"/>
      <c r="C656" s="113" t="n"/>
      <c r="D656" s="113" t="n"/>
    </row>
    <row r="657" ht="15" customHeight="1" s="66">
      <c r="A657" s="113" t="n"/>
      <c r="B657" s="113" t="n"/>
      <c r="C657" s="113" t="n"/>
      <c r="D657" s="113" t="n"/>
    </row>
    <row r="658" ht="15" customHeight="1" s="66">
      <c r="A658" s="113" t="n"/>
      <c r="B658" s="113" t="n"/>
      <c r="C658" s="113" t="n"/>
      <c r="D658" s="113" t="n"/>
    </row>
    <row r="659" ht="15" customHeight="1" s="66">
      <c r="A659" s="113" t="n"/>
      <c r="B659" s="113" t="n"/>
      <c r="C659" s="113" t="n"/>
      <c r="D659" s="113" t="n"/>
    </row>
    <row r="660" ht="15" customHeight="1" s="66">
      <c r="A660" s="113" t="n"/>
      <c r="B660" s="113" t="n"/>
      <c r="C660" s="113" t="n"/>
      <c r="D660" s="113" t="n"/>
    </row>
    <row r="661" ht="15" customHeight="1" s="66">
      <c r="A661" s="113" t="n"/>
      <c r="B661" s="113" t="n"/>
      <c r="C661" s="113" t="n"/>
      <c r="D661" s="113" t="n"/>
    </row>
    <row r="662" ht="15" customHeight="1" s="66">
      <c r="A662" s="113" t="n"/>
      <c r="B662" s="113" t="n"/>
      <c r="C662" s="113" t="n"/>
      <c r="D662" s="113" t="n"/>
    </row>
    <row r="663" ht="15" customHeight="1" s="66">
      <c r="A663" s="113" t="n"/>
      <c r="B663" s="113" t="n"/>
      <c r="C663" s="113" t="n"/>
      <c r="D663" s="113" t="n"/>
    </row>
    <row r="664" ht="15" customHeight="1" s="66">
      <c r="A664" s="113" t="n"/>
      <c r="B664" s="113" t="n"/>
      <c r="C664" s="113" t="n"/>
      <c r="D664" s="113" t="n"/>
    </row>
    <row r="665" ht="15" customHeight="1" s="66">
      <c r="A665" s="113" t="n"/>
      <c r="B665" s="113" t="n"/>
      <c r="C665" s="113" t="n"/>
      <c r="D665" s="113" t="n"/>
    </row>
    <row r="666" ht="15" customHeight="1" s="66">
      <c r="A666" s="113" t="n"/>
      <c r="B666" s="113" t="n"/>
      <c r="C666" s="113" t="n"/>
      <c r="D666" s="113" t="n"/>
    </row>
    <row r="667" ht="15" customHeight="1" s="66">
      <c r="A667" s="113" t="n"/>
      <c r="B667" s="113" t="n"/>
      <c r="C667" s="113" t="n"/>
      <c r="D667" s="113" t="n"/>
    </row>
    <row r="668" ht="15" customHeight="1" s="66">
      <c r="A668" s="113" t="n"/>
      <c r="B668" s="113" t="n"/>
      <c r="C668" s="113" t="n"/>
      <c r="D668" s="113" t="n"/>
    </row>
    <row r="669" ht="15" customHeight="1" s="66">
      <c r="A669" s="113" t="n"/>
      <c r="B669" s="113" t="n"/>
      <c r="C669" s="113" t="n"/>
      <c r="D669" s="113" t="n"/>
    </row>
    <row r="670" ht="15" customHeight="1" s="66">
      <c r="A670" s="113" t="n"/>
      <c r="B670" s="113" t="n"/>
      <c r="C670" s="113" t="n"/>
      <c r="D670" s="113" t="n"/>
    </row>
    <row r="671" ht="15" customHeight="1" s="66">
      <c r="A671" s="113" t="n"/>
      <c r="B671" s="113" t="n"/>
      <c r="C671" s="113" t="n"/>
      <c r="D671" s="113" t="n"/>
    </row>
    <row r="672" ht="15" customHeight="1" s="66">
      <c r="A672" s="113" t="n"/>
      <c r="B672" s="113" t="n"/>
      <c r="C672" s="113" t="n"/>
      <c r="D672" s="113" t="n"/>
    </row>
    <row r="673" ht="15" customHeight="1" s="66">
      <c r="A673" s="113" t="n"/>
      <c r="B673" s="113" t="n"/>
      <c r="C673" s="113" t="n"/>
      <c r="D673" s="113" t="n"/>
    </row>
    <row r="674" ht="15" customHeight="1" s="66">
      <c r="A674" s="113" t="n"/>
      <c r="B674" s="113" t="n"/>
      <c r="C674" s="113" t="n"/>
      <c r="D674" s="113" t="n"/>
    </row>
    <row r="675" ht="15" customHeight="1" s="66">
      <c r="A675" s="113" t="n"/>
      <c r="B675" s="113" t="n"/>
      <c r="C675" s="113" t="n"/>
      <c r="D675" s="113" t="n"/>
    </row>
    <row r="676" ht="15" customHeight="1" s="66">
      <c r="A676" s="113" t="n"/>
      <c r="B676" s="113" t="n"/>
      <c r="C676" s="113" t="n"/>
      <c r="D676" s="113" t="n"/>
    </row>
    <row r="677" ht="15" customHeight="1" s="66">
      <c r="A677" s="113" t="n"/>
      <c r="B677" s="113" t="n"/>
      <c r="C677" s="113" t="n"/>
      <c r="D677" s="113" t="n"/>
    </row>
    <row r="678" ht="15" customHeight="1" s="66">
      <c r="A678" s="113" t="n"/>
      <c r="B678" s="113" t="n"/>
      <c r="C678" s="113" t="n"/>
      <c r="D678" s="113" t="n"/>
    </row>
    <row r="679" ht="15" customHeight="1" s="66">
      <c r="A679" s="113" t="n"/>
      <c r="B679" s="113" t="n"/>
      <c r="C679" s="113" t="n"/>
      <c r="D679" s="113" t="n"/>
    </row>
    <row r="680" ht="15" customHeight="1" s="66">
      <c r="A680" s="113" t="n"/>
      <c r="B680" s="113" t="n"/>
      <c r="C680" s="113" t="n"/>
      <c r="D680" s="113" t="n"/>
    </row>
    <row r="681" ht="15" customHeight="1" s="66">
      <c r="A681" s="113" t="n"/>
      <c r="B681" s="113" t="n"/>
      <c r="C681" s="113" t="n"/>
      <c r="D681" s="113" t="n"/>
    </row>
    <row r="682" ht="15" customHeight="1" s="66">
      <c r="A682" s="113" t="n"/>
      <c r="B682" s="113" t="n"/>
      <c r="C682" s="113" t="n"/>
      <c r="D682" s="113" t="n"/>
    </row>
    <row r="683" ht="15" customHeight="1" s="66">
      <c r="A683" s="113" t="n"/>
      <c r="B683" s="113" t="n"/>
      <c r="C683" s="113" t="n"/>
      <c r="D683" s="113" t="n"/>
    </row>
    <row r="684" ht="15" customHeight="1" s="66">
      <c r="A684" s="113" t="n"/>
      <c r="B684" s="113" t="n"/>
      <c r="C684" s="113" t="n"/>
      <c r="D684" s="113" t="n"/>
    </row>
    <row r="685" ht="15" customHeight="1" s="66">
      <c r="A685" s="113" t="n"/>
      <c r="B685" s="113" t="n"/>
      <c r="C685" s="113" t="n"/>
      <c r="D685" s="113" t="n"/>
    </row>
    <row r="686" ht="15" customHeight="1" s="66">
      <c r="A686" s="113" t="n"/>
      <c r="B686" s="113" t="n"/>
      <c r="C686" s="113" t="n"/>
      <c r="D686" s="113" t="n"/>
    </row>
    <row r="687" ht="15" customHeight="1" s="66">
      <c r="A687" s="113" t="n"/>
      <c r="B687" s="113" t="n"/>
      <c r="C687" s="113" t="n"/>
      <c r="D687" s="113" t="n"/>
    </row>
    <row r="688" ht="15" customHeight="1" s="66">
      <c r="A688" s="113" t="n"/>
      <c r="B688" s="113" t="n"/>
      <c r="C688" s="113" t="n"/>
      <c r="D688" s="113" t="n"/>
    </row>
    <row r="689" ht="15" customHeight="1" s="66">
      <c r="A689" s="113" t="n"/>
      <c r="B689" s="113" t="n"/>
      <c r="C689" s="113" t="n"/>
      <c r="D689" s="113" t="n"/>
    </row>
    <row r="690" ht="15" customHeight="1" s="66">
      <c r="A690" s="113" t="n"/>
      <c r="B690" s="113" t="n"/>
      <c r="C690" s="113" t="n"/>
      <c r="D690" s="113" t="n"/>
    </row>
    <row r="691" ht="15" customHeight="1" s="66">
      <c r="A691" s="113" t="n"/>
      <c r="B691" s="113" t="n"/>
      <c r="C691" s="113" t="n"/>
      <c r="D691" s="113" t="n"/>
    </row>
    <row r="692" ht="15" customHeight="1" s="66">
      <c r="A692" s="113" t="n"/>
      <c r="B692" s="113" t="n"/>
      <c r="C692" s="113" t="n"/>
      <c r="D692" s="113" t="n"/>
    </row>
    <row r="693" ht="15" customHeight="1" s="66">
      <c r="A693" s="113" t="n"/>
      <c r="B693" s="113" t="n"/>
      <c r="C693" s="113" t="n"/>
      <c r="D693" s="113" t="n"/>
    </row>
    <row r="694" ht="15" customHeight="1" s="66">
      <c r="A694" s="113" t="n"/>
      <c r="B694" s="113" t="n"/>
      <c r="C694" s="113" t="n"/>
      <c r="D694" s="113" t="n"/>
    </row>
    <row r="695" ht="15" customHeight="1" s="66">
      <c r="A695" s="113" t="n"/>
      <c r="B695" s="113" t="n"/>
      <c r="C695" s="113" t="n"/>
      <c r="D695" s="113" t="n"/>
    </row>
    <row r="696" ht="15" customHeight="1" s="66">
      <c r="A696" s="113" t="n"/>
      <c r="B696" s="113" t="n"/>
      <c r="C696" s="113" t="n"/>
      <c r="D696" s="113" t="n"/>
    </row>
    <row r="697" ht="15" customHeight="1" s="66">
      <c r="A697" s="113" t="n"/>
      <c r="B697" s="113" t="n"/>
      <c r="C697" s="113" t="n"/>
      <c r="D697" s="113" t="n"/>
    </row>
    <row r="698" ht="15" customHeight="1" s="66">
      <c r="A698" s="113" t="n"/>
      <c r="B698" s="113" t="n"/>
      <c r="C698" s="113" t="n"/>
      <c r="D698" s="113" t="n"/>
    </row>
    <row r="699" ht="15" customHeight="1" s="66">
      <c r="A699" s="113" t="n"/>
      <c r="B699" s="113" t="n"/>
      <c r="C699" s="113" t="n"/>
      <c r="D699" s="113" t="n"/>
    </row>
    <row r="700" ht="15" customHeight="1" s="66">
      <c r="A700" s="113" t="n"/>
      <c r="B700" s="113" t="n"/>
      <c r="C700" s="113" t="n"/>
      <c r="D700" s="113" t="n"/>
    </row>
    <row r="701" ht="15" customHeight="1" s="66">
      <c r="A701" s="113" t="n"/>
      <c r="B701" s="113" t="n"/>
      <c r="C701" s="113" t="n"/>
      <c r="D701" s="113" t="n"/>
    </row>
    <row r="702" ht="15" customHeight="1" s="66">
      <c r="A702" s="113" t="n"/>
      <c r="B702" s="113" t="n"/>
      <c r="C702" s="113" t="n"/>
      <c r="D702" s="113" t="n"/>
    </row>
    <row r="703" ht="15" customHeight="1" s="66">
      <c r="A703" s="113" t="n"/>
      <c r="B703" s="113" t="n"/>
      <c r="C703" s="113" t="n"/>
      <c r="D703" s="113" t="n"/>
    </row>
    <row r="704" ht="15" customHeight="1" s="66">
      <c r="A704" s="113" t="n"/>
      <c r="B704" s="113" t="n"/>
      <c r="C704" s="113" t="n"/>
      <c r="D704" s="113" t="n"/>
    </row>
    <row r="705" ht="15" customHeight="1" s="66">
      <c r="A705" s="113" t="n"/>
      <c r="B705" s="113" t="n"/>
      <c r="C705" s="113" t="n"/>
      <c r="D705" s="113" t="n"/>
    </row>
    <row r="706" ht="15" customHeight="1" s="66">
      <c r="A706" s="113" t="n"/>
      <c r="B706" s="113" t="n"/>
      <c r="C706" s="113" t="n"/>
      <c r="D706" s="113" t="n"/>
    </row>
    <row r="707" ht="15" customHeight="1" s="66">
      <c r="A707" s="113" t="n"/>
      <c r="B707" s="113" t="n"/>
      <c r="C707" s="113" t="n"/>
      <c r="D707" s="113" t="n"/>
    </row>
    <row r="708" ht="15" customHeight="1" s="66">
      <c r="A708" s="113" t="n"/>
      <c r="B708" s="113" t="n"/>
      <c r="C708" s="113" t="n"/>
      <c r="D708" s="113" t="n"/>
    </row>
    <row r="709" ht="15" customHeight="1" s="66">
      <c r="A709" s="113" t="n"/>
      <c r="B709" s="113" t="n"/>
      <c r="C709" s="113" t="n"/>
      <c r="D709" s="113" t="n"/>
    </row>
    <row r="710" ht="15" customHeight="1" s="66">
      <c r="A710" s="113" t="n"/>
      <c r="B710" s="113" t="n"/>
      <c r="C710" s="113" t="n"/>
      <c r="D710" s="113" t="n"/>
    </row>
    <row r="711" ht="15" customHeight="1" s="66">
      <c r="A711" s="113" t="n"/>
      <c r="B711" s="113" t="n"/>
      <c r="C711" s="113" t="n"/>
      <c r="D711" s="113" t="n"/>
    </row>
    <row r="712" ht="15" customHeight="1" s="66">
      <c r="A712" s="113" t="n"/>
      <c r="B712" s="113" t="n"/>
      <c r="C712" s="113" t="n"/>
      <c r="D712" s="113" t="n"/>
    </row>
    <row r="713" ht="15" customHeight="1" s="66">
      <c r="A713" s="113" t="n"/>
      <c r="B713" s="113" t="n"/>
      <c r="C713" s="113" t="n"/>
      <c r="D713" s="113" t="n"/>
    </row>
    <row r="714" ht="15" customHeight="1" s="66">
      <c r="A714" s="113" t="n"/>
      <c r="B714" s="113" t="n"/>
      <c r="C714" s="113" t="n"/>
      <c r="D714" s="113" t="n"/>
    </row>
    <row r="715" ht="15" customHeight="1" s="66">
      <c r="A715" s="113" t="n"/>
      <c r="B715" s="113" t="n"/>
      <c r="C715" s="113" t="n"/>
      <c r="D715" s="113" t="n"/>
    </row>
    <row r="716" ht="15" customHeight="1" s="66">
      <c r="A716" s="113" t="n"/>
      <c r="B716" s="113" t="n"/>
      <c r="C716" s="113" t="n"/>
      <c r="D716" s="113" t="n"/>
    </row>
    <row r="717" ht="15" customHeight="1" s="66">
      <c r="A717" s="113" t="n"/>
      <c r="B717" s="113" t="n"/>
      <c r="C717" s="113" t="n"/>
      <c r="D717" s="113" t="n"/>
    </row>
    <row r="718" ht="15" customHeight="1" s="66">
      <c r="A718" s="113" t="n"/>
      <c r="B718" s="113" t="n"/>
      <c r="C718" s="113" t="n"/>
      <c r="D718" s="113" t="n"/>
    </row>
    <row r="719" ht="15" customHeight="1" s="66">
      <c r="A719" s="113" t="n"/>
      <c r="B719" s="113" t="n"/>
      <c r="C719" s="113" t="n"/>
      <c r="D719" s="113" t="n"/>
    </row>
    <row r="720" ht="15" customHeight="1" s="66">
      <c r="A720" s="113" t="n"/>
      <c r="B720" s="113" t="n"/>
      <c r="C720" s="113" t="n"/>
      <c r="D720" s="113" t="n"/>
    </row>
    <row r="721" ht="15" customHeight="1" s="66">
      <c r="A721" s="113" t="n"/>
      <c r="B721" s="113" t="n"/>
      <c r="C721" s="113" t="n"/>
      <c r="D721" s="113" t="n"/>
    </row>
    <row r="722" ht="15" customHeight="1" s="66">
      <c r="A722" s="113" t="n"/>
      <c r="B722" s="113" t="n"/>
      <c r="C722" s="113" t="n"/>
      <c r="D722" s="113" t="n"/>
    </row>
    <row r="723" ht="15" customHeight="1" s="66">
      <c r="A723" s="113" t="n"/>
      <c r="B723" s="113" t="n"/>
      <c r="C723" s="113" t="n"/>
      <c r="D723" s="113" t="n"/>
    </row>
    <row r="724" ht="15" customHeight="1" s="66">
      <c r="A724" s="113" t="n"/>
      <c r="B724" s="113" t="n"/>
      <c r="C724" s="113" t="n"/>
      <c r="D724" s="113" t="n"/>
    </row>
    <row r="725" ht="15" customHeight="1" s="66">
      <c r="A725" s="113" t="n"/>
      <c r="B725" s="113" t="n"/>
      <c r="C725" s="113" t="n"/>
      <c r="D725" s="113" t="n"/>
    </row>
    <row r="726" ht="15" customHeight="1" s="66">
      <c r="A726" s="113" t="n"/>
      <c r="B726" s="113" t="n"/>
      <c r="C726" s="113" t="n"/>
      <c r="D726" s="113" t="n"/>
    </row>
    <row r="727" ht="15" customHeight="1" s="66">
      <c r="A727" s="113" t="n"/>
      <c r="B727" s="113" t="n"/>
      <c r="C727" s="113" t="n"/>
      <c r="D727" s="113" t="n"/>
    </row>
    <row r="728" ht="15" customHeight="1" s="66">
      <c r="A728" s="113" t="n"/>
      <c r="B728" s="113" t="n"/>
      <c r="C728" s="113" t="n"/>
      <c r="D728" s="113" t="n"/>
    </row>
    <row r="729" ht="15" customHeight="1" s="66">
      <c r="A729" s="113" t="n"/>
      <c r="B729" s="113" t="n"/>
      <c r="C729" s="113" t="n"/>
      <c r="D729" s="113" t="n"/>
    </row>
    <row r="730" ht="15" customHeight="1" s="66">
      <c r="A730" s="113" t="n"/>
      <c r="B730" s="113" t="n"/>
      <c r="C730" s="113" t="n"/>
      <c r="D730" s="113" t="n"/>
    </row>
    <row r="731" ht="15" customHeight="1" s="66">
      <c r="A731" s="113" t="n"/>
      <c r="B731" s="113" t="n"/>
      <c r="C731" s="113" t="n"/>
      <c r="D731" s="113" t="n"/>
    </row>
    <row r="732" ht="15" customHeight="1" s="66">
      <c r="A732" s="113" t="n"/>
      <c r="B732" s="113" t="n"/>
      <c r="C732" s="113" t="n"/>
      <c r="D732" s="113" t="n"/>
    </row>
    <row r="733" ht="15" customHeight="1" s="66">
      <c r="A733" s="113" t="n"/>
      <c r="B733" s="113" t="n"/>
      <c r="C733" s="113" t="n"/>
      <c r="D733" s="113" t="n"/>
    </row>
    <row r="734" ht="15" customHeight="1" s="66">
      <c r="A734" s="113" t="n"/>
      <c r="B734" s="113" t="n"/>
      <c r="C734" s="113" t="n"/>
      <c r="D734" s="113" t="n"/>
    </row>
    <row r="735" ht="15" customHeight="1" s="66">
      <c r="A735" s="113" t="n"/>
      <c r="B735" s="113" t="n"/>
      <c r="C735" s="113" t="n"/>
      <c r="D735" s="113" t="n"/>
    </row>
    <row r="736" ht="15" customHeight="1" s="66">
      <c r="A736" s="113" t="n"/>
      <c r="B736" s="113" t="n"/>
      <c r="C736" s="113" t="n"/>
      <c r="D736" s="113" t="n"/>
    </row>
    <row r="737" ht="15" customHeight="1" s="66">
      <c r="A737" s="113" t="n"/>
      <c r="B737" s="113" t="n"/>
      <c r="C737" s="113" t="n"/>
      <c r="D737" s="113" t="n"/>
    </row>
    <row r="738" ht="15" customHeight="1" s="66">
      <c r="A738" s="113" t="n"/>
      <c r="B738" s="113" t="n"/>
      <c r="C738" s="113" t="n"/>
      <c r="D738" s="113" t="n"/>
    </row>
    <row r="739" ht="15" customHeight="1" s="66">
      <c r="A739" s="113" t="n"/>
      <c r="B739" s="113" t="n"/>
      <c r="C739" s="113" t="n"/>
      <c r="D739" s="113" t="n"/>
    </row>
    <row r="740" ht="15" customHeight="1" s="66">
      <c r="A740" s="113" t="n"/>
      <c r="B740" s="113" t="n"/>
      <c r="C740" s="113" t="n"/>
      <c r="D740" s="113" t="n"/>
    </row>
    <row r="741" ht="15" customHeight="1" s="66">
      <c r="A741" s="113" t="n"/>
      <c r="B741" s="113" t="n"/>
      <c r="C741" s="113" t="n"/>
      <c r="D741" s="113" t="n"/>
    </row>
    <row r="742" ht="15" customHeight="1" s="66">
      <c r="A742" s="113" t="n"/>
      <c r="B742" s="113" t="n"/>
      <c r="C742" s="113" t="n"/>
      <c r="D742" s="113" t="n"/>
    </row>
    <row r="743" ht="15" customHeight="1" s="66">
      <c r="A743" s="113" t="n"/>
      <c r="B743" s="113" t="n"/>
      <c r="C743" s="113" t="n"/>
      <c r="D743" s="113" t="n"/>
    </row>
    <row r="744" ht="15" customHeight="1" s="66">
      <c r="A744" s="113" t="n"/>
      <c r="B744" s="113" t="n"/>
      <c r="C744" s="113" t="n"/>
      <c r="D744" s="113" t="n"/>
    </row>
    <row r="745" ht="15" customHeight="1" s="66">
      <c r="A745" s="113" t="n"/>
      <c r="B745" s="113" t="n"/>
      <c r="C745" s="113" t="n"/>
      <c r="D745" s="113" t="n"/>
    </row>
    <row r="746" ht="15" customHeight="1" s="66">
      <c r="A746" s="113" t="n"/>
      <c r="B746" s="113" t="n"/>
      <c r="C746" s="113" t="n"/>
      <c r="D746" s="113" t="n"/>
    </row>
    <row r="747" ht="15" customHeight="1" s="66">
      <c r="A747" s="113" t="n"/>
      <c r="B747" s="113" t="n"/>
      <c r="C747" s="113" t="n"/>
      <c r="D747" s="113" t="n"/>
    </row>
    <row r="748" ht="15" customHeight="1" s="66">
      <c r="A748" s="113" t="n"/>
      <c r="B748" s="113" t="n"/>
      <c r="C748" s="113" t="n"/>
      <c r="D748" s="113" t="n"/>
    </row>
    <row r="749" ht="15" customHeight="1" s="66">
      <c r="A749" s="113" t="n"/>
      <c r="B749" s="113" t="n"/>
      <c r="C749" s="113" t="n"/>
      <c r="D749" s="113" t="n"/>
    </row>
    <row r="750" ht="15" customHeight="1" s="66">
      <c r="A750" s="113" t="n"/>
      <c r="B750" s="113" t="n"/>
      <c r="C750" s="113" t="n"/>
      <c r="D750" s="113" t="n"/>
    </row>
    <row r="751" ht="15" customHeight="1" s="66">
      <c r="A751" s="113" t="n"/>
      <c r="B751" s="113" t="n"/>
      <c r="C751" s="113" t="n"/>
      <c r="D751" s="113" t="n"/>
    </row>
    <row r="752" ht="15" customHeight="1" s="66">
      <c r="A752" s="113" t="n"/>
      <c r="B752" s="113" t="n"/>
      <c r="C752" s="113" t="n"/>
      <c r="D752" s="113" t="n"/>
    </row>
    <row r="753" ht="15" customHeight="1" s="66">
      <c r="A753" s="113" t="n"/>
      <c r="B753" s="113" t="n"/>
      <c r="C753" s="113" t="n"/>
      <c r="D753" s="113" t="n"/>
    </row>
    <row r="754" ht="15" customHeight="1" s="66">
      <c r="A754" s="113" t="n"/>
      <c r="B754" s="113" t="n"/>
      <c r="C754" s="113" t="n"/>
      <c r="D754" s="113" t="n"/>
    </row>
    <row r="755" ht="15" customHeight="1" s="66">
      <c r="A755" s="113" t="n"/>
      <c r="B755" s="113" t="n"/>
      <c r="C755" s="113" t="n"/>
      <c r="D755" s="113" t="n"/>
    </row>
    <row r="756" ht="15" customHeight="1" s="66">
      <c r="A756" s="113" t="n"/>
      <c r="B756" s="113" t="n"/>
      <c r="C756" s="113" t="n"/>
      <c r="D756" s="113" t="n"/>
    </row>
    <row r="757" ht="15" customHeight="1" s="66">
      <c r="A757" s="113" t="n"/>
      <c r="B757" s="113" t="n"/>
      <c r="C757" s="113" t="n"/>
      <c r="D757" s="113" t="n"/>
    </row>
    <row r="758" ht="15" customHeight="1" s="66">
      <c r="A758" s="113" t="n"/>
      <c r="B758" s="113" t="n"/>
      <c r="C758" s="113" t="n"/>
      <c r="D758" s="113" t="n"/>
    </row>
    <row r="759" ht="15" customHeight="1" s="66">
      <c r="A759" s="113" t="n"/>
      <c r="B759" s="113" t="n"/>
      <c r="C759" s="113" t="n"/>
      <c r="D759" s="113" t="n"/>
    </row>
    <row r="760" ht="15" customHeight="1" s="66">
      <c r="A760" s="113" t="n"/>
      <c r="B760" s="113" t="n"/>
      <c r="C760" s="113" t="n"/>
      <c r="D760" s="113" t="n"/>
    </row>
    <row r="761" ht="15" customHeight="1" s="66">
      <c r="A761" s="113" t="n"/>
      <c r="B761" s="113" t="n"/>
      <c r="C761" s="113" t="n"/>
      <c r="D761" s="113" t="n"/>
    </row>
    <row r="762" ht="15" customHeight="1" s="66">
      <c r="A762" s="113" t="n"/>
      <c r="B762" s="113" t="n"/>
      <c r="C762" s="113" t="n"/>
      <c r="D762" s="113" t="n"/>
    </row>
    <row r="763" ht="15" customHeight="1" s="66">
      <c r="A763" s="113" t="n"/>
      <c r="B763" s="113" t="n"/>
      <c r="C763" s="113" t="n"/>
      <c r="D763" s="113" t="n"/>
    </row>
    <row r="764" ht="15" customHeight="1" s="66">
      <c r="A764" s="113" t="n"/>
      <c r="B764" s="113" t="n"/>
      <c r="C764" s="113" t="n"/>
      <c r="D764" s="113" t="n"/>
    </row>
    <row r="765" ht="15" customHeight="1" s="66">
      <c r="A765" s="113" t="n"/>
      <c r="B765" s="113" t="n"/>
      <c r="C765" s="113" t="n"/>
      <c r="D765" s="113" t="n"/>
    </row>
    <row r="766" ht="15" customHeight="1" s="66">
      <c r="A766" s="113" t="n"/>
      <c r="B766" s="113" t="n"/>
      <c r="C766" s="113" t="n"/>
      <c r="D766" s="113" t="n"/>
    </row>
    <row r="767" ht="15" customHeight="1" s="66">
      <c r="A767" s="113" t="n"/>
      <c r="B767" s="113" t="n"/>
      <c r="C767" s="113" t="n"/>
      <c r="D767" s="113" t="n"/>
    </row>
    <row r="768" ht="15" customHeight="1" s="66">
      <c r="A768" s="113" t="n"/>
      <c r="B768" s="113" t="n"/>
      <c r="C768" s="113" t="n"/>
      <c r="D768" s="113" t="n"/>
    </row>
    <row r="769" ht="15" customHeight="1" s="66">
      <c r="A769" s="113" t="n"/>
      <c r="B769" s="113" t="n"/>
      <c r="C769" s="113" t="n"/>
      <c r="D769" s="113" t="n"/>
    </row>
    <row r="770" ht="15" customHeight="1" s="66">
      <c r="A770" s="113" t="n"/>
      <c r="B770" s="113" t="n"/>
      <c r="C770" s="113" t="n"/>
      <c r="D770" s="113" t="n"/>
    </row>
    <row r="771" ht="15" customHeight="1" s="66">
      <c r="A771" s="113" t="n"/>
      <c r="B771" s="113" t="n"/>
      <c r="C771" s="113" t="n"/>
      <c r="D771" s="113" t="n"/>
    </row>
    <row r="772" ht="15" customHeight="1" s="66">
      <c r="A772" s="113" t="n"/>
      <c r="B772" s="113" t="n"/>
      <c r="C772" s="113" t="n"/>
      <c r="D772" s="113" t="n"/>
    </row>
    <row r="773" ht="15" customHeight="1" s="66">
      <c r="A773" s="113" t="n"/>
      <c r="B773" s="113" t="n"/>
      <c r="C773" s="113" t="n"/>
      <c r="D773" s="113" t="n"/>
    </row>
    <row r="774" ht="15" customHeight="1" s="66">
      <c r="A774" s="113" t="n"/>
      <c r="B774" s="113" t="n"/>
      <c r="C774" s="113" t="n"/>
      <c r="D774" s="113" t="n"/>
    </row>
    <row r="775" ht="15" customHeight="1" s="66">
      <c r="A775" s="113" t="n"/>
      <c r="B775" s="113" t="n"/>
      <c r="C775" s="113" t="n"/>
      <c r="D775" s="113" t="n"/>
    </row>
    <row r="776" ht="15" customHeight="1" s="66">
      <c r="A776" s="113" t="n"/>
      <c r="B776" s="113" t="n"/>
      <c r="C776" s="113" t="n"/>
      <c r="D776" s="113" t="n"/>
    </row>
    <row r="777" ht="15" customHeight="1" s="66">
      <c r="A777" s="113" t="n"/>
      <c r="B777" s="113" t="n"/>
      <c r="C777" s="113" t="n"/>
      <c r="D777" s="113" t="n"/>
    </row>
    <row r="778" ht="15" customHeight="1" s="66">
      <c r="A778" s="113" t="n"/>
      <c r="B778" s="113" t="n"/>
      <c r="C778" s="113" t="n"/>
      <c r="D778" s="113" t="n"/>
    </row>
    <row r="779" ht="15" customHeight="1" s="66">
      <c r="A779" s="113" t="n"/>
      <c r="B779" s="113" t="n"/>
      <c r="C779" s="113" t="n"/>
      <c r="D779" s="113" t="n"/>
    </row>
    <row r="780" ht="15" customHeight="1" s="66">
      <c r="A780" s="113" t="n"/>
      <c r="B780" s="113" t="n"/>
      <c r="C780" s="113" t="n"/>
      <c r="D780" s="113" t="n"/>
    </row>
    <row r="781" ht="15" customHeight="1" s="66">
      <c r="A781" s="113" t="n"/>
      <c r="B781" s="113" t="n"/>
      <c r="C781" s="113" t="n"/>
      <c r="D781" s="113" t="n"/>
    </row>
    <row r="782" ht="15" customHeight="1" s="66">
      <c r="A782" s="113" t="n"/>
      <c r="B782" s="113" t="n"/>
      <c r="C782" s="113" t="n"/>
      <c r="D782" s="113" t="n"/>
    </row>
    <row r="783" ht="15" customHeight="1" s="66">
      <c r="A783" s="113" t="n"/>
      <c r="B783" s="113" t="n"/>
      <c r="C783" s="113" t="n"/>
      <c r="D783" s="113" t="n"/>
    </row>
    <row r="784" ht="15" customHeight="1" s="66">
      <c r="A784" s="113" t="n"/>
      <c r="B784" s="113" t="n"/>
      <c r="C784" s="113" t="n"/>
      <c r="D784" s="113" t="n"/>
    </row>
    <row r="785" ht="15" customHeight="1" s="66">
      <c r="A785" s="113" t="n"/>
      <c r="B785" s="113" t="n"/>
      <c r="C785" s="113" t="n"/>
      <c r="D785" s="113" t="n"/>
    </row>
    <row r="786" ht="15" customHeight="1" s="66">
      <c r="A786" s="113" t="n"/>
      <c r="B786" s="113" t="n"/>
      <c r="C786" s="113" t="n"/>
      <c r="D786" s="113" t="n"/>
    </row>
    <row r="787" ht="15" customHeight="1" s="66">
      <c r="A787" s="113" t="n"/>
      <c r="B787" s="113" t="n"/>
      <c r="C787" s="113" t="n"/>
      <c r="D787" s="113" t="n"/>
    </row>
    <row r="788" ht="15" customHeight="1" s="66">
      <c r="A788" s="113" t="n"/>
      <c r="B788" s="113" t="n"/>
      <c r="C788" s="113" t="n"/>
      <c r="D788" s="113" t="n"/>
    </row>
    <row r="789" ht="15" customHeight="1" s="66">
      <c r="A789" s="113" t="n"/>
      <c r="B789" s="113" t="n"/>
      <c r="C789" s="113" t="n"/>
      <c r="D789" s="113" t="n"/>
    </row>
    <row r="790" ht="15" customHeight="1" s="66">
      <c r="A790" s="113" t="n"/>
      <c r="B790" s="113" t="n"/>
      <c r="C790" s="113" t="n"/>
      <c r="D790" s="113" t="n"/>
    </row>
    <row r="791" ht="15" customHeight="1" s="66">
      <c r="A791" s="113" t="n"/>
      <c r="B791" s="113" t="n"/>
      <c r="C791" s="113" t="n"/>
      <c r="D791" s="113" t="n"/>
    </row>
    <row r="792" ht="15" customHeight="1" s="66">
      <c r="A792" s="113" t="n"/>
      <c r="B792" s="113" t="n"/>
      <c r="C792" s="113" t="n"/>
      <c r="D792" s="113" t="n"/>
    </row>
    <row r="793" ht="15" customHeight="1" s="66">
      <c r="A793" s="113" t="n"/>
      <c r="B793" s="113" t="n"/>
      <c r="C793" s="113" t="n"/>
      <c r="D793" s="113" t="n"/>
    </row>
    <row r="794" ht="15" customHeight="1" s="66">
      <c r="A794" s="113" t="n"/>
      <c r="B794" s="113" t="n"/>
      <c r="C794" s="113" t="n"/>
      <c r="D794" s="113" t="n"/>
    </row>
    <row r="795" ht="15" customHeight="1" s="66">
      <c r="A795" s="113" t="n"/>
      <c r="B795" s="113" t="n"/>
      <c r="C795" s="113" t="n"/>
      <c r="D795" s="113" t="n"/>
    </row>
    <row r="796" ht="15" customHeight="1" s="66">
      <c r="A796" s="113" t="n"/>
      <c r="B796" s="113" t="n"/>
      <c r="C796" s="113" t="n"/>
      <c r="D796" s="113" t="n"/>
    </row>
    <row r="797" ht="15" customHeight="1" s="66">
      <c r="A797" s="113" t="n"/>
      <c r="B797" s="113" t="n"/>
      <c r="C797" s="113" t="n"/>
      <c r="D797" s="113" t="n"/>
    </row>
    <row r="798" ht="15" customHeight="1" s="66">
      <c r="A798" s="113" t="n"/>
      <c r="B798" s="113" t="n"/>
      <c r="C798" s="113" t="n"/>
      <c r="D798" s="113" t="n"/>
    </row>
    <row r="799" ht="15" customHeight="1" s="66">
      <c r="A799" s="113" t="n"/>
      <c r="B799" s="113" t="n"/>
      <c r="C799" s="113" t="n"/>
      <c r="D799" s="113" t="n"/>
    </row>
    <row r="800" ht="15" customHeight="1" s="66">
      <c r="A800" s="113" t="n"/>
      <c r="B800" s="113" t="n"/>
      <c r="C800" s="113" t="n"/>
      <c r="D800" s="113" t="n"/>
    </row>
    <row r="801" ht="15" customHeight="1" s="66">
      <c r="A801" s="113" t="n"/>
      <c r="B801" s="113" t="n"/>
      <c r="C801" s="113" t="n"/>
      <c r="D801" s="113" t="n"/>
    </row>
    <row r="802" ht="15" customHeight="1" s="66">
      <c r="A802" s="113" t="n"/>
      <c r="B802" s="113" t="n"/>
      <c r="C802" s="113" t="n"/>
      <c r="D802" s="113" t="n"/>
    </row>
    <row r="803" ht="15" customHeight="1" s="66">
      <c r="A803" s="113" t="n"/>
      <c r="B803" s="113" t="n"/>
      <c r="C803" s="113" t="n"/>
      <c r="D803" s="113" t="n"/>
    </row>
    <row r="804" ht="15" customHeight="1" s="66">
      <c r="A804" s="113" t="n"/>
      <c r="B804" s="113" t="n"/>
      <c r="C804" s="113" t="n"/>
      <c r="D804" s="113" t="n"/>
    </row>
    <row r="805" ht="15" customHeight="1" s="66">
      <c r="A805" s="113" t="n"/>
      <c r="B805" s="113" t="n"/>
      <c r="C805" s="113" t="n"/>
      <c r="D805" s="113" t="n"/>
    </row>
    <row r="806" ht="15" customHeight="1" s="66">
      <c r="A806" s="113" t="n"/>
      <c r="B806" s="113" t="n"/>
      <c r="C806" s="113" t="n"/>
      <c r="D806" s="113" t="n"/>
    </row>
    <row r="807" ht="15" customHeight="1" s="66">
      <c r="A807" s="113" t="n"/>
      <c r="B807" s="113" t="n"/>
      <c r="C807" s="113" t="n"/>
      <c r="D807" s="113" t="n"/>
    </row>
    <row r="808" ht="15" customHeight="1" s="66">
      <c r="A808" s="113" t="n"/>
      <c r="B808" s="113" t="n"/>
      <c r="C808" s="113" t="n"/>
      <c r="D808" s="113" t="n"/>
    </row>
    <row r="809" ht="15" customHeight="1" s="66">
      <c r="A809" s="113" t="n"/>
      <c r="B809" s="113" t="n"/>
      <c r="C809" s="113" t="n"/>
      <c r="D809" s="113" t="n"/>
    </row>
    <row r="810" ht="15" customHeight="1" s="66">
      <c r="A810" s="113" t="n"/>
      <c r="B810" s="113" t="n"/>
      <c r="C810" s="113" t="n"/>
      <c r="D810" s="113" t="n"/>
    </row>
    <row r="811" ht="15" customHeight="1" s="66">
      <c r="A811" s="113" t="n"/>
      <c r="B811" s="113" t="n"/>
      <c r="C811" s="113" t="n"/>
      <c r="D811" s="113" t="n"/>
    </row>
    <row r="812" ht="15" customHeight="1" s="66">
      <c r="A812" s="113" t="n"/>
      <c r="B812" s="113" t="n"/>
      <c r="C812" s="113" t="n"/>
      <c r="D812" s="113" t="n"/>
    </row>
    <row r="813" ht="15" customHeight="1" s="66">
      <c r="A813" s="113" t="n"/>
      <c r="B813" s="113" t="n"/>
      <c r="C813" s="113" t="n"/>
      <c r="D813" s="113" t="n"/>
    </row>
    <row r="814" ht="15" customHeight="1" s="66">
      <c r="A814" s="113" t="n"/>
      <c r="B814" s="113" t="n"/>
      <c r="C814" s="113" t="n"/>
      <c r="D814" s="113" t="n"/>
    </row>
    <row r="815" ht="15" customHeight="1" s="66">
      <c r="A815" s="113" t="n"/>
      <c r="B815" s="113" t="n"/>
      <c r="C815" s="113" t="n"/>
      <c r="D815" s="113" t="n"/>
    </row>
    <row r="816" ht="15" customHeight="1" s="66">
      <c r="A816" s="113" t="n"/>
      <c r="B816" s="113" t="n"/>
      <c r="C816" s="113" t="n"/>
      <c r="D816" s="113" t="n"/>
    </row>
    <row r="817" ht="15" customHeight="1" s="66">
      <c r="A817" s="113" t="n"/>
      <c r="B817" s="113" t="n"/>
      <c r="C817" s="113" t="n"/>
      <c r="D817" s="113" t="n"/>
    </row>
    <row r="818" ht="15" customHeight="1" s="66">
      <c r="A818" s="113" t="n"/>
      <c r="B818" s="113" t="n"/>
      <c r="C818" s="113" t="n"/>
      <c r="D818" s="113" t="n"/>
    </row>
    <row r="819" ht="15" customHeight="1" s="66">
      <c r="A819" s="113" t="n"/>
      <c r="B819" s="113" t="n"/>
      <c r="C819" s="113" t="n"/>
      <c r="D819" s="113" t="n"/>
    </row>
    <row r="820" ht="15" customHeight="1" s="66">
      <c r="A820" s="113" t="n"/>
      <c r="B820" s="113" t="n"/>
      <c r="C820" s="113" t="n"/>
      <c r="D820" s="113" t="n"/>
    </row>
    <row r="821" ht="15" customHeight="1" s="66">
      <c r="A821" s="113" t="n"/>
      <c r="B821" s="113" t="n"/>
      <c r="C821" s="113" t="n"/>
      <c r="D821" s="113" t="n"/>
    </row>
    <row r="822" ht="15" customHeight="1" s="66">
      <c r="A822" s="113" t="n"/>
      <c r="B822" s="113" t="n"/>
      <c r="C822" s="113" t="n"/>
      <c r="D822" s="113" t="n"/>
    </row>
    <row r="823" ht="15" customHeight="1" s="66">
      <c r="A823" s="113" t="n"/>
      <c r="B823" s="113" t="n"/>
      <c r="C823" s="113" t="n"/>
      <c r="D823" s="113" t="n"/>
    </row>
    <row r="824" ht="15" customHeight="1" s="66">
      <c r="A824" s="113" t="n"/>
      <c r="B824" s="113" t="n"/>
      <c r="C824" s="113" t="n"/>
      <c r="D824" s="113" t="n"/>
    </row>
    <row r="825" ht="15" customHeight="1" s="66">
      <c r="A825" s="113" t="n"/>
      <c r="B825" s="113" t="n"/>
      <c r="C825" s="113" t="n"/>
      <c r="D825" s="113" t="n"/>
    </row>
    <row r="826" ht="15" customHeight="1" s="66">
      <c r="A826" s="113" t="n"/>
      <c r="B826" s="113" t="n"/>
      <c r="C826" s="113" t="n"/>
      <c r="D826" s="113" t="n"/>
    </row>
    <row r="827" ht="15" customHeight="1" s="66">
      <c r="A827" s="113" t="n"/>
      <c r="B827" s="113" t="n"/>
      <c r="C827" s="113" t="n"/>
      <c r="D827" s="113" t="n"/>
    </row>
    <row r="828" ht="15" customHeight="1" s="66">
      <c r="A828" s="113" t="n"/>
      <c r="B828" s="113" t="n"/>
      <c r="C828" s="113" t="n"/>
      <c r="D828" s="113" t="n"/>
    </row>
    <row r="829" ht="15" customHeight="1" s="66">
      <c r="A829" s="113" t="n"/>
      <c r="B829" s="113" t="n"/>
      <c r="C829" s="113" t="n"/>
      <c r="D829" s="113" t="n"/>
    </row>
    <row r="830" ht="15" customHeight="1" s="66">
      <c r="A830" s="113" t="n"/>
      <c r="B830" s="113" t="n"/>
      <c r="C830" s="113" t="n"/>
      <c r="D830" s="113" t="n"/>
    </row>
    <row r="831" ht="15" customHeight="1" s="66">
      <c r="A831" s="113" t="n"/>
      <c r="B831" s="113" t="n"/>
      <c r="C831" s="113" t="n"/>
      <c r="D831" s="113" t="n"/>
    </row>
    <row r="832" ht="15" customHeight="1" s="66">
      <c r="A832" s="113" t="n"/>
      <c r="B832" s="113" t="n"/>
      <c r="C832" s="113" t="n"/>
      <c r="D832" s="113" t="n"/>
    </row>
    <row r="833" ht="15" customHeight="1" s="66">
      <c r="A833" s="113" t="n"/>
      <c r="B833" s="113" t="n"/>
      <c r="C833" s="113" t="n"/>
      <c r="D833" s="113" t="n"/>
    </row>
    <row r="834" ht="15" customHeight="1" s="66">
      <c r="A834" s="113" t="n"/>
      <c r="B834" s="113" t="n"/>
      <c r="C834" s="113" t="n"/>
      <c r="D834" s="113" t="n"/>
    </row>
    <row r="835" ht="15" customHeight="1" s="66">
      <c r="A835" s="113" t="n"/>
      <c r="B835" s="113" t="n"/>
      <c r="C835" s="113" t="n"/>
      <c r="D835" s="113" t="n"/>
    </row>
    <row r="836" ht="15" customHeight="1" s="66">
      <c r="A836" s="113" t="n"/>
      <c r="B836" s="113" t="n"/>
      <c r="C836" s="113" t="n"/>
      <c r="D836" s="113" t="n"/>
    </row>
    <row r="837" ht="15" customHeight="1" s="66">
      <c r="A837" s="113" t="n"/>
      <c r="B837" s="113" t="n"/>
      <c r="C837" s="113" t="n"/>
      <c r="D837" s="113" t="n"/>
    </row>
    <row r="838" ht="15" customHeight="1" s="66">
      <c r="A838" s="113" t="n"/>
      <c r="B838" s="113" t="n"/>
      <c r="C838" s="113" t="n"/>
      <c r="D838" s="113" t="n"/>
    </row>
    <row r="839" ht="15" customHeight="1" s="66">
      <c r="A839" s="113" t="n"/>
      <c r="B839" s="113" t="n"/>
      <c r="C839" s="113" t="n"/>
      <c r="D839" s="113" t="n"/>
    </row>
    <row r="840" ht="15" customHeight="1" s="66">
      <c r="A840" s="113" t="n"/>
      <c r="B840" s="113" t="n"/>
      <c r="C840" s="113" t="n"/>
      <c r="D840" s="113" t="n"/>
    </row>
    <row r="841" ht="15" customHeight="1" s="66">
      <c r="A841" s="113" t="n"/>
      <c r="B841" s="113" t="n"/>
      <c r="C841" s="113" t="n"/>
      <c r="D841" s="113" t="n"/>
    </row>
    <row r="842" ht="15" customHeight="1" s="66">
      <c r="A842" s="113" t="n"/>
      <c r="B842" s="113" t="n"/>
      <c r="C842" s="113" t="n"/>
      <c r="D842" s="113" t="n"/>
    </row>
    <row r="843" ht="15" customHeight="1" s="66">
      <c r="A843" s="113" t="n"/>
      <c r="B843" s="113" t="n"/>
      <c r="C843" s="113" t="n"/>
      <c r="D843" s="113" t="n"/>
    </row>
    <row r="844" ht="15" customHeight="1" s="66">
      <c r="A844" s="113" t="n"/>
      <c r="B844" s="113" t="n"/>
      <c r="C844" s="113" t="n"/>
      <c r="D844" s="113" t="n"/>
    </row>
    <row r="845" ht="15" customHeight="1" s="66">
      <c r="A845" s="113" t="n"/>
      <c r="B845" s="113" t="n"/>
      <c r="C845" s="113" t="n"/>
      <c r="D845" s="113" t="n"/>
    </row>
    <row r="846" ht="15" customHeight="1" s="66">
      <c r="A846" s="113" t="n"/>
      <c r="B846" s="113" t="n"/>
      <c r="C846" s="113" t="n"/>
      <c r="D846" s="113" t="n"/>
    </row>
    <row r="847" ht="15" customHeight="1" s="66">
      <c r="A847" s="113" t="n"/>
      <c r="B847" s="113" t="n"/>
      <c r="C847" s="113" t="n"/>
      <c r="D847" s="113" t="n"/>
    </row>
    <row r="848" ht="15" customHeight="1" s="66">
      <c r="A848" s="113" t="n"/>
      <c r="B848" s="113" t="n"/>
      <c r="C848" s="113" t="n"/>
      <c r="D848" s="113" t="n"/>
    </row>
    <row r="849" ht="15" customHeight="1" s="66">
      <c r="A849" s="113" t="n"/>
      <c r="B849" s="113" t="n"/>
      <c r="C849" s="113" t="n"/>
      <c r="D849" s="113" t="n"/>
    </row>
    <row r="850" ht="15" customHeight="1" s="66">
      <c r="A850" s="113" t="n"/>
      <c r="B850" s="113" t="n"/>
      <c r="C850" s="113" t="n"/>
      <c r="D850" s="113" t="n"/>
    </row>
    <row r="851" ht="15" customHeight="1" s="66">
      <c r="A851" s="113" t="n"/>
      <c r="B851" s="113" t="n"/>
      <c r="C851" s="113" t="n"/>
      <c r="D851" s="113" t="n"/>
    </row>
    <row r="852" ht="15" customHeight="1" s="66">
      <c r="A852" s="113" t="n"/>
      <c r="B852" s="113" t="n"/>
      <c r="C852" s="113" t="n"/>
      <c r="D852" s="113" t="n"/>
    </row>
    <row r="853" ht="15" customHeight="1" s="66">
      <c r="A853" s="113" t="n"/>
      <c r="B853" s="113" t="n"/>
      <c r="C853" s="113" t="n"/>
      <c r="D853" s="113" t="n"/>
    </row>
    <row r="854" ht="15" customHeight="1" s="66">
      <c r="A854" s="113" t="n"/>
      <c r="B854" s="113" t="n"/>
      <c r="C854" s="113" t="n"/>
      <c r="D854" s="113" t="n"/>
    </row>
    <row r="855" ht="15" customHeight="1" s="66">
      <c r="A855" s="113" t="n"/>
      <c r="B855" s="113" t="n"/>
      <c r="C855" s="113" t="n"/>
      <c r="D855" s="113" t="n"/>
    </row>
    <row r="856" ht="15" customHeight="1" s="66">
      <c r="A856" s="113" t="n"/>
      <c r="B856" s="113" t="n"/>
      <c r="C856" s="113" t="n"/>
      <c r="D856" s="113" t="n"/>
    </row>
    <row r="857" ht="15" customHeight="1" s="66">
      <c r="A857" s="113" t="n"/>
      <c r="B857" s="113" t="n"/>
      <c r="C857" s="113" t="n"/>
      <c r="D857" s="113" t="n"/>
    </row>
    <row r="858" ht="15" customHeight="1" s="66">
      <c r="A858" s="113" t="n"/>
      <c r="B858" s="113" t="n"/>
      <c r="C858" s="113" t="n"/>
      <c r="D858" s="113" t="n"/>
    </row>
    <row r="859" ht="15" customHeight="1" s="66">
      <c r="A859" s="113" t="n"/>
      <c r="B859" s="113" t="n"/>
      <c r="C859" s="113" t="n"/>
      <c r="D859" s="113" t="n"/>
    </row>
    <row r="860" ht="15" customHeight="1" s="66">
      <c r="A860" s="113" t="n"/>
      <c r="B860" s="113" t="n"/>
      <c r="C860" s="113" t="n"/>
      <c r="D860" s="113" t="n"/>
    </row>
    <row r="861" ht="15" customHeight="1" s="66">
      <c r="A861" s="113" t="n"/>
      <c r="B861" s="113" t="n"/>
      <c r="C861" s="113" t="n"/>
      <c r="D861" s="113" t="n"/>
    </row>
    <row r="862" ht="15" customHeight="1" s="66">
      <c r="A862" s="113" t="n"/>
      <c r="B862" s="113" t="n"/>
      <c r="C862" s="113" t="n"/>
      <c r="D862" s="113" t="n"/>
    </row>
    <row r="863" ht="15" customHeight="1" s="66">
      <c r="A863" s="113" t="n"/>
      <c r="B863" s="113" t="n"/>
      <c r="C863" s="113" t="n"/>
      <c r="D863" s="113" t="n"/>
    </row>
    <row r="864" ht="15" customHeight="1" s="66">
      <c r="A864" s="113" t="n"/>
      <c r="B864" s="113" t="n"/>
      <c r="C864" s="113" t="n"/>
      <c r="D864" s="113" t="n"/>
    </row>
    <row r="865" ht="15" customHeight="1" s="66">
      <c r="A865" s="113" t="n"/>
      <c r="B865" s="113" t="n"/>
      <c r="C865" s="113" t="n"/>
      <c r="D865" s="113" t="n"/>
    </row>
    <row r="866" ht="15" customHeight="1" s="66">
      <c r="A866" s="113" t="n"/>
      <c r="B866" s="113" t="n"/>
      <c r="C866" s="113" t="n"/>
      <c r="D866" s="113" t="n"/>
    </row>
    <row r="867" ht="15" customHeight="1" s="66">
      <c r="A867" s="113" t="n"/>
      <c r="B867" s="113" t="n"/>
      <c r="C867" s="113" t="n"/>
      <c r="D867" s="113" t="n"/>
    </row>
    <row r="868" ht="15" customHeight="1" s="66">
      <c r="A868" s="113" t="n"/>
      <c r="B868" s="113" t="n"/>
      <c r="C868" s="113" t="n"/>
      <c r="D868" s="113" t="n"/>
    </row>
    <row r="869" ht="15" customHeight="1" s="66">
      <c r="A869" s="113" t="n"/>
      <c r="B869" s="113" t="n"/>
      <c r="C869" s="113" t="n"/>
      <c r="D869" s="113" t="n"/>
    </row>
    <row r="870" ht="15" customHeight="1" s="66">
      <c r="A870" s="113" t="n"/>
      <c r="B870" s="113" t="n"/>
      <c r="C870" s="113" t="n"/>
      <c r="D870" s="113" t="n"/>
    </row>
    <row r="871" ht="15" customHeight="1" s="66">
      <c r="A871" s="113" t="n"/>
      <c r="B871" s="113" t="n"/>
      <c r="C871" s="113" t="n"/>
      <c r="D871" s="113" t="n"/>
    </row>
    <row r="872" ht="15" customHeight="1" s="66">
      <c r="A872" s="113" t="n"/>
      <c r="B872" s="113" t="n"/>
      <c r="C872" s="113" t="n"/>
      <c r="D872" s="113" t="n"/>
    </row>
    <row r="873" ht="15" customHeight="1" s="66">
      <c r="A873" s="113" t="n"/>
      <c r="B873" s="113" t="n"/>
      <c r="C873" s="113" t="n"/>
      <c r="D873" s="113" t="n"/>
    </row>
    <row r="874" ht="15" customHeight="1" s="66">
      <c r="A874" s="113" t="n"/>
      <c r="B874" s="113" t="n"/>
      <c r="C874" s="113" t="n"/>
      <c r="D874" s="113" t="n"/>
    </row>
    <row r="875" ht="15" customHeight="1" s="66">
      <c r="A875" s="113" t="n"/>
      <c r="B875" s="113" t="n"/>
      <c r="C875" s="113" t="n"/>
      <c r="D875" s="113" t="n"/>
    </row>
    <row r="876" ht="15" customHeight="1" s="66">
      <c r="A876" s="113" t="n"/>
      <c r="B876" s="113" t="n"/>
      <c r="C876" s="113" t="n"/>
      <c r="D876" s="113" t="n"/>
    </row>
    <row r="877" ht="15" customHeight="1" s="66">
      <c r="A877" s="113" t="n"/>
      <c r="B877" s="113" t="n"/>
      <c r="C877" s="113" t="n"/>
      <c r="D877" s="113" t="n"/>
    </row>
    <row r="878" ht="15" customHeight="1" s="66">
      <c r="A878" s="113" t="n"/>
      <c r="B878" s="113" t="n"/>
      <c r="C878" s="113" t="n"/>
      <c r="D878" s="113" t="n"/>
    </row>
    <row r="879" ht="15" customHeight="1" s="66">
      <c r="A879" s="113" t="n"/>
      <c r="B879" s="113" t="n"/>
      <c r="C879" s="113" t="n"/>
      <c r="D879" s="113" t="n"/>
    </row>
    <row r="880" ht="15" customHeight="1" s="66">
      <c r="A880" s="113" t="n"/>
      <c r="B880" s="113" t="n"/>
      <c r="C880" s="113" t="n"/>
      <c r="D880" s="113" t="n"/>
    </row>
    <row r="881" ht="15" customHeight="1" s="66">
      <c r="A881" s="113" t="n"/>
      <c r="B881" s="113" t="n"/>
      <c r="C881" s="113" t="n"/>
      <c r="D881" s="113" t="n"/>
    </row>
    <row r="882" ht="15" customHeight="1" s="66">
      <c r="A882" s="113" t="n"/>
      <c r="B882" s="113" t="n"/>
      <c r="C882" s="113" t="n"/>
      <c r="D882" s="113" t="n"/>
    </row>
    <row r="883" ht="15" customHeight="1" s="66">
      <c r="A883" s="113" t="n"/>
      <c r="B883" s="113" t="n"/>
      <c r="C883" s="113" t="n"/>
      <c r="D883" s="113" t="n"/>
    </row>
    <row r="884" ht="15" customHeight="1" s="66">
      <c r="A884" s="113" t="n"/>
      <c r="B884" s="113" t="n"/>
      <c r="C884" s="113" t="n"/>
      <c r="D884" s="113" t="n"/>
    </row>
    <row r="885" ht="15" customHeight="1" s="66">
      <c r="A885" s="113" t="n"/>
      <c r="B885" s="113" t="n"/>
      <c r="C885" s="113" t="n"/>
      <c r="D885" s="113" t="n"/>
    </row>
    <row r="886" ht="15" customHeight="1" s="66">
      <c r="A886" s="113" t="n"/>
      <c r="B886" s="113" t="n"/>
      <c r="C886" s="113" t="n"/>
      <c r="D886" s="113" t="n"/>
    </row>
    <row r="887" ht="15" customHeight="1" s="66">
      <c r="A887" s="113" t="n"/>
      <c r="B887" s="113" t="n"/>
      <c r="C887" s="113" t="n"/>
      <c r="D887" s="113" t="n"/>
    </row>
    <row r="888" ht="15" customHeight="1" s="66">
      <c r="A888" s="113" t="n"/>
      <c r="B888" s="113" t="n"/>
      <c r="C888" s="113" t="n"/>
      <c r="D888" s="113" t="n"/>
    </row>
    <row r="889" ht="15" customHeight="1" s="66">
      <c r="A889" s="113" t="n"/>
      <c r="B889" s="113" t="n"/>
      <c r="C889" s="113" t="n"/>
      <c r="D889" s="113" t="n"/>
    </row>
    <row r="890" ht="15" customHeight="1" s="66">
      <c r="A890" s="113" t="n"/>
      <c r="B890" s="113" t="n"/>
      <c r="C890" s="113" t="n"/>
      <c r="D890" s="113" t="n"/>
    </row>
    <row r="891" ht="15" customHeight="1" s="66">
      <c r="A891" s="113" t="n"/>
      <c r="B891" s="113" t="n"/>
      <c r="C891" s="113" t="n"/>
      <c r="D891" s="113" t="n"/>
    </row>
    <row r="892" ht="15" customHeight="1" s="66">
      <c r="A892" s="113" t="n"/>
      <c r="B892" s="113" t="n"/>
      <c r="C892" s="113" t="n"/>
      <c r="D892" s="113" t="n"/>
    </row>
    <row r="893" ht="15" customHeight="1" s="66">
      <c r="A893" s="113" t="n"/>
      <c r="B893" s="113" t="n"/>
      <c r="C893" s="113" t="n"/>
      <c r="D893" s="113" t="n"/>
    </row>
    <row r="894" ht="15" customHeight="1" s="66">
      <c r="A894" s="113" t="n"/>
      <c r="B894" s="113" t="n"/>
      <c r="C894" s="113" t="n"/>
      <c r="D894" s="113" t="n"/>
    </row>
    <row r="895" ht="15" customHeight="1" s="66">
      <c r="A895" s="113" t="n"/>
      <c r="B895" s="113" t="n"/>
      <c r="C895" s="113" t="n"/>
      <c r="D895" s="113" t="n"/>
    </row>
    <row r="896" ht="15" customHeight="1" s="66">
      <c r="A896" s="113" t="n"/>
      <c r="B896" s="113" t="n"/>
      <c r="C896" s="113" t="n"/>
      <c r="D896" s="113" t="n"/>
    </row>
    <row r="897" ht="15" customHeight="1" s="66">
      <c r="A897" s="113" t="n"/>
      <c r="B897" s="113" t="n"/>
      <c r="C897" s="113" t="n"/>
      <c r="D897" s="113" t="n"/>
    </row>
    <row r="898" ht="15" customHeight="1" s="66">
      <c r="A898" s="113" t="n"/>
      <c r="B898" s="113" t="n"/>
      <c r="C898" s="113" t="n"/>
      <c r="D898" s="113" t="n"/>
    </row>
    <row r="899" ht="15" customHeight="1" s="66">
      <c r="A899" s="113" t="n"/>
      <c r="B899" s="113" t="n"/>
      <c r="C899" s="113" t="n"/>
      <c r="D899" s="113" t="n"/>
    </row>
    <row r="900" ht="15" customHeight="1" s="66">
      <c r="A900" s="113" t="n"/>
      <c r="B900" s="113" t="n"/>
      <c r="C900" s="113" t="n"/>
      <c r="D900" s="113" t="n"/>
    </row>
    <row r="901" ht="15" customHeight="1" s="66">
      <c r="A901" s="113" t="n"/>
      <c r="B901" s="113" t="n"/>
      <c r="C901" s="113" t="n"/>
      <c r="D901" s="113" t="n"/>
    </row>
    <row r="902" ht="15" customHeight="1" s="66">
      <c r="A902" s="113" t="n"/>
      <c r="B902" s="113" t="n"/>
      <c r="C902" s="113" t="n"/>
      <c r="D902" s="113" t="n"/>
    </row>
    <row r="903" ht="15" customHeight="1" s="66">
      <c r="A903" s="113" t="n"/>
      <c r="B903" s="113" t="n"/>
      <c r="C903" s="113" t="n"/>
      <c r="D903" s="113" t="n"/>
    </row>
    <row r="904" ht="15" customHeight="1" s="66">
      <c r="A904" s="113" t="n"/>
      <c r="B904" s="113" t="n"/>
      <c r="C904" s="113" t="n"/>
      <c r="D904" s="113" t="n"/>
    </row>
    <row r="905" ht="15" customHeight="1" s="66">
      <c r="A905" s="113" t="n"/>
      <c r="B905" s="113" t="n"/>
      <c r="C905" s="113" t="n"/>
      <c r="D905" s="113" t="n"/>
    </row>
    <row r="906" ht="15" customHeight="1" s="66">
      <c r="A906" s="113" t="n"/>
      <c r="B906" s="113" t="n"/>
      <c r="C906" s="113" t="n"/>
      <c r="D906" s="113" t="n"/>
    </row>
    <row r="907" ht="15" customHeight="1" s="66">
      <c r="A907" s="113" t="n"/>
      <c r="B907" s="113" t="n"/>
      <c r="C907" s="113" t="n"/>
      <c r="D907" s="113" t="n"/>
    </row>
    <row r="908" ht="15" customHeight="1" s="66">
      <c r="A908" s="113" t="n"/>
      <c r="B908" s="113" t="n"/>
      <c r="C908" s="113" t="n"/>
      <c r="D908" s="113" t="n"/>
    </row>
    <row r="909" ht="15" customHeight="1" s="66">
      <c r="A909" s="113" t="n"/>
      <c r="B909" s="113" t="n"/>
      <c r="C909" s="113" t="n"/>
      <c r="D909" s="113" t="n"/>
    </row>
    <row r="910" ht="15" customHeight="1" s="66">
      <c r="A910" s="113" t="n"/>
      <c r="B910" s="113" t="n"/>
      <c r="C910" s="113" t="n"/>
      <c r="D910" s="113" t="n"/>
    </row>
    <row r="911" ht="15" customHeight="1" s="66">
      <c r="A911" s="113" t="n"/>
      <c r="B911" s="113" t="n"/>
      <c r="C911" s="113" t="n"/>
      <c r="D911" s="113" t="n"/>
    </row>
    <row r="912" ht="15" customHeight="1" s="66">
      <c r="A912" s="113" t="n"/>
      <c r="B912" s="113" t="n"/>
      <c r="C912" s="113" t="n"/>
      <c r="D912" s="113" t="n"/>
    </row>
    <row r="913" ht="15" customHeight="1" s="66">
      <c r="A913" s="113" t="n"/>
      <c r="B913" s="113" t="n"/>
      <c r="C913" s="113" t="n"/>
      <c r="D913" s="113" t="n"/>
    </row>
    <row r="914" ht="15" customHeight="1" s="66">
      <c r="A914" s="113" t="n"/>
      <c r="B914" s="113" t="n"/>
      <c r="C914" s="113" t="n"/>
      <c r="D914" s="113" t="n"/>
    </row>
    <row r="915" ht="15" customHeight="1" s="66">
      <c r="A915" s="113" t="n"/>
      <c r="B915" s="113" t="n"/>
      <c r="C915" s="113" t="n"/>
      <c r="D915" s="113" t="n"/>
    </row>
    <row r="916" ht="15" customHeight="1" s="66">
      <c r="A916" s="113" t="n"/>
      <c r="B916" s="113" t="n"/>
      <c r="C916" s="113" t="n"/>
      <c r="D916" s="113" t="n"/>
    </row>
    <row r="917" ht="15" customHeight="1" s="66">
      <c r="A917" s="113" t="n"/>
      <c r="B917" s="113" t="n"/>
      <c r="C917" s="113" t="n"/>
      <c r="D917" s="113" t="n"/>
    </row>
    <row r="918" ht="15" customHeight="1" s="66">
      <c r="A918" s="113" t="n"/>
      <c r="B918" s="113" t="n"/>
      <c r="C918" s="113" t="n"/>
      <c r="D918" s="113" t="n"/>
    </row>
    <row r="919" ht="15" customHeight="1" s="66">
      <c r="A919" s="113" t="n"/>
      <c r="B919" s="113" t="n"/>
      <c r="C919" s="113" t="n"/>
      <c r="D919" s="113" t="n"/>
    </row>
    <row r="920" ht="15" customHeight="1" s="66">
      <c r="A920" s="113" t="n"/>
      <c r="B920" s="113" t="n"/>
      <c r="C920" s="113" t="n"/>
      <c r="D920" s="113" t="n"/>
    </row>
    <row r="921" ht="15" customHeight="1" s="66">
      <c r="A921" s="113" t="n"/>
      <c r="B921" s="113" t="n"/>
      <c r="C921" s="113" t="n"/>
      <c r="D921" s="113" t="n"/>
    </row>
    <row r="922" ht="15" customHeight="1" s="66">
      <c r="A922" s="113" t="n"/>
      <c r="B922" s="113" t="n"/>
      <c r="C922" s="113" t="n"/>
      <c r="D922" s="113" t="n"/>
    </row>
    <row r="923" ht="15" customHeight="1" s="66">
      <c r="A923" s="113" t="n"/>
      <c r="B923" s="113" t="n"/>
      <c r="C923" s="113" t="n"/>
      <c r="D923" s="113" t="n"/>
    </row>
    <row r="924" ht="15" customHeight="1" s="66">
      <c r="A924" s="113" t="n"/>
      <c r="B924" s="113" t="n"/>
      <c r="C924" s="113" t="n"/>
      <c r="D924" s="113" t="n"/>
    </row>
    <row r="925" ht="15" customHeight="1" s="66">
      <c r="A925" s="113" t="n"/>
      <c r="B925" s="113" t="n"/>
      <c r="C925" s="113" t="n"/>
      <c r="D925" s="113" t="n"/>
    </row>
    <row r="926" ht="15" customHeight="1" s="66">
      <c r="A926" s="113" t="n"/>
      <c r="B926" s="113" t="n"/>
      <c r="C926" s="113" t="n"/>
      <c r="D926" s="113" t="n"/>
    </row>
    <row r="927" ht="15" customHeight="1" s="66">
      <c r="A927" s="113" t="n"/>
      <c r="B927" s="113" t="n"/>
      <c r="C927" s="113" t="n"/>
      <c r="D927" s="113" t="n"/>
    </row>
    <row r="928" ht="15" customHeight="1" s="66">
      <c r="A928" s="113" t="n"/>
      <c r="B928" s="113" t="n"/>
      <c r="C928" s="113" t="n"/>
      <c r="D928" s="113" t="n"/>
    </row>
    <row r="929" ht="15" customHeight="1" s="66">
      <c r="A929" s="113" t="n"/>
      <c r="B929" s="113" t="n"/>
      <c r="C929" s="113" t="n"/>
      <c r="D929" s="113" t="n"/>
    </row>
    <row r="930" ht="15" customHeight="1" s="66">
      <c r="A930" s="113" t="n"/>
      <c r="B930" s="113" t="n"/>
      <c r="C930" s="113" t="n"/>
      <c r="D930" s="113" t="n"/>
    </row>
    <row r="931" ht="15" customHeight="1" s="66">
      <c r="A931" s="113" t="n"/>
      <c r="B931" s="113" t="n"/>
      <c r="C931" s="113" t="n"/>
      <c r="D931" s="113" t="n"/>
    </row>
    <row r="932" ht="15" customHeight="1" s="66">
      <c r="A932" s="113" t="n"/>
      <c r="B932" s="113" t="n"/>
      <c r="C932" s="113" t="n"/>
      <c r="D932" s="113" t="n"/>
    </row>
    <row r="933" ht="15" customHeight="1" s="66">
      <c r="A933" s="113" t="n"/>
      <c r="B933" s="113" t="n"/>
      <c r="C933" s="113" t="n"/>
      <c r="D933" s="113" t="n"/>
    </row>
    <row r="934" ht="15" customHeight="1" s="66">
      <c r="A934" s="113" t="n"/>
      <c r="B934" s="113" t="n"/>
      <c r="C934" s="113" t="n"/>
      <c r="D934" s="113" t="n"/>
    </row>
    <row r="935" ht="15" customHeight="1" s="66">
      <c r="A935" s="113" t="n"/>
      <c r="B935" s="113" t="n"/>
      <c r="C935" s="113" t="n"/>
      <c r="D935" s="113" t="n"/>
    </row>
    <row r="936" ht="15" customHeight="1" s="66">
      <c r="A936" s="113" t="n"/>
      <c r="B936" s="113" t="n"/>
      <c r="C936" s="113" t="n"/>
      <c r="D936" s="113" t="n"/>
    </row>
    <row r="937" ht="15" customHeight="1" s="66">
      <c r="A937" s="113" t="n"/>
      <c r="B937" s="113" t="n"/>
      <c r="C937" s="113" t="n"/>
      <c r="D937" s="113" t="n"/>
    </row>
    <row r="938" ht="15" customHeight="1" s="66">
      <c r="A938" s="113" t="n"/>
      <c r="B938" s="113" t="n"/>
      <c r="C938" s="113" t="n"/>
      <c r="D938" s="113" t="n"/>
    </row>
    <row r="939" ht="15" customHeight="1" s="66">
      <c r="A939" s="113" t="n"/>
      <c r="B939" s="113" t="n"/>
      <c r="C939" s="113" t="n"/>
      <c r="D939" s="113" t="n"/>
    </row>
    <row r="940" ht="15" customHeight="1" s="66">
      <c r="A940" s="113" t="n"/>
      <c r="B940" s="113" t="n"/>
      <c r="C940" s="113" t="n"/>
      <c r="D940" s="113" t="n"/>
    </row>
    <row r="941" ht="15" customHeight="1" s="66">
      <c r="A941" s="113" t="n"/>
      <c r="B941" s="113" t="n"/>
      <c r="C941" s="113" t="n"/>
      <c r="D941" s="113" t="n"/>
    </row>
    <row r="942" ht="15" customHeight="1" s="66">
      <c r="A942" s="113" t="n"/>
      <c r="B942" s="113" t="n"/>
      <c r="C942" s="113" t="n"/>
      <c r="D942" s="113" t="n"/>
    </row>
    <row r="943" ht="15" customHeight="1" s="66">
      <c r="A943" s="113" t="n"/>
      <c r="B943" s="113" t="n"/>
      <c r="C943" s="113" t="n"/>
      <c r="D943" s="113" t="n"/>
    </row>
    <row r="944" ht="15" customHeight="1" s="66">
      <c r="A944" s="113" t="n"/>
      <c r="B944" s="113" t="n"/>
      <c r="C944" s="113" t="n"/>
      <c r="D944" s="113" t="n"/>
    </row>
    <row r="945" ht="15" customHeight="1" s="66">
      <c r="A945" s="113" t="n"/>
      <c r="B945" s="113" t="n"/>
      <c r="C945" s="113" t="n"/>
      <c r="D945" s="113" t="n"/>
    </row>
    <row r="946" ht="15" customHeight="1" s="66">
      <c r="A946" s="113" t="n"/>
      <c r="B946" s="113" t="n"/>
      <c r="C946" s="113" t="n"/>
      <c r="D946" s="113" t="n"/>
    </row>
    <row r="947" ht="15" customHeight="1" s="66">
      <c r="A947" s="113" t="n"/>
      <c r="B947" s="113" t="n"/>
      <c r="C947" s="113" t="n"/>
      <c r="D947" s="113" t="n"/>
    </row>
    <row r="948" ht="15" customHeight="1" s="66">
      <c r="A948" s="113" t="n"/>
      <c r="B948" s="113" t="n"/>
      <c r="C948" s="113" t="n"/>
      <c r="D948" s="113" t="n"/>
    </row>
    <row r="949" ht="15" customHeight="1" s="66">
      <c r="A949" s="113" t="n"/>
      <c r="B949" s="113" t="n"/>
      <c r="C949" s="113" t="n"/>
      <c r="D949" s="113" t="n"/>
    </row>
    <row r="950" ht="15" customHeight="1" s="66">
      <c r="A950" s="113" t="n"/>
      <c r="B950" s="113" t="n"/>
      <c r="C950" s="113" t="n"/>
      <c r="D950" s="113" t="n"/>
    </row>
    <row r="951" ht="15" customHeight="1" s="66">
      <c r="A951" s="113" t="n"/>
      <c r="B951" s="113" t="n"/>
      <c r="C951" s="113" t="n"/>
      <c r="D951" s="113" t="n"/>
    </row>
    <row r="952" ht="15" customHeight="1" s="66">
      <c r="A952" s="113" t="n"/>
      <c r="B952" s="113" t="n"/>
      <c r="C952" s="113" t="n"/>
      <c r="D952" s="113" t="n"/>
    </row>
    <row r="953" ht="15" customHeight="1" s="66">
      <c r="A953" s="113" t="n"/>
      <c r="B953" s="113" t="n"/>
      <c r="C953" s="113" t="n"/>
      <c r="D953" s="113" t="n"/>
    </row>
    <row r="954" ht="15" customHeight="1" s="66">
      <c r="A954" s="113" t="n"/>
      <c r="B954" s="113" t="n"/>
      <c r="C954" s="113" t="n"/>
      <c r="D954" s="113" t="n"/>
    </row>
    <row r="955" ht="15" customHeight="1" s="66">
      <c r="A955" s="113" t="n"/>
      <c r="B955" s="113" t="n"/>
      <c r="C955" s="113" t="n"/>
      <c r="D955" s="113" t="n"/>
    </row>
    <row r="956" ht="15" customHeight="1" s="66">
      <c r="A956" s="113" t="n"/>
      <c r="B956" s="113" t="n"/>
      <c r="C956" s="113" t="n"/>
      <c r="D956" s="113" t="n"/>
    </row>
    <row r="957" ht="15" customHeight="1" s="66">
      <c r="A957" s="113" t="n"/>
      <c r="B957" s="113" t="n"/>
      <c r="C957" s="113" t="n"/>
      <c r="D957" s="113" t="n"/>
    </row>
    <row r="958" ht="15" customHeight="1" s="66">
      <c r="A958" s="113" t="n"/>
      <c r="B958" s="113" t="n"/>
      <c r="C958" s="113" t="n"/>
      <c r="D958" s="113" t="n"/>
    </row>
    <row r="959" ht="15" customHeight="1" s="66">
      <c r="A959" s="113" t="n"/>
      <c r="B959" s="113" t="n"/>
      <c r="C959" s="113" t="n"/>
      <c r="D959" s="113" t="n"/>
    </row>
    <row r="960" ht="15" customHeight="1" s="66">
      <c r="A960" s="113" t="n"/>
      <c r="B960" s="113" t="n"/>
      <c r="C960" s="113" t="n"/>
      <c r="D960" s="113" t="n"/>
    </row>
    <row r="961" ht="15" customHeight="1" s="66">
      <c r="A961" s="113" t="n"/>
      <c r="B961" s="113" t="n"/>
      <c r="C961" s="113" t="n"/>
      <c r="D961" s="113" t="n"/>
    </row>
    <row r="962" ht="15" customHeight="1" s="66">
      <c r="A962" s="113" t="n"/>
      <c r="B962" s="113" t="n"/>
      <c r="C962" s="113" t="n"/>
      <c r="D962" s="113" t="n"/>
    </row>
    <row r="963" ht="15" customHeight="1" s="66">
      <c r="A963" s="113" t="n"/>
      <c r="B963" s="113" t="n"/>
      <c r="C963" s="113" t="n"/>
      <c r="D963" s="113" t="n"/>
    </row>
    <row r="964" ht="15" customHeight="1" s="66">
      <c r="A964" s="113" t="n"/>
      <c r="B964" s="113" t="n"/>
      <c r="C964" s="113" t="n"/>
      <c r="D964" s="113" t="n"/>
    </row>
    <row r="965" ht="15" customHeight="1" s="66">
      <c r="A965" s="113" t="n"/>
      <c r="B965" s="113" t="n"/>
      <c r="C965" s="113" t="n"/>
      <c r="D965" s="113" t="n"/>
    </row>
    <row r="966" ht="15" customHeight="1" s="66">
      <c r="A966" s="113" t="n"/>
      <c r="B966" s="113" t="n"/>
      <c r="C966" s="113" t="n"/>
      <c r="D966" s="113" t="n"/>
    </row>
    <row r="967" ht="15" customHeight="1" s="66">
      <c r="A967" s="113" t="n"/>
      <c r="B967" s="113" t="n"/>
      <c r="C967" s="113" t="n"/>
      <c r="D967" s="113" t="n"/>
    </row>
    <row r="968" ht="15" customHeight="1" s="66">
      <c r="A968" s="113" t="n"/>
      <c r="B968" s="113" t="n"/>
      <c r="C968" s="113" t="n"/>
      <c r="D968" s="113" t="n"/>
    </row>
    <row r="969" ht="15" customHeight="1" s="66">
      <c r="A969" s="113" t="n"/>
      <c r="B969" s="113" t="n"/>
      <c r="C969" s="113" t="n"/>
      <c r="D969" s="113" t="n"/>
    </row>
    <row r="970" ht="15" customHeight="1" s="66">
      <c r="A970" s="113" t="n"/>
      <c r="B970" s="113" t="n"/>
      <c r="C970" s="113" t="n"/>
      <c r="D970" s="113" t="n"/>
    </row>
    <row r="971" ht="15" customHeight="1" s="66">
      <c r="A971" s="113" t="n"/>
      <c r="B971" s="113" t="n"/>
      <c r="C971" s="113" t="n"/>
      <c r="D971" s="113" t="n"/>
    </row>
    <row r="972" ht="15" customHeight="1" s="66">
      <c r="A972" s="113" t="n"/>
      <c r="B972" s="113" t="n"/>
      <c r="C972" s="113" t="n"/>
      <c r="D972" s="113" t="n"/>
    </row>
    <row r="973" ht="15" customHeight="1" s="66">
      <c r="A973" s="113" t="n"/>
      <c r="B973" s="113" t="n"/>
      <c r="C973" s="113" t="n"/>
      <c r="D973" s="113" t="n"/>
    </row>
    <row r="974" ht="15" customHeight="1" s="66">
      <c r="A974" s="113" t="n"/>
      <c r="B974" s="113" t="n"/>
      <c r="C974" s="113" t="n"/>
      <c r="D974" s="113" t="n"/>
    </row>
    <row r="975" ht="15" customHeight="1" s="66">
      <c r="A975" s="113" t="n"/>
      <c r="B975" s="113" t="n"/>
      <c r="C975" s="113" t="n"/>
      <c r="D975" s="113" t="n"/>
    </row>
    <row r="976" ht="15" customHeight="1" s="66">
      <c r="A976" s="113" t="n"/>
      <c r="B976" s="113" t="n"/>
      <c r="C976" s="113" t="n"/>
      <c r="D976" s="113" t="n"/>
    </row>
    <row r="977" ht="15" customHeight="1" s="66">
      <c r="A977" s="113" t="n"/>
      <c r="B977" s="113" t="n"/>
      <c r="C977" s="113" t="n"/>
      <c r="D977" s="113" t="n"/>
    </row>
    <row r="978" ht="15" customHeight="1" s="66">
      <c r="A978" s="113" t="n"/>
      <c r="B978" s="113" t="n"/>
      <c r="C978" s="113" t="n"/>
      <c r="D978" s="113" t="n"/>
    </row>
    <row r="979" ht="15" customHeight="1" s="66">
      <c r="A979" s="113" t="n"/>
      <c r="B979" s="113" t="n"/>
      <c r="C979" s="113" t="n"/>
      <c r="D979" s="113" t="n"/>
    </row>
    <row r="980" ht="15" customHeight="1" s="66">
      <c r="A980" s="113" t="n"/>
      <c r="B980" s="113" t="n"/>
      <c r="C980" s="113" t="n"/>
      <c r="D980" s="113" t="n"/>
    </row>
    <row r="981" ht="15" customHeight="1" s="66">
      <c r="A981" s="113" t="n"/>
      <c r="B981" s="113" t="n"/>
      <c r="C981" s="113" t="n"/>
      <c r="D981" s="113" t="n"/>
    </row>
    <row r="982" ht="15" customHeight="1" s="66">
      <c r="A982" s="113" t="n"/>
      <c r="B982" s="113" t="n"/>
      <c r="C982" s="113" t="n"/>
      <c r="D982" s="113" t="n"/>
    </row>
    <row r="983" ht="15" customHeight="1" s="66">
      <c r="A983" s="113" t="n"/>
      <c r="B983" s="113" t="n"/>
      <c r="C983" s="113" t="n"/>
      <c r="D983" s="113" t="n"/>
    </row>
    <row r="984" ht="15" customHeight="1" s="66">
      <c r="A984" s="113" t="n"/>
      <c r="B984" s="113" t="n"/>
      <c r="C984" s="113" t="n"/>
      <c r="D984" s="113" t="n"/>
    </row>
    <row r="985" ht="15" customHeight="1" s="66">
      <c r="A985" s="113" t="n"/>
      <c r="B985" s="113" t="n"/>
      <c r="C985" s="113" t="n"/>
      <c r="D985" s="113" t="n"/>
    </row>
    <row r="986" ht="15" customHeight="1" s="66">
      <c r="A986" s="113" t="n"/>
      <c r="B986" s="113" t="n"/>
      <c r="C986" s="113" t="n"/>
      <c r="D986" s="113" t="n"/>
    </row>
    <row r="987" ht="15" customHeight="1" s="66">
      <c r="A987" s="113" t="n"/>
      <c r="B987" s="113" t="n"/>
      <c r="C987" s="113" t="n"/>
      <c r="D987" s="113" t="n"/>
    </row>
    <row r="988" ht="15" customHeight="1" s="66">
      <c r="A988" s="113" t="n"/>
      <c r="B988" s="113" t="n"/>
      <c r="C988" s="113" t="n"/>
      <c r="D988" s="113" t="n"/>
    </row>
    <row r="989" ht="15" customHeight="1" s="66">
      <c r="A989" s="113" t="n"/>
      <c r="B989" s="113" t="n"/>
      <c r="C989" s="113" t="n"/>
      <c r="D989" s="113" t="n"/>
    </row>
    <row r="990" ht="15" customHeight="1" s="66">
      <c r="A990" s="113" t="n"/>
      <c r="B990" s="113" t="n"/>
      <c r="C990" s="113" t="n"/>
      <c r="D990" s="113" t="n"/>
    </row>
    <row r="991" ht="15" customHeight="1" s="66">
      <c r="A991" s="113" t="n"/>
      <c r="B991" s="113" t="n"/>
      <c r="C991" s="113" t="n"/>
      <c r="D991" s="113" t="n"/>
    </row>
    <row r="992" ht="15" customHeight="1" s="66">
      <c r="A992" s="113" t="n"/>
      <c r="B992" s="113" t="n"/>
      <c r="C992" s="113" t="n"/>
      <c r="D992" s="113" t="n"/>
    </row>
    <row r="993" ht="15" customHeight="1" s="66">
      <c r="A993" s="113" t="n"/>
      <c r="B993" s="113" t="n"/>
      <c r="C993" s="113" t="n"/>
      <c r="D993" s="113" t="n"/>
    </row>
    <row r="994" ht="15" customHeight="1" s="66">
      <c r="A994" s="113" t="n"/>
      <c r="B994" s="113" t="n"/>
      <c r="C994" s="113" t="n"/>
      <c r="D994" s="113" t="n"/>
    </row>
    <row r="995" ht="15" customHeight="1" s="66">
      <c r="A995" s="113" t="n"/>
      <c r="B995" s="113" t="n"/>
      <c r="C995" s="113" t="n"/>
      <c r="D995" s="113" t="n"/>
    </row>
    <row r="996" ht="15" customHeight="1" s="66">
      <c r="A996" s="113" t="n"/>
      <c r="B996" s="113" t="n"/>
      <c r="C996" s="113" t="n"/>
      <c r="D996" s="113" t="n"/>
    </row>
    <row r="997" ht="15" customHeight="1" s="66">
      <c r="A997" s="113" t="n"/>
      <c r="B997" s="113" t="n"/>
      <c r="C997" s="113" t="n"/>
      <c r="D997" s="113" t="n"/>
    </row>
    <row r="998" ht="15" customHeight="1" s="66">
      <c r="A998" s="113" t="n"/>
      <c r="B998" s="113" t="n"/>
      <c r="C998" s="113" t="n"/>
      <c r="D998" s="113" t="n"/>
    </row>
    <row r="999" ht="15" customHeight="1" s="66">
      <c r="A999" s="113" t="n"/>
      <c r="B999" s="113" t="n"/>
      <c r="C999" s="113" t="n"/>
      <c r="D999" s="113" t="n"/>
    </row>
    <row r="1000" ht="15" customHeight="1" s="66">
      <c r="A1000" s="113" t="n"/>
      <c r="B1000" s="113" t="n"/>
      <c r="C1000" s="113" t="n"/>
      <c r="D1000" s="113" t="n"/>
    </row>
    <row r="1001" ht="15" customHeight="1" s="66">
      <c r="A1001" s="113" t="n"/>
      <c r="B1001" s="113" t="n"/>
      <c r="C1001" s="113" t="n"/>
      <c r="D1001" s="113" t="n"/>
    </row>
    <row r="1002" ht="15" customHeight="1" s="66">
      <c r="A1002" s="113" t="n"/>
      <c r="B1002" s="113" t="n"/>
      <c r="C1002" s="113" t="n"/>
      <c r="D1002" s="113" t="n"/>
    </row>
    <row r="1003" ht="15" customHeight="1" s="66">
      <c r="A1003" s="113" t="n"/>
      <c r="B1003" s="113" t="n"/>
      <c r="C1003" s="113" t="n"/>
      <c r="D1003" s="113" t="n"/>
    </row>
    <row r="1004" ht="15" customHeight="1" s="66">
      <c r="A1004" s="113" t="n"/>
      <c r="B1004" s="113" t="n"/>
      <c r="C1004" s="113" t="n"/>
      <c r="D1004" s="113" t="n"/>
    </row>
    <row r="1005" ht="15" customHeight="1" s="66">
      <c r="A1005" s="113" t="n"/>
      <c r="B1005" s="113" t="n"/>
      <c r="C1005" s="113" t="n"/>
      <c r="D1005" s="113" t="n"/>
    </row>
    <row r="1006" ht="15" customHeight="1" s="66">
      <c r="A1006" s="113" t="n"/>
      <c r="B1006" s="113" t="n"/>
      <c r="C1006" s="113" t="n"/>
      <c r="D1006" s="113" t="n"/>
    </row>
    <row r="1007" ht="15" customHeight="1" s="66">
      <c r="A1007" s="113" t="n"/>
      <c r="B1007" s="113" t="n"/>
      <c r="C1007" s="113" t="n"/>
      <c r="D1007" s="113" t="n"/>
    </row>
    <row r="1008" ht="15" customHeight="1" s="66">
      <c r="A1008" s="113" t="n"/>
      <c r="B1008" s="113" t="n"/>
      <c r="C1008" s="113" t="n"/>
      <c r="D1008" s="113" t="n"/>
    </row>
    <row r="1009" ht="15" customHeight="1" s="66">
      <c r="A1009" s="113" t="n"/>
      <c r="B1009" s="113" t="n"/>
      <c r="C1009" s="113" t="n"/>
      <c r="D1009" s="113" t="n"/>
    </row>
    <row r="1010" ht="15" customHeight="1" s="66">
      <c r="A1010" s="113" t="n"/>
      <c r="B1010" s="113" t="n"/>
      <c r="C1010" s="113" t="n"/>
      <c r="D1010" s="113" t="n"/>
    </row>
    <row r="1011" ht="15" customHeight="1" s="66">
      <c r="A1011" s="113" t="n"/>
      <c r="B1011" s="113" t="n"/>
      <c r="C1011" s="113" t="n"/>
      <c r="D1011" s="113" t="n"/>
    </row>
    <row r="1012" ht="15" customHeight="1" s="66">
      <c r="A1012" s="113" t="n"/>
      <c r="B1012" s="113" t="n"/>
      <c r="C1012" s="113" t="n"/>
      <c r="D1012" s="113" t="n"/>
    </row>
    <row r="1013" ht="15" customHeight="1" s="66">
      <c r="A1013" s="113" t="n"/>
      <c r="B1013" s="113" t="n"/>
      <c r="C1013" s="113" t="n"/>
      <c r="D1013" s="113" t="n"/>
    </row>
    <row r="1014" ht="15" customHeight="1" s="66">
      <c r="A1014" s="113" t="n"/>
      <c r="B1014" s="113" t="n"/>
      <c r="C1014" s="113" t="n"/>
      <c r="D1014" s="113" t="n"/>
    </row>
    <row r="1015" ht="15" customHeight="1" s="66">
      <c r="A1015" s="113" t="n"/>
      <c r="B1015" s="113" t="n"/>
      <c r="C1015" s="113" t="n"/>
      <c r="D1015" s="113" t="n"/>
    </row>
    <row r="1016" ht="15" customHeight="1" s="66">
      <c r="A1016" s="113" t="n"/>
      <c r="B1016" s="113" t="n"/>
      <c r="C1016" s="113" t="n"/>
      <c r="D1016" s="113" t="n"/>
    </row>
    <row r="1017" ht="15" customHeight="1" s="66">
      <c r="A1017" s="113" t="n"/>
      <c r="B1017" s="113" t="n"/>
      <c r="C1017" s="113" t="n"/>
      <c r="D1017" s="113" t="n"/>
    </row>
    <row r="1018" ht="15" customHeight="1" s="66">
      <c r="A1018" s="113" t="n"/>
      <c r="B1018" s="113" t="n"/>
      <c r="C1018" s="113" t="n"/>
      <c r="D1018" s="113" t="n"/>
    </row>
    <row r="1019" ht="15" customHeight="1" s="66">
      <c r="A1019" s="113" t="n"/>
      <c r="B1019" s="113" t="n"/>
      <c r="C1019" s="113" t="n"/>
      <c r="D1019" s="113" t="n"/>
    </row>
    <row r="1020" ht="15" customHeight="1" s="66">
      <c r="A1020" s="113" t="n"/>
      <c r="B1020" s="113" t="n"/>
      <c r="C1020" s="113" t="n"/>
      <c r="D1020" s="113" t="n"/>
    </row>
    <row r="1021" ht="15" customHeight="1" s="66">
      <c r="A1021" s="113" t="n"/>
      <c r="B1021" s="113" t="n"/>
      <c r="C1021" s="113" t="n"/>
      <c r="D1021" s="113" t="n"/>
    </row>
    <row r="1022" ht="15" customHeight="1" s="66">
      <c r="A1022" s="113" t="n"/>
      <c r="B1022" s="113" t="n"/>
      <c r="C1022" s="113" t="n"/>
      <c r="D1022" s="113" t="n"/>
    </row>
    <row r="1023" ht="15" customHeight="1" s="66">
      <c r="A1023" s="113" t="n"/>
      <c r="B1023" s="113" t="n"/>
      <c r="C1023" s="113" t="n"/>
      <c r="D1023" s="113" t="n"/>
    </row>
    <row r="1024" ht="15" customHeight="1" s="66">
      <c r="A1024" s="113" t="n"/>
      <c r="B1024" s="113" t="n"/>
      <c r="C1024" s="113" t="n"/>
      <c r="D1024" s="113" t="n"/>
    </row>
    <row r="1025" ht="15" customHeight="1" s="66">
      <c r="A1025" s="113" t="n"/>
      <c r="B1025" s="113" t="n"/>
      <c r="C1025" s="113" t="n"/>
      <c r="D1025" s="113" t="n"/>
    </row>
    <row r="1026" ht="15" customHeight="1" s="66">
      <c r="A1026" s="113" t="n"/>
      <c r="B1026" s="113" t="n"/>
      <c r="C1026" s="113" t="n"/>
      <c r="D1026" s="113" t="n"/>
    </row>
    <row r="1027" ht="15" customHeight="1" s="66">
      <c r="A1027" s="113" t="n"/>
      <c r="B1027" s="113" t="n"/>
      <c r="C1027" s="113" t="n"/>
      <c r="D1027" s="113" t="n"/>
    </row>
    <row r="1028" ht="15" customHeight="1" s="66">
      <c r="A1028" s="113" t="n"/>
      <c r="B1028" s="113" t="n"/>
      <c r="C1028" s="113" t="n"/>
      <c r="D1028" s="113" t="n"/>
    </row>
    <row r="1029" ht="15" customHeight="1" s="66">
      <c r="A1029" s="113" t="n"/>
      <c r="B1029" s="113" t="n"/>
      <c r="C1029" s="113" t="n"/>
      <c r="D1029" s="113" t="n"/>
    </row>
    <row r="1030" ht="15" customHeight="1" s="66">
      <c r="A1030" s="113" t="n"/>
      <c r="B1030" s="113" t="n"/>
      <c r="C1030" s="113" t="n"/>
      <c r="D1030" s="113" t="n"/>
    </row>
    <row r="1031" ht="15" customHeight="1" s="66">
      <c r="A1031" s="113" t="n"/>
      <c r="B1031" s="113" t="n"/>
      <c r="C1031" s="113" t="n"/>
      <c r="D1031" s="113" t="n"/>
    </row>
    <row r="1032" ht="15" customHeight="1" s="66">
      <c r="A1032" s="113" t="n"/>
      <c r="B1032" s="113" t="n"/>
      <c r="C1032" s="113" t="n"/>
      <c r="D1032" s="113" t="n"/>
    </row>
    <row r="1033" ht="15" customHeight="1" s="66">
      <c r="A1033" s="113" t="n"/>
      <c r="B1033" s="113" t="n"/>
      <c r="C1033" s="113" t="n"/>
      <c r="D1033" s="113" t="n"/>
    </row>
    <row r="1034" ht="15" customHeight="1" s="66">
      <c r="A1034" s="113" t="n"/>
      <c r="B1034" s="113" t="n"/>
      <c r="C1034" s="113" t="n"/>
      <c r="D1034" s="113" t="n"/>
    </row>
    <row r="1035" ht="15" customHeight="1" s="66">
      <c r="A1035" s="113" t="n"/>
      <c r="B1035" s="113" t="n"/>
      <c r="C1035" s="113" t="n"/>
      <c r="D1035" s="113" t="n"/>
    </row>
    <row r="1036" ht="15" customHeight="1" s="66">
      <c r="A1036" s="113" t="n"/>
      <c r="B1036" s="113" t="n"/>
      <c r="C1036" s="113" t="n"/>
      <c r="D1036" s="113" t="n"/>
    </row>
    <row r="1037" ht="15" customHeight="1" s="66">
      <c r="A1037" s="113" t="n"/>
      <c r="B1037" s="113" t="n"/>
      <c r="C1037" s="113" t="n"/>
      <c r="D1037" s="113" t="n"/>
    </row>
    <row r="1038" ht="15" customHeight="1" s="66">
      <c r="A1038" s="113" t="n"/>
      <c r="B1038" s="113" t="n"/>
      <c r="C1038" s="113" t="n"/>
      <c r="D1038" s="113" t="n"/>
    </row>
    <row r="1039" ht="15" customHeight="1" s="66">
      <c r="A1039" s="113" t="n"/>
      <c r="B1039" s="113" t="n"/>
      <c r="C1039" s="113" t="n"/>
      <c r="D1039" s="113" t="n"/>
    </row>
    <row r="1040" ht="15" customHeight="1" s="66">
      <c r="A1040" s="113" t="n"/>
      <c r="B1040" s="113" t="n"/>
      <c r="C1040" s="113" t="n"/>
      <c r="D1040" s="113" t="n"/>
    </row>
    <row r="1041" ht="15" customHeight="1" s="66">
      <c r="A1041" s="113" t="n"/>
      <c r="B1041" s="113" t="n"/>
      <c r="C1041" s="113" t="n"/>
      <c r="D1041" s="113" t="n"/>
    </row>
    <row r="1042" ht="15" customHeight="1" s="66">
      <c r="A1042" s="113" t="n"/>
      <c r="B1042" s="113" t="n"/>
      <c r="C1042" s="113" t="n"/>
      <c r="D1042" s="113" t="n"/>
    </row>
    <row r="1043" ht="15" customHeight="1" s="66">
      <c r="A1043" s="113" t="n"/>
      <c r="B1043" s="113" t="n"/>
      <c r="C1043" s="113" t="n"/>
      <c r="D1043" s="113" t="n"/>
    </row>
    <row r="1044" ht="15" customHeight="1" s="66">
      <c r="A1044" s="113" t="n"/>
      <c r="B1044" s="113" t="n"/>
      <c r="C1044" s="113" t="n"/>
      <c r="D1044" s="113" t="n"/>
    </row>
    <row r="1045" ht="15" customHeight="1" s="66">
      <c r="A1045" s="113" t="n"/>
      <c r="B1045" s="113" t="n"/>
      <c r="C1045" s="113" t="n"/>
      <c r="D1045" s="113" t="n"/>
    </row>
    <row r="1046" ht="15" customHeight="1" s="66">
      <c r="A1046" s="113" t="n"/>
      <c r="B1046" s="113" t="n"/>
      <c r="C1046" s="113" t="n"/>
      <c r="D1046" s="113" t="n"/>
    </row>
    <row r="1047" ht="15" customHeight="1" s="66">
      <c r="A1047" s="113" t="n"/>
      <c r="B1047" s="113" t="n"/>
      <c r="C1047" s="113" t="n"/>
      <c r="D1047" s="113" t="n"/>
    </row>
    <row r="1048" ht="15" customHeight="1" s="66">
      <c r="A1048" s="113" t="n"/>
      <c r="B1048" s="113" t="n"/>
      <c r="C1048" s="113" t="n"/>
      <c r="D1048" s="113" t="n"/>
    </row>
    <row r="1049" ht="15" customHeight="1" s="66">
      <c r="A1049" s="113" t="n"/>
      <c r="B1049" s="113" t="n"/>
      <c r="C1049" s="113" t="n"/>
      <c r="D1049" s="113" t="n"/>
    </row>
    <row r="1050" ht="15" customHeight="1" s="66">
      <c r="A1050" s="113" t="n"/>
      <c r="B1050" s="113" t="n"/>
      <c r="C1050" s="113" t="n"/>
      <c r="D1050" s="113" t="n"/>
    </row>
    <row r="1051" ht="15" customHeight="1" s="66">
      <c r="A1051" s="113" t="n"/>
      <c r="B1051" s="113" t="n"/>
      <c r="C1051" s="113" t="n"/>
      <c r="D1051" s="113" t="n"/>
    </row>
    <row r="1052" ht="15" customHeight="1" s="66">
      <c r="A1052" s="113" t="n"/>
      <c r="B1052" s="113" t="n"/>
      <c r="C1052" s="113" t="n"/>
      <c r="D1052" s="113" t="n"/>
    </row>
    <row r="1053" ht="15" customHeight="1" s="66">
      <c r="A1053" s="113" t="n"/>
      <c r="B1053" s="113" t="n"/>
      <c r="C1053" s="113" t="n"/>
      <c r="D1053" s="113" t="n"/>
    </row>
    <row r="1054" ht="15" customHeight="1" s="66">
      <c r="A1054" s="113" t="n"/>
      <c r="B1054" s="113" t="n"/>
      <c r="C1054" s="113" t="n"/>
      <c r="D1054" s="113" t="n"/>
    </row>
    <row r="1055" ht="15" customHeight="1" s="66">
      <c r="A1055" s="113" t="n"/>
      <c r="B1055" s="113" t="n"/>
      <c r="C1055" s="113" t="n"/>
      <c r="D1055" s="113" t="n"/>
    </row>
    <row r="1056" ht="15" customHeight="1" s="66">
      <c r="A1056" s="113" t="n"/>
      <c r="B1056" s="113" t="n"/>
      <c r="C1056" s="113" t="n"/>
      <c r="D1056" s="113" t="n"/>
    </row>
    <row r="1057" ht="15" customHeight="1" s="66">
      <c r="A1057" s="113" t="n"/>
      <c r="B1057" s="113" t="n"/>
      <c r="C1057" s="113" t="n"/>
      <c r="D1057" s="113" t="n"/>
    </row>
    <row r="1058" ht="15" customHeight="1" s="66">
      <c r="A1058" s="113" t="n"/>
      <c r="B1058" s="113" t="n"/>
      <c r="C1058" s="113" t="n"/>
      <c r="D1058" s="113" t="n"/>
    </row>
    <row r="1059" ht="15" customHeight="1" s="66">
      <c r="A1059" s="113" t="n"/>
      <c r="B1059" s="113" t="n"/>
      <c r="C1059" s="113" t="n"/>
      <c r="D1059" s="113" t="n"/>
    </row>
    <row r="1060" ht="15" customHeight="1" s="66">
      <c r="A1060" s="113" t="n"/>
      <c r="B1060" s="113" t="n"/>
      <c r="C1060" s="113" t="n"/>
      <c r="D1060" s="113" t="n"/>
    </row>
    <row r="1061" ht="15" customHeight="1" s="66">
      <c r="A1061" s="113" t="n"/>
      <c r="B1061" s="113" t="n"/>
      <c r="C1061" s="113" t="n"/>
      <c r="D1061" s="113" t="n"/>
    </row>
    <row r="1062" ht="15" customHeight="1" s="66">
      <c r="A1062" s="113" t="n"/>
      <c r="B1062" s="113" t="n"/>
      <c r="C1062" s="113" t="n"/>
      <c r="D1062" s="113" t="n"/>
    </row>
    <row r="1063" ht="15" customHeight="1" s="66">
      <c r="A1063" s="113" t="n"/>
      <c r="B1063" s="113" t="n"/>
      <c r="C1063" s="113" t="n"/>
      <c r="D1063" s="113" t="n"/>
    </row>
    <row r="1064" ht="15" customHeight="1" s="66">
      <c r="A1064" s="113" t="n"/>
      <c r="B1064" s="113" t="n"/>
      <c r="C1064" s="113" t="n"/>
      <c r="D1064" s="113" t="n"/>
    </row>
    <row r="1065" ht="15" customHeight="1" s="66">
      <c r="A1065" s="113" t="n"/>
      <c r="B1065" s="113" t="n"/>
      <c r="C1065" s="113" t="n"/>
      <c r="D1065" s="113" t="n"/>
    </row>
    <row r="1066" ht="15" customHeight="1" s="66">
      <c r="A1066" s="113" t="n"/>
      <c r="B1066" s="113" t="n"/>
      <c r="C1066" s="113" t="n"/>
      <c r="D1066" s="113" t="n"/>
    </row>
    <row r="1067" ht="15" customHeight="1" s="66">
      <c r="A1067" s="113" t="n"/>
      <c r="B1067" s="113" t="n"/>
      <c r="C1067" s="113" t="n"/>
      <c r="D1067" s="113" t="n"/>
    </row>
    <row r="1068" ht="15" customHeight="1" s="66">
      <c r="A1068" s="113" t="n"/>
      <c r="B1068" s="113" t="n"/>
      <c r="C1068" s="113" t="n"/>
      <c r="D1068" s="113" t="n"/>
    </row>
    <row r="1069" ht="15" customHeight="1" s="66">
      <c r="A1069" s="113" t="n"/>
      <c r="B1069" s="113" t="n"/>
      <c r="C1069" s="113" t="n"/>
      <c r="D1069" s="113" t="n"/>
    </row>
    <row r="1070" ht="15" customHeight="1" s="66">
      <c r="A1070" s="113" t="n"/>
      <c r="B1070" s="113" t="n"/>
      <c r="C1070" s="113" t="n"/>
      <c r="D1070" s="113" t="n"/>
    </row>
    <row r="1071" ht="15" customHeight="1" s="66">
      <c r="A1071" s="113" t="n"/>
      <c r="B1071" s="113" t="n"/>
      <c r="C1071" s="113" t="n"/>
      <c r="D1071" s="113" t="n"/>
    </row>
    <row r="1072" ht="15" customHeight="1" s="66">
      <c r="A1072" s="113" t="n"/>
      <c r="B1072" s="113" t="n"/>
      <c r="C1072" s="113" t="n"/>
      <c r="D1072" s="113" t="n"/>
    </row>
    <row r="1073" ht="15" customHeight="1" s="66">
      <c r="A1073" s="113" t="n"/>
      <c r="B1073" s="113" t="n"/>
      <c r="C1073" s="113" t="n"/>
      <c r="D1073" s="113" t="n"/>
    </row>
    <row r="1074" ht="15" customHeight="1" s="66">
      <c r="A1074" s="113" t="n"/>
      <c r="B1074" s="113" t="n"/>
      <c r="C1074" s="113" t="n"/>
      <c r="D1074" s="113" t="n"/>
    </row>
    <row r="1075" ht="15" customHeight="1" s="66">
      <c r="A1075" s="113" t="n"/>
      <c r="B1075" s="113" t="n"/>
      <c r="C1075" s="113" t="n"/>
      <c r="D1075" s="113" t="n"/>
    </row>
    <row r="1076" ht="15" customHeight="1" s="66">
      <c r="A1076" s="113" t="n"/>
      <c r="B1076" s="113" t="n"/>
      <c r="C1076" s="113" t="n"/>
      <c r="D1076" s="113" t="n"/>
    </row>
    <row r="1077" ht="15" customHeight="1" s="66">
      <c r="A1077" s="113" t="n"/>
      <c r="B1077" s="113" t="n"/>
      <c r="C1077" s="113" t="n"/>
      <c r="D1077" s="113" t="n"/>
    </row>
    <row r="1078" ht="15" customHeight="1" s="66">
      <c r="A1078" s="113" t="n"/>
      <c r="B1078" s="113" t="n"/>
      <c r="C1078" s="113" t="n"/>
      <c r="D1078" s="113" t="n"/>
    </row>
    <row r="1079" ht="15" customHeight="1" s="66">
      <c r="A1079" s="113" t="n"/>
      <c r="B1079" s="113" t="n"/>
      <c r="C1079" s="113" t="n"/>
      <c r="D1079" s="113" t="n"/>
    </row>
    <row r="1080" ht="15" customHeight="1" s="66">
      <c r="A1080" s="113" t="n"/>
      <c r="B1080" s="113" t="n"/>
      <c r="C1080" s="113" t="n"/>
      <c r="D1080" s="113" t="n"/>
    </row>
    <row r="1081" ht="15" customHeight="1" s="66">
      <c r="A1081" s="113" t="n"/>
      <c r="B1081" s="113" t="n"/>
      <c r="C1081" s="113" t="n"/>
      <c r="D1081" s="113" t="n"/>
    </row>
    <row r="1082" ht="15" customHeight="1" s="66">
      <c r="A1082" s="113" t="n"/>
      <c r="B1082" s="113" t="n"/>
      <c r="C1082" s="113" t="n"/>
      <c r="D1082" s="113" t="n"/>
    </row>
    <row r="1083" ht="15" customHeight="1" s="66">
      <c r="A1083" s="113" t="n"/>
      <c r="B1083" s="113" t="n"/>
      <c r="C1083" s="113" t="n"/>
      <c r="D1083" s="113" t="n"/>
    </row>
    <row r="1084" ht="15" customHeight="1" s="66">
      <c r="A1084" s="113" t="n"/>
      <c r="B1084" s="113" t="n"/>
      <c r="C1084" s="113" t="n"/>
      <c r="D1084" s="113" t="n"/>
    </row>
    <row r="1085" ht="15" customHeight="1" s="66">
      <c r="A1085" s="113" t="n"/>
      <c r="B1085" s="113" t="n"/>
      <c r="C1085" s="113" t="n"/>
      <c r="D1085" s="113" t="n"/>
    </row>
    <row r="1086" ht="15" customHeight="1" s="66">
      <c r="A1086" s="113" t="n"/>
      <c r="B1086" s="113" t="n"/>
      <c r="C1086" s="113" t="n"/>
      <c r="D1086" s="113" t="n"/>
    </row>
    <row r="1087" ht="15" customHeight="1" s="66">
      <c r="A1087" s="113" t="n"/>
      <c r="B1087" s="113" t="n"/>
      <c r="C1087" s="113" t="n"/>
      <c r="D1087" s="113" t="n"/>
    </row>
    <row r="1088" ht="15" customHeight="1" s="66">
      <c r="A1088" s="113" t="n"/>
      <c r="B1088" s="113" t="n"/>
      <c r="C1088" s="113" t="n"/>
      <c r="D1088" s="113" t="n"/>
    </row>
    <row r="1089" ht="15" customHeight="1" s="66">
      <c r="A1089" s="113" t="n"/>
      <c r="B1089" s="113" t="n"/>
      <c r="C1089" s="113" t="n"/>
      <c r="D1089" s="113" t="n"/>
    </row>
    <row r="1090" ht="15" customHeight="1" s="66">
      <c r="A1090" s="113" t="n"/>
      <c r="B1090" s="113" t="n"/>
      <c r="C1090" s="113" t="n"/>
      <c r="D1090" s="113" t="n"/>
    </row>
    <row r="1091" ht="15" customHeight="1" s="66">
      <c r="A1091" s="113" t="n"/>
      <c r="B1091" s="113" t="n"/>
      <c r="C1091" s="113" t="n"/>
      <c r="D1091" s="113" t="n"/>
    </row>
    <row r="1092" ht="15" customHeight="1" s="66">
      <c r="A1092" s="113" t="n"/>
      <c r="B1092" s="113" t="n"/>
      <c r="C1092" s="113" t="n"/>
      <c r="D1092" s="113" t="n"/>
    </row>
    <row r="1093" ht="15" customHeight="1" s="66">
      <c r="A1093" s="113" t="n"/>
      <c r="B1093" s="113" t="n"/>
      <c r="C1093" s="113" t="n"/>
      <c r="D1093" s="113" t="n"/>
    </row>
    <row r="1094" ht="15" customHeight="1" s="66">
      <c r="A1094" s="113" t="n"/>
      <c r="B1094" s="113" t="n"/>
      <c r="C1094" s="113" t="n"/>
      <c r="D1094" s="113" t="n"/>
    </row>
    <row r="1095" ht="15" customHeight="1" s="66">
      <c r="A1095" s="113" t="n"/>
      <c r="B1095" s="113" t="n"/>
      <c r="C1095" s="113" t="n"/>
      <c r="D1095" s="113" t="n"/>
    </row>
    <row r="1096" ht="15" customHeight="1" s="66">
      <c r="A1096" s="113" t="n"/>
      <c r="B1096" s="113" t="n"/>
      <c r="C1096" s="113" t="n"/>
      <c r="D1096" s="113" t="n"/>
    </row>
    <row r="1097" ht="15" customHeight="1" s="66">
      <c r="A1097" s="113" t="n"/>
      <c r="B1097" s="113" t="n"/>
      <c r="C1097" s="113" t="n"/>
      <c r="D1097" s="113" t="n"/>
    </row>
    <row r="1098" ht="15" customHeight="1" s="66">
      <c r="A1098" s="113" t="n"/>
      <c r="B1098" s="113" t="n"/>
      <c r="C1098" s="113" t="n"/>
      <c r="D1098" s="113" t="n"/>
    </row>
    <row r="1099" ht="15" customHeight="1" s="66">
      <c r="A1099" s="113" t="n"/>
      <c r="B1099" s="113" t="n"/>
      <c r="C1099" s="113" t="n"/>
      <c r="D1099" s="113" t="n"/>
    </row>
    <row r="1100" ht="15" customHeight="1" s="66">
      <c r="A1100" s="113" t="n"/>
      <c r="B1100" s="113" t="n"/>
      <c r="C1100" s="113" t="n"/>
      <c r="D1100" s="113" t="n"/>
    </row>
    <row r="1101" ht="15" customHeight="1" s="66">
      <c r="A1101" s="113" t="n"/>
      <c r="B1101" s="113" t="n"/>
      <c r="C1101" s="113" t="n"/>
      <c r="D1101" s="113" t="n"/>
    </row>
    <row r="1102" ht="15" customHeight="1" s="66">
      <c r="A1102" s="113" t="n"/>
      <c r="B1102" s="113" t="n"/>
      <c r="C1102" s="113" t="n"/>
      <c r="D1102" s="113" t="n"/>
    </row>
    <row r="1103" ht="15" customHeight="1" s="66">
      <c r="A1103" s="113" t="n"/>
      <c r="B1103" s="113" t="n"/>
      <c r="C1103" s="113" t="n"/>
      <c r="D1103" s="113" t="n"/>
    </row>
    <row r="1104" ht="15" customHeight="1" s="66">
      <c r="A1104" s="113" t="n"/>
      <c r="B1104" s="113" t="n"/>
      <c r="C1104" s="113" t="n"/>
      <c r="D1104" s="113" t="n"/>
    </row>
    <row r="1105" ht="15" customHeight="1" s="66">
      <c r="A1105" s="113" t="n"/>
      <c r="B1105" s="113" t="n"/>
      <c r="C1105" s="113" t="n"/>
      <c r="D1105" s="113" t="n"/>
    </row>
    <row r="1106" ht="15" customHeight="1" s="66">
      <c r="A1106" s="113" t="n"/>
      <c r="B1106" s="113" t="n"/>
      <c r="C1106" s="113" t="n"/>
      <c r="D1106" s="113" t="n"/>
    </row>
    <row r="1107" ht="15" customHeight="1" s="66">
      <c r="A1107" s="113" t="n"/>
      <c r="B1107" s="113" t="n"/>
      <c r="C1107" s="113" t="n"/>
      <c r="D1107" s="113" t="n"/>
    </row>
    <row r="1108" ht="15" customHeight="1" s="66">
      <c r="A1108" s="113" t="n"/>
      <c r="B1108" s="113" t="n"/>
      <c r="C1108" s="113" t="n"/>
      <c r="D1108" s="113" t="n"/>
    </row>
    <row r="1109" ht="15" customHeight="1" s="66">
      <c r="A1109" s="113" t="n"/>
      <c r="B1109" s="113" t="n"/>
      <c r="C1109" s="113" t="n"/>
      <c r="D1109" s="113" t="n"/>
    </row>
    <row r="1110" ht="15" customHeight="1" s="66">
      <c r="A1110" s="113" t="n"/>
      <c r="B1110" s="113" t="n"/>
      <c r="C1110" s="113" t="n"/>
      <c r="D1110" s="113" t="n"/>
    </row>
    <row r="1111" ht="15" customHeight="1" s="66">
      <c r="A1111" s="113" t="n"/>
      <c r="B1111" s="113" t="n"/>
      <c r="C1111" s="113" t="n"/>
      <c r="D1111" s="113" t="n"/>
    </row>
    <row r="1112" ht="15" customHeight="1" s="66">
      <c r="A1112" s="113" t="n"/>
      <c r="B1112" s="113" t="n"/>
      <c r="C1112" s="113" t="n"/>
      <c r="D1112" s="113" t="n"/>
    </row>
    <row r="1113" ht="15" customHeight="1" s="66">
      <c r="A1113" s="113" t="n"/>
      <c r="B1113" s="113" t="n"/>
      <c r="C1113" s="113" t="n"/>
      <c r="D1113" s="113" t="n"/>
    </row>
    <row r="1114" ht="15" customHeight="1" s="66">
      <c r="A1114" s="113" t="n"/>
      <c r="B1114" s="113" t="n"/>
      <c r="C1114" s="113" t="n"/>
      <c r="D1114" s="113" t="n"/>
    </row>
    <row r="1115" ht="15" customHeight="1" s="66">
      <c r="A1115" s="113" t="n"/>
      <c r="B1115" s="113" t="n"/>
      <c r="C1115" s="113" t="n"/>
      <c r="D1115" s="113" t="n"/>
    </row>
    <row r="1116" ht="15" customHeight="1" s="66">
      <c r="A1116" s="113" t="n"/>
      <c r="B1116" s="113" t="n"/>
      <c r="C1116" s="113" t="n"/>
      <c r="D1116" s="113" t="n"/>
    </row>
    <row r="1117" ht="15" customHeight="1" s="66">
      <c r="A1117" s="113" t="n"/>
      <c r="B1117" s="113" t="n"/>
      <c r="C1117" s="113" t="n"/>
      <c r="D1117" s="113" t="n"/>
    </row>
    <row r="1118" ht="15" customHeight="1" s="66">
      <c r="A1118" s="113" t="n"/>
      <c r="B1118" s="113" t="n"/>
      <c r="C1118" s="113" t="n"/>
      <c r="D1118" s="113" t="n"/>
    </row>
    <row r="1119" ht="15" customHeight="1" s="66">
      <c r="A1119" s="113" t="n"/>
      <c r="B1119" s="113" t="n"/>
      <c r="C1119" s="113" t="n"/>
      <c r="D1119" s="113" t="n"/>
    </row>
    <row r="1120" ht="15" customHeight="1" s="66">
      <c r="A1120" s="113" t="n"/>
      <c r="B1120" s="113" t="n"/>
      <c r="C1120" s="113" t="n"/>
      <c r="D1120" s="113" t="n"/>
    </row>
    <row r="1121" ht="15" customHeight="1" s="66">
      <c r="A1121" s="113" t="n"/>
      <c r="B1121" s="113" t="n"/>
      <c r="C1121" s="113" t="n"/>
      <c r="D1121" s="113" t="n"/>
    </row>
    <row r="1122" ht="15" customHeight="1" s="66">
      <c r="A1122" s="113" t="n"/>
      <c r="B1122" s="113" t="n"/>
      <c r="C1122" s="113" t="n"/>
      <c r="D1122" s="113" t="n"/>
    </row>
    <row r="1123" ht="15" customHeight="1" s="66">
      <c r="A1123" s="113" t="n"/>
      <c r="B1123" s="113" t="n"/>
      <c r="C1123" s="113" t="n"/>
      <c r="D1123" s="113" t="n"/>
    </row>
    <row r="1124" ht="15" customHeight="1" s="66">
      <c r="A1124" s="113" t="n"/>
      <c r="B1124" s="113" t="n"/>
      <c r="C1124" s="113" t="n"/>
      <c r="D1124" s="113" t="n"/>
    </row>
    <row r="1125" ht="15" customHeight="1" s="66">
      <c r="A1125" s="113" t="n"/>
      <c r="B1125" s="113" t="n"/>
      <c r="C1125" s="113" t="n"/>
      <c r="D1125" s="113" t="n"/>
    </row>
    <row r="1126" ht="15" customHeight="1" s="66">
      <c r="A1126" s="113" t="n"/>
      <c r="B1126" s="113" t="n"/>
      <c r="C1126" s="113" t="n"/>
      <c r="D1126" s="113" t="n"/>
    </row>
    <row r="1127" ht="15" customHeight="1" s="66">
      <c r="A1127" s="113" t="n"/>
      <c r="B1127" s="113" t="n"/>
      <c r="C1127" s="113" t="n"/>
      <c r="D1127" s="113" t="n"/>
    </row>
    <row r="1128" ht="15" customHeight="1" s="66">
      <c r="A1128" s="113" t="n"/>
      <c r="B1128" s="113" t="n"/>
      <c r="C1128" s="113" t="n"/>
      <c r="D1128" s="113" t="n"/>
    </row>
    <row r="1129" ht="15" customHeight="1" s="66">
      <c r="A1129" s="113" t="n"/>
      <c r="B1129" s="113" t="n"/>
      <c r="C1129" s="113" t="n"/>
      <c r="D1129" s="113" t="n"/>
    </row>
    <row r="1130" ht="15" customHeight="1" s="66">
      <c r="A1130" s="113" t="n"/>
      <c r="B1130" s="113" t="n"/>
      <c r="C1130" s="113" t="n"/>
      <c r="D1130" s="113" t="n"/>
    </row>
    <row r="1131" ht="15" customHeight="1" s="66">
      <c r="A1131" s="113" t="n"/>
      <c r="B1131" s="113" t="n"/>
      <c r="C1131" s="113" t="n"/>
      <c r="D1131" s="113" t="n"/>
    </row>
    <row r="1132" ht="15" customHeight="1" s="66">
      <c r="A1132" s="113" t="n"/>
      <c r="B1132" s="113" t="n"/>
      <c r="C1132" s="113" t="n"/>
      <c r="D1132" s="113" t="n"/>
    </row>
    <row r="1133" ht="15" customHeight="1" s="66">
      <c r="A1133" s="113" t="n"/>
      <c r="B1133" s="113" t="n"/>
      <c r="C1133" s="113" t="n"/>
      <c r="D1133" s="113" t="n"/>
    </row>
    <row r="1134" ht="15" customHeight="1" s="66">
      <c r="A1134" s="113" t="n"/>
      <c r="B1134" s="113" t="n"/>
      <c r="C1134" s="113" t="n"/>
      <c r="D1134" s="113" t="n"/>
    </row>
    <row r="1135" ht="15" customHeight="1" s="66">
      <c r="A1135" s="113" t="n"/>
      <c r="B1135" s="113" t="n"/>
      <c r="C1135" s="113" t="n"/>
      <c r="D1135" s="113" t="n"/>
    </row>
    <row r="1136" ht="15" customHeight="1" s="66">
      <c r="A1136" s="113" t="n"/>
      <c r="B1136" s="113" t="n"/>
      <c r="C1136" s="113" t="n"/>
      <c r="D1136" s="113" t="n"/>
    </row>
    <row r="1137" ht="15" customHeight="1" s="66">
      <c r="A1137" s="113" t="n"/>
      <c r="B1137" s="113" t="n"/>
      <c r="C1137" s="113" t="n"/>
      <c r="D1137" s="113" t="n"/>
    </row>
    <row r="1138" ht="15" customHeight="1" s="66">
      <c r="A1138" s="113" t="n"/>
      <c r="B1138" s="113" t="n"/>
      <c r="C1138" s="113" t="n"/>
      <c r="D1138" s="113" t="n"/>
    </row>
    <row r="1139" ht="15" customHeight="1" s="66">
      <c r="A1139" s="113" t="n"/>
      <c r="B1139" s="113" t="n"/>
      <c r="C1139" s="113" t="n"/>
      <c r="D1139" s="113" t="n"/>
    </row>
    <row r="1140" ht="15" customHeight="1" s="66">
      <c r="A1140" s="113" t="n"/>
      <c r="B1140" s="113" t="n"/>
      <c r="C1140" s="113" t="n"/>
      <c r="D1140" s="113" t="n"/>
    </row>
    <row r="1141" ht="15" customHeight="1" s="66">
      <c r="A1141" s="113" t="n"/>
      <c r="B1141" s="113" t="n"/>
      <c r="C1141" s="113" t="n"/>
      <c r="D1141" s="113" t="n"/>
    </row>
    <row r="1142" ht="15" customHeight="1" s="66">
      <c r="A1142" s="113" t="n"/>
      <c r="B1142" s="113" t="n"/>
      <c r="C1142" s="113" t="n"/>
      <c r="D1142" s="113" t="n"/>
    </row>
    <row r="1143" ht="15" customHeight="1" s="66">
      <c r="A1143" s="113" t="n"/>
      <c r="B1143" s="113" t="n"/>
      <c r="C1143" s="113" t="n"/>
      <c r="D1143" s="113" t="n"/>
    </row>
    <row r="1144" ht="15" customHeight="1" s="66">
      <c r="A1144" s="113" t="n"/>
      <c r="B1144" s="113" t="n"/>
      <c r="C1144" s="113" t="n"/>
      <c r="D1144" s="113" t="n"/>
    </row>
    <row r="1145" ht="15" customHeight="1" s="66">
      <c r="A1145" s="113" t="n"/>
      <c r="B1145" s="113" t="n"/>
      <c r="C1145" s="113" t="n"/>
      <c r="D1145" s="113" t="n"/>
    </row>
    <row r="1146" ht="15" customHeight="1" s="66">
      <c r="A1146" s="113" t="n"/>
      <c r="B1146" s="113" t="n"/>
      <c r="C1146" s="113" t="n"/>
      <c r="D1146" s="113" t="n"/>
    </row>
    <row r="1147" ht="15" customHeight="1" s="66">
      <c r="A1147" s="113" t="n"/>
      <c r="B1147" s="113" t="n"/>
      <c r="C1147" s="113" t="n"/>
      <c r="D1147" s="113" t="n"/>
    </row>
    <row r="1148" ht="15" customHeight="1" s="66">
      <c r="A1148" s="113" t="n"/>
      <c r="B1148" s="113" t="n"/>
      <c r="C1148" s="113" t="n"/>
      <c r="D1148" s="113" t="n"/>
    </row>
    <row r="1149" ht="15" customHeight="1" s="66">
      <c r="A1149" s="113" t="n"/>
      <c r="B1149" s="113" t="n"/>
      <c r="C1149" s="113" t="n"/>
      <c r="D1149" s="113" t="n"/>
    </row>
    <row r="1150" ht="15" customHeight="1" s="66">
      <c r="A1150" s="113" t="n"/>
      <c r="B1150" s="113" t="n"/>
      <c r="C1150" s="113" t="n"/>
      <c r="D1150" s="113" t="n"/>
    </row>
    <row r="1151" ht="15" customHeight="1" s="66">
      <c r="A1151" s="113" t="n"/>
      <c r="B1151" s="113" t="n"/>
      <c r="C1151" s="113" t="n"/>
      <c r="D1151" s="113" t="n"/>
    </row>
    <row r="1152" ht="15" customHeight="1" s="66">
      <c r="A1152" s="113" t="n"/>
      <c r="B1152" s="113" t="n"/>
      <c r="C1152" s="113" t="n"/>
      <c r="D1152" s="113" t="n"/>
    </row>
    <row r="1153" ht="15" customHeight="1" s="66">
      <c r="A1153" s="113" t="n"/>
      <c r="B1153" s="113" t="n"/>
      <c r="C1153" s="113" t="n"/>
      <c r="D1153" s="113" t="n"/>
    </row>
    <row r="1154" ht="15" customHeight="1" s="66">
      <c r="A1154" s="113" t="n"/>
      <c r="B1154" s="113" t="n"/>
      <c r="C1154" s="113" t="n"/>
      <c r="D1154" s="113" t="n"/>
    </row>
    <row r="1155" ht="15" customHeight="1" s="66">
      <c r="A1155" s="113" t="n"/>
      <c r="B1155" s="113" t="n"/>
      <c r="C1155" s="113" t="n"/>
      <c r="D1155" s="113" t="n"/>
    </row>
    <row r="1156" ht="15" customHeight="1" s="66">
      <c r="A1156" s="113" t="n"/>
      <c r="B1156" s="113" t="n"/>
      <c r="C1156" s="113" t="n"/>
      <c r="D1156" s="113" t="n"/>
    </row>
    <row r="1157" ht="15" customHeight="1" s="66">
      <c r="A1157" s="113" t="n"/>
      <c r="B1157" s="113" t="n"/>
      <c r="C1157" s="113" t="n"/>
      <c r="D1157" s="113" t="n"/>
    </row>
    <row r="1158" ht="15" customHeight="1" s="66">
      <c r="A1158" s="113" t="n"/>
      <c r="B1158" s="113" t="n"/>
      <c r="C1158" s="113" t="n"/>
      <c r="D1158" s="113" t="n"/>
    </row>
    <row r="1159" ht="15" customHeight="1" s="66">
      <c r="A1159" s="113" t="n"/>
      <c r="B1159" s="113" t="n"/>
      <c r="C1159" s="113" t="n"/>
      <c r="D1159" s="113" t="n"/>
    </row>
    <row r="1160" ht="15" customHeight="1" s="66">
      <c r="A1160" s="113" t="n"/>
      <c r="B1160" s="113" t="n"/>
      <c r="C1160" s="113" t="n"/>
      <c r="D1160" s="113" t="n"/>
    </row>
    <row r="1161" ht="15" customHeight="1" s="66">
      <c r="A1161" s="113" t="n"/>
      <c r="B1161" s="113" t="n"/>
      <c r="C1161" s="113" t="n"/>
      <c r="D1161" s="113" t="n"/>
    </row>
    <row r="1162" ht="15" customHeight="1" s="66">
      <c r="A1162" s="113" t="n"/>
      <c r="B1162" s="113" t="n"/>
      <c r="C1162" s="113" t="n"/>
      <c r="D1162" s="113" t="n"/>
    </row>
    <row r="1163" ht="15" customHeight="1" s="66">
      <c r="A1163" s="113" t="n"/>
      <c r="B1163" s="113" t="n"/>
      <c r="C1163" s="113" t="n"/>
      <c r="D1163" s="113" t="n"/>
    </row>
    <row r="1164" ht="15" customHeight="1" s="66">
      <c r="A1164" s="113" t="n"/>
      <c r="B1164" s="113" t="n"/>
      <c r="C1164" s="113" t="n"/>
      <c r="D1164" s="113" t="n"/>
    </row>
    <row r="1165" ht="15" customHeight="1" s="66">
      <c r="A1165" s="113" t="n"/>
      <c r="B1165" s="113" t="n"/>
      <c r="C1165" s="113" t="n"/>
      <c r="D1165" s="113" t="n"/>
    </row>
    <row r="1166" ht="15" customHeight="1" s="66">
      <c r="A1166" s="113" t="n"/>
      <c r="B1166" s="113" t="n"/>
      <c r="C1166" s="113" t="n"/>
      <c r="D1166" s="113" t="n"/>
    </row>
    <row r="1167" ht="15" customHeight="1" s="66">
      <c r="A1167" s="113" t="n"/>
      <c r="B1167" s="113" t="n"/>
      <c r="C1167" s="113" t="n"/>
      <c r="D1167" s="113" t="n"/>
    </row>
    <row r="1168" ht="15" customHeight="1" s="66">
      <c r="A1168" s="113" t="n"/>
      <c r="B1168" s="113" t="n"/>
      <c r="C1168" s="113" t="n"/>
      <c r="D1168" s="113" t="n"/>
    </row>
    <row r="1169" ht="15" customHeight="1" s="66">
      <c r="A1169" s="113" t="n"/>
      <c r="B1169" s="113" t="n"/>
      <c r="C1169" s="113" t="n"/>
      <c r="D1169" s="113" t="n"/>
    </row>
    <row r="1170" ht="15" customHeight="1" s="66">
      <c r="A1170" s="113" t="n"/>
      <c r="B1170" s="113" t="n"/>
      <c r="C1170" s="113" t="n"/>
      <c r="D1170" s="113" t="n"/>
    </row>
    <row r="1171" ht="15" customHeight="1" s="66">
      <c r="A1171" s="113" t="n"/>
      <c r="B1171" s="113" t="n"/>
      <c r="C1171" s="113" t="n"/>
      <c r="D1171" s="113" t="n"/>
    </row>
    <row r="1172" ht="15" customHeight="1" s="66">
      <c r="A1172" s="113" t="n"/>
      <c r="B1172" s="113" t="n"/>
      <c r="C1172" s="113" t="n"/>
      <c r="D1172" s="113" t="n"/>
    </row>
    <row r="1173" ht="15" customHeight="1" s="66">
      <c r="A1173" s="113" t="n"/>
      <c r="B1173" s="113" t="n"/>
      <c r="C1173" s="113" t="n"/>
      <c r="D1173" s="113" t="n"/>
    </row>
    <row r="1174" ht="15" customHeight="1" s="66">
      <c r="A1174" s="113" t="n"/>
      <c r="B1174" s="113" t="n"/>
      <c r="C1174" s="113" t="n"/>
      <c r="D1174" s="113" t="n"/>
    </row>
    <row r="1175" ht="15" customHeight="1" s="66">
      <c r="A1175" s="113" t="n"/>
      <c r="B1175" s="113" t="n"/>
      <c r="C1175" s="113" t="n"/>
      <c r="D1175" s="113" t="n"/>
    </row>
    <row r="1176" ht="15" customHeight="1" s="66">
      <c r="A1176" s="113" t="n"/>
      <c r="B1176" s="113" t="n"/>
      <c r="C1176" s="113" t="n"/>
      <c r="D1176" s="113" t="n"/>
    </row>
    <row r="1177" ht="15" customHeight="1" s="66">
      <c r="A1177" s="113" t="n"/>
      <c r="B1177" s="113" t="n"/>
      <c r="C1177" s="113" t="n"/>
      <c r="D1177" s="113" t="n"/>
    </row>
    <row r="1178" ht="15" customHeight="1" s="66">
      <c r="A1178" s="113" t="n"/>
      <c r="B1178" s="113" t="n"/>
      <c r="C1178" s="113" t="n"/>
      <c r="D1178" s="113" t="n"/>
    </row>
    <row r="1179" ht="15" customHeight="1" s="66">
      <c r="A1179" s="113" t="n"/>
      <c r="B1179" s="113" t="n"/>
      <c r="C1179" s="113" t="n"/>
      <c r="D1179" s="113" t="n"/>
    </row>
    <row r="1180" ht="15" customHeight="1" s="66">
      <c r="A1180" s="113" t="n"/>
      <c r="B1180" s="113" t="n"/>
      <c r="C1180" s="113" t="n"/>
      <c r="D1180" s="113" t="n"/>
    </row>
    <row r="1181" ht="15" customHeight="1" s="66">
      <c r="A1181" s="113" t="n"/>
      <c r="B1181" s="113" t="n"/>
      <c r="C1181" s="113" t="n"/>
      <c r="D1181" s="113" t="n"/>
    </row>
    <row r="1182" ht="15" customHeight="1" s="66">
      <c r="A1182" s="113" t="n"/>
      <c r="B1182" s="113" t="n"/>
      <c r="C1182" s="113" t="n"/>
      <c r="D1182" s="113" t="n"/>
    </row>
    <row r="1183" ht="15" customHeight="1" s="66">
      <c r="A1183" s="113" t="n"/>
      <c r="B1183" s="113" t="n"/>
      <c r="C1183" s="113" t="n"/>
      <c r="D1183" s="113" t="n"/>
    </row>
    <row r="1184" ht="15" customHeight="1" s="66">
      <c r="A1184" s="113" t="n"/>
      <c r="B1184" s="113" t="n"/>
      <c r="C1184" s="113" t="n"/>
      <c r="D1184" s="113" t="n"/>
    </row>
    <row r="1185" ht="15" customHeight="1" s="66">
      <c r="A1185" s="113" t="n"/>
      <c r="B1185" s="113" t="n"/>
      <c r="C1185" s="113" t="n"/>
      <c r="D1185" s="113" t="n"/>
    </row>
    <row r="1186" ht="15" customHeight="1" s="66">
      <c r="A1186" s="113" t="n"/>
      <c r="B1186" s="113" t="n"/>
      <c r="C1186" s="113" t="n"/>
      <c r="D1186" s="113" t="n"/>
    </row>
    <row r="1187" ht="15" customHeight="1" s="66">
      <c r="A1187" s="113" t="n"/>
      <c r="B1187" s="113" t="n"/>
      <c r="C1187" s="113" t="n"/>
      <c r="D1187" s="113" t="n"/>
    </row>
    <row r="1188" ht="15" customHeight="1" s="66">
      <c r="A1188" s="113" t="n"/>
      <c r="B1188" s="113" t="n"/>
      <c r="C1188" s="113" t="n"/>
      <c r="D1188" s="113" t="n"/>
    </row>
    <row r="1189" ht="15" customHeight="1" s="66">
      <c r="A1189" s="113" t="n"/>
      <c r="B1189" s="113" t="n"/>
      <c r="C1189" s="113" t="n"/>
      <c r="D1189" s="113" t="n"/>
    </row>
    <row r="1190" ht="15" customHeight="1" s="66">
      <c r="A1190" s="113" t="n"/>
      <c r="B1190" s="113" t="n"/>
      <c r="C1190" s="113" t="n"/>
      <c r="D1190" s="113" t="n"/>
    </row>
    <row r="1191" ht="15" customHeight="1" s="66">
      <c r="A1191" s="113" t="n"/>
      <c r="B1191" s="113" t="n"/>
      <c r="C1191" s="113" t="n"/>
      <c r="D1191" s="113" t="n"/>
    </row>
    <row r="1192" ht="15" customHeight="1" s="66">
      <c r="A1192" s="113" t="n"/>
      <c r="B1192" s="113" t="n"/>
      <c r="C1192" s="113" t="n"/>
      <c r="D1192" s="113" t="n"/>
    </row>
    <row r="1193" ht="15" customHeight="1" s="66">
      <c r="A1193" s="113" t="n"/>
      <c r="B1193" s="113" t="n"/>
      <c r="C1193" s="113" t="n"/>
      <c r="D1193" s="113" t="n"/>
    </row>
    <row r="1194" ht="15" customHeight="1" s="66">
      <c r="A1194" s="113" t="n"/>
      <c r="B1194" s="113" t="n"/>
      <c r="C1194" s="113" t="n"/>
      <c r="D1194" s="113" t="n"/>
    </row>
    <row r="1195" ht="15" customHeight="1" s="66">
      <c r="A1195" s="113" t="n"/>
      <c r="B1195" s="113" t="n"/>
      <c r="C1195" s="113" t="n"/>
      <c r="D1195" s="113" t="n"/>
    </row>
    <row r="1196" ht="15" customHeight="1" s="66">
      <c r="A1196" s="113" t="n"/>
      <c r="B1196" s="113" t="n"/>
      <c r="C1196" s="113" t="n"/>
      <c r="D1196" s="113" t="n"/>
    </row>
    <row r="1197" ht="15" customHeight="1" s="66">
      <c r="A1197" s="113" t="n"/>
      <c r="B1197" s="113" t="n"/>
      <c r="C1197" s="113" t="n"/>
      <c r="D1197" s="113" t="n"/>
    </row>
    <row r="1198" ht="15" customHeight="1" s="66">
      <c r="A1198" s="113" t="n"/>
      <c r="B1198" s="113" t="n"/>
      <c r="C1198" s="113" t="n"/>
      <c r="D1198" s="113" t="n"/>
    </row>
    <row r="1199" ht="15" customHeight="1" s="66">
      <c r="A1199" s="113" t="n"/>
      <c r="B1199" s="113" t="n"/>
      <c r="C1199" s="113" t="n"/>
      <c r="D1199" s="113" t="n"/>
    </row>
    <row r="1200" ht="15" customHeight="1" s="66">
      <c r="A1200" s="113" t="n"/>
      <c r="B1200" s="113" t="n"/>
      <c r="C1200" s="113" t="n"/>
      <c r="D1200" s="113" t="n"/>
    </row>
    <row r="1201" ht="15" customHeight="1" s="66">
      <c r="A1201" s="113" t="n"/>
      <c r="B1201" s="113" t="n"/>
      <c r="C1201" s="113" t="n"/>
      <c r="D1201" s="113" t="n"/>
    </row>
    <row r="1202" ht="15" customHeight="1" s="66">
      <c r="A1202" s="113" t="n"/>
      <c r="B1202" s="113" t="n"/>
      <c r="C1202" s="113" t="n"/>
      <c r="D1202" s="113" t="n"/>
    </row>
    <row r="1203" ht="15" customHeight="1" s="66">
      <c r="A1203" s="113" t="n"/>
      <c r="B1203" s="113" t="n"/>
      <c r="C1203" s="113" t="n"/>
      <c r="D1203" s="113" t="n"/>
    </row>
    <row r="1204" ht="15" customHeight="1" s="66">
      <c r="A1204" s="113" t="n"/>
      <c r="B1204" s="113" t="n"/>
      <c r="C1204" s="113" t="n"/>
      <c r="D1204" s="113" t="n"/>
    </row>
    <row r="1205" ht="15" customHeight="1" s="66">
      <c r="A1205" s="113" t="n"/>
      <c r="B1205" s="113" t="n"/>
      <c r="C1205" s="113" t="n"/>
      <c r="D1205" s="113" t="n"/>
    </row>
    <row r="1206" ht="15" customHeight="1" s="66">
      <c r="A1206" s="113" t="n"/>
      <c r="B1206" s="113" t="n"/>
      <c r="C1206" s="113" t="n"/>
      <c r="D1206" s="113" t="n"/>
    </row>
    <row r="1207" ht="15" customHeight="1" s="66">
      <c r="A1207" s="113" t="n"/>
      <c r="B1207" s="113" t="n"/>
      <c r="C1207" s="113" t="n"/>
      <c r="D1207" s="113" t="n"/>
    </row>
    <row r="1208" ht="15" customHeight="1" s="66">
      <c r="A1208" s="113" t="n"/>
      <c r="B1208" s="113" t="n"/>
      <c r="C1208" s="113" t="n"/>
      <c r="D1208" s="113" t="n"/>
    </row>
    <row r="1209" ht="15" customHeight="1" s="66">
      <c r="A1209" s="113" t="n"/>
      <c r="B1209" s="113" t="n"/>
      <c r="C1209" s="113" t="n"/>
      <c r="D1209" s="113" t="n"/>
    </row>
    <row r="1210" ht="15" customHeight="1" s="66">
      <c r="A1210" s="113" t="n"/>
      <c r="B1210" s="113" t="n"/>
      <c r="C1210" s="113" t="n"/>
      <c r="D1210" s="113" t="n"/>
    </row>
    <row r="1211" ht="15" customHeight="1" s="66">
      <c r="A1211" s="113" t="n"/>
      <c r="B1211" s="113" t="n"/>
      <c r="C1211" s="113" t="n"/>
      <c r="D1211" s="113" t="n"/>
    </row>
    <row r="1212" ht="15" customHeight="1" s="66">
      <c r="A1212" s="113" t="n"/>
      <c r="B1212" s="113" t="n"/>
      <c r="C1212" s="113" t="n"/>
      <c r="D1212" s="113" t="n"/>
    </row>
    <row r="1213" ht="15" customHeight="1" s="66">
      <c r="A1213" s="113" t="n"/>
      <c r="B1213" s="113" t="n"/>
      <c r="C1213" s="113" t="n"/>
      <c r="D1213" s="113" t="n"/>
    </row>
    <row r="1214" ht="15" customHeight="1" s="66">
      <c r="A1214" s="113" t="n"/>
      <c r="B1214" s="113" t="n"/>
      <c r="C1214" s="113" t="n"/>
      <c r="D1214" s="113" t="n"/>
    </row>
    <row r="1215" ht="15" customHeight="1" s="66">
      <c r="A1215" s="113" t="n"/>
      <c r="B1215" s="113" t="n"/>
      <c r="C1215" s="113" t="n"/>
      <c r="D1215" s="113" t="n"/>
    </row>
    <row r="1216" ht="15" customHeight="1" s="66">
      <c r="A1216" s="113" t="n"/>
      <c r="B1216" s="113" t="n"/>
      <c r="C1216" s="113" t="n"/>
      <c r="D1216" s="113" t="n"/>
    </row>
    <row r="1217" ht="15" customHeight="1" s="66">
      <c r="A1217" s="113" t="n"/>
      <c r="B1217" s="113" t="n"/>
      <c r="C1217" s="113" t="n"/>
      <c r="D1217" s="113" t="n"/>
    </row>
    <row r="1218" ht="15" customHeight="1" s="66">
      <c r="A1218" s="113" t="n"/>
      <c r="B1218" s="113" t="n"/>
      <c r="C1218" s="113" t="n"/>
      <c r="D1218" s="113" t="n"/>
    </row>
    <row r="1219" ht="15" customHeight="1" s="66">
      <c r="A1219" s="113" t="n"/>
      <c r="B1219" s="113" t="n"/>
      <c r="C1219" s="113" t="n"/>
      <c r="D1219" s="113" t="n"/>
    </row>
    <row r="1220" ht="15" customHeight="1" s="66">
      <c r="A1220" s="113" t="n"/>
      <c r="B1220" s="113" t="n"/>
      <c r="C1220" s="113" t="n"/>
      <c r="D1220" s="113" t="n"/>
    </row>
    <row r="1221" ht="15" customHeight="1" s="66">
      <c r="A1221" s="113" t="n"/>
      <c r="B1221" s="113" t="n"/>
      <c r="C1221" s="113" t="n"/>
      <c r="D1221" s="113" t="n"/>
    </row>
    <row r="1222" ht="15" customHeight="1" s="66">
      <c r="A1222" s="113" t="n"/>
      <c r="B1222" s="113" t="n"/>
      <c r="C1222" s="113" t="n"/>
      <c r="D1222" s="113" t="n"/>
    </row>
    <row r="1223" ht="15" customHeight="1" s="66">
      <c r="A1223" s="113" t="n"/>
      <c r="B1223" s="113" t="n"/>
      <c r="C1223" s="113" t="n"/>
      <c r="D1223" s="113" t="n"/>
    </row>
    <row r="1224" ht="15" customHeight="1" s="66">
      <c r="A1224" s="113" t="n"/>
      <c r="B1224" s="113" t="n"/>
      <c r="C1224" s="113" t="n"/>
      <c r="D1224" s="113" t="n"/>
    </row>
    <row r="1225" ht="15" customHeight="1" s="66">
      <c r="A1225" s="113" t="n"/>
      <c r="B1225" s="113" t="n"/>
      <c r="C1225" s="113" t="n"/>
      <c r="D1225" s="113" t="n"/>
    </row>
    <row r="1226" ht="15" customHeight="1" s="66">
      <c r="A1226" s="113" t="n"/>
      <c r="B1226" s="113" t="n"/>
      <c r="C1226" s="113" t="n"/>
      <c r="D1226" s="113" t="n"/>
    </row>
    <row r="1227" ht="15" customHeight="1" s="66">
      <c r="A1227" s="113" t="n"/>
      <c r="B1227" s="113" t="n"/>
      <c r="C1227" s="113" t="n"/>
      <c r="D1227" s="113" t="n"/>
    </row>
    <row r="1228" ht="15" customHeight="1" s="66">
      <c r="A1228" s="113" t="n"/>
      <c r="B1228" s="113" t="n"/>
      <c r="C1228" s="113" t="n"/>
      <c r="D1228" s="113" t="n"/>
    </row>
    <row r="1229" ht="15" customHeight="1" s="66">
      <c r="A1229" s="113" t="n"/>
      <c r="B1229" s="113" t="n"/>
      <c r="C1229" s="113" t="n"/>
      <c r="D1229" s="113" t="n"/>
    </row>
    <row r="1230" ht="15" customHeight="1" s="66">
      <c r="A1230" s="113" t="n"/>
      <c r="B1230" s="113" t="n"/>
      <c r="C1230" s="113" t="n"/>
      <c r="D1230" s="113" t="n"/>
    </row>
    <row r="1231" ht="15" customHeight="1" s="66">
      <c r="A1231" s="113" t="n"/>
      <c r="B1231" s="113" t="n"/>
      <c r="C1231" s="113" t="n"/>
      <c r="D1231" s="113" t="n"/>
    </row>
    <row r="1232" ht="15" customHeight="1" s="66">
      <c r="A1232" s="113" t="n"/>
      <c r="B1232" s="113" t="n"/>
      <c r="C1232" s="113" t="n"/>
      <c r="D1232" s="113" t="n"/>
    </row>
    <row r="1233" ht="15" customHeight="1" s="66">
      <c r="A1233" s="113" t="n"/>
      <c r="B1233" s="113" t="n"/>
      <c r="C1233" s="113" t="n"/>
      <c r="D1233" s="113" t="n"/>
    </row>
    <row r="1234" ht="15" customHeight="1" s="66">
      <c r="A1234" s="113" t="n"/>
      <c r="B1234" s="113" t="n"/>
      <c r="C1234" s="113" t="n"/>
      <c r="D1234" s="113" t="n"/>
    </row>
    <row r="1235" ht="15" customHeight="1" s="66">
      <c r="A1235" s="113" t="n"/>
      <c r="B1235" s="113" t="n"/>
      <c r="C1235" s="113" t="n"/>
      <c r="D1235" s="113" t="n"/>
    </row>
    <row r="1236" ht="15" customHeight="1" s="66">
      <c r="A1236" s="113" t="n"/>
      <c r="B1236" s="113" t="n"/>
      <c r="C1236" s="113" t="n"/>
      <c r="D1236" s="113" t="n"/>
    </row>
    <row r="1237" ht="15" customHeight="1" s="66">
      <c r="A1237" s="113" t="n"/>
      <c r="B1237" s="113" t="n"/>
      <c r="C1237" s="113" t="n"/>
      <c r="D1237" s="113" t="n"/>
    </row>
    <row r="1238" ht="15" customHeight="1" s="66">
      <c r="A1238" s="113" t="n"/>
      <c r="B1238" s="113" t="n"/>
      <c r="C1238" s="113" t="n"/>
      <c r="D1238" s="113" t="n"/>
    </row>
    <row r="1239" ht="15" customHeight="1" s="66">
      <c r="A1239" s="113" t="n"/>
      <c r="B1239" s="113" t="n"/>
      <c r="C1239" s="113" t="n"/>
      <c r="D1239" s="113" t="n"/>
    </row>
    <row r="1240" ht="15" customHeight="1" s="66">
      <c r="A1240" s="113" t="n"/>
      <c r="B1240" s="113" t="n"/>
      <c r="C1240" s="113" t="n"/>
      <c r="D1240" s="113" t="n"/>
    </row>
    <row r="1241" ht="15" customHeight="1" s="66">
      <c r="A1241" s="113" t="n"/>
      <c r="B1241" s="113" t="n"/>
      <c r="C1241" s="113" t="n"/>
      <c r="D1241" s="113" t="n"/>
    </row>
    <row r="1242" ht="15" customHeight="1" s="66">
      <c r="A1242" s="113" t="n"/>
      <c r="B1242" s="113" t="n"/>
      <c r="C1242" s="113" t="n"/>
      <c r="D1242" s="113" t="n"/>
    </row>
    <row r="1243" ht="15" customHeight="1" s="66">
      <c r="A1243" s="113" t="n"/>
      <c r="B1243" s="113" t="n"/>
      <c r="C1243" s="113" t="n"/>
      <c r="D1243" s="113" t="n"/>
    </row>
    <row r="1244" ht="15" customHeight="1" s="66">
      <c r="A1244" s="113" t="n"/>
      <c r="B1244" s="113" t="n"/>
      <c r="C1244" s="113" t="n"/>
      <c r="D1244" s="113" t="n"/>
    </row>
    <row r="1245" ht="15" customHeight="1" s="66">
      <c r="A1245" s="113" t="n"/>
      <c r="B1245" s="113" t="n"/>
      <c r="C1245" s="113" t="n"/>
      <c r="D1245" s="113" t="n"/>
    </row>
    <row r="1246" ht="15" customHeight="1" s="66">
      <c r="A1246" s="113" t="n"/>
      <c r="B1246" s="113" t="n"/>
      <c r="C1246" s="113" t="n"/>
      <c r="D1246" s="113" t="n"/>
    </row>
    <row r="1247" ht="15" customHeight="1" s="66">
      <c r="A1247" s="113" t="n"/>
      <c r="B1247" s="113" t="n"/>
      <c r="C1247" s="113" t="n"/>
      <c r="D1247" s="113" t="n"/>
    </row>
    <row r="1248" ht="15" customHeight="1" s="66">
      <c r="A1248" s="113" t="n"/>
      <c r="B1248" s="113" t="n"/>
      <c r="C1248" s="113" t="n"/>
      <c r="D1248" s="113" t="n"/>
    </row>
    <row r="1249" ht="15" customHeight="1" s="66">
      <c r="A1249" s="113" t="n"/>
      <c r="B1249" s="113" t="n"/>
      <c r="C1249" s="113" t="n"/>
      <c r="D1249" s="113" t="n"/>
    </row>
    <row r="1250" ht="15" customHeight="1" s="66">
      <c r="A1250" s="113" t="n"/>
      <c r="B1250" s="113" t="n"/>
      <c r="C1250" s="113" t="n"/>
      <c r="D1250" s="113" t="n"/>
    </row>
    <row r="1251" ht="15" customHeight="1" s="66">
      <c r="A1251" s="113" t="n"/>
      <c r="B1251" s="113" t="n"/>
      <c r="C1251" s="113" t="n"/>
      <c r="D1251" s="113" t="n"/>
    </row>
    <row r="1252" ht="15" customHeight="1" s="66">
      <c r="A1252" s="113" t="n"/>
      <c r="B1252" s="113" t="n"/>
      <c r="C1252" s="113" t="n"/>
      <c r="D1252" s="113" t="n"/>
    </row>
    <row r="1253" ht="15" customHeight="1" s="66">
      <c r="A1253" s="113" t="n"/>
      <c r="B1253" s="113" t="n"/>
      <c r="C1253" s="113" t="n"/>
      <c r="D1253" s="113" t="n"/>
    </row>
    <row r="1254" ht="15" customHeight="1" s="66">
      <c r="A1254" s="113" t="n"/>
      <c r="B1254" s="113" t="n"/>
      <c r="C1254" s="113" t="n"/>
      <c r="D1254" s="113" t="n"/>
    </row>
    <row r="1255" ht="15" customHeight="1" s="66">
      <c r="A1255" s="113" t="n"/>
      <c r="B1255" s="113" t="n"/>
      <c r="C1255" s="113" t="n"/>
      <c r="D1255" s="113" t="n"/>
    </row>
    <row r="1256" ht="15" customHeight="1" s="66">
      <c r="A1256" s="113" t="n"/>
      <c r="B1256" s="113" t="n"/>
      <c r="C1256" s="113" t="n"/>
      <c r="D1256" s="113" t="n"/>
    </row>
    <row r="1257" ht="15" customHeight="1" s="66">
      <c r="A1257" s="113" t="n"/>
      <c r="B1257" s="113" t="n"/>
      <c r="C1257" s="113" t="n"/>
      <c r="D1257" s="113" t="n"/>
    </row>
    <row r="1258" ht="15" customHeight="1" s="66">
      <c r="A1258" s="113" t="n"/>
      <c r="B1258" s="113" t="n"/>
      <c r="C1258" s="113" t="n"/>
      <c r="D1258" s="113" t="n"/>
    </row>
    <row r="1259" ht="15" customHeight="1" s="66">
      <c r="A1259" s="113" t="n"/>
      <c r="B1259" s="113" t="n"/>
      <c r="C1259" s="113" t="n"/>
      <c r="D1259" s="113" t="n"/>
    </row>
    <row r="1260" ht="15" customHeight="1" s="66">
      <c r="A1260" s="113" t="n"/>
      <c r="B1260" s="113" t="n"/>
      <c r="C1260" s="113" t="n"/>
      <c r="D1260" s="113" t="n"/>
    </row>
    <row r="1261" ht="15" customHeight="1" s="66">
      <c r="A1261" s="113" t="n"/>
      <c r="B1261" s="113" t="n"/>
      <c r="C1261" s="113" t="n"/>
      <c r="D1261" s="113" t="n"/>
    </row>
    <row r="1262" ht="15" customHeight="1" s="66">
      <c r="A1262" s="113" t="n"/>
      <c r="B1262" s="113" t="n"/>
      <c r="C1262" s="113" t="n"/>
      <c r="D1262" s="113" t="n"/>
    </row>
    <row r="1263" ht="15" customHeight="1" s="66">
      <c r="A1263" s="113" t="n"/>
      <c r="B1263" s="113" t="n"/>
      <c r="C1263" s="113" t="n"/>
      <c r="D1263" s="113" t="n"/>
    </row>
    <row r="1264" ht="15" customHeight="1" s="66">
      <c r="A1264" s="113" t="n"/>
      <c r="B1264" s="113" t="n"/>
      <c r="C1264" s="113" t="n"/>
      <c r="D1264" s="113" t="n"/>
    </row>
    <row r="1265" ht="15" customHeight="1" s="66">
      <c r="A1265" s="113" t="n"/>
      <c r="B1265" s="113" t="n"/>
      <c r="C1265" s="113" t="n"/>
      <c r="D1265" s="113" t="n"/>
    </row>
    <row r="1266" ht="15" customHeight="1" s="66">
      <c r="A1266" s="113" t="n"/>
      <c r="B1266" s="113" t="n"/>
      <c r="C1266" s="113" t="n"/>
      <c r="D1266" s="113" t="n"/>
    </row>
    <row r="1267" ht="15" customHeight="1" s="66">
      <c r="A1267" s="113" t="n"/>
      <c r="B1267" s="113" t="n"/>
      <c r="C1267" s="113" t="n"/>
      <c r="D1267" s="113" t="n"/>
    </row>
    <row r="1268" ht="15" customHeight="1" s="66">
      <c r="A1268" s="113" t="n"/>
      <c r="B1268" s="113" t="n"/>
      <c r="C1268" s="113" t="n"/>
      <c r="D1268" s="113" t="n"/>
    </row>
    <row r="1269" ht="15" customHeight="1" s="66">
      <c r="A1269" s="113" t="n"/>
      <c r="B1269" s="113" t="n"/>
      <c r="C1269" s="113" t="n"/>
      <c r="D1269" s="113" t="n"/>
    </row>
    <row r="1270" ht="15" customHeight="1" s="66">
      <c r="A1270" s="113" t="n"/>
      <c r="B1270" s="113" t="n"/>
      <c r="C1270" s="113" t="n"/>
      <c r="D1270" s="113" t="n"/>
    </row>
    <row r="1271" ht="15" customHeight="1" s="66">
      <c r="A1271" s="113" t="n"/>
      <c r="B1271" s="113" t="n"/>
      <c r="C1271" s="113" t="n"/>
      <c r="D1271" s="113" t="n"/>
    </row>
    <row r="1272" ht="15" customHeight="1" s="66">
      <c r="A1272" s="113" t="n"/>
      <c r="B1272" s="113" t="n"/>
      <c r="C1272" s="113" t="n"/>
      <c r="D1272" s="113" t="n"/>
    </row>
    <row r="1273" ht="15" customHeight="1" s="66">
      <c r="A1273" s="113" t="n"/>
      <c r="B1273" s="113" t="n"/>
      <c r="C1273" s="113" t="n"/>
      <c r="D1273" s="113" t="n"/>
    </row>
    <row r="1274" ht="15" customHeight="1" s="66">
      <c r="A1274" s="113" t="n"/>
      <c r="B1274" s="113" t="n"/>
      <c r="C1274" s="113" t="n"/>
      <c r="D1274" s="113" t="n"/>
    </row>
    <row r="1275" ht="15" customHeight="1" s="66">
      <c r="A1275" s="113" t="n"/>
      <c r="B1275" s="113" t="n"/>
      <c r="C1275" s="113" t="n"/>
      <c r="D1275" s="113" t="n"/>
    </row>
    <row r="1276" ht="15" customHeight="1" s="66">
      <c r="A1276" s="113" t="n"/>
      <c r="B1276" s="113" t="n"/>
      <c r="C1276" s="113" t="n"/>
      <c r="D1276" s="113" t="n"/>
    </row>
    <row r="1277" ht="15" customHeight="1" s="66">
      <c r="A1277" s="113" t="n"/>
      <c r="B1277" s="113" t="n"/>
      <c r="C1277" s="113" t="n"/>
      <c r="D1277" s="113" t="n"/>
    </row>
    <row r="1278" ht="15" customHeight="1" s="66">
      <c r="A1278" s="113" t="n"/>
      <c r="B1278" s="113" t="n"/>
      <c r="C1278" s="113" t="n"/>
      <c r="D1278" s="113" t="n"/>
    </row>
    <row r="1279" ht="15" customHeight="1" s="66">
      <c r="A1279" s="113" t="n"/>
      <c r="B1279" s="113" t="n"/>
      <c r="C1279" s="113" t="n"/>
      <c r="D1279" s="113" t="n"/>
    </row>
    <row r="1280" ht="15" customHeight="1" s="66">
      <c r="A1280" s="113" t="n"/>
      <c r="B1280" s="113" t="n"/>
      <c r="C1280" s="113" t="n"/>
      <c r="D1280" s="113" t="n"/>
    </row>
    <row r="1281" ht="15" customHeight="1" s="66">
      <c r="A1281" s="113" t="n"/>
      <c r="B1281" s="113" t="n"/>
      <c r="C1281" s="113" t="n"/>
      <c r="D1281" s="113" t="n"/>
    </row>
    <row r="1282" ht="15" customHeight="1" s="66">
      <c r="A1282" s="113" t="n"/>
      <c r="B1282" s="113" t="n"/>
      <c r="C1282" s="113" t="n"/>
      <c r="D1282" s="113" t="n"/>
    </row>
    <row r="1283" ht="15" customHeight="1" s="66">
      <c r="A1283" s="113" t="n"/>
      <c r="B1283" s="113" t="n"/>
      <c r="C1283" s="113" t="n"/>
      <c r="D1283" s="113" t="n"/>
    </row>
    <row r="1284" ht="15" customHeight="1" s="66">
      <c r="A1284" s="113" t="n"/>
      <c r="B1284" s="113" t="n"/>
      <c r="C1284" s="113" t="n"/>
      <c r="D1284" s="113" t="n"/>
    </row>
    <row r="1285" ht="15" customHeight="1" s="66">
      <c r="A1285" s="113" t="n"/>
      <c r="B1285" s="113" t="n"/>
      <c r="C1285" s="113" t="n"/>
      <c r="D1285" s="113" t="n"/>
    </row>
    <row r="1286" ht="15" customHeight="1" s="66">
      <c r="A1286" s="113" t="n"/>
      <c r="B1286" s="113" t="n"/>
      <c r="C1286" s="113" t="n"/>
      <c r="D1286" s="113" t="n"/>
    </row>
    <row r="1287" ht="15" customHeight="1" s="66">
      <c r="A1287" s="113" t="n"/>
      <c r="B1287" s="113" t="n"/>
      <c r="C1287" s="113" t="n"/>
      <c r="D1287" s="113" t="n"/>
    </row>
    <row r="1288" ht="15" customHeight="1" s="66">
      <c r="A1288" s="113" t="n"/>
      <c r="B1288" s="113" t="n"/>
      <c r="C1288" s="113" t="n"/>
      <c r="D1288" s="113" t="n"/>
    </row>
    <row r="1289" ht="15" customHeight="1" s="66">
      <c r="A1289" s="113" t="n"/>
      <c r="B1289" s="113" t="n"/>
      <c r="C1289" s="113" t="n"/>
      <c r="D1289" s="113" t="n"/>
    </row>
    <row r="1290" ht="15" customHeight="1" s="66">
      <c r="A1290" s="113" t="n"/>
      <c r="B1290" s="113" t="n"/>
      <c r="C1290" s="113" t="n"/>
      <c r="D1290" s="113" t="n"/>
    </row>
    <row r="1291" ht="15" customHeight="1" s="66">
      <c r="A1291" s="113" t="n"/>
      <c r="B1291" s="113" t="n"/>
      <c r="C1291" s="113" t="n"/>
      <c r="D1291" s="113" t="n"/>
    </row>
    <row r="1292" ht="15" customHeight="1" s="66">
      <c r="A1292" s="113" t="n"/>
      <c r="B1292" s="113" t="n"/>
      <c r="C1292" s="113" t="n"/>
      <c r="D1292" s="113" t="n"/>
    </row>
    <row r="1293" ht="15" customHeight="1" s="66">
      <c r="A1293" s="113" t="n"/>
      <c r="B1293" s="113" t="n"/>
      <c r="C1293" s="113" t="n"/>
      <c r="D1293" s="113" t="n"/>
    </row>
    <row r="1294" ht="15" customHeight="1" s="66">
      <c r="A1294" s="113" t="n"/>
      <c r="B1294" s="113" t="n"/>
      <c r="C1294" s="113" t="n"/>
      <c r="D1294" s="113" t="n"/>
    </row>
    <row r="1295" ht="15" customHeight="1" s="66">
      <c r="A1295" s="113" t="n"/>
      <c r="B1295" s="113" t="n"/>
      <c r="C1295" s="113" t="n"/>
      <c r="D1295" s="113" t="n"/>
    </row>
    <row r="1296" ht="15" customHeight="1" s="66">
      <c r="A1296" s="113" t="n"/>
      <c r="B1296" s="113" t="n"/>
      <c r="C1296" s="113" t="n"/>
      <c r="D1296" s="113" t="n"/>
    </row>
    <row r="1297" ht="15" customHeight="1" s="66">
      <c r="A1297" s="113" t="n"/>
      <c r="B1297" s="113" t="n"/>
      <c r="C1297" s="113" t="n"/>
      <c r="D1297" s="113" t="n"/>
    </row>
    <row r="1298" ht="15" customHeight="1" s="66">
      <c r="A1298" s="113" t="n"/>
      <c r="B1298" s="113" t="n"/>
      <c r="C1298" s="113" t="n"/>
      <c r="D1298" s="113" t="n"/>
    </row>
    <row r="1299" ht="15" customHeight="1" s="66">
      <c r="A1299" s="113" t="n"/>
      <c r="B1299" s="113" t="n"/>
      <c r="C1299" s="113" t="n"/>
      <c r="D1299" s="113" t="n"/>
    </row>
    <row r="1300" ht="15" customHeight="1" s="66">
      <c r="A1300" s="113" t="n"/>
      <c r="B1300" s="113" t="n"/>
      <c r="C1300" s="113" t="n"/>
      <c r="D1300" s="113" t="n"/>
    </row>
    <row r="1301" ht="15" customHeight="1" s="66">
      <c r="A1301" s="113" t="n"/>
      <c r="B1301" s="113" t="n"/>
      <c r="C1301" s="113" t="n"/>
      <c r="D1301" s="113" t="n"/>
    </row>
    <row r="1302" ht="15" customHeight="1" s="66">
      <c r="A1302" s="113" t="n"/>
      <c r="B1302" s="113" t="n"/>
      <c r="C1302" s="113" t="n"/>
      <c r="D1302" s="113" t="n"/>
    </row>
    <row r="1303" ht="15" customHeight="1" s="66">
      <c r="A1303" s="113" t="n"/>
      <c r="B1303" s="113" t="n"/>
      <c r="C1303" s="113" t="n"/>
      <c r="D1303" s="113" t="n"/>
    </row>
    <row r="1304" ht="15" customHeight="1" s="66">
      <c r="A1304" s="113" t="n"/>
      <c r="B1304" s="113" t="n"/>
      <c r="C1304" s="113" t="n"/>
      <c r="D1304" s="113" t="n"/>
    </row>
    <row r="1305" ht="15" customHeight="1" s="66">
      <c r="A1305" s="113" t="n"/>
      <c r="B1305" s="113" t="n"/>
      <c r="C1305" s="113" t="n"/>
      <c r="D1305" s="113" t="n"/>
    </row>
    <row r="1306" ht="15" customHeight="1" s="66">
      <c r="A1306" s="113" t="n"/>
      <c r="B1306" s="113" t="n"/>
      <c r="C1306" s="113" t="n"/>
      <c r="D1306" s="113" t="n"/>
    </row>
    <row r="1307" ht="15" customHeight="1" s="66">
      <c r="A1307" s="113" t="n"/>
      <c r="B1307" s="113" t="n"/>
      <c r="C1307" s="113" t="n"/>
      <c r="D1307" s="113" t="n"/>
    </row>
    <row r="1308" ht="15" customHeight="1" s="66">
      <c r="A1308" s="113" t="n"/>
      <c r="B1308" s="113" t="n"/>
      <c r="C1308" s="113" t="n"/>
      <c r="D1308" s="113" t="n"/>
    </row>
    <row r="1309" ht="15" customHeight="1" s="66">
      <c r="A1309" s="113" t="n"/>
      <c r="B1309" s="113" t="n"/>
      <c r="C1309" s="113" t="n"/>
      <c r="D1309" s="113" t="n"/>
    </row>
    <row r="1310" ht="15" customHeight="1" s="66">
      <c r="A1310" s="113" t="n"/>
      <c r="B1310" s="113" t="n"/>
      <c r="C1310" s="113" t="n"/>
      <c r="D1310" s="113" t="n"/>
    </row>
    <row r="1311" ht="15" customHeight="1" s="66">
      <c r="A1311" s="113" t="n"/>
      <c r="B1311" s="113" t="n"/>
      <c r="C1311" s="113" t="n"/>
      <c r="D1311" s="113" t="n"/>
    </row>
    <row r="1312" ht="15" customHeight="1" s="66">
      <c r="A1312" s="113" t="n"/>
      <c r="B1312" s="113" t="n"/>
      <c r="C1312" s="113" t="n"/>
      <c r="D1312" s="113" t="n"/>
    </row>
    <row r="1313" ht="15" customHeight="1" s="66">
      <c r="A1313" s="113" t="n"/>
      <c r="B1313" s="113" t="n"/>
      <c r="C1313" s="113" t="n"/>
      <c r="D1313" s="113" t="n"/>
    </row>
    <row r="1314" ht="15" customHeight="1" s="66">
      <c r="A1314" s="113" t="n"/>
      <c r="B1314" s="113" t="n"/>
      <c r="C1314" s="113" t="n"/>
      <c r="D1314" s="113" t="n"/>
    </row>
    <row r="1315" ht="15" customHeight="1" s="66">
      <c r="A1315" s="113" t="n"/>
      <c r="B1315" s="113" t="n"/>
      <c r="C1315" s="113" t="n"/>
      <c r="D1315" s="113" t="n"/>
    </row>
    <row r="1316" ht="15" customHeight="1" s="66">
      <c r="A1316" s="113" t="n"/>
      <c r="B1316" s="113" t="n"/>
      <c r="C1316" s="113" t="n"/>
      <c r="D1316" s="113" t="n"/>
    </row>
    <row r="1317" ht="15" customHeight="1" s="66">
      <c r="A1317" s="113" t="n"/>
      <c r="B1317" s="113" t="n"/>
      <c r="C1317" s="113" t="n"/>
      <c r="D1317" s="113" t="n"/>
    </row>
    <row r="1318" ht="15" customHeight="1" s="66">
      <c r="A1318" s="113" t="n"/>
      <c r="B1318" s="113" t="n"/>
      <c r="C1318" s="113" t="n"/>
      <c r="D1318" s="113" t="n"/>
    </row>
    <row r="1319" ht="15" customHeight="1" s="66">
      <c r="A1319" s="113" t="n"/>
      <c r="B1319" s="113" t="n"/>
      <c r="C1319" s="113" t="n"/>
      <c r="D1319" s="113" t="n"/>
    </row>
    <row r="1320" ht="15" customHeight="1" s="66">
      <c r="A1320" s="113" t="n"/>
      <c r="B1320" s="113" t="n"/>
      <c r="C1320" s="113" t="n"/>
      <c r="D1320" s="113" t="n"/>
    </row>
    <row r="1321" ht="15" customHeight="1" s="66">
      <c r="A1321" s="113" t="n"/>
      <c r="B1321" s="113" t="n"/>
      <c r="C1321" s="113" t="n"/>
      <c r="D1321" s="113" t="n"/>
    </row>
    <row r="1322" ht="15" customHeight="1" s="66">
      <c r="A1322" s="113" t="n"/>
      <c r="B1322" s="113" t="n"/>
      <c r="C1322" s="113" t="n"/>
      <c r="D1322" s="113" t="n"/>
    </row>
    <row r="1323" ht="15" customHeight="1" s="66">
      <c r="A1323" s="113" t="n"/>
      <c r="B1323" s="113" t="n"/>
      <c r="C1323" s="113" t="n"/>
      <c r="D1323" s="113" t="n"/>
    </row>
    <row r="1324" ht="15" customHeight="1" s="66">
      <c r="A1324" s="113" t="n"/>
      <c r="B1324" s="113" t="n"/>
      <c r="C1324" s="113" t="n"/>
      <c r="D1324" s="113" t="n"/>
    </row>
    <row r="1325" ht="15" customHeight="1" s="66">
      <c r="A1325" s="113" t="n"/>
      <c r="B1325" s="113" t="n"/>
      <c r="C1325" s="113" t="n"/>
      <c r="D1325" s="113" t="n"/>
    </row>
    <row r="1326" ht="15" customHeight="1" s="66">
      <c r="A1326" s="113" t="n"/>
      <c r="B1326" s="113" t="n"/>
      <c r="C1326" s="113" t="n"/>
      <c r="D1326" s="113" t="n"/>
    </row>
    <row r="1327" ht="15" customHeight="1" s="66">
      <c r="A1327" s="113" t="n"/>
      <c r="B1327" s="113" t="n"/>
      <c r="C1327" s="113" t="n"/>
      <c r="D1327" s="113" t="n"/>
    </row>
    <row r="1328" ht="15" customHeight="1" s="66">
      <c r="A1328" s="113" t="n"/>
      <c r="B1328" s="113" t="n"/>
      <c r="C1328" s="113" t="n"/>
      <c r="D1328" s="113" t="n"/>
    </row>
    <row r="1329" ht="15" customHeight="1" s="66">
      <c r="A1329" s="113" t="n"/>
      <c r="B1329" s="113" t="n"/>
      <c r="C1329" s="113" t="n"/>
      <c r="D1329" s="113" t="n"/>
    </row>
    <row r="1330" ht="15" customHeight="1" s="66">
      <c r="A1330" s="113" t="n"/>
      <c r="B1330" s="113" t="n"/>
      <c r="C1330" s="113" t="n"/>
      <c r="D1330" s="113" t="n"/>
    </row>
    <row r="1331" ht="15" customHeight="1" s="66">
      <c r="A1331" s="113" t="n"/>
      <c r="B1331" s="113" t="n"/>
      <c r="C1331" s="113" t="n"/>
      <c r="D1331" s="113" t="n"/>
    </row>
    <row r="1332" ht="15" customHeight="1" s="66">
      <c r="A1332" s="113" t="n"/>
      <c r="B1332" s="113" t="n"/>
      <c r="C1332" s="113" t="n"/>
      <c r="D1332" s="113" t="n"/>
    </row>
    <row r="1333" ht="15" customHeight="1" s="66">
      <c r="A1333" s="113" t="n"/>
      <c r="B1333" s="113" t="n"/>
      <c r="C1333" s="113" t="n"/>
      <c r="D1333" s="113" t="n"/>
    </row>
    <row r="1334" ht="15" customHeight="1" s="66">
      <c r="A1334" s="113" t="n"/>
      <c r="B1334" s="113" t="n"/>
      <c r="C1334" s="113" t="n"/>
      <c r="D1334" s="113" t="n"/>
    </row>
    <row r="1335" ht="15" customHeight="1" s="66">
      <c r="A1335" s="113" t="n"/>
      <c r="B1335" s="113" t="n"/>
      <c r="C1335" s="113" t="n"/>
      <c r="D1335" s="113" t="n"/>
    </row>
    <row r="1336" ht="15" customHeight="1" s="66">
      <c r="A1336" s="113" t="n"/>
      <c r="B1336" s="113" t="n"/>
      <c r="C1336" s="113" t="n"/>
      <c r="D1336" s="113" t="n"/>
    </row>
    <row r="1337" ht="15" customHeight="1" s="66">
      <c r="A1337" s="113" t="n"/>
      <c r="B1337" s="113" t="n"/>
      <c r="C1337" s="113" t="n"/>
      <c r="D1337" s="113" t="n"/>
    </row>
    <row r="1338" ht="15" customHeight="1" s="66">
      <c r="A1338" s="113" t="n"/>
      <c r="B1338" s="113" t="n"/>
      <c r="C1338" s="113" t="n"/>
      <c r="D1338" s="113" t="n"/>
    </row>
    <row r="1339" ht="15" customHeight="1" s="66">
      <c r="A1339" s="113" t="n"/>
      <c r="B1339" s="113" t="n"/>
      <c r="C1339" s="113" t="n"/>
      <c r="D1339" s="113" t="n"/>
    </row>
    <row r="1340" ht="15" customHeight="1" s="66">
      <c r="A1340" s="113" t="n"/>
      <c r="B1340" s="113" t="n"/>
      <c r="C1340" s="113" t="n"/>
      <c r="D1340" s="113" t="n"/>
    </row>
    <row r="1341" ht="15" customHeight="1" s="66">
      <c r="A1341" s="113" t="n"/>
      <c r="B1341" s="113" t="n"/>
      <c r="C1341" s="113" t="n"/>
      <c r="D1341" s="113" t="n"/>
    </row>
    <row r="1342" ht="15" customHeight="1" s="66">
      <c r="A1342" s="113" t="n"/>
      <c r="B1342" s="113" t="n"/>
      <c r="C1342" s="113" t="n"/>
      <c r="D1342" s="113" t="n"/>
    </row>
    <row r="1343" ht="15" customHeight="1" s="66">
      <c r="A1343" s="113" t="n"/>
      <c r="B1343" s="113" t="n"/>
      <c r="C1343" s="113" t="n"/>
      <c r="D1343" s="113" t="n"/>
    </row>
    <row r="1344" ht="15" customHeight="1" s="66">
      <c r="A1344" s="113" t="n"/>
      <c r="B1344" s="113" t="n"/>
      <c r="C1344" s="113" t="n"/>
      <c r="D1344" s="113" t="n"/>
    </row>
    <row r="1345" ht="15" customHeight="1" s="66">
      <c r="A1345" s="113" t="n"/>
      <c r="B1345" s="113" t="n"/>
      <c r="C1345" s="113" t="n"/>
      <c r="D1345" s="113" t="n"/>
    </row>
    <row r="1346" ht="15" customHeight="1" s="66">
      <c r="A1346" s="113" t="n"/>
      <c r="B1346" s="113" t="n"/>
      <c r="C1346" s="113" t="n"/>
      <c r="D1346" s="113" t="n"/>
    </row>
    <row r="1347" ht="15" customHeight="1" s="66">
      <c r="A1347" s="113" t="n"/>
      <c r="B1347" s="113" t="n"/>
      <c r="C1347" s="113" t="n"/>
      <c r="D1347" s="113" t="n"/>
    </row>
    <row r="1348" ht="15" customHeight="1" s="66">
      <c r="A1348" s="113" t="n"/>
      <c r="B1348" s="113" t="n"/>
      <c r="C1348" s="113" t="n"/>
      <c r="D1348" s="113" t="n"/>
    </row>
    <row r="1349" ht="15" customHeight="1" s="66">
      <c r="A1349" s="113" t="n"/>
      <c r="B1349" s="113" t="n"/>
      <c r="C1349" s="113" t="n"/>
      <c r="D1349" s="113" t="n"/>
    </row>
    <row r="1350" ht="15" customHeight="1" s="66">
      <c r="A1350" s="113" t="n"/>
      <c r="B1350" s="113" t="n"/>
      <c r="C1350" s="113" t="n"/>
      <c r="D1350" s="113" t="n"/>
    </row>
    <row r="1351" ht="15" customHeight="1" s="66">
      <c r="A1351" s="113" t="n"/>
      <c r="B1351" s="113" t="n"/>
      <c r="C1351" s="113" t="n"/>
      <c r="D1351" s="113" t="n"/>
    </row>
    <row r="1352" ht="15" customHeight="1" s="66">
      <c r="A1352" s="113" t="n"/>
      <c r="B1352" s="113" t="n"/>
      <c r="C1352" s="113" t="n"/>
      <c r="D1352" s="113" t="n"/>
    </row>
    <row r="1353" ht="15" customHeight="1" s="66">
      <c r="A1353" s="113" t="n"/>
      <c r="B1353" s="113" t="n"/>
      <c r="C1353" s="113" t="n"/>
      <c r="D1353" s="113" t="n"/>
    </row>
    <row r="1354" ht="15" customHeight="1" s="66">
      <c r="A1354" s="113" t="n"/>
      <c r="B1354" s="113" t="n"/>
      <c r="C1354" s="113" t="n"/>
      <c r="D1354" s="113" t="n"/>
    </row>
    <row r="1355" ht="15" customHeight="1" s="66">
      <c r="A1355" s="113" t="n"/>
      <c r="B1355" s="113" t="n"/>
      <c r="C1355" s="113" t="n"/>
      <c r="D1355" s="113" t="n"/>
    </row>
    <row r="1356" ht="15" customHeight="1" s="66">
      <c r="A1356" s="113" t="n"/>
      <c r="B1356" s="113" t="n"/>
      <c r="C1356" s="113" t="n"/>
      <c r="D1356" s="113" t="n"/>
    </row>
    <row r="1357" ht="15" customHeight="1" s="66">
      <c r="A1357" s="113" t="n"/>
      <c r="B1357" s="113" t="n"/>
      <c r="C1357" s="113" t="n"/>
      <c r="D1357" s="113" t="n"/>
    </row>
    <row r="1358" ht="15" customHeight="1" s="66">
      <c r="A1358" s="113" t="n"/>
      <c r="B1358" s="113" t="n"/>
      <c r="C1358" s="113" t="n"/>
      <c r="D1358" s="113" t="n"/>
    </row>
    <row r="1359" ht="15" customHeight="1" s="66">
      <c r="A1359" s="113" t="n"/>
      <c r="B1359" s="113" t="n"/>
      <c r="C1359" s="113" t="n"/>
      <c r="D1359" s="113" t="n"/>
    </row>
    <row r="1360" ht="15" customHeight="1" s="66">
      <c r="A1360" s="113" t="n"/>
      <c r="B1360" s="113" t="n"/>
      <c r="C1360" s="113" t="n"/>
      <c r="D1360" s="113" t="n"/>
    </row>
    <row r="1361" ht="15" customHeight="1" s="66">
      <c r="A1361" s="113" t="n"/>
      <c r="B1361" s="113" t="n"/>
      <c r="C1361" s="113" t="n"/>
      <c r="D1361" s="113" t="n"/>
    </row>
    <row r="1362" ht="15" customHeight="1" s="66">
      <c r="A1362" s="113" t="n"/>
      <c r="B1362" s="113" t="n"/>
      <c r="C1362" s="113" t="n"/>
      <c r="D1362" s="113" t="n"/>
    </row>
    <row r="1363" ht="15" customHeight="1" s="66">
      <c r="A1363" s="113" t="n"/>
      <c r="B1363" s="113" t="n"/>
      <c r="C1363" s="113" t="n"/>
      <c r="D1363" s="113" t="n"/>
    </row>
    <row r="1364" ht="15" customHeight="1" s="66">
      <c r="A1364" s="113" t="n"/>
      <c r="B1364" s="113" t="n"/>
      <c r="C1364" s="113" t="n"/>
      <c r="D1364" s="113" t="n"/>
    </row>
    <row r="1365" ht="15" customHeight="1" s="66">
      <c r="A1365" s="113" t="n"/>
      <c r="B1365" s="113" t="n"/>
      <c r="C1365" s="113" t="n"/>
      <c r="D1365" s="113" t="n"/>
    </row>
    <row r="1366" ht="15" customHeight="1" s="66">
      <c r="A1366" s="113" t="n"/>
      <c r="B1366" s="113" t="n"/>
      <c r="C1366" s="113" t="n"/>
      <c r="D1366" s="113" t="n"/>
    </row>
    <row r="1367" ht="15" customHeight="1" s="66">
      <c r="A1367" s="113" t="n"/>
      <c r="B1367" s="113" t="n"/>
      <c r="C1367" s="113" t="n"/>
      <c r="D1367" s="113" t="n"/>
    </row>
    <row r="1368" ht="15" customHeight="1" s="66">
      <c r="A1368" s="113" t="n"/>
      <c r="B1368" s="113" t="n"/>
      <c r="C1368" s="113" t="n"/>
      <c r="D1368" s="113" t="n"/>
    </row>
    <row r="1369" ht="15" customHeight="1" s="66">
      <c r="A1369" s="113" t="n"/>
      <c r="B1369" s="113" t="n"/>
      <c r="C1369" s="113" t="n"/>
      <c r="D1369" s="113" t="n"/>
    </row>
    <row r="1370" ht="15" customHeight="1" s="66">
      <c r="A1370" s="113" t="n"/>
      <c r="B1370" s="113" t="n"/>
      <c r="C1370" s="113" t="n"/>
      <c r="D1370" s="113" t="n"/>
    </row>
    <row r="1371" ht="15" customHeight="1" s="66">
      <c r="A1371" s="113" t="n"/>
      <c r="B1371" s="113" t="n"/>
      <c r="C1371" s="113" t="n"/>
      <c r="D1371" s="113" t="n"/>
    </row>
    <row r="1372" ht="15" customHeight="1" s="66">
      <c r="A1372" s="113" t="n"/>
      <c r="B1372" s="113" t="n"/>
      <c r="C1372" s="113" t="n"/>
      <c r="D1372" s="113" t="n"/>
    </row>
    <row r="1373" ht="15" customHeight="1" s="66">
      <c r="A1373" s="113" t="n"/>
      <c r="B1373" s="113" t="n"/>
      <c r="C1373" s="113" t="n"/>
      <c r="D1373" s="113" t="n"/>
    </row>
    <row r="1374" ht="15" customHeight="1" s="66">
      <c r="A1374" s="113" t="n"/>
      <c r="B1374" s="113" t="n"/>
      <c r="C1374" s="113" t="n"/>
      <c r="D1374" s="113" t="n"/>
    </row>
    <row r="1375" ht="15" customHeight="1" s="66">
      <c r="A1375" s="113" t="n"/>
      <c r="B1375" s="113" t="n"/>
      <c r="C1375" s="113" t="n"/>
      <c r="D1375" s="113" t="n"/>
    </row>
    <row r="1376" ht="15" customHeight="1" s="66">
      <c r="A1376" s="113" t="n"/>
      <c r="B1376" s="113" t="n"/>
      <c r="C1376" s="113" t="n"/>
      <c r="D1376" s="113" t="n"/>
    </row>
    <row r="1377" ht="15" customHeight="1" s="66">
      <c r="A1377" s="113" t="n"/>
      <c r="B1377" s="113" t="n"/>
      <c r="C1377" s="113" t="n"/>
      <c r="D1377" s="113" t="n"/>
    </row>
    <row r="1378" ht="15" customHeight="1" s="66">
      <c r="A1378" s="113" t="n"/>
      <c r="B1378" s="113" t="n"/>
      <c r="C1378" s="113" t="n"/>
      <c r="D1378" s="113" t="n"/>
    </row>
    <row r="1379" ht="15" customHeight="1" s="66">
      <c r="A1379" s="113" t="n"/>
      <c r="B1379" s="113" t="n"/>
      <c r="C1379" s="113" t="n"/>
      <c r="D1379" s="113" t="n"/>
    </row>
    <row r="1380" ht="15" customHeight="1" s="66">
      <c r="A1380" s="113" t="n"/>
      <c r="B1380" s="113" t="n"/>
      <c r="C1380" s="113" t="n"/>
      <c r="D1380" s="113" t="n"/>
    </row>
    <row r="1381" ht="15" customHeight="1" s="66">
      <c r="A1381" s="113" t="n"/>
      <c r="B1381" s="113" t="n"/>
      <c r="C1381" s="113" t="n"/>
      <c r="D1381" s="113" t="n"/>
    </row>
    <row r="1382" ht="15" customHeight="1" s="66">
      <c r="A1382" s="113" t="n"/>
      <c r="B1382" s="113" t="n"/>
      <c r="C1382" s="113" t="n"/>
      <c r="D1382" s="113" t="n"/>
    </row>
    <row r="1383" ht="15" customHeight="1" s="66">
      <c r="A1383" s="113" t="n"/>
      <c r="B1383" s="113" t="n"/>
      <c r="C1383" s="113" t="n"/>
      <c r="D1383" s="113" t="n"/>
    </row>
    <row r="1384" ht="15" customHeight="1" s="66">
      <c r="A1384" s="113" t="n"/>
      <c r="B1384" s="113" t="n"/>
      <c r="C1384" s="113" t="n"/>
      <c r="D1384" s="113" t="n"/>
    </row>
    <row r="1385" ht="15" customHeight="1" s="66">
      <c r="A1385" s="113" t="n"/>
      <c r="B1385" s="113" t="n"/>
      <c r="C1385" s="113" t="n"/>
      <c r="D1385" s="113" t="n"/>
    </row>
    <row r="1386" ht="15" customHeight="1" s="66">
      <c r="A1386" s="113" t="n"/>
      <c r="B1386" s="113" t="n"/>
      <c r="C1386" s="113" t="n"/>
      <c r="D1386" s="113" t="n"/>
    </row>
    <row r="1387" ht="15" customHeight="1" s="66">
      <c r="A1387" s="113" t="n"/>
      <c r="B1387" s="113" t="n"/>
      <c r="C1387" s="113" t="n"/>
      <c r="D1387" s="113" t="n"/>
    </row>
    <row r="1388" ht="15" customHeight="1" s="66">
      <c r="A1388" s="113" t="n"/>
      <c r="B1388" s="113" t="n"/>
      <c r="C1388" s="113" t="n"/>
      <c r="D1388" s="113" t="n"/>
    </row>
    <row r="1389" ht="15" customHeight="1" s="66">
      <c r="A1389" s="113" t="n"/>
      <c r="B1389" s="113" t="n"/>
      <c r="C1389" s="113" t="n"/>
      <c r="D1389" s="113" t="n"/>
    </row>
    <row r="1390" ht="15" customHeight="1" s="66">
      <c r="A1390" s="113" t="n"/>
      <c r="B1390" s="113" t="n"/>
      <c r="C1390" s="113" t="n"/>
      <c r="D1390" s="113" t="n"/>
    </row>
    <row r="1391" ht="15" customHeight="1" s="66">
      <c r="A1391" s="113" t="n"/>
      <c r="B1391" s="113" t="n"/>
      <c r="C1391" s="113" t="n"/>
      <c r="D1391" s="113" t="n"/>
    </row>
    <row r="1392" ht="15" customHeight="1" s="66">
      <c r="A1392" s="113" t="n"/>
      <c r="B1392" s="113" t="n"/>
      <c r="C1392" s="113" t="n"/>
      <c r="D1392" s="113" t="n"/>
    </row>
    <row r="1393" ht="15" customHeight="1" s="66">
      <c r="A1393" s="113" t="n"/>
      <c r="B1393" s="113" t="n"/>
      <c r="C1393" s="113" t="n"/>
      <c r="D1393" s="113" t="n"/>
    </row>
    <row r="1394" ht="15" customHeight="1" s="66">
      <c r="A1394" s="113" t="n"/>
      <c r="B1394" s="113" t="n"/>
      <c r="C1394" s="113" t="n"/>
      <c r="D1394" s="113" t="n"/>
    </row>
    <row r="1395" ht="15" customHeight="1" s="66">
      <c r="A1395" s="113" t="n"/>
      <c r="B1395" s="113" t="n"/>
      <c r="C1395" s="113" t="n"/>
      <c r="D1395" s="113" t="n"/>
    </row>
    <row r="1396" ht="15" customHeight="1" s="66">
      <c r="A1396" s="113" t="n"/>
      <c r="B1396" s="113" t="n"/>
      <c r="C1396" s="113" t="n"/>
      <c r="D1396" s="113" t="n"/>
    </row>
    <row r="1397" ht="15" customHeight="1" s="66">
      <c r="A1397" s="113" t="n"/>
      <c r="B1397" s="113" t="n"/>
      <c r="C1397" s="113" t="n"/>
      <c r="D1397" s="113" t="n"/>
    </row>
    <row r="1398" ht="15" customHeight="1" s="66">
      <c r="A1398" s="113" t="n"/>
      <c r="B1398" s="113" t="n"/>
      <c r="C1398" s="113" t="n"/>
      <c r="D1398" s="113" t="n"/>
    </row>
    <row r="1399" ht="15" customHeight="1" s="66">
      <c r="A1399" s="113" t="n"/>
      <c r="B1399" s="113" t="n"/>
      <c r="C1399" s="113" t="n"/>
      <c r="D1399" s="113" t="n"/>
    </row>
    <row r="1400" ht="15" customHeight="1" s="66">
      <c r="A1400" s="113" t="n"/>
      <c r="B1400" s="113" t="n"/>
      <c r="C1400" s="113" t="n"/>
      <c r="D1400" s="113" t="n"/>
    </row>
    <row r="1401" ht="15" customHeight="1" s="66">
      <c r="A1401" s="113" t="n"/>
      <c r="B1401" s="113" t="n"/>
      <c r="C1401" s="113" t="n"/>
      <c r="D1401" s="113" t="n"/>
    </row>
    <row r="1402" ht="15" customHeight="1" s="66">
      <c r="A1402" s="113" t="n"/>
      <c r="B1402" s="113" t="n"/>
      <c r="C1402" s="113" t="n"/>
      <c r="D1402" s="113" t="n"/>
    </row>
    <row r="1403" ht="15" customHeight="1" s="66">
      <c r="A1403" s="113" t="n"/>
      <c r="B1403" s="113" t="n"/>
      <c r="C1403" s="113" t="n"/>
      <c r="D1403" s="113" t="n"/>
    </row>
    <row r="1404" ht="15" customHeight="1" s="66">
      <c r="A1404" s="113" t="n"/>
      <c r="B1404" s="113" t="n"/>
      <c r="C1404" s="113" t="n"/>
      <c r="D1404" s="113" t="n"/>
    </row>
    <row r="1405" ht="15" customHeight="1" s="66">
      <c r="A1405" s="113" t="n"/>
      <c r="B1405" s="113" t="n"/>
      <c r="C1405" s="113" t="n"/>
      <c r="D1405" s="113" t="n"/>
    </row>
    <row r="1406" ht="15" customHeight="1" s="66">
      <c r="A1406" s="113" t="n"/>
      <c r="B1406" s="113" t="n"/>
      <c r="C1406" s="113" t="n"/>
      <c r="D1406" s="113" t="n"/>
    </row>
    <row r="1407" ht="15" customHeight="1" s="66">
      <c r="A1407" s="113" t="n"/>
      <c r="B1407" s="113" t="n"/>
      <c r="C1407" s="113" t="n"/>
      <c r="D1407" s="113" t="n"/>
    </row>
    <row r="1408" ht="15" customHeight="1" s="66">
      <c r="A1408" s="113" t="n"/>
      <c r="B1408" s="113" t="n"/>
      <c r="C1408" s="113" t="n"/>
      <c r="D1408" s="113" t="n"/>
    </row>
    <row r="1409" ht="15" customHeight="1" s="66">
      <c r="A1409" s="113" t="n"/>
      <c r="B1409" s="113" t="n"/>
      <c r="C1409" s="113" t="n"/>
      <c r="D1409" s="113" t="n"/>
    </row>
    <row r="1410" ht="15" customHeight="1" s="66">
      <c r="A1410" s="113" t="n"/>
      <c r="B1410" s="113" t="n"/>
      <c r="C1410" s="113" t="n"/>
      <c r="D1410" s="113" t="n"/>
    </row>
    <row r="1411" ht="15" customHeight="1" s="66">
      <c r="A1411" s="113" t="n"/>
      <c r="B1411" s="113" t="n"/>
      <c r="C1411" s="113" t="n"/>
      <c r="D1411" s="113" t="n"/>
    </row>
    <row r="1412" ht="15" customHeight="1" s="66">
      <c r="A1412" s="113" t="n"/>
      <c r="B1412" s="113" t="n"/>
      <c r="C1412" s="113" t="n"/>
      <c r="D1412" s="113" t="n"/>
    </row>
    <row r="1413" ht="15" customHeight="1" s="66">
      <c r="A1413" s="113" t="n"/>
      <c r="B1413" s="113" t="n"/>
      <c r="C1413" s="113" t="n"/>
      <c r="D1413" s="113" t="n"/>
    </row>
    <row r="1414" ht="15" customHeight="1" s="66">
      <c r="A1414" s="113" t="n"/>
      <c r="B1414" s="113" t="n"/>
      <c r="C1414" s="113" t="n"/>
      <c r="D1414" s="113" t="n"/>
    </row>
    <row r="1415" ht="15" customHeight="1" s="66">
      <c r="A1415" s="113" t="n"/>
      <c r="B1415" s="113" t="n"/>
      <c r="C1415" s="113" t="n"/>
      <c r="D1415" s="113" t="n"/>
    </row>
    <row r="1416" ht="15" customHeight="1" s="66">
      <c r="A1416" s="113" t="n"/>
      <c r="B1416" s="113" t="n"/>
      <c r="C1416" s="113" t="n"/>
      <c r="D1416" s="113" t="n"/>
    </row>
    <row r="1417" ht="15" customHeight="1" s="66">
      <c r="A1417" s="113" t="n"/>
      <c r="B1417" s="113" t="n"/>
      <c r="C1417" s="113" t="n"/>
      <c r="D1417" s="113" t="n"/>
    </row>
    <row r="1418" ht="15" customHeight="1" s="66">
      <c r="A1418" s="113" t="n"/>
      <c r="B1418" s="113" t="n"/>
      <c r="C1418" s="113" t="n"/>
      <c r="D1418" s="113" t="n"/>
    </row>
    <row r="1419" ht="15" customHeight="1" s="66">
      <c r="A1419" s="113" t="n"/>
      <c r="B1419" s="113" t="n"/>
      <c r="C1419" s="113" t="n"/>
      <c r="D1419" s="113" t="n"/>
    </row>
    <row r="1420" ht="15" customHeight="1" s="66">
      <c r="A1420" s="113" t="n"/>
      <c r="B1420" s="113" t="n"/>
      <c r="C1420" s="113" t="n"/>
      <c r="D1420" s="113" t="n"/>
    </row>
    <row r="1421" ht="15" customHeight="1" s="66">
      <c r="A1421" s="113" t="n"/>
      <c r="B1421" s="113" t="n"/>
      <c r="C1421" s="113" t="n"/>
      <c r="D1421" s="113" t="n"/>
    </row>
    <row r="1422" ht="15" customHeight="1" s="66">
      <c r="A1422" s="113" t="n"/>
      <c r="B1422" s="113" t="n"/>
      <c r="C1422" s="113" t="n"/>
      <c r="D1422" s="113" t="n"/>
    </row>
    <row r="1423" ht="15" customHeight="1" s="66">
      <c r="A1423" s="113" t="n"/>
      <c r="B1423" s="113" t="n"/>
      <c r="C1423" s="113" t="n"/>
      <c r="D1423" s="113" t="n"/>
    </row>
    <row r="1424" ht="15" customHeight="1" s="66">
      <c r="A1424" s="113" t="n"/>
      <c r="B1424" s="113" t="n"/>
      <c r="C1424" s="113" t="n"/>
      <c r="D1424" s="113" t="n"/>
    </row>
    <row r="1425" ht="15" customHeight="1" s="66">
      <c r="A1425" s="113" t="n"/>
      <c r="B1425" s="113" t="n"/>
      <c r="C1425" s="113" t="n"/>
      <c r="D1425" s="113" t="n"/>
    </row>
    <row r="1426" ht="15" customHeight="1" s="66">
      <c r="A1426" s="113" t="n"/>
      <c r="B1426" s="113" t="n"/>
      <c r="C1426" s="113" t="n"/>
      <c r="D1426" s="113" t="n"/>
    </row>
    <row r="1427" ht="15" customHeight="1" s="66">
      <c r="A1427" s="113" t="n"/>
      <c r="B1427" s="113" t="n"/>
      <c r="C1427" s="113" t="n"/>
      <c r="D1427" s="113" t="n"/>
    </row>
    <row r="1428" ht="15" customHeight="1" s="66">
      <c r="A1428" s="113" t="n"/>
      <c r="B1428" s="113" t="n"/>
      <c r="C1428" s="113" t="n"/>
      <c r="D1428" s="113" t="n"/>
    </row>
    <row r="1429" ht="15" customHeight="1" s="66">
      <c r="A1429" s="113" t="n"/>
      <c r="B1429" s="113" t="n"/>
      <c r="C1429" s="113" t="n"/>
      <c r="D1429" s="113" t="n"/>
    </row>
    <row r="1430" ht="15" customHeight="1" s="66">
      <c r="A1430" s="113" t="n"/>
      <c r="B1430" s="113" t="n"/>
      <c r="C1430" s="113" t="n"/>
      <c r="D1430" s="113" t="n"/>
    </row>
    <row r="1431" ht="15" customHeight="1" s="66">
      <c r="A1431" s="113" t="n"/>
      <c r="B1431" s="113" t="n"/>
      <c r="C1431" s="113" t="n"/>
      <c r="D1431" s="113" t="n"/>
    </row>
    <row r="1432" ht="15" customHeight="1" s="66">
      <c r="A1432" s="113" t="n"/>
      <c r="B1432" s="113" t="n"/>
      <c r="C1432" s="113" t="n"/>
      <c r="D1432" s="113" t="n"/>
    </row>
    <row r="1433" ht="15" customHeight="1" s="66">
      <c r="A1433" s="113" t="n"/>
      <c r="B1433" s="113" t="n"/>
      <c r="C1433" s="113" t="n"/>
      <c r="D1433" s="113" t="n"/>
    </row>
    <row r="1434" ht="15" customHeight="1" s="66">
      <c r="A1434" s="113" t="n"/>
      <c r="B1434" s="113" t="n"/>
      <c r="C1434" s="113" t="n"/>
      <c r="D1434" s="113" t="n"/>
    </row>
    <row r="1435" ht="15" customHeight="1" s="66">
      <c r="A1435" s="113" t="n"/>
      <c r="B1435" s="113" t="n"/>
      <c r="C1435" s="113" t="n"/>
      <c r="D1435" s="113" t="n"/>
    </row>
    <row r="1436" ht="15" customHeight="1" s="66">
      <c r="A1436" s="113" t="n"/>
      <c r="B1436" s="113" t="n"/>
      <c r="C1436" s="113" t="n"/>
      <c r="D1436" s="113" t="n"/>
    </row>
    <row r="1437" ht="15" customHeight="1" s="66">
      <c r="A1437" s="113" t="n"/>
      <c r="B1437" s="113" t="n"/>
      <c r="C1437" s="113" t="n"/>
      <c r="D1437" s="113" t="n"/>
    </row>
    <row r="1438" ht="15" customHeight="1" s="66">
      <c r="A1438" s="113" t="n"/>
      <c r="B1438" s="113" t="n"/>
      <c r="C1438" s="113" t="n"/>
      <c r="D1438" s="113" t="n"/>
    </row>
    <row r="1439" ht="15" customHeight="1" s="66">
      <c r="A1439" s="113" t="n"/>
      <c r="B1439" s="113" t="n"/>
      <c r="C1439" s="113" t="n"/>
      <c r="D1439" s="113" t="n"/>
    </row>
    <row r="1440" ht="15" customHeight="1" s="66">
      <c r="A1440" s="113" t="n"/>
      <c r="B1440" s="113" t="n"/>
      <c r="C1440" s="113" t="n"/>
      <c r="D1440" s="113" t="n"/>
    </row>
    <row r="1441" ht="15" customHeight="1" s="66">
      <c r="A1441" s="113" t="n"/>
      <c r="B1441" s="113" t="n"/>
      <c r="C1441" s="113" t="n"/>
      <c r="D1441" s="113" t="n"/>
    </row>
    <row r="1442" ht="15" customHeight="1" s="66">
      <c r="A1442" s="113" t="n"/>
      <c r="B1442" s="113" t="n"/>
      <c r="C1442" s="113" t="n"/>
      <c r="D1442" s="113" t="n"/>
    </row>
    <row r="1443" ht="15" customHeight="1" s="66">
      <c r="A1443" s="113" t="n"/>
      <c r="B1443" s="113" t="n"/>
      <c r="C1443" s="113" t="n"/>
      <c r="D1443" s="113" t="n"/>
    </row>
    <row r="1444" ht="15" customHeight="1" s="66">
      <c r="A1444" s="113" t="n"/>
      <c r="B1444" s="113" t="n"/>
      <c r="C1444" s="113" t="n"/>
      <c r="D1444" s="113" t="n"/>
    </row>
    <row r="1445" ht="15" customHeight="1" s="66">
      <c r="A1445" s="113" t="n"/>
      <c r="B1445" s="113" t="n"/>
      <c r="C1445" s="113" t="n"/>
      <c r="D1445" s="113" t="n"/>
    </row>
    <row r="1446" ht="15" customHeight="1" s="66">
      <c r="A1446" s="113" t="n"/>
      <c r="B1446" s="113" t="n"/>
      <c r="C1446" s="113" t="n"/>
      <c r="D1446" s="113" t="n"/>
    </row>
    <row r="1447" ht="15" customHeight="1" s="66">
      <c r="A1447" s="113" t="n"/>
      <c r="B1447" s="113" t="n"/>
      <c r="C1447" s="113" t="n"/>
      <c r="D1447" s="113" t="n"/>
    </row>
    <row r="1448" ht="15" customHeight="1" s="66">
      <c r="A1448" s="113" t="n"/>
      <c r="B1448" s="113" t="n"/>
      <c r="C1448" s="113" t="n"/>
      <c r="D1448" s="113" t="n"/>
    </row>
    <row r="1449" ht="15" customHeight="1" s="66">
      <c r="A1449" s="113" t="n"/>
      <c r="B1449" s="113" t="n"/>
      <c r="C1449" s="113" t="n"/>
      <c r="D1449" s="113" t="n"/>
    </row>
    <row r="1450" ht="15" customHeight="1" s="66">
      <c r="A1450" s="113" t="n"/>
      <c r="B1450" s="113" t="n"/>
      <c r="C1450" s="113" t="n"/>
      <c r="D1450" s="113" t="n"/>
    </row>
    <row r="1451" ht="15" customHeight="1" s="66">
      <c r="A1451" s="113" t="n"/>
      <c r="B1451" s="113" t="n"/>
      <c r="C1451" s="113" t="n"/>
      <c r="D1451" s="113" t="n"/>
    </row>
    <row r="1452" ht="15" customHeight="1" s="66">
      <c r="A1452" s="113" t="n"/>
      <c r="B1452" s="113" t="n"/>
      <c r="C1452" s="113" t="n"/>
      <c r="D1452" s="113" t="n"/>
    </row>
    <row r="1453" ht="15" customHeight="1" s="66">
      <c r="A1453" s="113" t="n"/>
      <c r="B1453" s="113" t="n"/>
      <c r="C1453" s="113" t="n"/>
      <c r="D1453" s="113" t="n"/>
    </row>
    <row r="1454" ht="15" customHeight="1" s="66">
      <c r="A1454" s="113" t="n"/>
      <c r="B1454" s="113" t="n"/>
      <c r="C1454" s="113" t="n"/>
      <c r="D1454" s="113" t="n"/>
    </row>
    <row r="1455" ht="15" customHeight="1" s="66">
      <c r="A1455" s="113" t="n"/>
      <c r="B1455" s="113" t="n"/>
      <c r="C1455" s="113" t="n"/>
      <c r="D1455" s="113" t="n"/>
    </row>
    <row r="1456" ht="15" customHeight="1" s="66">
      <c r="A1456" s="113" t="n"/>
      <c r="B1456" s="113" t="n"/>
      <c r="C1456" s="113" t="n"/>
      <c r="D1456" s="113" t="n"/>
    </row>
    <row r="1457" ht="15" customHeight="1" s="66">
      <c r="A1457" s="113" t="n"/>
      <c r="B1457" s="113" t="n"/>
      <c r="C1457" s="113" t="n"/>
      <c r="D1457" s="113" t="n"/>
    </row>
    <row r="1458" ht="15" customHeight="1" s="66">
      <c r="A1458" s="113" t="n"/>
      <c r="B1458" s="113" t="n"/>
      <c r="C1458" s="113" t="n"/>
      <c r="D1458" s="113" t="n"/>
    </row>
    <row r="1459" ht="15" customHeight="1" s="66">
      <c r="A1459" s="113" t="n"/>
      <c r="B1459" s="113" t="n"/>
      <c r="C1459" s="113" t="n"/>
      <c r="D1459" s="113" t="n"/>
    </row>
    <row r="1460" ht="15" customHeight="1" s="66">
      <c r="A1460" s="113" t="n"/>
      <c r="B1460" s="113" t="n"/>
      <c r="C1460" s="113" t="n"/>
      <c r="D1460" s="113" t="n"/>
    </row>
    <row r="1461" ht="15" customHeight="1" s="66">
      <c r="A1461" s="113" t="n"/>
      <c r="B1461" s="113" t="n"/>
      <c r="C1461" s="113" t="n"/>
      <c r="D1461" s="113" t="n"/>
    </row>
    <row r="1462" ht="15" customHeight="1" s="66">
      <c r="A1462" s="113" t="n"/>
      <c r="B1462" s="113" t="n"/>
      <c r="C1462" s="113" t="n"/>
      <c r="D1462" s="113" t="n"/>
    </row>
    <row r="1463" ht="15" customHeight="1" s="66">
      <c r="A1463" s="113" t="n"/>
      <c r="B1463" s="113" t="n"/>
      <c r="C1463" s="113" t="n"/>
      <c r="D1463" s="113" t="n"/>
    </row>
    <row r="1464" ht="15" customHeight="1" s="66">
      <c r="A1464" s="113" t="n"/>
      <c r="B1464" s="113" t="n"/>
      <c r="C1464" s="113" t="n"/>
      <c r="D1464" s="113" t="n"/>
    </row>
    <row r="1465" ht="15" customHeight="1" s="66">
      <c r="A1465" s="113" t="n"/>
      <c r="B1465" s="113" t="n"/>
      <c r="C1465" s="113" t="n"/>
      <c r="D1465" s="113" t="n"/>
    </row>
    <row r="1466" ht="15" customHeight="1" s="66">
      <c r="A1466" s="113" t="n"/>
      <c r="B1466" s="113" t="n"/>
      <c r="C1466" s="113" t="n"/>
      <c r="D1466" s="113" t="n"/>
    </row>
    <row r="1467" ht="15" customHeight="1" s="66">
      <c r="A1467" s="113" t="n"/>
      <c r="B1467" s="113" t="n"/>
      <c r="C1467" s="113" t="n"/>
      <c r="D1467" s="113" t="n"/>
    </row>
    <row r="1468" ht="15" customHeight="1" s="66">
      <c r="A1468" s="113" t="n"/>
      <c r="B1468" s="113" t="n"/>
      <c r="C1468" s="113" t="n"/>
      <c r="D1468" s="113" t="n"/>
    </row>
    <row r="1469" ht="15" customHeight="1" s="66">
      <c r="A1469" s="113" t="n"/>
      <c r="B1469" s="113" t="n"/>
      <c r="C1469" s="113" t="n"/>
      <c r="D1469" s="113" t="n"/>
    </row>
    <row r="1470" ht="15" customHeight="1" s="66">
      <c r="A1470" s="113" t="n"/>
      <c r="B1470" s="113" t="n"/>
      <c r="C1470" s="113" t="n"/>
      <c r="D1470" s="113" t="n"/>
    </row>
    <row r="1471" ht="15" customHeight="1" s="66">
      <c r="A1471" s="113" t="n"/>
      <c r="B1471" s="113" t="n"/>
      <c r="C1471" s="113" t="n"/>
      <c r="D1471" s="113" t="n"/>
    </row>
    <row r="1472" ht="15" customHeight="1" s="66">
      <c r="A1472" s="113" t="n"/>
      <c r="B1472" s="113" t="n"/>
      <c r="C1472" s="113" t="n"/>
      <c r="D1472" s="113" t="n"/>
    </row>
    <row r="1473" ht="15" customHeight="1" s="66">
      <c r="A1473" s="113" t="n"/>
      <c r="B1473" s="113" t="n"/>
      <c r="C1473" s="113" t="n"/>
      <c r="D1473" s="113" t="n"/>
    </row>
    <row r="1474" ht="15" customHeight="1" s="66">
      <c r="A1474" s="113" t="n"/>
      <c r="B1474" s="113" t="n"/>
      <c r="C1474" s="113" t="n"/>
      <c r="D1474" s="113" t="n"/>
    </row>
    <row r="1475" ht="15" customHeight="1" s="66">
      <c r="A1475" s="113" t="n"/>
      <c r="B1475" s="113" t="n"/>
      <c r="C1475" s="113" t="n"/>
      <c r="D1475" s="113" t="n"/>
    </row>
    <row r="1476" ht="15" customHeight="1" s="66">
      <c r="A1476" s="113" t="n"/>
      <c r="B1476" s="113" t="n"/>
      <c r="C1476" s="113" t="n"/>
      <c r="D1476" s="113" t="n"/>
    </row>
    <row r="1477" ht="15" customHeight="1" s="66">
      <c r="A1477" s="113" t="n"/>
      <c r="B1477" s="113" t="n"/>
      <c r="C1477" s="113" t="n"/>
      <c r="D1477" s="113" t="n"/>
    </row>
    <row r="1478" ht="15" customHeight="1" s="66">
      <c r="A1478" s="113" t="n"/>
      <c r="B1478" s="113" t="n"/>
      <c r="C1478" s="113" t="n"/>
      <c r="D1478" s="113" t="n"/>
    </row>
    <row r="1479" ht="15" customHeight="1" s="66">
      <c r="A1479" s="113" t="n"/>
      <c r="B1479" s="113" t="n"/>
      <c r="C1479" s="113" t="n"/>
      <c r="D1479" s="113" t="n"/>
    </row>
    <row r="1480" ht="15" customHeight="1" s="66">
      <c r="A1480" s="113" t="n"/>
      <c r="B1480" s="113" t="n"/>
      <c r="C1480" s="113" t="n"/>
      <c r="D1480" s="113" t="n"/>
    </row>
    <row r="1481" ht="15" customHeight="1" s="66">
      <c r="A1481" s="113" t="n"/>
      <c r="B1481" s="113" t="n"/>
      <c r="C1481" s="113" t="n"/>
      <c r="D1481" s="113" t="n"/>
    </row>
    <row r="1482" ht="15" customHeight="1" s="66">
      <c r="A1482" s="113" t="n"/>
      <c r="B1482" s="113" t="n"/>
      <c r="C1482" s="113" t="n"/>
      <c r="D1482" s="113" t="n"/>
    </row>
    <row r="1483" ht="15" customHeight="1" s="66">
      <c r="A1483" s="113" t="n"/>
      <c r="B1483" s="113" t="n"/>
      <c r="C1483" s="113" t="n"/>
      <c r="D1483" s="113" t="n"/>
    </row>
    <row r="1484" ht="15" customHeight="1" s="66">
      <c r="A1484" s="113" t="n"/>
      <c r="B1484" s="113" t="n"/>
      <c r="C1484" s="113" t="n"/>
      <c r="D1484" s="113" t="n"/>
    </row>
    <row r="1485" ht="15" customHeight="1" s="66">
      <c r="A1485" s="113" t="n"/>
      <c r="B1485" s="113" t="n"/>
      <c r="C1485" s="113" t="n"/>
      <c r="D1485" s="113" t="n"/>
    </row>
    <row r="1486" ht="15" customHeight="1" s="66">
      <c r="A1486" s="113" t="n"/>
      <c r="B1486" s="113" t="n"/>
      <c r="C1486" s="113" t="n"/>
      <c r="D1486" s="113" t="n"/>
    </row>
    <row r="1487" ht="15" customHeight="1" s="66">
      <c r="A1487" s="113" t="n"/>
      <c r="B1487" s="113" t="n"/>
      <c r="C1487" s="113" t="n"/>
      <c r="D1487" s="113" t="n"/>
    </row>
    <row r="1488" ht="15" customHeight="1" s="66">
      <c r="A1488" s="113" t="n"/>
      <c r="B1488" s="113" t="n"/>
      <c r="C1488" s="113" t="n"/>
      <c r="D1488" s="113" t="n"/>
    </row>
    <row r="1489" ht="15" customHeight="1" s="66">
      <c r="A1489" s="113" t="n"/>
      <c r="B1489" s="113" t="n"/>
      <c r="C1489" s="113" t="n"/>
      <c r="D1489" s="113" t="n"/>
    </row>
    <row r="1490" ht="15" customHeight="1" s="66">
      <c r="A1490" s="113" t="n"/>
      <c r="B1490" s="113" t="n"/>
      <c r="C1490" s="113" t="n"/>
      <c r="D1490" s="113" t="n"/>
    </row>
    <row r="1491" ht="15" customHeight="1" s="66">
      <c r="A1491" s="113" t="n"/>
      <c r="B1491" s="113" t="n"/>
      <c r="C1491" s="113" t="n"/>
      <c r="D1491" s="113" t="n"/>
    </row>
    <row r="1492" ht="15" customHeight="1" s="66">
      <c r="A1492" s="113" t="n"/>
      <c r="B1492" s="113" t="n"/>
      <c r="C1492" s="113" t="n"/>
      <c r="D1492" s="113" t="n"/>
    </row>
    <row r="1493" ht="15" customHeight="1" s="66">
      <c r="A1493" s="113" t="n"/>
      <c r="B1493" s="113" t="n"/>
      <c r="C1493" s="113" t="n"/>
      <c r="D1493" s="113" t="n"/>
    </row>
    <row r="1494" ht="15" customHeight="1" s="66">
      <c r="A1494" s="113" t="n"/>
      <c r="B1494" s="113" t="n"/>
      <c r="C1494" s="113" t="n"/>
      <c r="D1494" s="113" t="n"/>
    </row>
    <row r="1495" ht="15" customHeight="1" s="66">
      <c r="A1495" s="113" t="n"/>
      <c r="B1495" s="113" t="n"/>
      <c r="C1495" s="113" t="n"/>
      <c r="D1495" s="113" t="n"/>
    </row>
    <row r="1496" ht="15" customHeight="1" s="66">
      <c r="A1496" s="113" t="n"/>
      <c r="B1496" s="113" t="n"/>
      <c r="C1496" s="113" t="n"/>
      <c r="D1496" s="113" t="n"/>
    </row>
    <row r="1497" ht="15" customHeight="1" s="66">
      <c r="A1497" s="113" t="n"/>
      <c r="B1497" s="113" t="n"/>
      <c r="C1497" s="113" t="n"/>
      <c r="D1497" s="113" t="n"/>
    </row>
    <row r="1498" ht="15" customHeight="1" s="66">
      <c r="A1498" s="113" t="n"/>
      <c r="B1498" s="113" t="n"/>
      <c r="C1498" s="113" t="n"/>
      <c r="D1498" s="113" t="n"/>
    </row>
    <row r="1499" ht="15" customHeight="1" s="66">
      <c r="A1499" s="113" t="n"/>
      <c r="B1499" s="113" t="n"/>
      <c r="C1499" s="113" t="n"/>
      <c r="D1499" s="113" t="n"/>
    </row>
    <row r="1500" ht="15" customHeight="1" s="66">
      <c r="A1500" s="113" t="n"/>
      <c r="B1500" s="113" t="n"/>
      <c r="C1500" s="113" t="n"/>
      <c r="D1500" s="113" t="n"/>
    </row>
    <row r="1501" ht="15" customHeight="1" s="66">
      <c r="A1501" s="113" t="n"/>
      <c r="B1501" s="113" t="n"/>
      <c r="C1501" s="113" t="n"/>
      <c r="D1501" s="113" t="n"/>
    </row>
    <row r="1502" ht="15" customHeight="1" s="66">
      <c r="A1502" s="113" t="n"/>
      <c r="B1502" s="113" t="n"/>
      <c r="C1502" s="113" t="n"/>
      <c r="D1502" s="113" t="n"/>
    </row>
    <row r="1503" ht="15" customHeight="1" s="66">
      <c r="A1503" s="113" t="n"/>
      <c r="B1503" s="113" t="n"/>
      <c r="C1503" s="113" t="n"/>
      <c r="D1503" s="113" t="n"/>
    </row>
    <row r="1504" ht="15" customHeight="1" s="66">
      <c r="A1504" s="113" t="n"/>
      <c r="B1504" s="113" t="n"/>
      <c r="C1504" s="113" t="n"/>
      <c r="D1504" s="113" t="n"/>
    </row>
    <row r="1505" ht="15" customHeight="1" s="66">
      <c r="A1505" s="113" t="n"/>
      <c r="B1505" s="113" t="n"/>
      <c r="C1505" s="113" t="n"/>
      <c r="D1505" s="113" t="n"/>
    </row>
    <row r="1506" ht="15" customHeight="1" s="66">
      <c r="A1506" s="113" t="n"/>
      <c r="B1506" s="113" t="n"/>
      <c r="C1506" s="113" t="n"/>
      <c r="D1506" s="113" t="n"/>
    </row>
    <row r="1507" ht="15" customHeight="1" s="66">
      <c r="A1507" s="113" t="n"/>
      <c r="B1507" s="113" t="n"/>
      <c r="C1507" s="113" t="n"/>
      <c r="D1507" s="113" t="n"/>
    </row>
    <row r="1508" ht="15" customHeight="1" s="66">
      <c r="A1508" s="113" t="n"/>
      <c r="B1508" s="113" t="n"/>
      <c r="C1508" s="113" t="n"/>
      <c r="D1508" s="113" t="n"/>
    </row>
    <row r="1509" ht="15" customHeight="1" s="66">
      <c r="A1509" s="113" t="n"/>
      <c r="B1509" s="113" t="n"/>
      <c r="C1509" s="113" t="n"/>
      <c r="D1509" s="113" t="n"/>
    </row>
    <row r="1510" ht="15" customHeight="1" s="66">
      <c r="A1510" s="113" t="n"/>
      <c r="B1510" s="113" t="n"/>
      <c r="C1510" s="113" t="n"/>
      <c r="D1510" s="113" t="n"/>
    </row>
    <row r="1511" ht="15" customHeight="1" s="66">
      <c r="A1511" s="113" t="n"/>
      <c r="B1511" s="113" t="n"/>
      <c r="C1511" s="113" t="n"/>
      <c r="D1511" s="113" t="n"/>
    </row>
    <row r="1512" ht="15" customHeight="1" s="66">
      <c r="A1512" s="113" t="n"/>
      <c r="B1512" s="113" t="n"/>
      <c r="C1512" s="113" t="n"/>
      <c r="D1512" s="113" t="n"/>
    </row>
    <row r="1513" ht="15" customHeight="1" s="66">
      <c r="A1513" s="113" t="n"/>
      <c r="B1513" s="113" t="n"/>
      <c r="C1513" s="113" t="n"/>
      <c r="D1513" s="113" t="n"/>
    </row>
    <row r="1514" ht="15" customHeight="1" s="66">
      <c r="A1514" s="113" t="n"/>
      <c r="B1514" s="113" t="n"/>
      <c r="C1514" s="113" t="n"/>
      <c r="D1514" s="113" t="n"/>
    </row>
    <row r="1515" ht="15" customHeight="1" s="66">
      <c r="A1515" s="113" t="n"/>
      <c r="B1515" s="113" t="n"/>
      <c r="C1515" s="113" t="n"/>
      <c r="D1515" s="113" t="n"/>
    </row>
    <row r="1516" ht="15" customHeight="1" s="66">
      <c r="A1516" s="113" t="n"/>
      <c r="B1516" s="113" t="n"/>
      <c r="C1516" s="113" t="n"/>
      <c r="D1516" s="113" t="n"/>
    </row>
    <row r="1517" ht="15" customHeight="1" s="66">
      <c r="A1517" s="113" t="n"/>
      <c r="B1517" s="113" t="n"/>
      <c r="C1517" s="113" t="n"/>
      <c r="D1517" s="113" t="n"/>
    </row>
    <row r="1518" ht="15" customHeight="1" s="66">
      <c r="A1518" s="113" t="n"/>
      <c r="B1518" s="113" t="n"/>
      <c r="C1518" s="113" t="n"/>
      <c r="D1518" s="113" t="n"/>
    </row>
    <row r="1519" ht="15" customHeight="1" s="66">
      <c r="A1519" s="113" t="n"/>
      <c r="B1519" s="113" t="n"/>
      <c r="C1519" s="113" t="n"/>
      <c r="D1519" s="113" t="n"/>
    </row>
    <row r="1520" ht="15" customHeight="1" s="66">
      <c r="A1520" s="113" t="n"/>
      <c r="B1520" s="113" t="n"/>
      <c r="C1520" s="113" t="n"/>
      <c r="D1520" s="113" t="n"/>
    </row>
    <row r="1521" ht="15" customHeight="1" s="66">
      <c r="A1521" s="113" t="n"/>
      <c r="B1521" s="113" t="n"/>
      <c r="C1521" s="113" t="n"/>
      <c r="D1521" s="113" t="n"/>
    </row>
    <row r="1522" ht="15" customHeight="1" s="66">
      <c r="A1522" s="113" t="n"/>
      <c r="B1522" s="113" t="n"/>
      <c r="C1522" s="113" t="n"/>
      <c r="D1522" s="113" t="n"/>
    </row>
    <row r="1523" ht="15" customHeight="1" s="66">
      <c r="A1523" s="113" t="n"/>
      <c r="B1523" s="113" t="n"/>
      <c r="C1523" s="113" t="n"/>
      <c r="D1523" s="113" t="n"/>
    </row>
    <row r="1524" ht="15" customHeight="1" s="66">
      <c r="A1524" s="113" t="n"/>
      <c r="B1524" s="113" t="n"/>
      <c r="C1524" s="113" t="n"/>
      <c r="D1524" s="113" t="n"/>
    </row>
    <row r="1525" ht="15" customHeight="1" s="66">
      <c r="A1525" s="113" t="n"/>
      <c r="B1525" s="113" t="n"/>
      <c r="C1525" s="113" t="n"/>
      <c r="D1525" s="113" t="n"/>
    </row>
    <row r="1526" ht="15" customHeight="1" s="66">
      <c r="A1526" s="113" t="n"/>
      <c r="B1526" s="113" t="n"/>
      <c r="C1526" s="113" t="n"/>
      <c r="D1526" s="113" t="n"/>
    </row>
    <row r="1527" ht="15" customHeight="1" s="66">
      <c r="A1527" s="113" t="n"/>
      <c r="B1527" s="113" t="n"/>
      <c r="C1527" s="113" t="n"/>
      <c r="D1527" s="113" t="n"/>
    </row>
    <row r="1528" ht="15" customHeight="1" s="66">
      <c r="A1528" s="113" t="n"/>
      <c r="B1528" s="113" t="n"/>
      <c r="C1528" s="113" t="n"/>
      <c r="D1528" s="113" t="n"/>
    </row>
    <row r="1529" ht="15" customHeight="1" s="66">
      <c r="A1529" s="113" t="n"/>
      <c r="B1529" s="113" t="n"/>
      <c r="C1529" s="113" t="n"/>
      <c r="D1529" s="113" t="n"/>
    </row>
    <row r="1530" ht="15" customHeight="1" s="66">
      <c r="A1530" s="113" t="n"/>
      <c r="B1530" s="113" t="n"/>
      <c r="C1530" s="113" t="n"/>
      <c r="D1530" s="113" t="n"/>
    </row>
    <row r="1531" ht="15" customHeight="1" s="66">
      <c r="A1531" s="113" t="n"/>
      <c r="B1531" s="113" t="n"/>
      <c r="C1531" s="113" t="n"/>
      <c r="D1531" s="113" t="n"/>
    </row>
    <row r="1532" ht="15" customHeight="1" s="66">
      <c r="A1532" s="113" t="n"/>
      <c r="B1532" s="113" t="n"/>
      <c r="C1532" s="113" t="n"/>
      <c r="D1532" s="113" t="n"/>
    </row>
    <row r="1533" ht="15" customHeight="1" s="66">
      <c r="A1533" s="113" t="n"/>
      <c r="B1533" s="113" t="n"/>
      <c r="C1533" s="113" t="n"/>
      <c r="D1533" s="113" t="n"/>
    </row>
    <row r="1534" ht="15" customHeight="1" s="66">
      <c r="A1534" s="113" t="n"/>
      <c r="B1534" s="113" t="n"/>
      <c r="C1534" s="113" t="n"/>
      <c r="D1534" s="113" t="n"/>
    </row>
    <row r="1535" ht="15" customHeight="1" s="66">
      <c r="A1535" s="113" t="n"/>
      <c r="B1535" s="113" t="n"/>
      <c r="C1535" s="113" t="n"/>
      <c r="D1535" s="113" t="n"/>
    </row>
    <row r="1536" ht="15" customHeight="1" s="66">
      <c r="A1536" s="113" t="n"/>
      <c r="B1536" s="113" t="n"/>
      <c r="C1536" s="113" t="n"/>
      <c r="D1536" s="113" t="n"/>
    </row>
    <row r="1537" ht="15" customHeight="1" s="66">
      <c r="A1537" s="113" t="n"/>
      <c r="B1537" s="113" t="n"/>
      <c r="C1537" s="113" t="n"/>
      <c r="D1537" s="113" t="n"/>
    </row>
    <row r="1538" ht="15" customHeight="1" s="66">
      <c r="A1538" s="113" t="n"/>
      <c r="B1538" s="113" t="n"/>
      <c r="C1538" s="113" t="n"/>
      <c r="D1538" s="113" t="n"/>
    </row>
    <row r="1539" ht="15" customHeight="1" s="66">
      <c r="A1539" s="113" t="n"/>
      <c r="B1539" s="113" t="n"/>
      <c r="C1539" s="113" t="n"/>
      <c r="D1539" s="113" t="n"/>
    </row>
    <row r="1540" ht="15" customHeight="1" s="66">
      <c r="A1540" s="113" t="n"/>
      <c r="B1540" s="113" t="n"/>
      <c r="C1540" s="113" t="n"/>
      <c r="D1540" s="113" t="n"/>
    </row>
    <row r="1541" ht="15" customHeight="1" s="66">
      <c r="A1541" s="113" t="n"/>
      <c r="B1541" s="113" t="n"/>
      <c r="C1541" s="113" t="n"/>
      <c r="D1541" s="113" t="n"/>
    </row>
    <row r="1542" ht="15" customHeight="1" s="66">
      <c r="A1542" s="113" t="n"/>
      <c r="B1542" s="113" t="n"/>
      <c r="C1542" s="113" t="n"/>
      <c r="D1542" s="113" t="n"/>
    </row>
    <row r="1543" ht="15" customHeight="1" s="66">
      <c r="A1543" s="113" t="n"/>
      <c r="B1543" s="113" t="n"/>
      <c r="C1543" s="113" t="n"/>
      <c r="D1543" s="113" t="n"/>
    </row>
    <row r="1544" ht="15" customHeight="1" s="66">
      <c r="A1544" s="113" t="n"/>
      <c r="B1544" s="113" t="n"/>
      <c r="C1544" s="113" t="n"/>
      <c r="D1544" s="113" t="n"/>
    </row>
    <row r="1545" ht="15" customHeight="1" s="66">
      <c r="A1545" s="113" t="n"/>
      <c r="B1545" s="113" t="n"/>
      <c r="C1545" s="113" t="n"/>
      <c r="D1545" s="113" t="n"/>
    </row>
    <row r="1546" ht="15" customHeight="1" s="66">
      <c r="A1546" s="113" t="n"/>
      <c r="B1546" s="113" t="n"/>
      <c r="C1546" s="113" t="n"/>
      <c r="D1546" s="113" t="n"/>
    </row>
    <row r="1547" ht="15" customHeight="1" s="66">
      <c r="A1547" s="113" t="n"/>
      <c r="B1547" s="113" t="n"/>
      <c r="C1547" s="113" t="n"/>
      <c r="D1547" s="113" t="n"/>
    </row>
    <row r="1548" ht="15" customHeight="1" s="66">
      <c r="A1548" s="113" t="n"/>
      <c r="B1548" s="113" t="n"/>
      <c r="C1548" s="113" t="n"/>
      <c r="D1548" s="113" t="n"/>
    </row>
    <row r="1549" ht="15" customHeight="1" s="66">
      <c r="A1549" s="113" t="n"/>
      <c r="B1549" s="113" t="n"/>
      <c r="C1549" s="113" t="n"/>
      <c r="D1549" s="113" t="n"/>
    </row>
    <row r="1550" ht="15" customHeight="1" s="66">
      <c r="A1550" s="113" t="n"/>
      <c r="B1550" s="113" t="n"/>
      <c r="C1550" s="113" t="n"/>
      <c r="D1550" s="113" t="n"/>
    </row>
    <row r="1551" ht="15" customHeight="1" s="66">
      <c r="A1551" s="113" t="n"/>
      <c r="B1551" s="113" t="n"/>
      <c r="C1551" s="113" t="n"/>
      <c r="D1551" s="113" t="n"/>
    </row>
    <row r="1552" ht="15" customHeight="1" s="66">
      <c r="A1552" s="113" t="n"/>
      <c r="B1552" s="113" t="n"/>
      <c r="C1552" s="113" t="n"/>
      <c r="D1552" s="113" t="n"/>
    </row>
    <row r="1553" ht="15" customHeight="1" s="66">
      <c r="A1553" s="113" t="n"/>
      <c r="B1553" s="113" t="n"/>
      <c r="C1553" s="113" t="n"/>
      <c r="D1553" s="113" t="n"/>
    </row>
    <row r="1554" ht="15" customHeight="1" s="66">
      <c r="A1554" s="113" t="n"/>
      <c r="B1554" s="113" t="n"/>
      <c r="C1554" s="113" t="n"/>
      <c r="D1554" s="113" t="n"/>
    </row>
    <row r="1555" ht="15" customHeight="1" s="66">
      <c r="A1555" s="113" t="n"/>
      <c r="B1555" s="113" t="n"/>
      <c r="C1555" s="113" t="n"/>
      <c r="D1555" s="113" t="n"/>
    </row>
    <row r="1556" ht="15" customHeight="1" s="66">
      <c r="A1556" s="113" t="n"/>
      <c r="B1556" s="113" t="n"/>
      <c r="C1556" s="113" t="n"/>
      <c r="D1556" s="113" t="n"/>
    </row>
    <row r="1557" ht="15" customHeight="1" s="66">
      <c r="A1557" s="113" t="n"/>
      <c r="B1557" s="113" t="n"/>
      <c r="C1557" s="113" t="n"/>
      <c r="D1557" s="113" t="n"/>
    </row>
    <row r="1558" ht="15" customHeight="1" s="66">
      <c r="A1558" s="113" t="n"/>
      <c r="B1558" s="113" t="n"/>
      <c r="C1558" s="113" t="n"/>
      <c r="D1558" s="113" t="n"/>
    </row>
    <row r="1559" ht="15" customHeight="1" s="66">
      <c r="A1559" s="113" t="n"/>
      <c r="B1559" s="113" t="n"/>
      <c r="C1559" s="113" t="n"/>
      <c r="D1559" s="113" t="n"/>
    </row>
    <row r="1560" ht="15" customHeight="1" s="66">
      <c r="A1560" s="113" t="n"/>
      <c r="B1560" s="113" t="n"/>
      <c r="C1560" s="113" t="n"/>
      <c r="D1560" s="113" t="n"/>
    </row>
    <row r="1561" ht="15" customHeight="1" s="66">
      <c r="A1561" s="113" t="n"/>
      <c r="B1561" s="113" t="n"/>
      <c r="C1561" s="113" t="n"/>
      <c r="D1561" s="113" t="n"/>
    </row>
    <row r="1562" ht="15" customHeight="1" s="66">
      <c r="A1562" s="113" t="n"/>
      <c r="B1562" s="113" t="n"/>
      <c r="C1562" s="113" t="n"/>
      <c r="D1562" s="113" t="n"/>
    </row>
    <row r="1563" ht="15" customHeight="1" s="66">
      <c r="A1563" s="113" t="n"/>
      <c r="B1563" s="113" t="n"/>
      <c r="C1563" s="113" t="n"/>
      <c r="D1563" s="113" t="n"/>
    </row>
    <row r="1564" ht="15" customHeight="1" s="66">
      <c r="A1564" s="113" t="n"/>
      <c r="B1564" s="113" t="n"/>
      <c r="C1564" s="113" t="n"/>
      <c r="D1564" s="113" t="n"/>
    </row>
    <row r="1565" ht="15" customHeight="1" s="66">
      <c r="A1565" s="113" t="n"/>
      <c r="B1565" s="113" t="n"/>
      <c r="C1565" s="113" t="n"/>
      <c r="D1565" s="113" t="n"/>
    </row>
    <row r="1566" ht="15" customHeight="1" s="66">
      <c r="A1566" s="113" t="n"/>
      <c r="B1566" s="113" t="n"/>
      <c r="C1566" s="113" t="n"/>
      <c r="D1566" s="113" t="n"/>
    </row>
    <row r="1567" ht="15" customHeight="1" s="66">
      <c r="A1567" s="113" t="n"/>
      <c r="B1567" s="113" t="n"/>
      <c r="C1567" s="113" t="n"/>
      <c r="D1567" s="113" t="n"/>
    </row>
    <row r="1568" ht="15" customHeight="1" s="66">
      <c r="A1568" s="113" t="n"/>
      <c r="B1568" s="113" t="n"/>
      <c r="C1568" s="113" t="n"/>
      <c r="D1568" s="113" t="n"/>
    </row>
    <row r="1569" ht="15" customHeight="1" s="66">
      <c r="A1569" s="113" t="n"/>
      <c r="B1569" s="113" t="n"/>
      <c r="C1569" s="113" t="n"/>
      <c r="D1569" s="113" t="n"/>
    </row>
    <row r="1570" ht="15" customHeight="1" s="66">
      <c r="A1570" s="113" t="n"/>
      <c r="B1570" s="113" t="n"/>
      <c r="C1570" s="113" t="n"/>
      <c r="D1570" s="113" t="n"/>
    </row>
    <row r="1571" ht="15" customHeight="1" s="66">
      <c r="A1571" s="113" t="n"/>
      <c r="B1571" s="113" t="n"/>
      <c r="C1571" s="113" t="n"/>
      <c r="D1571" s="113" t="n"/>
    </row>
    <row r="1572" ht="15" customHeight="1" s="66">
      <c r="A1572" s="113" t="n"/>
      <c r="B1572" s="113" t="n"/>
      <c r="C1572" s="113" t="n"/>
      <c r="D1572" s="113" t="n"/>
    </row>
    <row r="1573" ht="15" customHeight="1" s="66">
      <c r="A1573" s="113" t="n"/>
      <c r="B1573" s="113" t="n"/>
      <c r="C1573" s="113" t="n"/>
      <c r="D1573" s="113" t="n"/>
    </row>
    <row r="1574" ht="15" customHeight="1" s="66">
      <c r="A1574" s="113" t="n"/>
      <c r="B1574" s="113" t="n"/>
      <c r="C1574" s="113" t="n"/>
      <c r="D1574" s="113" t="n"/>
    </row>
    <row r="1575" ht="15" customHeight="1" s="66">
      <c r="A1575" s="113" t="n"/>
      <c r="B1575" s="113" t="n"/>
      <c r="C1575" s="113" t="n"/>
      <c r="D1575" s="113" t="n"/>
    </row>
    <row r="1576" ht="15" customHeight="1" s="66">
      <c r="A1576" s="113" t="n"/>
      <c r="B1576" s="113" t="n"/>
      <c r="C1576" s="113" t="n"/>
      <c r="D1576" s="113" t="n"/>
    </row>
    <row r="1577" ht="15" customHeight="1" s="66">
      <c r="A1577" s="113" t="n"/>
      <c r="B1577" s="113" t="n"/>
      <c r="C1577" s="113" t="n"/>
      <c r="D1577" s="113" t="n"/>
    </row>
    <row r="1578" ht="15" customHeight="1" s="66">
      <c r="A1578" s="113" t="n"/>
      <c r="B1578" s="113" t="n"/>
      <c r="C1578" s="113" t="n"/>
      <c r="D1578" s="113" t="n"/>
    </row>
    <row r="1579" ht="15" customHeight="1" s="66">
      <c r="A1579" s="113" t="n"/>
      <c r="B1579" s="113" t="n"/>
      <c r="C1579" s="113" t="n"/>
      <c r="D1579" s="113" t="n"/>
    </row>
    <row r="1580" ht="15" customHeight="1" s="66">
      <c r="A1580" s="113" t="n"/>
      <c r="B1580" s="113" t="n"/>
      <c r="C1580" s="113" t="n"/>
      <c r="D1580" s="113" t="n"/>
    </row>
    <row r="1581" ht="15" customHeight="1" s="66">
      <c r="A1581" s="113" t="n"/>
      <c r="B1581" s="113" t="n"/>
      <c r="C1581" s="113" t="n"/>
      <c r="D1581" s="113" t="n"/>
    </row>
    <row r="1582" ht="15" customHeight="1" s="66">
      <c r="A1582" s="113" t="n"/>
      <c r="B1582" s="113" t="n"/>
      <c r="C1582" s="113" t="n"/>
      <c r="D1582" s="113" t="n"/>
    </row>
    <row r="1583" ht="15" customHeight="1" s="66">
      <c r="A1583" s="113" t="n"/>
      <c r="B1583" s="113" t="n"/>
      <c r="C1583" s="113" t="n"/>
      <c r="D1583" s="113" t="n"/>
    </row>
    <row r="1584" ht="15" customHeight="1" s="66">
      <c r="A1584" s="113" t="n"/>
      <c r="B1584" s="113" t="n"/>
      <c r="C1584" s="113" t="n"/>
      <c r="D1584" s="113" t="n"/>
    </row>
    <row r="1585" ht="15" customHeight="1" s="66">
      <c r="A1585" s="113" t="n"/>
      <c r="B1585" s="113" t="n"/>
      <c r="C1585" s="113" t="n"/>
      <c r="D1585" s="113" t="n"/>
    </row>
    <row r="1586" ht="15" customHeight="1" s="66">
      <c r="A1586" s="113" t="n"/>
      <c r="B1586" s="113" t="n"/>
      <c r="C1586" s="113" t="n"/>
      <c r="D1586" s="113" t="n"/>
    </row>
    <row r="1587" ht="15" customHeight="1" s="66">
      <c r="A1587" s="113" t="n"/>
      <c r="B1587" s="113" t="n"/>
      <c r="C1587" s="113" t="n"/>
      <c r="D1587" s="113" t="n"/>
    </row>
    <row r="1588" ht="15" customHeight="1" s="66">
      <c r="A1588" s="113" t="n"/>
      <c r="B1588" s="113" t="n"/>
      <c r="C1588" s="113" t="n"/>
      <c r="D1588" s="113" t="n"/>
    </row>
    <row r="1589" ht="15" customHeight="1" s="66">
      <c r="A1589" s="113" t="n"/>
      <c r="B1589" s="113" t="n"/>
      <c r="C1589" s="113" t="n"/>
      <c r="D1589" s="113" t="n"/>
    </row>
    <row r="1590" ht="15" customHeight="1" s="66">
      <c r="A1590" s="113" t="n"/>
      <c r="B1590" s="113" t="n"/>
      <c r="C1590" s="113" t="n"/>
      <c r="D1590" s="113" t="n"/>
    </row>
    <row r="1591" ht="15" customHeight="1" s="66">
      <c r="A1591" s="113" t="n"/>
      <c r="B1591" s="113" t="n"/>
      <c r="C1591" s="113" t="n"/>
      <c r="D1591" s="113" t="n"/>
    </row>
    <row r="1592" ht="15" customHeight="1" s="66">
      <c r="A1592" s="113" t="n"/>
      <c r="B1592" s="113" t="n"/>
      <c r="C1592" s="113" t="n"/>
      <c r="D1592" s="113" t="n"/>
    </row>
    <row r="1593" ht="15" customHeight="1" s="66">
      <c r="A1593" s="113" t="n"/>
      <c r="B1593" s="113" t="n"/>
      <c r="C1593" s="113" t="n"/>
      <c r="D1593" s="113" t="n"/>
    </row>
    <row r="1594" ht="15" customHeight="1" s="66">
      <c r="A1594" s="113" t="n"/>
      <c r="B1594" s="113" t="n"/>
      <c r="C1594" s="113" t="n"/>
      <c r="D1594" s="113" t="n"/>
    </row>
    <row r="1595" ht="15" customHeight="1" s="66">
      <c r="A1595" s="113" t="n"/>
      <c r="B1595" s="113" t="n"/>
      <c r="C1595" s="113" t="n"/>
      <c r="D1595" s="113" t="n"/>
    </row>
    <row r="1596" ht="15" customHeight="1" s="66">
      <c r="A1596" s="113" t="n"/>
      <c r="B1596" s="113" t="n"/>
      <c r="C1596" s="113" t="n"/>
      <c r="D1596" s="113" t="n"/>
    </row>
    <row r="1597" ht="15" customHeight="1" s="66">
      <c r="A1597" s="113" t="n"/>
      <c r="B1597" s="113" t="n"/>
      <c r="C1597" s="113" t="n"/>
      <c r="D1597" s="113" t="n"/>
    </row>
    <row r="1598" ht="15" customHeight="1" s="66">
      <c r="A1598" s="113" t="n"/>
      <c r="B1598" s="113" t="n"/>
      <c r="C1598" s="113" t="n"/>
      <c r="D1598" s="113" t="n"/>
    </row>
    <row r="1599" ht="15" customHeight="1" s="66">
      <c r="A1599" s="113" t="n"/>
      <c r="B1599" s="113" t="n"/>
      <c r="C1599" s="113" t="n"/>
      <c r="D1599" s="113" t="n"/>
    </row>
    <row r="1600" ht="15" customHeight="1" s="66">
      <c r="A1600" s="113" t="n"/>
      <c r="B1600" s="113" t="n"/>
      <c r="C1600" s="113" t="n"/>
      <c r="D1600" s="113" t="n"/>
    </row>
    <row r="1601" ht="15" customHeight="1" s="66">
      <c r="A1601" s="113" t="n"/>
      <c r="B1601" s="113" t="n"/>
      <c r="C1601" s="113" t="n"/>
      <c r="D1601" s="113" t="n"/>
    </row>
    <row r="1602" ht="15" customHeight="1" s="66">
      <c r="A1602" s="113" t="n"/>
      <c r="B1602" s="113" t="n"/>
      <c r="C1602" s="113" t="n"/>
      <c r="D1602" s="113" t="n"/>
    </row>
    <row r="1603" ht="15" customHeight="1" s="66">
      <c r="A1603" s="113" t="n"/>
      <c r="B1603" s="113" t="n"/>
      <c r="C1603" s="113" t="n"/>
      <c r="D1603" s="113" t="n"/>
    </row>
    <row r="1604" ht="15" customHeight="1" s="66">
      <c r="A1604" s="113" t="n"/>
      <c r="B1604" s="113" t="n"/>
      <c r="C1604" s="113" t="n"/>
      <c r="D1604" s="113" t="n"/>
    </row>
    <row r="1605" ht="15" customHeight="1" s="66">
      <c r="A1605" s="113" t="n"/>
      <c r="B1605" s="113" t="n"/>
      <c r="C1605" s="113" t="n"/>
      <c r="D1605" s="113" t="n"/>
    </row>
    <row r="1606" ht="15" customHeight="1" s="66">
      <c r="A1606" s="113" t="n"/>
      <c r="B1606" s="113" t="n"/>
      <c r="C1606" s="113" t="n"/>
      <c r="D1606" s="113" t="n"/>
    </row>
    <row r="1607" ht="15" customHeight="1" s="66">
      <c r="A1607" s="113" t="n"/>
      <c r="B1607" s="113" t="n"/>
      <c r="C1607" s="113" t="n"/>
      <c r="D1607" s="113" t="n"/>
    </row>
    <row r="1608" ht="15" customHeight="1" s="66">
      <c r="A1608" s="113" t="n"/>
      <c r="B1608" s="113" t="n"/>
      <c r="C1608" s="113" t="n"/>
      <c r="D1608" s="113" t="n"/>
    </row>
    <row r="1609" ht="15" customHeight="1" s="66">
      <c r="A1609" s="113" t="n"/>
      <c r="B1609" s="113" t="n"/>
      <c r="C1609" s="113" t="n"/>
      <c r="D1609" s="113" t="n"/>
    </row>
    <row r="1610" ht="15" customHeight="1" s="66">
      <c r="A1610" s="113" t="n"/>
      <c r="B1610" s="113" t="n"/>
      <c r="C1610" s="113" t="n"/>
      <c r="D1610" s="113" t="n"/>
    </row>
    <row r="1611" ht="15" customHeight="1" s="66">
      <c r="A1611" s="113" t="n"/>
      <c r="B1611" s="113" t="n"/>
      <c r="C1611" s="113" t="n"/>
      <c r="D1611" s="113" t="n"/>
    </row>
    <row r="1612" ht="15" customHeight="1" s="66">
      <c r="A1612" s="113" t="n"/>
      <c r="B1612" s="113" t="n"/>
      <c r="C1612" s="113" t="n"/>
      <c r="D1612" s="113" t="n"/>
    </row>
    <row r="1613" ht="15" customHeight="1" s="66">
      <c r="A1613" s="113" t="n"/>
      <c r="B1613" s="113" t="n"/>
      <c r="C1613" s="113" t="n"/>
      <c r="D1613" s="113" t="n"/>
    </row>
    <row r="1614" ht="15" customHeight="1" s="66">
      <c r="A1614" s="113" t="n"/>
      <c r="B1614" s="113" t="n"/>
      <c r="C1614" s="113" t="n"/>
      <c r="D1614" s="113" t="n"/>
    </row>
    <row r="1615" ht="15" customHeight="1" s="66">
      <c r="A1615" s="113" t="n"/>
      <c r="B1615" s="113" t="n"/>
      <c r="C1615" s="113" t="n"/>
      <c r="D1615" s="113" t="n"/>
    </row>
    <row r="1616" ht="15" customHeight="1" s="66">
      <c r="A1616" s="113" t="n"/>
      <c r="B1616" s="113" t="n"/>
      <c r="C1616" s="113" t="n"/>
      <c r="D1616" s="113" t="n"/>
    </row>
    <row r="1617" ht="15" customHeight="1" s="66">
      <c r="A1617" s="113" t="n"/>
      <c r="B1617" s="113" t="n"/>
      <c r="C1617" s="113" t="n"/>
      <c r="D1617" s="113" t="n"/>
    </row>
    <row r="1618" ht="15" customHeight="1" s="66">
      <c r="A1618" s="113" t="n"/>
      <c r="B1618" s="113" t="n"/>
      <c r="C1618" s="113" t="n"/>
      <c r="D1618" s="113" t="n"/>
    </row>
    <row r="1619" ht="15" customHeight="1" s="66">
      <c r="A1619" s="113" t="n"/>
      <c r="B1619" s="113" t="n"/>
      <c r="C1619" s="113" t="n"/>
      <c r="D1619" s="113" t="n"/>
    </row>
    <row r="1620" ht="15" customHeight="1" s="66">
      <c r="A1620" s="113" t="n"/>
      <c r="B1620" s="113" t="n"/>
      <c r="C1620" s="113" t="n"/>
      <c r="D1620" s="113" t="n"/>
    </row>
    <row r="1621" ht="15" customHeight="1" s="66">
      <c r="A1621" s="113" t="n"/>
      <c r="B1621" s="113" t="n"/>
      <c r="C1621" s="113" t="n"/>
      <c r="D1621" s="113" t="n"/>
    </row>
    <row r="1622" ht="15" customHeight="1" s="66">
      <c r="A1622" s="113" t="n"/>
      <c r="B1622" s="113" t="n"/>
      <c r="C1622" s="113" t="n"/>
      <c r="D1622" s="113" t="n"/>
    </row>
    <row r="1623" ht="15" customHeight="1" s="66">
      <c r="A1623" s="113" t="n"/>
      <c r="B1623" s="113" t="n"/>
      <c r="C1623" s="113" t="n"/>
      <c r="D1623" s="113" t="n"/>
    </row>
    <row r="1624" ht="15" customHeight="1" s="66">
      <c r="A1624" s="113" t="n"/>
      <c r="B1624" s="113" t="n"/>
      <c r="C1624" s="113" t="n"/>
      <c r="D1624" s="113" t="n"/>
    </row>
    <row r="1625" ht="15" customHeight="1" s="66">
      <c r="A1625" s="113" t="n"/>
      <c r="B1625" s="113" t="n"/>
      <c r="C1625" s="113" t="n"/>
      <c r="D1625" s="113" t="n"/>
    </row>
    <row r="1626" ht="15" customHeight="1" s="66">
      <c r="A1626" s="113" t="n"/>
      <c r="B1626" s="113" t="n"/>
      <c r="C1626" s="113" t="n"/>
      <c r="D1626" s="113" t="n"/>
    </row>
    <row r="1627" ht="15" customHeight="1" s="66">
      <c r="A1627" s="113" t="n"/>
      <c r="B1627" s="113" t="n"/>
      <c r="C1627" s="113" t="n"/>
      <c r="D1627" s="113" t="n"/>
    </row>
    <row r="1628" ht="15" customHeight="1" s="66">
      <c r="A1628" s="113" t="n"/>
      <c r="B1628" s="113" t="n"/>
      <c r="C1628" s="113" t="n"/>
      <c r="D1628" s="113" t="n"/>
    </row>
    <row r="1629" ht="15" customHeight="1" s="66">
      <c r="A1629" s="113" t="n"/>
      <c r="B1629" s="113" t="n"/>
      <c r="C1629" s="113" t="n"/>
      <c r="D1629" s="113" t="n"/>
    </row>
    <row r="1630" ht="15" customHeight="1" s="66">
      <c r="A1630" s="113" t="n"/>
      <c r="B1630" s="113" t="n"/>
      <c r="C1630" s="113" t="n"/>
      <c r="D1630" s="113" t="n"/>
    </row>
    <row r="1631" ht="15" customHeight="1" s="66">
      <c r="A1631" s="113" t="n"/>
      <c r="B1631" s="113" t="n"/>
      <c r="C1631" s="113" t="n"/>
      <c r="D1631" s="113" t="n"/>
    </row>
    <row r="1632" ht="15" customHeight="1" s="66">
      <c r="A1632" s="113" t="n"/>
      <c r="B1632" s="113" t="n"/>
      <c r="C1632" s="113" t="n"/>
      <c r="D1632" s="113" t="n"/>
    </row>
    <row r="1633" ht="15" customHeight="1" s="66">
      <c r="A1633" s="113" t="n"/>
      <c r="B1633" s="113" t="n"/>
      <c r="C1633" s="113" t="n"/>
      <c r="D1633" s="113" t="n"/>
    </row>
    <row r="1634" ht="15" customHeight="1" s="66">
      <c r="A1634" s="113" t="n"/>
      <c r="B1634" s="113" t="n"/>
      <c r="C1634" s="113" t="n"/>
      <c r="D1634" s="113" t="n"/>
    </row>
    <row r="1635" ht="15" customHeight="1" s="66">
      <c r="A1635" s="113" t="n"/>
      <c r="B1635" s="113" t="n"/>
      <c r="C1635" s="113" t="n"/>
      <c r="D1635" s="113" t="n"/>
    </row>
    <row r="1636" ht="15" customHeight="1" s="66">
      <c r="A1636" s="113" t="n"/>
      <c r="B1636" s="113" t="n"/>
      <c r="C1636" s="113" t="n"/>
      <c r="D1636" s="113" t="n"/>
    </row>
    <row r="1637" ht="15" customHeight="1" s="66">
      <c r="A1637" s="113" t="n"/>
      <c r="B1637" s="113" t="n"/>
      <c r="C1637" s="113" t="n"/>
      <c r="D1637" s="113" t="n"/>
    </row>
    <row r="1638" ht="15" customHeight="1" s="66">
      <c r="A1638" s="113" t="n"/>
      <c r="B1638" s="113" t="n"/>
      <c r="C1638" s="113" t="n"/>
      <c r="D1638" s="113" t="n"/>
    </row>
    <row r="1639" ht="15" customHeight="1" s="66">
      <c r="A1639" s="113" t="n"/>
      <c r="B1639" s="113" t="n"/>
      <c r="C1639" s="113" t="n"/>
      <c r="D1639" s="113" t="n"/>
    </row>
    <row r="1640" ht="15" customHeight="1" s="66">
      <c r="A1640" s="113" t="n"/>
      <c r="B1640" s="113" t="n"/>
      <c r="C1640" s="113" t="n"/>
      <c r="D1640" s="113" t="n"/>
    </row>
    <row r="1641" ht="15" customHeight="1" s="66">
      <c r="A1641" s="113" t="n"/>
      <c r="B1641" s="113" t="n"/>
      <c r="C1641" s="113" t="n"/>
      <c r="D1641" s="113" t="n"/>
    </row>
    <row r="1642" ht="15" customHeight="1" s="66">
      <c r="A1642" s="113" t="n"/>
      <c r="B1642" s="113" t="n"/>
      <c r="C1642" s="113" t="n"/>
      <c r="D1642" s="113" t="n"/>
    </row>
    <row r="1643" ht="15" customHeight="1" s="66">
      <c r="A1643" s="113" t="n"/>
      <c r="B1643" s="113" t="n"/>
      <c r="C1643" s="113" t="n"/>
      <c r="D1643" s="113" t="n"/>
    </row>
    <row r="1644" ht="15" customHeight="1" s="66">
      <c r="A1644" s="113" t="n"/>
      <c r="B1644" s="113" t="n"/>
      <c r="C1644" s="113" t="n"/>
      <c r="D1644" s="113" t="n"/>
    </row>
    <row r="1645" ht="15" customHeight="1" s="66">
      <c r="A1645" s="113" t="n"/>
      <c r="B1645" s="113" t="n"/>
      <c r="C1645" s="113" t="n"/>
      <c r="D1645" s="113" t="n"/>
    </row>
    <row r="1646" ht="15" customHeight="1" s="66">
      <c r="A1646" s="113" t="n"/>
      <c r="B1646" s="113" t="n"/>
      <c r="C1646" s="113" t="n"/>
      <c r="D1646" s="113" t="n"/>
    </row>
    <row r="1647" ht="15" customHeight="1" s="66">
      <c r="A1647" s="113" t="n"/>
      <c r="B1647" s="113" t="n"/>
      <c r="C1647" s="113" t="n"/>
      <c r="D1647" s="113" t="n"/>
    </row>
    <row r="1648" ht="15" customHeight="1" s="66">
      <c r="A1648" s="113" t="n"/>
      <c r="B1648" s="113" t="n"/>
      <c r="C1648" s="113" t="n"/>
      <c r="D1648" s="113" t="n"/>
    </row>
    <row r="1649" ht="15" customHeight="1" s="66">
      <c r="A1649" s="113" t="n"/>
      <c r="B1649" s="113" t="n"/>
      <c r="C1649" s="113" t="n"/>
      <c r="D1649" s="113" t="n"/>
    </row>
    <row r="1650" ht="15" customHeight="1" s="66">
      <c r="A1650" s="113" t="n"/>
      <c r="B1650" s="113" t="n"/>
      <c r="C1650" s="113" t="n"/>
      <c r="D1650" s="113" t="n"/>
    </row>
    <row r="1651" ht="15" customHeight="1" s="66">
      <c r="A1651" s="113" t="n"/>
      <c r="B1651" s="113" t="n"/>
      <c r="C1651" s="113" t="n"/>
      <c r="D1651" s="113" t="n"/>
    </row>
    <row r="1652" ht="15" customHeight="1" s="66">
      <c r="A1652" s="113" t="n"/>
      <c r="B1652" s="113" t="n"/>
      <c r="C1652" s="113" t="n"/>
      <c r="D1652" s="113" t="n"/>
    </row>
    <row r="1653" ht="15" customHeight="1" s="66">
      <c r="A1653" s="113" t="n"/>
      <c r="B1653" s="113" t="n"/>
      <c r="C1653" s="113" t="n"/>
      <c r="D1653" s="113" t="n"/>
    </row>
    <row r="1654" ht="15" customHeight="1" s="66">
      <c r="A1654" s="113" t="n"/>
      <c r="B1654" s="113" t="n"/>
      <c r="C1654" s="113" t="n"/>
      <c r="D1654" s="113" t="n"/>
    </row>
    <row r="1655" ht="15" customHeight="1" s="66">
      <c r="A1655" s="113" t="n"/>
      <c r="B1655" s="113" t="n"/>
      <c r="C1655" s="113" t="n"/>
      <c r="D1655" s="113" t="n"/>
    </row>
    <row r="1656" ht="15" customHeight="1" s="66">
      <c r="A1656" s="113" t="n"/>
      <c r="B1656" s="113" t="n"/>
      <c r="C1656" s="113" t="n"/>
      <c r="D1656" s="113" t="n"/>
    </row>
    <row r="1657" ht="15" customHeight="1" s="66">
      <c r="A1657" s="113" t="n"/>
      <c r="B1657" s="113" t="n"/>
      <c r="C1657" s="113" t="n"/>
      <c r="D1657" s="113" t="n"/>
    </row>
    <row r="1658" ht="15" customHeight="1" s="66">
      <c r="A1658" s="113" t="n"/>
      <c r="B1658" s="113" t="n"/>
      <c r="C1658" s="113" t="n"/>
      <c r="D1658" s="113" t="n"/>
    </row>
    <row r="1659" ht="15" customHeight="1" s="66">
      <c r="A1659" s="113" t="n"/>
      <c r="B1659" s="113" t="n"/>
      <c r="C1659" s="113" t="n"/>
      <c r="D1659" s="113" t="n"/>
    </row>
    <row r="1660" ht="15" customHeight="1" s="66">
      <c r="A1660" s="113" t="n"/>
      <c r="B1660" s="113" t="n"/>
      <c r="C1660" s="113" t="n"/>
      <c r="D1660" s="113" t="n"/>
    </row>
    <row r="1661" ht="15" customHeight="1" s="66">
      <c r="A1661" s="113" t="n"/>
      <c r="B1661" s="113" t="n"/>
      <c r="C1661" s="113" t="n"/>
      <c r="D1661" s="113" t="n"/>
    </row>
    <row r="1662" ht="15" customHeight="1" s="66">
      <c r="A1662" s="113" t="n"/>
      <c r="B1662" s="113" t="n"/>
      <c r="C1662" s="113" t="n"/>
      <c r="D1662" s="113" t="n"/>
    </row>
    <row r="1663" ht="15" customHeight="1" s="66">
      <c r="A1663" s="113" t="n"/>
      <c r="B1663" s="113" t="n"/>
      <c r="C1663" s="113" t="n"/>
      <c r="D1663" s="113" t="n"/>
    </row>
    <row r="1664" ht="15" customHeight="1" s="66">
      <c r="A1664" s="113" t="n"/>
      <c r="B1664" s="113" t="n"/>
      <c r="C1664" s="113" t="n"/>
      <c r="D1664" s="113" t="n"/>
    </row>
    <row r="1665" ht="15" customHeight="1" s="66">
      <c r="A1665" s="113" t="n"/>
      <c r="B1665" s="113" t="n"/>
      <c r="C1665" s="113" t="n"/>
      <c r="D1665" s="113" t="n"/>
    </row>
    <row r="1666" ht="15" customHeight="1" s="66">
      <c r="A1666" s="113" t="n"/>
      <c r="B1666" s="113" t="n"/>
      <c r="C1666" s="113" t="n"/>
      <c r="D1666" s="113" t="n"/>
    </row>
    <row r="1667" ht="15" customHeight="1" s="66">
      <c r="A1667" s="113" t="n"/>
      <c r="B1667" s="113" t="n"/>
      <c r="C1667" s="113" t="n"/>
      <c r="D1667" s="113" t="n"/>
    </row>
    <row r="1668" ht="15" customHeight="1" s="66">
      <c r="A1668" s="113" t="n"/>
      <c r="B1668" s="113" t="n"/>
      <c r="C1668" s="113" t="n"/>
      <c r="D1668" s="113" t="n"/>
    </row>
    <row r="1669" ht="15" customHeight="1" s="66">
      <c r="A1669" s="113" t="n"/>
      <c r="B1669" s="113" t="n"/>
      <c r="C1669" s="113" t="n"/>
      <c r="D1669" s="113" t="n"/>
    </row>
    <row r="1670" ht="15" customHeight="1" s="66">
      <c r="A1670" s="113" t="n"/>
      <c r="B1670" s="113" t="n"/>
      <c r="C1670" s="113" t="n"/>
      <c r="D1670" s="113" t="n"/>
    </row>
    <row r="1671" ht="15" customHeight="1" s="66">
      <c r="A1671" s="113" t="n"/>
      <c r="B1671" s="113" t="n"/>
      <c r="C1671" s="113" t="n"/>
      <c r="D1671" s="113" t="n"/>
    </row>
    <row r="1672" ht="15" customHeight="1" s="66">
      <c r="A1672" s="113" t="n"/>
      <c r="B1672" s="113" t="n"/>
      <c r="C1672" s="113" t="n"/>
      <c r="D1672" s="113" t="n"/>
    </row>
    <row r="1673" ht="15" customHeight="1" s="66">
      <c r="A1673" s="113" t="n"/>
      <c r="B1673" s="113" t="n"/>
      <c r="C1673" s="113" t="n"/>
      <c r="D1673" s="113" t="n"/>
    </row>
    <row r="1674" ht="15" customHeight="1" s="66">
      <c r="A1674" s="113" t="n"/>
      <c r="B1674" s="113" t="n"/>
      <c r="C1674" s="113" t="n"/>
      <c r="D1674" s="113" t="n"/>
    </row>
    <row r="1675" ht="15" customHeight="1" s="66">
      <c r="A1675" s="113" t="n"/>
      <c r="B1675" s="113" t="n"/>
      <c r="C1675" s="113" t="n"/>
      <c r="D1675" s="113" t="n"/>
    </row>
    <row r="1676" ht="15" customHeight="1" s="66">
      <c r="A1676" s="113" t="n"/>
      <c r="B1676" s="113" t="n"/>
      <c r="C1676" s="113" t="n"/>
      <c r="D1676" s="113" t="n"/>
    </row>
    <row r="1677" ht="15" customHeight="1" s="66">
      <c r="A1677" s="113" t="n"/>
      <c r="B1677" s="113" t="n"/>
      <c r="C1677" s="113" t="n"/>
      <c r="D1677" s="113" t="n"/>
    </row>
    <row r="1678" ht="15" customHeight="1" s="66">
      <c r="A1678" s="113" t="n"/>
      <c r="B1678" s="113" t="n"/>
      <c r="C1678" s="113" t="n"/>
      <c r="D1678" s="113" t="n"/>
    </row>
    <row r="1679" ht="15" customHeight="1" s="66">
      <c r="A1679" s="113" t="n"/>
      <c r="B1679" s="113" t="n"/>
      <c r="C1679" s="113" t="n"/>
      <c r="D1679" s="113" t="n"/>
    </row>
    <row r="1680" ht="15" customHeight="1" s="66">
      <c r="A1680" s="113" t="n"/>
      <c r="B1680" s="113" t="n"/>
      <c r="C1680" s="113" t="n"/>
      <c r="D1680" s="113" t="n"/>
    </row>
    <row r="1681" ht="15" customHeight="1" s="66">
      <c r="A1681" s="113" t="n"/>
      <c r="B1681" s="113" t="n"/>
      <c r="C1681" s="113" t="n"/>
      <c r="D1681" s="113" t="n"/>
    </row>
    <row r="1682" ht="15" customHeight="1" s="66">
      <c r="A1682" s="113" t="n"/>
      <c r="B1682" s="113" t="n"/>
      <c r="C1682" s="113" t="n"/>
      <c r="D1682" s="113" t="n"/>
    </row>
    <row r="1683" ht="15" customHeight="1" s="66">
      <c r="A1683" s="113" t="n"/>
      <c r="B1683" s="113" t="n"/>
      <c r="C1683" s="113" t="n"/>
      <c r="D1683" s="113" t="n"/>
    </row>
    <row r="1684" ht="15" customHeight="1" s="66">
      <c r="A1684" s="113" t="n"/>
      <c r="B1684" s="113" t="n"/>
      <c r="C1684" s="113" t="n"/>
      <c r="D1684" s="113" t="n"/>
    </row>
    <row r="1685" ht="15" customHeight="1" s="66">
      <c r="A1685" s="113" t="n"/>
      <c r="B1685" s="113" t="n"/>
      <c r="C1685" s="113" t="n"/>
      <c r="D1685" s="113" t="n"/>
    </row>
    <row r="1686" ht="15" customHeight="1" s="66">
      <c r="A1686" s="113" t="n"/>
      <c r="B1686" s="113" t="n"/>
      <c r="C1686" s="113" t="n"/>
      <c r="D1686" s="113" t="n"/>
    </row>
    <row r="1687" ht="15" customHeight="1" s="66">
      <c r="A1687" s="113" t="n"/>
      <c r="B1687" s="113" t="n"/>
      <c r="C1687" s="113" t="n"/>
      <c r="D1687" s="113" t="n"/>
    </row>
    <row r="1688" ht="15" customHeight="1" s="66">
      <c r="A1688" s="113" t="n"/>
      <c r="B1688" s="113" t="n"/>
      <c r="C1688" s="113" t="n"/>
      <c r="D1688" s="113" t="n"/>
    </row>
    <row r="1689" ht="15" customHeight="1" s="66">
      <c r="A1689" s="113" t="n"/>
      <c r="B1689" s="113" t="n"/>
      <c r="C1689" s="113" t="n"/>
      <c r="D1689" s="113" t="n"/>
    </row>
    <row r="1690" ht="15" customHeight="1" s="66">
      <c r="A1690" s="113" t="n"/>
      <c r="B1690" s="113" t="n"/>
      <c r="C1690" s="113" t="n"/>
      <c r="D1690" s="113" t="n"/>
    </row>
    <row r="1691" ht="15" customHeight="1" s="66">
      <c r="A1691" s="113" t="n"/>
      <c r="B1691" s="113" t="n"/>
      <c r="C1691" s="113" t="n"/>
      <c r="D1691" s="113" t="n"/>
    </row>
    <row r="1692" ht="15" customHeight="1" s="66">
      <c r="A1692" s="113" t="n"/>
      <c r="B1692" s="113" t="n"/>
      <c r="C1692" s="113" t="n"/>
      <c r="D1692" s="113" t="n"/>
    </row>
    <row r="1693" ht="15" customHeight="1" s="66">
      <c r="A1693" s="113" t="n"/>
      <c r="B1693" s="113" t="n"/>
      <c r="C1693" s="113" t="n"/>
      <c r="D1693" s="113" t="n"/>
    </row>
    <row r="1694" ht="15" customHeight="1" s="66">
      <c r="A1694" s="113" t="n"/>
      <c r="B1694" s="113" t="n"/>
      <c r="C1694" s="113" t="n"/>
      <c r="D1694" s="113" t="n"/>
    </row>
    <row r="1695" ht="15" customHeight="1" s="66">
      <c r="A1695" s="113" t="n"/>
      <c r="B1695" s="113" t="n"/>
      <c r="C1695" s="113" t="n"/>
      <c r="D1695" s="113" t="n"/>
    </row>
    <row r="1696" ht="15" customHeight="1" s="66">
      <c r="A1696" s="113" t="n"/>
      <c r="B1696" s="113" t="n"/>
      <c r="C1696" s="113" t="n"/>
      <c r="D1696" s="113" t="n"/>
    </row>
    <row r="1697" ht="15" customHeight="1" s="66">
      <c r="A1697" s="113" t="n"/>
      <c r="B1697" s="113" t="n"/>
      <c r="C1697" s="113" t="n"/>
      <c r="D1697" s="113" t="n"/>
    </row>
    <row r="1698" ht="15" customHeight="1" s="66">
      <c r="A1698" s="113" t="n"/>
      <c r="B1698" s="113" t="n"/>
      <c r="C1698" s="113" t="n"/>
      <c r="D1698" s="113" t="n"/>
    </row>
    <row r="1699" ht="15" customHeight="1" s="66">
      <c r="A1699" s="113" t="n"/>
      <c r="B1699" s="113" t="n"/>
      <c r="C1699" s="113" t="n"/>
      <c r="D1699" s="113" t="n"/>
    </row>
    <row r="1700" ht="15" customHeight="1" s="66">
      <c r="A1700" s="113" t="n"/>
      <c r="B1700" s="113" t="n"/>
      <c r="C1700" s="113" t="n"/>
      <c r="D1700" s="113" t="n"/>
    </row>
    <row r="1701" ht="15" customHeight="1" s="66">
      <c r="A1701" s="113" t="n"/>
      <c r="B1701" s="113" t="n"/>
      <c r="C1701" s="113" t="n"/>
      <c r="D1701" s="113" t="n"/>
    </row>
    <row r="1702" ht="15" customHeight="1" s="66">
      <c r="A1702" s="113" t="n"/>
      <c r="B1702" s="113" t="n"/>
      <c r="C1702" s="113" t="n"/>
      <c r="D1702" s="113" t="n"/>
    </row>
    <row r="1703" ht="15" customHeight="1" s="66">
      <c r="A1703" s="113" t="n"/>
      <c r="B1703" s="113" t="n"/>
      <c r="C1703" s="113" t="n"/>
      <c r="D1703" s="113" t="n"/>
    </row>
    <row r="1704" ht="15" customHeight="1" s="66">
      <c r="A1704" s="113" t="n"/>
      <c r="B1704" s="113" t="n"/>
      <c r="C1704" s="113" t="n"/>
      <c r="D1704" s="113" t="n"/>
    </row>
    <row r="1705" ht="15" customHeight="1" s="66">
      <c r="A1705" s="113" t="n"/>
      <c r="B1705" s="113" t="n"/>
      <c r="C1705" s="113" t="n"/>
      <c r="D1705" s="113" t="n"/>
    </row>
    <row r="1706" ht="15" customHeight="1" s="66">
      <c r="A1706" s="113" t="n"/>
      <c r="B1706" s="113" t="n"/>
      <c r="C1706" s="113" t="n"/>
      <c r="D1706" s="113" t="n"/>
    </row>
    <row r="1707" ht="15" customHeight="1" s="66">
      <c r="A1707" s="113" t="n"/>
      <c r="B1707" s="113" t="n"/>
      <c r="C1707" s="113" t="n"/>
      <c r="D1707" s="113" t="n"/>
    </row>
    <row r="1708" ht="15" customHeight="1" s="66">
      <c r="A1708" s="113" t="n"/>
      <c r="B1708" s="113" t="n"/>
      <c r="C1708" s="113" t="n"/>
      <c r="D1708" s="113" t="n"/>
    </row>
    <row r="1709" ht="15" customHeight="1" s="66">
      <c r="A1709" s="113" t="n"/>
      <c r="B1709" s="113" t="n"/>
      <c r="C1709" s="113" t="n"/>
      <c r="D1709" s="113" t="n"/>
    </row>
    <row r="1710" ht="15" customHeight="1" s="66">
      <c r="A1710" s="113" t="n"/>
      <c r="B1710" s="113" t="n"/>
      <c r="C1710" s="113" t="n"/>
      <c r="D1710" s="113" t="n"/>
    </row>
    <row r="1711" ht="15" customHeight="1" s="66">
      <c r="A1711" s="113" t="n"/>
      <c r="B1711" s="113" t="n"/>
      <c r="C1711" s="113" t="n"/>
      <c r="D1711" s="113" t="n"/>
    </row>
    <row r="1712" ht="15" customHeight="1" s="66">
      <c r="A1712" s="113" t="n"/>
      <c r="B1712" s="113" t="n"/>
      <c r="C1712" s="113" t="n"/>
      <c r="D1712" s="113" t="n"/>
    </row>
    <row r="1713" ht="15" customHeight="1" s="66">
      <c r="A1713" s="113" t="n"/>
      <c r="B1713" s="113" t="n"/>
      <c r="C1713" s="113" t="n"/>
      <c r="D1713" s="113" t="n"/>
    </row>
    <row r="1714" ht="15" customHeight="1" s="66">
      <c r="A1714" s="113" t="n"/>
      <c r="B1714" s="113" t="n"/>
      <c r="C1714" s="113" t="n"/>
      <c r="D1714" s="113" t="n"/>
    </row>
    <row r="1715" ht="15" customHeight="1" s="66">
      <c r="A1715" s="113" t="n"/>
      <c r="B1715" s="113" t="n"/>
      <c r="C1715" s="113" t="n"/>
      <c r="D1715" s="113" t="n"/>
    </row>
    <row r="1716" ht="15" customHeight="1" s="66">
      <c r="A1716" s="113" t="n"/>
      <c r="B1716" s="113" t="n"/>
      <c r="C1716" s="113" t="n"/>
      <c r="D1716" s="113" t="n"/>
    </row>
    <row r="1717" ht="15" customHeight="1" s="66">
      <c r="A1717" s="113" t="n"/>
      <c r="B1717" s="113" t="n"/>
      <c r="C1717" s="113" t="n"/>
      <c r="D1717" s="113" t="n"/>
    </row>
    <row r="1718" ht="15" customHeight="1" s="66">
      <c r="A1718" s="113" t="n"/>
      <c r="B1718" s="113" t="n"/>
      <c r="C1718" s="113" t="n"/>
      <c r="D1718" s="113" t="n"/>
    </row>
    <row r="1719" ht="15" customHeight="1" s="66">
      <c r="A1719" s="113" t="n"/>
      <c r="B1719" s="113" t="n"/>
      <c r="C1719" s="113" t="n"/>
      <c r="D1719" s="113" t="n"/>
    </row>
    <row r="1720" ht="15" customHeight="1" s="66">
      <c r="A1720" s="113" t="n"/>
      <c r="B1720" s="113" t="n"/>
      <c r="C1720" s="113" t="n"/>
      <c r="D1720" s="113" t="n"/>
    </row>
    <row r="1721" ht="15" customHeight="1" s="66">
      <c r="A1721" s="113" t="n"/>
      <c r="B1721" s="113" t="n"/>
      <c r="C1721" s="113" t="n"/>
      <c r="D1721" s="113" t="n"/>
    </row>
    <row r="1722" ht="15" customHeight="1" s="66">
      <c r="A1722" s="113" t="n"/>
      <c r="B1722" s="113" t="n"/>
      <c r="C1722" s="113" t="n"/>
      <c r="D1722" s="113" t="n"/>
    </row>
    <row r="1723" ht="15" customHeight="1" s="66">
      <c r="A1723" s="113" t="n"/>
      <c r="B1723" s="113" t="n"/>
      <c r="C1723" s="113" t="n"/>
      <c r="D1723" s="113" t="n"/>
    </row>
    <row r="1724" ht="15" customHeight="1" s="66">
      <c r="A1724" s="113" t="n"/>
      <c r="B1724" s="113" t="n"/>
      <c r="C1724" s="113" t="n"/>
      <c r="D1724" s="113" t="n"/>
    </row>
    <row r="1725" ht="15" customHeight="1" s="66">
      <c r="A1725" s="113" t="n"/>
      <c r="B1725" s="113" t="n"/>
      <c r="C1725" s="113" t="n"/>
      <c r="D1725" s="113" t="n"/>
    </row>
    <row r="1726" ht="15" customHeight="1" s="66">
      <c r="A1726" s="113" t="n"/>
      <c r="B1726" s="113" t="n"/>
      <c r="C1726" s="113" t="n"/>
      <c r="D1726" s="113" t="n"/>
    </row>
    <row r="1727" ht="15" customHeight="1" s="66">
      <c r="A1727" s="113" t="n"/>
      <c r="B1727" s="113" t="n"/>
      <c r="C1727" s="113" t="n"/>
      <c r="D1727" s="113" t="n"/>
    </row>
    <row r="1728" ht="15" customHeight="1" s="66">
      <c r="A1728" s="113" t="n"/>
      <c r="B1728" s="113" t="n"/>
      <c r="C1728" s="113" t="n"/>
      <c r="D1728" s="113" t="n"/>
    </row>
    <row r="1729" ht="15" customHeight="1" s="66">
      <c r="A1729" s="113" t="n"/>
      <c r="B1729" s="113" t="n"/>
      <c r="C1729" s="113" t="n"/>
      <c r="D1729" s="113" t="n"/>
    </row>
    <row r="1730" ht="15" customHeight="1" s="66">
      <c r="A1730" s="113" t="n"/>
      <c r="B1730" s="113" t="n"/>
      <c r="C1730" s="113" t="n"/>
      <c r="D1730" s="113" t="n"/>
    </row>
    <row r="1731" ht="15" customHeight="1" s="66">
      <c r="A1731" s="113" t="n"/>
      <c r="B1731" s="113" t="n"/>
      <c r="C1731" s="113" t="n"/>
      <c r="D1731" s="113" t="n"/>
    </row>
    <row r="1732" ht="15" customHeight="1" s="66">
      <c r="A1732" s="113" t="n"/>
      <c r="B1732" s="113" t="n"/>
      <c r="C1732" s="113" t="n"/>
      <c r="D1732" s="113" t="n"/>
    </row>
    <row r="1733" ht="15" customHeight="1" s="66">
      <c r="A1733" s="113" t="n"/>
      <c r="B1733" s="113" t="n"/>
      <c r="C1733" s="113" t="n"/>
      <c r="D1733" s="113" t="n"/>
    </row>
    <row r="1734" ht="15" customHeight="1" s="66">
      <c r="A1734" s="113" t="n"/>
      <c r="B1734" s="113" t="n"/>
      <c r="C1734" s="113" t="n"/>
      <c r="D1734" s="113" t="n"/>
    </row>
    <row r="1735" ht="15" customHeight="1" s="66">
      <c r="A1735" s="113" t="n"/>
      <c r="B1735" s="113" t="n"/>
      <c r="C1735" s="113" t="n"/>
      <c r="D1735" s="113" t="n"/>
    </row>
    <row r="1736" ht="15" customHeight="1" s="66">
      <c r="A1736" s="113" t="n"/>
      <c r="B1736" s="113" t="n"/>
      <c r="C1736" s="113" t="n"/>
      <c r="D1736" s="113" t="n"/>
    </row>
    <row r="1737" ht="15" customHeight="1" s="66">
      <c r="A1737" s="113" t="n"/>
      <c r="B1737" s="113" t="n"/>
      <c r="C1737" s="113" t="n"/>
      <c r="D1737" s="113" t="n"/>
    </row>
    <row r="1738" ht="15" customHeight="1" s="66">
      <c r="A1738" s="113" t="n"/>
      <c r="B1738" s="113" t="n"/>
      <c r="C1738" s="113" t="n"/>
      <c r="D1738" s="113" t="n"/>
    </row>
    <row r="1739" ht="15" customHeight="1" s="66">
      <c r="A1739" s="113" t="n"/>
      <c r="B1739" s="113" t="n"/>
      <c r="C1739" s="113" t="n"/>
      <c r="D1739" s="113" t="n"/>
    </row>
    <row r="1740" ht="15" customHeight="1" s="66">
      <c r="A1740" s="113" t="n"/>
      <c r="B1740" s="113" t="n"/>
      <c r="C1740" s="113" t="n"/>
      <c r="D1740" s="113" t="n"/>
    </row>
    <row r="1741" ht="15" customHeight="1" s="66">
      <c r="A1741" s="113" t="n"/>
      <c r="B1741" s="113" t="n"/>
      <c r="C1741" s="113" t="n"/>
      <c r="D1741" s="113" t="n"/>
    </row>
    <row r="1742" ht="15" customHeight="1" s="66">
      <c r="A1742" s="113" t="n"/>
      <c r="B1742" s="113" t="n"/>
      <c r="C1742" s="113" t="n"/>
      <c r="D1742" s="113" t="n"/>
    </row>
    <row r="1743" ht="15" customHeight="1" s="66">
      <c r="A1743" s="113" t="n"/>
      <c r="B1743" s="113" t="n"/>
      <c r="C1743" s="113" t="n"/>
      <c r="D1743" s="113" t="n"/>
    </row>
    <row r="1744" ht="15" customHeight="1" s="66">
      <c r="A1744" s="113" t="n"/>
      <c r="B1744" s="113" t="n"/>
      <c r="C1744" s="113" t="n"/>
      <c r="D1744" s="113" t="n"/>
    </row>
    <row r="1745" ht="15" customHeight="1" s="66">
      <c r="A1745" s="113" t="n"/>
      <c r="B1745" s="113" t="n"/>
      <c r="C1745" s="113" t="n"/>
      <c r="D1745" s="113" t="n"/>
    </row>
    <row r="1746" ht="15" customHeight="1" s="66">
      <c r="A1746" s="113" t="n"/>
      <c r="B1746" s="113" t="n"/>
      <c r="C1746" s="113" t="n"/>
      <c r="D1746" s="113" t="n"/>
    </row>
    <row r="1747" ht="15" customHeight="1" s="66">
      <c r="A1747" s="113" t="n"/>
      <c r="B1747" s="113" t="n"/>
      <c r="C1747" s="113" t="n"/>
      <c r="D1747" s="113" t="n"/>
    </row>
    <row r="1748" ht="15" customHeight="1" s="66">
      <c r="A1748" s="113" t="n"/>
      <c r="B1748" s="113" t="n"/>
      <c r="C1748" s="113" t="n"/>
      <c r="D1748" s="113" t="n"/>
    </row>
    <row r="1749" ht="15" customHeight="1" s="66">
      <c r="A1749" s="113" t="n"/>
      <c r="B1749" s="113" t="n"/>
      <c r="C1749" s="113" t="n"/>
      <c r="D1749" s="113" t="n"/>
    </row>
    <row r="1750" ht="15" customHeight="1" s="66">
      <c r="A1750" s="113" t="n"/>
      <c r="B1750" s="113" t="n"/>
      <c r="C1750" s="113" t="n"/>
      <c r="D1750" s="113" t="n"/>
    </row>
    <row r="1751" ht="15" customHeight="1" s="66">
      <c r="A1751" s="113" t="n"/>
      <c r="B1751" s="113" t="n"/>
      <c r="C1751" s="113" t="n"/>
      <c r="D1751" s="113" t="n"/>
    </row>
    <row r="1752" ht="15" customHeight="1" s="66">
      <c r="A1752" s="113" t="n"/>
      <c r="B1752" s="113" t="n"/>
      <c r="C1752" s="113" t="n"/>
      <c r="D1752" s="113" t="n"/>
    </row>
    <row r="1753" ht="15" customHeight="1" s="66">
      <c r="A1753" s="113" t="n"/>
      <c r="B1753" s="113" t="n"/>
      <c r="C1753" s="113" t="n"/>
      <c r="D1753" s="113" t="n"/>
    </row>
    <row r="1754" ht="15" customHeight="1" s="66">
      <c r="A1754" s="113" t="n"/>
      <c r="B1754" s="113" t="n"/>
      <c r="C1754" s="113" t="n"/>
      <c r="D1754" s="113" t="n"/>
    </row>
    <row r="1755" ht="15" customHeight="1" s="66">
      <c r="A1755" s="113" t="n"/>
      <c r="B1755" s="113" t="n"/>
      <c r="C1755" s="113" t="n"/>
      <c r="D1755" s="113" t="n"/>
    </row>
    <row r="1756" ht="15" customHeight="1" s="66">
      <c r="A1756" s="113" t="n"/>
      <c r="B1756" s="113" t="n"/>
      <c r="C1756" s="113" t="n"/>
      <c r="D1756" s="113" t="n"/>
    </row>
    <row r="1757" ht="15" customHeight="1" s="66">
      <c r="A1757" s="113" t="n"/>
      <c r="B1757" s="113" t="n"/>
      <c r="C1757" s="113" t="n"/>
      <c r="D1757" s="113" t="n"/>
    </row>
    <row r="1758" ht="15" customHeight="1" s="66">
      <c r="A1758" s="113" t="n"/>
      <c r="B1758" s="113" t="n"/>
      <c r="C1758" s="113" t="n"/>
      <c r="D1758" s="113" t="n"/>
    </row>
    <row r="1759" ht="15" customHeight="1" s="66">
      <c r="A1759" s="113" t="n"/>
      <c r="B1759" s="113" t="n"/>
      <c r="C1759" s="113" t="n"/>
      <c r="D1759" s="113" t="n"/>
    </row>
    <row r="1760" ht="15" customHeight="1" s="66">
      <c r="A1760" s="113" t="n"/>
      <c r="B1760" s="113" t="n"/>
      <c r="C1760" s="113" t="n"/>
      <c r="D1760" s="113" t="n"/>
    </row>
    <row r="1761" ht="15" customHeight="1" s="66">
      <c r="A1761" s="113" t="n"/>
      <c r="B1761" s="113" t="n"/>
      <c r="C1761" s="113" t="n"/>
      <c r="D1761" s="113" t="n"/>
    </row>
    <row r="1762" ht="15" customHeight="1" s="66">
      <c r="A1762" s="113" t="n"/>
      <c r="B1762" s="113" t="n"/>
      <c r="C1762" s="113" t="n"/>
      <c r="D1762" s="113" t="n"/>
    </row>
    <row r="1763" ht="15" customHeight="1" s="66">
      <c r="A1763" s="113" t="n"/>
      <c r="B1763" s="113" t="n"/>
      <c r="C1763" s="113" t="n"/>
      <c r="D1763" s="113" t="n"/>
    </row>
    <row r="1764" ht="15" customHeight="1" s="66">
      <c r="A1764" s="113" t="n"/>
      <c r="B1764" s="113" t="n"/>
      <c r="C1764" s="113" t="n"/>
      <c r="D1764" s="113" t="n"/>
    </row>
    <row r="1765" ht="15" customHeight="1" s="66">
      <c r="A1765" s="113" t="n"/>
      <c r="B1765" s="113" t="n"/>
      <c r="C1765" s="113" t="n"/>
      <c r="D1765" s="113" t="n"/>
    </row>
    <row r="1766" ht="15" customHeight="1" s="66">
      <c r="A1766" s="113" t="n"/>
      <c r="B1766" s="113" t="n"/>
      <c r="C1766" s="113" t="n"/>
      <c r="D1766" s="113" t="n"/>
    </row>
    <row r="1767" ht="15" customHeight="1" s="66">
      <c r="A1767" s="113" t="n"/>
      <c r="B1767" s="113" t="n"/>
      <c r="C1767" s="113" t="n"/>
      <c r="D1767" s="113" t="n"/>
    </row>
    <row r="1768" ht="15" customHeight="1" s="66">
      <c r="A1768" s="113" t="n"/>
      <c r="B1768" s="113" t="n"/>
      <c r="C1768" s="113" t="n"/>
      <c r="D1768" s="113" t="n"/>
    </row>
    <row r="1769" ht="15" customHeight="1" s="66">
      <c r="A1769" s="113" t="n"/>
      <c r="B1769" s="113" t="n"/>
      <c r="C1769" s="113" t="n"/>
      <c r="D1769" s="113" t="n"/>
    </row>
    <row r="1770" ht="15" customHeight="1" s="66">
      <c r="A1770" s="113" t="n"/>
      <c r="B1770" s="113" t="n"/>
      <c r="C1770" s="113" t="n"/>
      <c r="D1770" s="113" t="n"/>
    </row>
    <row r="1771" ht="15" customHeight="1" s="66">
      <c r="A1771" s="113" t="n"/>
      <c r="B1771" s="113" t="n"/>
      <c r="C1771" s="113" t="n"/>
      <c r="D1771" s="113" t="n"/>
    </row>
    <row r="1772" ht="15" customHeight="1" s="66">
      <c r="A1772" s="113" t="n"/>
      <c r="B1772" s="113" t="n"/>
      <c r="C1772" s="113" t="n"/>
      <c r="D1772" s="113" t="n"/>
    </row>
    <row r="1773" ht="15" customHeight="1" s="66">
      <c r="A1773" s="113" t="n"/>
      <c r="B1773" s="113" t="n"/>
      <c r="C1773" s="113" t="n"/>
      <c r="D1773" s="113" t="n"/>
    </row>
    <row r="1774" ht="15" customHeight="1" s="66">
      <c r="A1774" s="113" t="n"/>
      <c r="B1774" s="113" t="n"/>
      <c r="C1774" s="113" t="n"/>
      <c r="D1774" s="113" t="n"/>
    </row>
    <row r="1775" ht="15" customHeight="1" s="66">
      <c r="A1775" s="113" t="n"/>
      <c r="B1775" s="113" t="n"/>
      <c r="C1775" s="113" t="n"/>
      <c r="D1775" s="113" t="n"/>
    </row>
    <row r="1776" ht="15" customHeight="1" s="66">
      <c r="A1776" s="113" t="n"/>
      <c r="B1776" s="113" t="n"/>
      <c r="C1776" s="113" t="n"/>
      <c r="D1776" s="113" t="n"/>
    </row>
    <row r="1777" ht="15" customHeight="1" s="66">
      <c r="A1777" s="113" t="n"/>
      <c r="B1777" s="113" t="n"/>
      <c r="C1777" s="113" t="n"/>
      <c r="D1777" s="113" t="n"/>
    </row>
    <row r="1778" ht="15" customHeight="1" s="66">
      <c r="A1778" s="113" t="n"/>
      <c r="B1778" s="113" t="n"/>
      <c r="C1778" s="113" t="n"/>
      <c r="D1778" s="113" t="n"/>
    </row>
    <row r="1779" ht="15" customHeight="1" s="66">
      <c r="A1779" s="113" t="n"/>
      <c r="B1779" s="113" t="n"/>
      <c r="C1779" s="113" t="n"/>
      <c r="D1779" s="113" t="n"/>
    </row>
    <row r="1780" ht="15" customHeight="1" s="66">
      <c r="A1780" s="113" t="n"/>
      <c r="B1780" s="113" t="n"/>
      <c r="C1780" s="113" t="n"/>
      <c r="D1780" s="113" t="n"/>
    </row>
    <row r="1781" ht="15" customHeight="1" s="66">
      <c r="A1781" s="113" t="n"/>
      <c r="B1781" s="113" t="n"/>
      <c r="C1781" s="113" t="n"/>
      <c r="D1781" s="113" t="n"/>
    </row>
    <row r="1782" ht="15" customHeight="1" s="66">
      <c r="A1782" s="113" t="n"/>
      <c r="B1782" s="113" t="n"/>
      <c r="C1782" s="113" t="n"/>
      <c r="D1782" s="113" t="n"/>
    </row>
    <row r="1783" ht="15" customHeight="1" s="66">
      <c r="A1783" s="113" t="n"/>
      <c r="B1783" s="113" t="n"/>
      <c r="C1783" s="113" t="n"/>
      <c r="D1783" s="113" t="n"/>
    </row>
    <row r="1784" ht="15" customHeight="1" s="66">
      <c r="A1784" s="113" t="n"/>
      <c r="B1784" s="113" t="n"/>
      <c r="C1784" s="113" t="n"/>
      <c r="D1784" s="113" t="n"/>
    </row>
    <row r="1785" ht="15" customHeight="1" s="66">
      <c r="A1785" s="113" t="n"/>
      <c r="B1785" s="113" t="n"/>
      <c r="C1785" s="113" t="n"/>
      <c r="D1785" s="113" t="n"/>
    </row>
    <row r="1786" ht="15" customHeight="1" s="66">
      <c r="A1786" s="113" t="n"/>
      <c r="B1786" s="113" t="n"/>
      <c r="C1786" s="113" t="n"/>
      <c r="D1786" s="113" t="n"/>
    </row>
    <row r="1787" ht="15" customHeight="1" s="66">
      <c r="A1787" s="113" t="n"/>
      <c r="B1787" s="113" t="n"/>
      <c r="C1787" s="113" t="n"/>
      <c r="D1787" s="113" t="n"/>
    </row>
    <row r="1788" ht="15" customHeight="1" s="66">
      <c r="A1788" s="113" t="n"/>
      <c r="B1788" s="113" t="n"/>
      <c r="C1788" s="113" t="n"/>
      <c r="D1788" s="113" t="n"/>
    </row>
    <row r="1789" ht="15" customHeight="1" s="66">
      <c r="A1789" s="113" t="n"/>
      <c r="B1789" s="113" t="n"/>
      <c r="C1789" s="113" t="n"/>
      <c r="D1789" s="113" t="n"/>
    </row>
    <row r="1790" ht="15" customHeight="1" s="66">
      <c r="A1790" s="113" t="n"/>
      <c r="B1790" s="113" t="n"/>
      <c r="C1790" s="113" t="n"/>
      <c r="D1790" s="113" t="n"/>
    </row>
    <row r="1791" ht="15" customHeight="1" s="66">
      <c r="A1791" s="113" t="n"/>
      <c r="B1791" s="113" t="n"/>
      <c r="C1791" s="113" t="n"/>
      <c r="D1791" s="113" t="n"/>
    </row>
    <row r="1792" ht="15" customHeight="1" s="66">
      <c r="A1792" s="113" t="n"/>
      <c r="B1792" s="113" t="n"/>
      <c r="C1792" s="113" t="n"/>
      <c r="D1792" s="113" t="n"/>
    </row>
    <row r="1793" ht="15" customHeight="1" s="66">
      <c r="A1793" s="113" t="n"/>
      <c r="B1793" s="113" t="n"/>
      <c r="C1793" s="113" t="n"/>
      <c r="D1793" s="113" t="n"/>
    </row>
    <row r="1794" ht="15" customHeight="1" s="66">
      <c r="A1794" s="113" t="n"/>
      <c r="B1794" s="113" t="n"/>
      <c r="C1794" s="113" t="n"/>
      <c r="D1794" s="113" t="n"/>
    </row>
    <row r="1795" ht="15" customHeight="1" s="66">
      <c r="A1795" s="113" t="n"/>
      <c r="B1795" s="113" t="n"/>
      <c r="C1795" s="113" t="n"/>
      <c r="D1795" s="113" t="n"/>
    </row>
    <row r="1796" ht="15" customHeight="1" s="66">
      <c r="A1796" s="113" t="n"/>
      <c r="B1796" s="113" t="n"/>
      <c r="C1796" s="113" t="n"/>
      <c r="D1796" s="113" t="n"/>
    </row>
    <row r="1797" ht="15" customHeight="1" s="66">
      <c r="A1797" s="113" t="n"/>
      <c r="B1797" s="113" t="n"/>
      <c r="C1797" s="113" t="n"/>
      <c r="D1797" s="113" t="n"/>
    </row>
    <row r="1798" ht="15" customHeight="1" s="66">
      <c r="A1798" s="113" t="n"/>
      <c r="B1798" s="113" t="n"/>
      <c r="C1798" s="113" t="n"/>
      <c r="D1798" s="113" t="n"/>
    </row>
    <row r="1799" ht="15" customHeight="1" s="66">
      <c r="A1799" s="113" t="n"/>
      <c r="B1799" s="113" t="n"/>
      <c r="C1799" s="113" t="n"/>
      <c r="D1799" s="113" t="n"/>
    </row>
    <row r="1800" ht="15" customHeight="1" s="66">
      <c r="A1800" s="113" t="n"/>
      <c r="B1800" s="113" t="n"/>
      <c r="C1800" s="113" t="n"/>
      <c r="D1800" s="113" t="n"/>
    </row>
    <row r="1801" ht="15" customHeight="1" s="66">
      <c r="A1801" s="113" t="n"/>
      <c r="B1801" s="113" t="n"/>
      <c r="C1801" s="113" t="n"/>
      <c r="D1801" s="113" t="n"/>
    </row>
    <row r="1802" ht="15" customHeight="1" s="66">
      <c r="A1802" s="113" t="n"/>
      <c r="B1802" s="113" t="n"/>
      <c r="C1802" s="113" t="n"/>
      <c r="D1802" s="113" t="n"/>
    </row>
    <row r="1803" ht="15" customHeight="1" s="66">
      <c r="A1803" s="113" t="n"/>
      <c r="B1803" s="113" t="n"/>
      <c r="C1803" s="113" t="n"/>
      <c r="D1803" s="113" t="n"/>
    </row>
    <row r="1804" ht="15" customHeight="1" s="66">
      <c r="A1804" s="113" t="n"/>
      <c r="B1804" s="113" t="n"/>
      <c r="C1804" s="113" t="n"/>
      <c r="D1804" s="113" t="n"/>
    </row>
    <row r="1805" ht="15" customHeight="1" s="66">
      <c r="A1805" s="113" t="n"/>
      <c r="B1805" s="113" t="n"/>
      <c r="C1805" s="113" t="n"/>
      <c r="D1805" s="113" t="n"/>
    </row>
    <row r="1806" ht="15" customHeight="1" s="66">
      <c r="A1806" s="113" t="n"/>
      <c r="B1806" s="113" t="n"/>
      <c r="C1806" s="113" t="n"/>
      <c r="D1806" s="113" t="n"/>
    </row>
    <row r="1807" ht="15" customHeight="1" s="66">
      <c r="A1807" s="113" t="n"/>
      <c r="B1807" s="113" t="n"/>
      <c r="C1807" s="113" t="n"/>
      <c r="D1807" s="113" t="n"/>
    </row>
    <row r="1808" ht="15" customHeight="1" s="66">
      <c r="A1808" s="113" t="n"/>
      <c r="B1808" s="113" t="n"/>
      <c r="C1808" s="113" t="n"/>
      <c r="D1808" s="113" t="n"/>
    </row>
    <row r="1809" ht="15" customHeight="1" s="66">
      <c r="A1809" s="113" t="n"/>
      <c r="B1809" s="113" t="n"/>
      <c r="C1809" s="113" t="n"/>
      <c r="D1809" s="113" t="n"/>
    </row>
    <row r="1810" ht="15" customHeight="1" s="66">
      <c r="A1810" s="113" t="n"/>
      <c r="B1810" s="113" t="n"/>
      <c r="C1810" s="113" t="n"/>
      <c r="D1810" s="113" t="n"/>
    </row>
    <row r="1811" ht="15" customHeight="1" s="66">
      <c r="A1811" s="113" t="n"/>
      <c r="B1811" s="113" t="n"/>
      <c r="C1811" s="113" t="n"/>
      <c r="D1811" s="113" t="n"/>
    </row>
    <row r="1812" ht="15" customHeight="1" s="66">
      <c r="A1812" s="113" t="n"/>
      <c r="B1812" s="113" t="n"/>
      <c r="C1812" s="113" t="n"/>
      <c r="D1812" s="113" t="n"/>
    </row>
    <row r="1813" ht="15" customHeight="1" s="66">
      <c r="A1813" s="113" t="n"/>
      <c r="B1813" s="113" t="n"/>
      <c r="C1813" s="113" t="n"/>
      <c r="D1813" s="113" t="n"/>
    </row>
    <row r="1814" ht="15" customHeight="1" s="66">
      <c r="A1814" s="113" t="n"/>
      <c r="B1814" s="113" t="n"/>
      <c r="C1814" s="113" t="n"/>
      <c r="D1814" s="113" t="n"/>
    </row>
    <row r="1815" ht="15" customHeight="1" s="66">
      <c r="A1815" s="113" t="n"/>
      <c r="B1815" s="113" t="n"/>
      <c r="C1815" s="113" t="n"/>
      <c r="D1815" s="113" t="n"/>
    </row>
    <row r="1816" ht="15" customHeight="1" s="66">
      <c r="A1816" s="113" t="n"/>
      <c r="B1816" s="113" t="n"/>
      <c r="C1816" s="113" t="n"/>
      <c r="D1816" s="113" t="n"/>
    </row>
    <row r="1817" ht="15" customHeight="1" s="66">
      <c r="A1817" s="113" t="n"/>
      <c r="B1817" s="113" t="n"/>
      <c r="C1817" s="113" t="n"/>
      <c r="D1817" s="113" t="n"/>
    </row>
    <row r="1818" ht="15" customHeight="1" s="66">
      <c r="A1818" s="113" t="n"/>
      <c r="B1818" s="113" t="n"/>
      <c r="C1818" s="113" t="n"/>
      <c r="D1818" s="113" t="n"/>
    </row>
    <row r="1819" ht="15" customHeight="1" s="66">
      <c r="A1819" s="113" t="n"/>
      <c r="B1819" s="113" t="n"/>
      <c r="C1819" s="113" t="n"/>
      <c r="D1819" s="113" t="n"/>
    </row>
    <row r="1820" ht="15" customHeight="1" s="66">
      <c r="A1820" s="113" t="n"/>
      <c r="B1820" s="113" t="n"/>
      <c r="C1820" s="113" t="n"/>
      <c r="D1820" s="113" t="n"/>
    </row>
    <row r="1821" ht="15" customHeight="1" s="66">
      <c r="A1821" s="113" t="n"/>
      <c r="B1821" s="113" t="n"/>
      <c r="C1821" s="113" t="n"/>
      <c r="D1821" s="113" t="n"/>
    </row>
    <row r="1822" ht="15" customHeight="1" s="66">
      <c r="A1822" s="113" t="n"/>
      <c r="B1822" s="113" t="n"/>
      <c r="C1822" s="113" t="n"/>
      <c r="D1822" s="113" t="n"/>
    </row>
    <row r="1823" ht="15" customHeight="1" s="66">
      <c r="A1823" s="113" t="n"/>
      <c r="B1823" s="113" t="n"/>
      <c r="C1823" s="113" t="n"/>
      <c r="D1823" s="113" t="n"/>
    </row>
    <row r="1824" ht="15" customHeight="1" s="66">
      <c r="A1824" s="113" t="n"/>
      <c r="B1824" s="113" t="n"/>
      <c r="C1824" s="113" t="n"/>
      <c r="D1824" s="113" t="n"/>
    </row>
    <row r="1825" ht="15" customHeight="1" s="66">
      <c r="A1825" s="113" t="n"/>
      <c r="B1825" s="113" t="n"/>
      <c r="C1825" s="113" t="n"/>
      <c r="D1825" s="113" t="n"/>
    </row>
    <row r="1826" ht="15" customHeight="1" s="66">
      <c r="A1826" s="113" t="n"/>
      <c r="B1826" s="113" t="n"/>
      <c r="C1826" s="113" t="n"/>
      <c r="D1826" s="113" t="n"/>
    </row>
    <row r="1827" ht="15" customHeight="1" s="66">
      <c r="A1827" s="113" t="n"/>
      <c r="B1827" s="113" t="n"/>
      <c r="C1827" s="113" t="n"/>
      <c r="D1827" s="113" t="n"/>
    </row>
    <row r="1828" ht="15" customHeight="1" s="66">
      <c r="A1828" s="113" t="n"/>
      <c r="B1828" s="113" t="n"/>
      <c r="C1828" s="113" t="n"/>
      <c r="D1828" s="113" t="n"/>
    </row>
    <row r="1829" ht="15" customHeight="1" s="66">
      <c r="A1829" s="113" t="n"/>
      <c r="B1829" s="113" t="n"/>
      <c r="C1829" s="113" t="n"/>
      <c r="D1829" s="113" t="n"/>
    </row>
    <row r="1830" ht="15" customHeight="1" s="66">
      <c r="A1830" s="113" t="n"/>
      <c r="B1830" s="113" t="n"/>
      <c r="C1830" s="113" t="n"/>
      <c r="D1830" s="113" t="n"/>
    </row>
    <row r="1831" ht="15" customHeight="1" s="66">
      <c r="A1831" s="113" t="n"/>
      <c r="B1831" s="113" t="n"/>
      <c r="C1831" s="113" t="n"/>
      <c r="D1831" s="113" t="n"/>
    </row>
    <row r="1832" ht="15" customHeight="1" s="66">
      <c r="A1832" s="113" t="n"/>
      <c r="B1832" s="113" t="n"/>
      <c r="C1832" s="113" t="n"/>
      <c r="D1832" s="113" t="n"/>
    </row>
    <row r="1833" ht="15" customHeight="1" s="66">
      <c r="A1833" s="113" t="n"/>
      <c r="B1833" s="113" t="n"/>
      <c r="C1833" s="113" t="n"/>
      <c r="D1833" s="113" t="n"/>
    </row>
    <row r="1834" ht="15" customHeight="1" s="66">
      <c r="A1834" s="113" t="n"/>
      <c r="B1834" s="113" t="n"/>
      <c r="C1834" s="113" t="n"/>
      <c r="D1834" s="113" t="n"/>
    </row>
    <row r="1835" ht="15" customHeight="1" s="66">
      <c r="A1835" s="113" t="n"/>
      <c r="B1835" s="113" t="n"/>
      <c r="C1835" s="113" t="n"/>
      <c r="D1835" s="113" t="n"/>
    </row>
    <row r="1836" ht="15" customHeight="1" s="66">
      <c r="A1836" s="113" t="n"/>
      <c r="B1836" s="113" t="n"/>
      <c r="C1836" s="113" t="n"/>
      <c r="D1836" s="113" t="n"/>
    </row>
    <row r="1837" ht="15" customHeight="1" s="66">
      <c r="A1837" s="113" t="n"/>
      <c r="B1837" s="113" t="n"/>
      <c r="C1837" s="113" t="n"/>
      <c r="D1837" s="113" t="n"/>
    </row>
    <row r="1838" ht="15" customHeight="1" s="66">
      <c r="A1838" s="113" t="n"/>
      <c r="B1838" s="113" t="n"/>
      <c r="C1838" s="113" t="n"/>
      <c r="D1838" s="113" t="n"/>
    </row>
    <row r="1839" ht="15" customHeight="1" s="66">
      <c r="A1839" s="113" t="n"/>
      <c r="B1839" s="113" t="n"/>
      <c r="C1839" s="113" t="n"/>
      <c r="D1839" s="113" t="n"/>
    </row>
    <row r="1840" ht="15" customHeight="1" s="66">
      <c r="A1840" s="113" t="n"/>
      <c r="B1840" s="113" t="n"/>
      <c r="C1840" s="113" t="n"/>
      <c r="D1840" s="113" t="n"/>
    </row>
    <row r="1841" ht="15" customHeight="1" s="66">
      <c r="A1841" s="113" t="n"/>
      <c r="B1841" s="113" t="n"/>
      <c r="C1841" s="113" t="n"/>
      <c r="D1841" s="113" t="n"/>
    </row>
    <row r="1842" ht="15" customHeight="1" s="66">
      <c r="A1842" s="113" t="n"/>
      <c r="B1842" s="113" t="n"/>
      <c r="C1842" s="113" t="n"/>
      <c r="D1842" s="113" t="n"/>
    </row>
    <row r="1843" ht="15" customHeight="1" s="66">
      <c r="A1843" s="113" t="n"/>
      <c r="B1843" s="113" t="n"/>
      <c r="C1843" s="113" t="n"/>
      <c r="D1843" s="113" t="n"/>
    </row>
    <row r="1844" ht="15" customHeight="1" s="66">
      <c r="A1844" s="113" t="n"/>
      <c r="B1844" s="113" t="n"/>
      <c r="C1844" s="113" t="n"/>
      <c r="D1844" s="113" t="n"/>
    </row>
    <row r="1845" ht="15" customHeight="1" s="66">
      <c r="A1845" s="113" t="n"/>
      <c r="B1845" s="113" t="n"/>
      <c r="C1845" s="113" t="n"/>
      <c r="D1845" s="113" t="n"/>
    </row>
    <row r="1846" ht="15" customHeight="1" s="66">
      <c r="A1846" s="113" t="n"/>
      <c r="B1846" s="113" t="n"/>
      <c r="C1846" s="113" t="n"/>
      <c r="D1846" s="113" t="n"/>
    </row>
    <row r="1847" ht="15" customHeight="1" s="66">
      <c r="A1847" s="113" t="n"/>
      <c r="B1847" s="113" t="n"/>
      <c r="C1847" s="113" t="n"/>
      <c r="D1847" s="113" t="n"/>
    </row>
    <row r="1848" ht="15" customHeight="1" s="66">
      <c r="A1848" s="113" t="n"/>
      <c r="B1848" s="113" t="n"/>
      <c r="C1848" s="113" t="n"/>
      <c r="D1848" s="113" t="n"/>
    </row>
    <row r="1849" ht="15" customHeight="1" s="66">
      <c r="A1849" s="113" t="n"/>
      <c r="B1849" s="113" t="n"/>
      <c r="C1849" s="113" t="n"/>
      <c r="D1849" s="113" t="n"/>
    </row>
    <row r="1850" ht="15" customHeight="1" s="66">
      <c r="A1850" s="113" t="n"/>
      <c r="B1850" s="113" t="n"/>
      <c r="C1850" s="113" t="n"/>
      <c r="D1850" s="113" t="n"/>
    </row>
    <row r="1851" ht="15" customHeight="1" s="66">
      <c r="A1851" s="113" t="n"/>
      <c r="B1851" s="113" t="n"/>
      <c r="C1851" s="113" t="n"/>
      <c r="D1851" s="113" t="n"/>
    </row>
    <row r="1852" ht="15" customHeight="1" s="66">
      <c r="A1852" s="113" t="n"/>
      <c r="B1852" s="113" t="n"/>
      <c r="C1852" s="113" t="n"/>
      <c r="D1852" s="113" t="n"/>
    </row>
    <row r="1853" ht="15" customHeight="1" s="66">
      <c r="A1853" s="113" t="n"/>
      <c r="B1853" s="113" t="n"/>
      <c r="C1853" s="113" t="n"/>
      <c r="D1853" s="113" t="n"/>
    </row>
    <row r="1854" ht="15" customHeight="1" s="66">
      <c r="A1854" s="113" t="n"/>
      <c r="B1854" s="113" t="n"/>
      <c r="C1854" s="113" t="n"/>
      <c r="D1854" s="113" t="n"/>
    </row>
    <row r="1855" ht="15" customHeight="1" s="66">
      <c r="A1855" s="113" t="n"/>
      <c r="B1855" s="113" t="n"/>
      <c r="C1855" s="113" t="n"/>
      <c r="D1855" s="113" t="n"/>
    </row>
    <row r="1856" ht="15" customHeight="1" s="66">
      <c r="A1856" s="113" t="n"/>
      <c r="B1856" s="113" t="n"/>
      <c r="C1856" s="113" t="n"/>
      <c r="D1856" s="113" t="n"/>
    </row>
    <row r="1857" ht="15" customHeight="1" s="66">
      <c r="A1857" s="113" t="n"/>
      <c r="B1857" s="113" t="n"/>
      <c r="C1857" s="113" t="n"/>
      <c r="D1857" s="113" t="n"/>
    </row>
    <row r="1858" ht="15" customHeight="1" s="66">
      <c r="A1858" s="113" t="n"/>
      <c r="B1858" s="113" t="n"/>
      <c r="C1858" s="113" t="n"/>
      <c r="D1858" s="113" t="n"/>
    </row>
    <row r="1859" ht="15" customHeight="1" s="66">
      <c r="A1859" s="113" t="n"/>
      <c r="B1859" s="113" t="n"/>
      <c r="C1859" s="113" t="n"/>
      <c r="D1859" s="113" t="n"/>
    </row>
    <row r="1860" ht="15" customHeight="1" s="66">
      <c r="A1860" s="113" t="n"/>
      <c r="B1860" s="113" t="n"/>
      <c r="C1860" s="113" t="n"/>
      <c r="D1860" s="113" t="n"/>
    </row>
    <row r="1861" ht="15" customHeight="1" s="66">
      <c r="A1861" s="113" t="n"/>
      <c r="B1861" s="113" t="n"/>
      <c r="C1861" s="113" t="n"/>
      <c r="D1861" s="113" t="n"/>
    </row>
    <row r="1862" ht="15" customHeight="1" s="66">
      <c r="A1862" s="113" t="n"/>
      <c r="B1862" s="113" t="n"/>
      <c r="C1862" s="113" t="n"/>
      <c r="D1862" s="113" t="n"/>
    </row>
    <row r="1863" ht="15" customHeight="1" s="66">
      <c r="A1863" s="113" t="n"/>
      <c r="B1863" s="113" t="n"/>
      <c r="C1863" s="113" t="n"/>
      <c r="D1863" s="113" t="n"/>
    </row>
    <row r="1864" ht="15" customHeight="1" s="66">
      <c r="A1864" s="113" t="n"/>
      <c r="B1864" s="113" t="n"/>
      <c r="C1864" s="113" t="n"/>
      <c r="D1864" s="113" t="n"/>
    </row>
    <row r="1865" ht="15" customHeight="1" s="66">
      <c r="A1865" s="113" t="n"/>
      <c r="B1865" s="113" t="n"/>
      <c r="C1865" s="113" t="n"/>
      <c r="D1865" s="113" t="n"/>
    </row>
    <row r="1866" ht="15" customHeight="1" s="66">
      <c r="A1866" s="113" t="n"/>
      <c r="B1866" s="113" t="n"/>
      <c r="C1866" s="113" t="n"/>
      <c r="D1866" s="113" t="n"/>
    </row>
    <row r="1867" ht="15" customHeight="1" s="66">
      <c r="A1867" s="113" t="n"/>
      <c r="B1867" s="113" t="n"/>
      <c r="C1867" s="113" t="n"/>
      <c r="D1867" s="113" t="n"/>
    </row>
    <row r="1868" ht="15" customHeight="1" s="66">
      <c r="A1868" s="113" t="n"/>
      <c r="B1868" s="113" t="n"/>
      <c r="C1868" s="113" t="n"/>
      <c r="D1868" s="113" t="n"/>
    </row>
    <row r="1869" ht="15" customHeight="1" s="66">
      <c r="A1869" s="113" t="n"/>
      <c r="B1869" s="113" t="n"/>
      <c r="C1869" s="113" t="n"/>
      <c r="D1869" s="113" t="n"/>
    </row>
    <row r="1870" ht="15" customHeight="1" s="66">
      <c r="A1870" s="113" t="n"/>
      <c r="B1870" s="113" t="n"/>
      <c r="C1870" s="113" t="n"/>
      <c r="D1870" s="113" t="n"/>
    </row>
    <row r="1871" ht="15" customHeight="1" s="66">
      <c r="A1871" s="113" t="n"/>
      <c r="B1871" s="113" t="n"/>
      <c r="C1871" s="113" t="n"/>
      <c r="D1871" s="113" t="n"/>
    </row>
    <row r="1872" ht="15" customHeight="1" s="66">
      <c r="A1872" s="113" t="n"/>
      <c r="B1872" s="113" t="n"/>
      <c r="C1872" s="113" t="n"/>
      <c r="D1872" s="113" t="n"/>
    </row>
    <row r="1873" ht="15" customHeight="1" s="66">
      <c r="A1873" s="113" t="n"/>
      <c r="B1873" s="113" t="n"/>
      <c r="C1873" s="113" t="n"/>
      <c r="D1873" s="113" t="n"/>
    </row>
    <row r="1874" ht="15" customHeight="1" s="66">
      <c r="A1874" s="113" t="n"/>
      <c r="B1874" s="113" t="n"/>
      <c r="C1874" s="113" t="n"/>
      <c r="D1874" s="113" t="n"/>
    </row>
    <row r="1875" ht="15" customHeight="1" s="66">
      <c r="A1875" s="113" t="n"/>
      <c r="B1875" s="113" t="n"/>
      <c r="C1875" s="113" t="n"/>
      <c r="D1875" s="113" t="n"/>
    </row>
    <row r="1876" ht="15" customHeight="1" s="66">
      <c r="A1876" s="113" t="n"/>
      <c r="B1876" s="113" t="n"/>
      <c r="C1876" s="113" t="n"/>
      <c r="D1876" s="113" t="n"/>
    </row>
    <row r="1877" ht="15" customHeight="1" s="66">
      <c r="A1877" s="113" t="n"/>
      <c r="B1877" s="113" t="n"/>
      <c r="C1877" s="113" t="n"/>
      <c r="D1877" s="113" t="n"/>
    </row>
    <row r="1878" ht="15" customHeight="1" s="66">
      <c r="A1878" s="113" t="n"/>
      <c r="B1878" s="113" t="n"/>
      <c r="C1878" s="113" t="n"/>
      <c r="D1878" s="113" t="n"/>
    </row>
    <row r="1879" ht="15" customHeight="1" s="66">
      <c r="A1879" s="113" t="n"/>
      <c r="B1879" s="113" t="n"/>
      <c r="C1879" s="113" t="n"/>
      <c r="D1879" s="113" t="n"/>
    </row>
    <row r="1880" ht="15" customHeight="1" s="66">
      <c r="A1880" s="113" t="n"/>
      <c r="B1880" s="113" t="n"/>
      <c r="C1880" s="113" t="n"/>
      <c r="D1880" s="113" t="n"/>
    </row>
    <row r="1881" ht="15" customHeight="1" s="66">
      <c r="A1881" s="113" t="n"/>
      <c r="B1881" s="113" t="n"/>
      <c r="C1881" s="113" t="n"/>
      <c r="D1881" s="113" t="n"/>
    </row>
    <row r="1882" ht="15" customHeight="1" s="66">
      <c r="A1882" s="113" t="n"/>
      <c r="B1882" s="113" t="n"/>
      <c r="C1882" s="113" t="n"/>
      <c r="D1882" s="113" t="n"/>
    </row>
    <row r="1883" ht="15" customHeight="1" s="66">
      <c r="A1883" s="113" t="n"/>
      <c r="B1883" s="113" t="n"/>
      <c r="C1883" s="113" t="n"/>
      <c r="D1883" s="113" t="n"/>
    </row>
    <row r="1884" ht="15" customHeight="1" s="66">
      <c r="A1884" s="113" t="n"/>
      <c r="B1884" s="113" t="n"/>
      <c r="C1884" s="113" t="n"/>
      <c r="D1884" s="113" t="n"/>
    </row>
    <row r="1885" ht="15" customHeight="1" s="66">
      <c r="A1885" s="113" t="n"/>
      <c r="B1885" s="113" t="n"/>
      <c r="C1885" s="113" t="n"/>
      <c r="D1885" s="113" t="n"/>
    </row>
    <row r="1886" ht="15" customHeight="1" s="66">
      <c r="A1886" s="113" t="n"/>
      <c r="B1886" s="113" t="n"/>
      <c r="C1886" s="113" t="n"/>
      <c r="D1886" s="113" t="n"/>
    </row>
    <row r="1887" ht="15" customHeight="1" s="66">
      <c r="A1887" s="113" t="n"/>
      <c r="B1887" s="113" t="n"/>
      <c r="C1887" s="113" t="n"/>
      <c r="D1887" s="113" t="n"/>
    </row>
    <row r="1888" ht="15" customHeight="1" s="66">
      <c r="A1888" s="113" t="n"/>
      <c r="B1888" s="113" t="n"/>
      <c r="C1888" s="113" t="n"/>
      <c r="D1888" s="113" t="n"/>
    </row>
    <row r="1889" ht="15" customHeight="1" s="66">
      <c r="A1889" s="113" t="n"/>
      <c r="B1889" s="113" t="n"/>
      <c r="C1889" s="113" t="n"/>
      <c r="D1889" s="113" t="n"/>
    </row>
    <row r="1890" ht="15" customHeight="1" s="66">
      <c r="A1890" s="113" t="n"/>
      <c r="B1890" s="113" t="n"/>
      <c r="C1890" s="113" t="n"/>
      <c r="D1890" s="113" t="n"/>
    </row>
    <row r="1891" ht="15" customHeight="1" s="66">
      <c r="A1891" s="113" t="n"/>
      <c r="B1891" s="113" t="n"/>
      <c r="C1891" s="113" t="n"/>
      <c r="D1891" s="113" t="n"/>
    </row>
    <row r="1892" ht="15" customHeight="1" s="66">
      <c r="A1892" s="113" t="n"/>
      <c r="B1892" s="113" t="n"/>
      <c r="C1892" s="113" t="n"/>
      <c r="D1892" s="113" t="n"/>
    </row>
    <row r="1893" ht="15" customHeight="1" s="66">
      <c r="A1893" s="113" t="n"/>
      <c r="B1893" s="113" t="n"/>
      <c r="C1893" s="113" t="n"/>
      <c r="D1893" s="113" t="n"/>
    </row>
    <row r="1894" ht="15" customHeight="1" s="66">
      <c r="A1894" s="113" t="n"/>
      <c r="B1894" s="113" t="n"/>
      <c r="C1894" s="113" t="n"/>
      <c r="D1894" s="113" t="n"/>
    </row>
    <row r="1895" ht="15" customHeight="1" s="66">
      <c r="A1895" s="113" t="n"/>
      <c r="B1895" s="113" t="n"/>
      <c r="C1895" s="113" t="n"/>
      <c r="D1895" s="113" t="n"/>
    </row>
    <row r="1896" ht="15" customHeight="1" s="66">
      <c r="A1896" s="113" t="n"/>
      <c r="B1896" s="113" t="n"/>
      <c r="C1896" s="113" t="n"/>
      <c r="D1896" s="113" t="n"/>
    </row>
    <row r="1897" ht="15" customHeight="1" s="66">
      <c r="A1897" s="113" t="n"/>
      <c r="B1897" s="113" t="n"/>
      <c r="C1897" s="113" t="n"/>
      <c r="D1897" s="113" t="n"/>
    </row>
    <row r="1898" ht="15" customHeight="1" s="66">
      <c r="A1898" s="113" t="n"/>
      <c r="B1898" s="113" t="n"/>
      <c r="C1898" s="113" t="n"/>
      <c r="D1898" s="113" t="n"/>
    </row>
    <row r="1899" ht="15" customHeight="1" s="66">
      <c r="A1899" s="113" t="n"/>
      <c r="B1899" s="113" t="n"/>
      <c r="C1899" s="113" t="n"/>
      <c r="D1899" s="113" t="n"/>
    </row>
    <row r="1900" ht="15" customHeight="1" s="66">
      <c r="A1900" s="113" t="n"/>
      <c r="B1900" s="113" t="n"/>
      <c r="C1900" s="113" t="n"/>
      <c r="D1900" s="113" t="n"/>
    </row>
    <row r="1901" ht="15" customHeight="1" s="66">
      <c r="A1901" s="113" t="n"/>
      <c r="B1901" s="113" t="n"/>
      <c r="C1901" s="113" t="n"/>
      <c r="D1901" s="113" t="n"/>
    </row>
    <row r="1902" ht="15" customHeight="1" s="66">
      <c r="A1902" s="113" t="n"/>
      <c r="B1902" s="113" t="n"/>
      <c r="C1902" s="113" t="n"/>
      <c r="D1902" s="113" t="n"/>
    </row>
    <row r="1903" ht="15" customHeight="1" s="66">
      <c r="A1903" s="113" t="n"/>
      <c r="B1903" s="113" t="n"/>
      <c r="C1903" s="113" t="n"/>
      <c r="D1903" s="113" t="n"/>
    </row>
    <row r="1904" ht="15" customHeight="1" s="66">
      <c r="A1904" s="113" t="n"/>
      <c r="B1904" s="113" t="n"/>
      <c r="C1904" s="113" t="n"/>
      <c r="D1904" s="113" t="n"/>
    </row>
    <row r="1905" ht="15" customHeight="1" s="66">
      <c r="A1905" s="113" t="n"/>
      <c r="B1905" s="113" t="n"/>
      <c r="C1905" s="113" t="n"/>
      <c r="D1905" s="113" t="n"/>
    </row>
    <row r="1906" ht="15" customHeight="1" s="66">
      <c r="A1906" s="113" t="n"/>
      <c r="B1906" s="113" t="n"/>
      <c r="C1906" s="113" t="n"/>
      <c r="D1906" s="113" t="n"/>
    </row>
    <row r="1907" ht="15" customHeight="1" s="66">
      <c r="A1907" s="113" t="n"/>
      <c r="B1907" s="113" t="n"/>
      <c r="C1907" s="113" t="n"/>
      <c r="D1907" s="113" t="n"/>
    </row>
    <row r="1908" ht="15" customHeight="1" s="66">
      <c r="A1908" s="113" t="n"/>
      <c r="B1908" s="113" t="n"/>
      <c r="C1908" s="113" t="n"/>
      <c r="D1908" s="113" t="n"/>
    </row>
    <row r="1909" ht="15" customHeight="1" s="66">
      <c r="A1909" s="113" t="n"/>
      <c r="B1909" s="113" t="n"/>
      <c r="C1909" s="113" t="n"/>
      <c r="D1909" s="113" t="n"/>
    </row>
    <row r="1910" ht="15" customHeight="1" s="66">
      <c r="A1910" s="113" t="n"/>
      <c r="B1910" s="113" t="n"/>
      <c r="C1910" s="113" t="n"/>
      <c r="D1910" s="113" t="n"/>
    </row>
    <row r="1911" ht="15" customHeight="1" s="66">
      <c r="A1911" s="113" t="n"/>
      <c r="B1911" s="113" t="n"/>
      <c r="C1911" s="113" t="n"/>
      <c r="D1911" s="113" t="n"/>
    </row>
    <row r="1912" ht="15" customHeight="1" s="66">
      <c r="A1912" s="113" t="n"/>
      <c r="B1912" s="113" t="n"/>
      <c r="C1912" s="113" t="n"/>
      <c r="D1912" s="113" t="n"/>
    </row>
    <row r="1913" ht="15" customHeight="1" s="66">
      <c r="A1913" s="113" t="n"/>
      <c r="B1913" s="113" t="n"/>
      <c r="C1913" s="113" t="n"/>
      <c r="D1913" s="113" t="n"/>
    </row>
    <row r="1914" ht="15" customHeight="1" s="66">
      <c r="A1914" s="113" t="n"/>
      <c r="B1914" s="113" t="n"/>
      <c r="C1914" s="113" t="n"/>
      <c r="D1914" s="113" t="n"/>
    </row>
    <row r="1915" ht="15" customHeight="1" s="66">
      <c r="A1915" s="113" t="n"/>
      <c r="B1915" s="113" t="n"/>
      <c r="C1915" s="113" t="n"/>
      <c r="D1915" s="113" t="n"/>
    </row>
    <row r="1916" ht="15" customHeight="1" s="66">
      <c r="A1916" s="113" t="n"/>
      <c r="B1916" s="113" t="n"/>
      <c r="C1916" s="113" t="n"/>
      <c r="D1916" s="113" t="n"/>
    </row>
    <row r="1917" ht="15" customHeight="1" s="66">
      <c r="A1917" s="113" t="n"/>
      <c r="B1917" s="113" t="n"/>
      <c r="C1917" s="113" t="n"/>
      <c r="D1917" s="113" t="n"/>
    </row>
    <row r="1918" ht="15" customHeight="1" s="66">
      <c r="A1918" s="113" t="n"/>
      <c r="B1918" s="113" t="n"/>
      <c r="C1918" s="113" t="n"/>
      <c r="D1918" s="113" t="n"/>
    </row>
    <row r="1919" ht="15" customHeight="1" s="66">
      <c r="A1919" s="113" t="n"/>
      <c r="B1919" s="113" t="n"/>
      <c r="C1919" s="113" t="n"/>
      <c r="D1919" s="113" t="n"/>
    </row>
    <row r="1920" ht="15" customHeight="1" s="66">
      <c r="A1920" s="113" t="n"/>
      <c r="B1920" s="113" t="n"/>
      <c r="C1920" s="113" t="n"/>
      <c r="D1920" s="113" t="n"/>
    </row>
    <row r="1921" ht="15" customHeight="1" s="66">
      <c r="A1921" s="113" t="n"/>
      <c r="B1921" s="113" t="n"/>
      <c r="C1921" s="113" t="n"/>
      <c r="D1921" s="113" t="n"/>
    </row>
    <row r="1922" ht="15" customHeight="1" s="66">
      <c r="A1922" s="113" t="n"/>
      <c r="B1922" s="113" t="n"/>
      <c r="C1922" s="113" t="n"/>
      <c r="D1922" s="113" t="n"/>
    </row>
    <row r="1923" ht="15" customHeight="1" s="66">
      <c r="A1923" s="113" t="n"/>
      <c r="B1923" s="113" t="n"/>
      <c r="C1923" s="113" t="n"/>
      <c r="D1923" s="113" t="n"/>
    </row>
    <row r="1924" ht="15" customHeight="1" s="66">
      <c r="A1924" s="113" t="n"/>
      <c r="B1924" s="113" t="n"/>
      <c r="C1924" s="113" t="n"/>
      <c r="D1924" s="113" t="n"/>
    </row>
    <row r="1925" ht="15" customHeight="1" s="66">
      <c r="A1925" s="113" t="n"/>
      <c r="B1925" s="113" t="n"/>
      <c r="C1925" s="113" t="n"/>
      <c r="D1925" s="113" t="n"/>
    </row>
    <row r="1926" ht="15" customHeight="1" s="66">
      <c r="A1926" s="113" t="n"/>
      <c r="B1926" s="113" t="n"/>
      <c r="C1926" s="113" t="n"/>
      <c r="D1926" s="113" t="n"/>
    </row>
    <row r="1927" ht="15" customHeight="1" s="66">
      <c r="A1927" s="113" t="n"/>
      <c r="B1927" s="113" t="n"/>
      <c r="C1927" s="113" t="n"/>
      <c r="D1927" s="113" t="n"/>
    </row>
    <row r="1928" ht="15" customHeight="1" s="66">
      <c r="A1928" s="113" t="n"/>
      <c r="B1928" s="113" t="n"/>
      <c r="C1928" s="113" t="n"/>
      <c r="D1928" s="113" t="n"/>
    </row>
    <row r="1929" ht="15" customHeight="1" s="66">
      <c r="A1929" s="113" t="n"/>
      <c r="B1929" s="113" t="n"/>
      <c r="C1929" s="113" t="n"/>
      <c r="D1929" s="113" t="n"/>
    </row>
    <row r="1930" ht="15" customHeight="1" s="66">
      <c r="A1930" s="113" t="n"/>
      <c r="B1930" s="113" t="n"/>
      <c r="C1930" s="113" t="n"/>
      <c r="D1930" s="113" t="n"/>
    </row>
    <row r="1931" ht="15" customHeight="1" s="66">
      <c r="A1931" s="113" t="n"/>
      <c r="B1931" s="113" t="n"/>
      <c r="C1931" s="113" t="n"/>
      <c r="D1931" s="113" t="n"/>
    </row>
    <row r="1932" ht="15" customHeight="1" s="66">
      <c r="A1932" s="113" t="n"/>
      <c r="B1932" s="113" t="n"/>
      <c r="C1932" s="113" t="n"/>
      <c r="D1932" s="113" t="n"/>
    </row>
    <row r="1933" ht="15" customHeight="1" s="66">
      <c r="A1933" s="113" t="n"/>
      <c r="B1933" s="113" t="n"/>
      <c r="C1933" s="113" t="n"/>
      <c r="D1933" s="113" t="n"/>
    </row>
    <row r="1934" ht="15" customHeight="1" s="66">
      <c r="A1934" s="113" t="n"/>
      <c r="B1934" s="113" t="n"/>
      <c r="C1934" s="113" t="n"/>
      <c r="D1934" s="113" t="n"/>
    </row>
    <row r="1935" ht="15" customHeight="1" s="66">
      <c r="A1935" s="113" t="n"/>
      <c r="B1935" s="113" t="n"/>
      <c r="C1935" s="113" t="n"/>
      <c r="D1935" s="113" t="n"/>
    </row>
    <row r="1936" ht="15" customHeight="1" s="66">
      <c r="A1936" s="113" t="n"/>
      <c r="B1936" s="113" t="n"/>
      <c r="C1936" s="113" t="n"/>
      <c r="D1936" s="113" t="n"/>
    </row>
    <row r="1937" ht="15" customHeight="1" s="66">
      <c r="A1937" s="113" t="n"/>
      <c r="B1937" s="113" t="n"/>
      <c r="C1937" s="113" t="n"/>
      <c r="D1937" s="113" t="n"/>
    </row>
    <row r="1938" ht="15" customHeight="1" s="66">
      <c r="A1938" s="113" t="n"/>
      <c r="B1938" s="113" t="n"/>
      <c r="C1938" s="113" t="n"/>
      <c r="D1938" s="113" t="n"/>
    </row>
    <row r="1939" ht="15" customHeight="1" s="66">
      <c r="A1939" s="113" t="n"/>
      <c r="B1939" s="113" t="n"/>
      <c r="C1939" s="113" t="n"/>
      <c r="D1939" s="113" t="n"/>
    </row>
    <row r="1940" ht="15" customHeight="1" s="66">
      <c r="A1940" s="113" t="n"/>
      <c r="B1940" s="113" t="n"/>
      <c r="C1940" s="113" t="n"/>
      <c r="D1940" s="113" t="n"/>
    </row>
    <row r="1941" ht="15" customHeight="1" s="66">
      <c r="A1941" s="113" t="n"/>
      <c r="B1941" s="113" t="n"/>
      <c r="C1941" s="113" t="n"/>
      <c r="D1941" s="113" t="n"/>
    </row>
    <row r="1942" ht="15" customHeight="1" s="66">
      <c r="A1942" s="113" t="n"/>
      <c r="B1942" s="113" t="n"/>
      <c r="C1942" s="113" t="n"/>
      <c r="D1942" s="113" t="n"/>
    </row>
    <row r="1943" ht="15" customHeight="1" s="66">
      <c r="A1943" s="113" t="n"/>
      <c r="B1943" s="113" t="n"/>
      <c r="C1943" s="113" t="n"/>
      <c r="D1943" s="113" t="n"/>
    </row>
    <row r="1944" ht="15" customHeight="1" s="66">
      <c r="A1944" s="113" t="n"/>
      <c r="B1944" s="113" t="n"/>
      <c r="C1944" s="113" t="n"/>
      <c r="D1944" s="113" t="n"/>
    </row>
    <row r="1945" ht="15" customHeight="1" s="66">
      <c r="A1945" s="113" t="n"/>
      <c r="B1945" s="113" t="n"/>
      <c r="C1945" s="113" t="n"/>
      <c r="D1945" s="113" t="n"/>
    </row>
    <row r="1946" ht="15" customHeight="1" s="66">
      <c r="A1946" s="113" t="n"/>
      <c r="B1946" s="113" t="n"/>
      <c r="C1946" s="113" t="n"/>
      <c r="D1946" s="113" t="n"/>
    </row>
    <row r="1947" ht="15" customHeight="1" s="66">
      <c r="A1947" s="113" t="n"/>
      <c r="B1947" s="113" t="n"/>
      <c r="C1947" s="113" t="n"/>
      <c r="D1947" s="113" t="n"/>
    </row>
    <row r="1948" ht="15" customHeight="1" s="66">
      <c r="A1948" s="113" t="n"/>
      <c r="B1948" s="113" t="n"/>
      <c r="C1948" s="113" t="n"/>
      <c r="D1948" s="113" t="n"/>
    </row>
    <row r="1949" ht="15" customHeight="1" s="66">
      <c r="A1949" s="113" t="n"/>
      <c r="B1949" s="113" t="n"/>
      <c r="C1949" s="113" t="n"/>
      <c r="D1949" s="113" t="n"/>
    </row>
    <row r="1950" ht="15" customHeight="1" s="66">
      <c r="A1950" s="113" t="n"/>
      <c r="B1950" s="113" t="n"/>
      <c r="C1950" s="113" t="n"/>
      <c r="D1950" s="113" t="n"/>
    </row>
    <row r="1951" ht="15" customHeight="1" s="66">
      <c r="A1951" s="113" t="n"/>
      <c r="B1951" s="113" t="n"/>
      <c r="C1951" s="113" t="n"/>
      <c r="D1951" s="113" t="n"/>
    </row>
    <row r="1952" ht="15" customHeight="1" s="66">
      <c r="A1952" s="113" t="n"/>
      <c r="B1952" s="113" t="n"/>
      <c r="C1952" s="113" t="n"/>
      <c r="D1952" s="113" t="n"/>
    </row>
    <row r="1953" ht="15" customHeight="1" s="66">
      <c r="A1953" s="113" t="n"/>
      <c r="B1953" s="113" t="n"/>
      <c r="C1953" s="113" t="n"/>
      <c r="D1953" s="113" t="n"/>
    </row>
    <row r="1954" ht="15" customHeight="1" s="66">
      <c r="A1954" s="113" t="n"/>
      <c r="B1954" s="113" t="n"/>
      <c r="C1954" s="113" t="n"/>
      <c r="D1954" s="113" t="n"/>
    </row>
    <row r="1955" ht="15" customHeight="1" s="66">
      <c r="A1955" s="113" t="n"/>
      <c r="B1955" s="113" t="n"/>
      <c r="C1955" s="113" t="n"/>
      <c r="D1955" s="113" t="n"/>
    </row>
    <row r="1956" ht="15" customHeight="1" s="66">
      <c r="A1956" s="113" t="n"/>
      <c r="B1956" s="113" t="n"/>
      <c r="C1956" s="113" t="n"/>
      <c r="D1956" s="113" t="n"/>
    </row>
    <row r="1957" ht="15" customHeight="1" s="66">
      <c r="A1957" s="113" t="n"/>
      <c r="B1957" s="113" t="n"/>
      <c r="C1957" s="113" t="n"/>
      <c r="D1957" s="113" t="n"/>
    </row>
    <row r="1958" ht="15" customHeight="1" s="66">
      <c r="A1958" s="113" t="n"/>
      <c r="B1958" s="113" t="n"/>
      <c r="C1958" s="113" t="n"/>
      <c r="D1958" s="113" t="n"/>
    </row>
    <row r="1959" ht="15" customHeight="1" s="66">
      <c r="A1959" s="113" t="n"/>
      <c r="B1959" s="113" t="n"/>
      <c r="C1959" s="113" t="n"/>
      <c r="D1959" s="113" t="n"/>
    </row>
    <row r="1960" ht="15" customHeight="1" s="66">
      <c r="A1960" s="113" t="n"/>
      <c r="B1960" s="113" t="n"/>
      <c r="C1960" s="113" t="n"/>
      <c r="D1960" s="113" t="n"/>
    </row>
    <row r="1961" ht="15" customHeight="1" s="66">
      <c r="A1961" s="113" t="n"/>
      <c r="B1961" s="113" t="n"/>
      <c r="C1961" s="113" t="n"/>
      <c r="D1961" s="113" t="n"/>
    </row>
    <row r="1962" ht="15" customHeight="1" s="66">
      <c r="A1962" s="113" t="n"/>
      <c r="B1962" s="113" t="n"/>
      <c r="C1962" s="113" t="n"/>
      <c r="D1962" s="113" t="n"/>
    </row>
    <row r="1963" ht="15" customHeight="1" s="66">
      <c r="A1963" s="113" t="n"/>
      <c r="B1963" s="113" t="n"/>
      <c r="C1963" s="113" t="n"/>
      <c r="D1963" s="113" t="n"/>
    </row>
    <row r="1964" ht="15" customHeight="1" s="66">
      <c r="A1964" s="113" t="n"/>
      <c r="B1964" s="113" t="n"/>
      <c r="C1964" s="113" t="n"/>
      <c r="D1964" s="113" t="n"/>
    </row>
    <row r="1965" ht="15" customHeight="1" s="66">
      <c r="A1965" s="113" t="n"/>
      <c r="B1965" s="113" t="n"/>
      <c r="C1965" s="113" t="n"/>
      <c r="D1965" s="113" t="n"/>
    </row>
    <row r="1966" ht="15" customHeight="1" s="66">
      <c r="A1966" s="113" t="n"/>
      <c r="B1966" s="113" t="n"/>
      <c r="C1966" s="113" t="n"/>
      <c r="D1966" s="113" t="n"/>
    </row>
    <row r="1967" ht="15" customHeight="1" s="66">
      <c r="A1967" s="113" t="n"/>
      <c r="B1967" s="113" t="n"/>
      <c r="C1967" s="113" t="n"/>
      <c r="D1967" s="113" t="n"/>
    </row>
    <row r="1968" ht="15" customHeight="1" s="66">
      <c r="A1968" s="113" t="n"/>
      <c r="B1968" s="113" t="n"/>
      <c r="C1968" s="113" t="n"/>
      <c r="D1968" s="113" t="n"/>
    </row>
    <row r="1969" ht="15" customHeight="1" s="66">
      <c r="A1969" s="113" t="n"/>
      <c r="B1969" s="113" t="n"/>
      <c r="C1969" s="113" t="n"/>
      <c r="D1969" s="113" t="n"/>
    </row>
    <row r="1970" ht="15" customHeight="1" s="66">
      <c r="A1970" s="113" t="n"/>
      <c r="B1970" s="113" t="n"/>
      <c r="C1970" s="113" t="n"/>
      <c r="D1970" s="113" t="n"/>
    </row>
    <row r="1971" ht="15" customHeight="1" s="66">
      <c r="A1971" s="113" t="n"/>
      <c r="B1971" s="113" t="n"/>
      <c r="C1971" s="113" t="n"/>
      <c r="D1971" s="113" t="n"/>
    </row>
    <row r="1972" ht="15" customHeight="1" s="66">
      <c r="A1972" s="113" t="n"/>
      <c r="B1972" s="113" t="n"/>
      <c r="C1972" s="113" t="n"/>
      <c r="D1972" s="113" t="n"/>
    </row>
    <row r="1973" ht="15" customHeight="1" s="66">
      <c r="A1973" s="113" t="n"/>
      <c r="B1973" s="113" t="n"/>
      <c r="C1973" s="113" t="n"/>
      <c r="D1973" s="113" t="n"/>
    </row>
    <row r="1974" ht="15" customHeight="1" s="66">
      <c r="A1974" s="113" t="n"/>
      <c r="B1974" s="113" t="n"/>
      <c r="C1974" s="113" t="n"/>
      <c r="D1974" s="113" t="n"/>
    </row>
    <row r="1975" ht="15" customHeight="1" s="66">
      <c r="A1975" s="113" t="n"/>
      <c r="B1975" s="113" t="n"/>
      <c r="C1975" s="113" t="n"/>
      <c r="D1975" s="113" t="n"/>
    </row>
    <row r="1976" ht="15" customHeight="1" s="66">
      <c r="A1976" s="113" t="n"/>
      <c r="B1976" s="113" t="n"/>
      <c r="C1976" s="113" t="n"/>
      <c r="D1976" s="113" t="n"/>
    </row>
    <row r="1977" ht="15" customHeight="1" s="66">
      <c r="A1977" s="113" t="n"/>
      <c r="B1977" s="113" t="n"/>
      <c r="C1977" s="113" t="n"/>
      <c r="D1977" s="113" t="n"/>
    </row>
    <row r="1978" ht="15" customHeight="1" s="66">
      <c r="A1978" s="113" t="n"/>
      <c r="B1978" s="113" t="n"/>
      <c r="C1978" s="113" t="n"/>
      <c r="D1978" s="113" t="n"/>
    </row>
    <row r="1979" ht="15" customHeight="1" s="66">
      <c r="A1979" s="113" t="n"/>
      <c r="B1979" s="113" t="n"/>
      <c r="C1979" s="113" t="n"/>
      <c r="D1979" s="113" t="n"/>
    </row>
    <row r="1980" ht="15" customHeight="1" s="66">
      <c r="A1980" s="113" t="n"/>
      <c r="B1980" s="113" t="n"/>
      <c r="C1980" s="113" t="n"/>
      <c r="D1980" s="113" t="n"/>
    </row>
    <row r="1981" ht="15" customHeight="1" s="66">
      <c r="A1981" s="113" t="n"/>
      <c r="B1981" s="113" t="n"/>
      <c r="C1981" s="113" t="n"/>
      <c r="D1981" s="113" t="n"/>
    </row>
    <row r="1982" ht="15" customHeight="1" s="66">
      <c r="A1982" s="113" t="n"/>
      <c r="B1982" s="113" t="n"/>
      <c r="C1982" s="113" t="n"/>
      <c r="D1982" s="113" t="n"/>
    </row>
    <row r="1983" ht="15" customHeight="1" s="66">
      <c r="A1983" s="113" t="n"/>
      <c r="B1983" s="113" t="n"/>
      <c r="C1983" s="113" t="n"/>
      <c r="D1983" s="113" t="n"/>
    </row>
    <row r="1984" ht="15" customHeight="1" s="66">
      <c r="A1984" s="113" t="n"/>
      <c r="B1984" s="113" t="n"/>
      <c r="C1984" s="113" t="n"/>
      <c r="D1984" s="113" t="n"/>
    </row>
    <row r="1985" ht="15" customHeight="1" s="66">
      <c r="A1985" s="113" t="n"/>
      <c r="B1985" s="113" t="n"/>
      <c r="C1985" s="113" t="n"/>
      <c r="D1985" s="113" t="n"/>
    </row>
    <row r="1986" ht="15" customHeight="1" s="66">
      <c r="A1986" s="113" t="n"/>
      <c r="B1986" s="113" t="n"/>
      <c r="C1986" s="113" t="n"/>
      <c r="D1986" s="113" t="n"/>
    </row>
    <row r="1987" ht="15" customHeight="1" s="66">
      <c r="A1987" s="113" t="n"/>
      <c r="B1987" s="113" t="n"/>
      <c r="C1987" s="113" t="n"/>
      <c r="D1987" s="113" t="n"/>
    </row>
    <row r="1988" ht="15" customHeight="1" s="66">
      <c r="A1988" s="113" t="n"/>
      <c r="B1988" s="113" t="n"/>
      <c r="C1988" s="113" t="n"/>
      <c r="D1988" s="113" t="n"/>
    </row>
    <row r="1989" ht="15" customHeight="1" s="66">
      <c r="A1989" s="113" t="n"/>
      <c r="B1989" s="113" t="n"/>
      <c r="C1989" s="113" t="n"/>
      <c r="D1989" s="113" t="n"/>
    </row>
    <row r="1990" ht="15" customHeight="1" s="66">
      <c r="A1990" s="113" t="n"/>
      <c r="B1990" s="113" t="n"/>
      <c r="C1990" s="113" t="n"/>
      <c r="D1990" s="113" t="n"/>
    </row>
    <row r="1991" ht="15" customHeight="1" s="66">
      <c r="A1991" s="113" t="n"/>
      <c r="B1991" s="113" t="n"/>
      <c r="C1991" s="113" t="n"/>
      <c r="D1991" s="113" t="n"/>
    </row>
    <row r="1992" ht="15" customHeight="1" s="66">
      <c r="A1992" s="113" t="n"/>
      <c r="B1992" s="113" t="n"/>
      <c r="C1992" s="113" t="n"/>
      <c r="D1992" s="113" t="n"/>
    </row>
    <row r="1993" ht="15" customHeight="1" s="66">
      <c r="A1993" s="113" t="n"/>
      <c r="B1993" s="113" t="n"/>
      <c r="C1993" s="113" t="n"/>
      <c r="D1993" s="113" t="n"/>
    </row>
    <row r="1994" ht="15" customHeight="1" s="66">
      <c r="A1994" s="113" t="n"/>
      <c r="B1994" s="113" t="n"/>
      <c r="C1994" s="113" t="n"/>
      <c r="D1994" s="113" t="n"/>
    </row>
    <row r="1995" ht="15" customHeight="1" s="66">
      <c r="A1995" s="113" t="n"/>
      <c r="B1995" s="113" t="n"/>
      <c r="C1995" s="113" t="n"/>
      <c r="D1995" s="113" t="n"/>
    </row>
    <row r="1996" ht="15" customHeight="1" s="66">
      <c r="A1996" s="113" t="n"/>
      <c r="B1996" s="113" t="n"/>
      <c r="C1996" s="113" t="n"/>
      <c r="D1996" s="113" t="n"/>
    </row>
    <row r="1997" ht="15" customHeight="1" s="66">
      <c r="A1997" s="113" t="n"/>
      <c r="B1997" s="113" t="n"/>
      <c r="C1997" s="113" t="n"/>
      <c r="D1997" s="113" t="n"/>
    </row>
    <row r="1998" ht="15" customHeight="1" s="66">
      <c r="A1998" s="113" t="n"/>
      <c r="B1998" s="113" t="n"/>
      <c r="C1998" s="113" t="n"/>
      <c r="D1998" s="113" t="n"/>
    </row>
    <row r="1999" ht="15" customHeight="1" s="66">
      <c r="A1999" s="113" t="n"/>
      <c r="B1999" s="113" t="n"/>
      <c r="C1999" s="113" t="n"/>
      <c r="D1999" s="113" t="n"/>
    </row>
    <row r="2000" ht="15" customHeight="1" s="66">
      <c r="A2000" s="113" t="n"/>
      <c r="B2000" s="113" t="n"/>
      <c r="C2000" s="113" t="n"/>
      <c r="D2000" s="113" t="n"/>
    </row>
    <row r="2001" ht="15" customHeight="1" s="66">
      <c r="A2001" s="113" t="n"/>
      <c r="B2001" s="113" t="n"/>
      <c r="C2001" s="113" t="n"/>
      <c r="D2001" s="113" t="n"/>
    </row>
    <row r="2002" ht="15" customHeight="1" s="66">
      <c r="A2002" s="113" t="n"/>
      <c r="B2002" s="113" t="n"/>
      <c r="C2002" s="113" t="n"/>
      <c r="D2002" s="113" t="n"/>
    </row>
    <row r="2003" ht="15" customHeight="1" s="66">
      <c r="A2003" s="113" t="n"/>
      <c r="B2003" s="113" t="n"/>
      <c r="C2003" s="113" t="n"/>
      <c r="D2003" s="113" t="n"/>
    </row>
    <row r="2004" ht="15" customHeight="1" s="66">
      <c r="A2004" s="113" t="n"/>
      <c r="B2004" s="113" t="n"/>
      <c r="C2004" s="113" t="n"/>
      <c r="D2004" s="113" t="n"/>
    </row>
    <row r="2006" ht="19.5" customHeight="1" s="66">
      <c r="A2006" s="103" t="inlineStr">
        <is>
          <t>İşçilik oranı birim maliyetin fiyattaki payıdır; yansıtma oranı bu payla çarpılır.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1:I1"/>
    <mergeCell ref="A2006:AN2006"/>
    <mergeCell ref="A4:I4"/>
    <mergeCell ref="A3:I3"/>
  </mergeCells>
  <conditionalFormatting sqref="F6:F2004">
    <cfRule type="cellIs" rank="0" priority="2" equalAverage="0" operator="greaterThan" aboveAverage="0" dxfId="8" text="" percent="0" bottom="0">
      <formula>FiyatYansitmaEsik</formula>
    </cfRule>
    <cfRule type="cellIs" rank="0" priority="3" equalAverage="0" operator="lessThanOrEqual" aboveAverage="0" dxfId="9" text="" percent="0" bottom="0">
      <formula>FiyatYansitmaEsik</formula>
    </cfRule>
  </conditionalFormatting>
  <conditionalFormatting sqref="E6:E2004">
    <cfRule type="cellIs" rank="0" priority="4" equalAverage="0" operator="lessThan" aboveAverage="0" dxfId="8" text="" percent="0" bottom="0">
      <formula>0</formula>
    </cfRule>
  </conditionalFormatting>
  <conditionalFormatting sqref="C6:C2004">
    <cfRule type="cellIs" rank="0" priority="5" equalAverage="0" operator="greaterThan" aboveAverage="0" dxfId="8" text="" percent="0" bottom="0">
      <formula>B6</formula>
    </cfRule>
  </conditionalFormatting>
  <conditionalFormatting sqref="G6:G2004">
    <cfRule type="cellIs" rank="0" priority="6" equalAverage="0" operator="greaterThan" aboveAverage="0" dxfId="9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AN5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6" customWidth="1" style="92" min="1" max="1"/>
    <col width="20" customWidth="1" style="92" min="2" max="2"/>
    <col width="78" customWidth="1" style="92" min="3" max="3"/>
    <col width="13" customWidth="1" style="66" min="4" max="4"/>
    <col width="13" customWidth="1" style="66" min="5" max="5"/>
    <col width="13" customWidth="1" style="66" min="6" max="6"/>
    <col width="13" customWidth="1" style="66" min="7" max="7"/>
    <col width="13" customWidth="1" style="66" min="8" max="8"/>
    <col width="13" customWidth="1" style="66" min="9" max="9"/>
    <col width="13" customWidth="1" style="66" min="10" max="10"/>
  </cols>
  <sheetData>
    <row r="1" ht="32" customHeight="1" s="66">
      <c r="A1" s="265" t="inlineStr">
        <is>
          <t>MOTOR — ASGARİ ÜCRET ZAM ETKİSİ &amp; FİYAT AYARLAMA CETVELİ</t>
        </is>
      </c>
    </row>
    <row r="3" ht="22" customHeight="1" s="66">
      <c r="A3" s="284" t="inlineStr">
        <is>
          <t>Hesaplama Motoru</t>
        </is>
      </c>
    </row>
    <row r="4" ht="15" customHeight="1" s="66">
      <c r="A4" s="106" t="inlineStr">
        <is>
          <t>Tüm KPI ve modül hesapları ad tanımlı hücrelerden okunur; sabit sayı formüle gömülmez.</t>
        </is>
      </c>
    </row>
    <row r="6" ht="15" customHeight="1" s="66">
      <c r="A6" s="115" t="inlineStr">
        <is>
          <t>TEMEL HESAPLAR</t>
        </is>
      </c>
    </row>
    <row r="7" ht="15" customHeight="1" s="66">
      <c r="A7" s="116" t="inlineStr">
        <is>
          <t>Toplam Çalışan Sayısı</t>
        </is>
      </c>
      <c r="B7" s="117">
        <f>IFERROR(COUNTA(tblCalisan[Çalışan Adı]),0)</f>
        <v/>
      </c>
    </row>
    <row r="8" ht="15" customHeight="1" s="66">
      <c r="A8" s="116" t="inlineStr">
        <is>
          <t>Zam Öncesi Toplam Brüt Ücret (₺)</t>
        </is>
      </c>
      <c r="B8" s="118">
        <f>IFERROR(SUM(tblCalisan[Zam Öncesi Brüt Ücret (₺)]),0)</f>
        <v/>
      </c>
    </row>
    <row r="9" ht="15" customHeight="1" s="66">
      <c r="A9" s="116" t="inlineStr">
        <is>
          <t>Zam Sonrası Toplam Brüt Ücret (₺)</t>
        </is>
      </c>
      <c r="B9" s="118">
        <f>IFERROR(SUM(tblCalisan[Zam Sonrası Brüt Ücret (₺)]),0)</f>
        <v/>
      </c>
    </row>
    <row r="10" ht="15" customHeight="1" s="66">
      <c r="A10" s="116" t="inlineStr">
        <is>
          <t>Zam Öncesi İşveren Maliyeti (₺)</t>
        </is>
      </c>
      <c r="B10" s="118">
        <f>IFERROR(SUM(tblCalisan[Zam Öncesi İşveren Maliyeti (₺)]),0)</f>
        <v/>
      </c>
    </row>
    <row r="11" ht="15" customHeight="1" s="66">
      <c r="A11" s="116" t="inlineStr">
        <is>
          <t>Zam Sonrası İşveren Maliyeti (₺)</t>
        </is>
      </c>
      <c r="B11" s="118">
        <f>IFERROR(SUM(tblCalisan[Zam Sonrası İşveren Maliyeti (₺)]),0)</f>
        <v/>
      </c>
    </row>
    <row r="12" ht="15" customHeight="1" s="66">
      <c r="A12" s="116" t="inlineStr">
        <is>
          <t>Toplam Maliyet Artışı (₺)</t>
        </is>
      </c>
      <c r="B12" s="118">
        <f>IFERROR(ZamSonrasiIsverenMaliyeti-ZamOncesiIsverenMaliyeti,0)</f>
        <v/>
      </c>
    </row>
    <row r="13" ht="15" customHeight="1" s="66">
      <c r="A13" s="116" t="inlineStr">
        <is>
          <t>Maliyet Artış Oranı</t>
        </is>
      </c>
      <c r="B13" s="119">
        <f>IFERROR(ToplamMaliyetArtis/MAX(BolumPaydaTaban,ZamOncesiIsverenMaliyeti),0)</f>
        <v/>
      </c>
    </row>
    <row r="14" ht="15" customHeight="1" s="66">
      <c r="A14" s="116" t="inlineStr">
        <is>
          <t>Asgari Ücret Zam Oranı</t>
        </is>
      </c>
      <c r="B14" s="119">
        <f>IFERROR(IF(COUNTA(tblCalisan[Çalışan Adı])=0,0,(AsgariUcretYeni-AsgariUcretEski)/MAX(BolumPaydaTaban,AsgariUcretEski)),0)</f>
        <v/>
      </c>
    </row>
    <row r="15" ht="15" customHeight="1" s="66">
      <c r="A15" s="116" t="inlineStr">
        <is>
          <t>Ortalama Çalışan Zam Oranı</t>
        </is>
      </c>
      <c r="B15" s="119">
        <f>IFERROR(AVERAGE(tblCalisan[Maliyet Artış Oranı]),0)</f>
        <v/>
      </c>
    </row>
    <row r="16" ht="15" customHeight="1" s="66">
      <c r="A16" s="116" t="inlineStr">
        <is>
          <t>Toplam Aylık Satış Hasılatı (₺)</t>
        </is>
      </c>
      <c r="B16" s="118">
        <f>IFERROR(SUMPRODUCT(tblUrun[Önerilen Yeni Fiyat (₺)],tblUrun[Aylık Adet]),0)</f>
        <v/>
      </c>
    </row>
    <row r="17" ht="15" customHeight="1" s="66">
      <c r="A17" s="116" t="inlineStr">
        <is>
          <t>Aylık İşçilik Yükü (₺)</t>
        </is>
      </c>
      <c r="B17" s="118">
        <f>IFERROR(SUM(tblUrun[Aylık İşçilik Yükü (₺)]),0)</f>
        <v/>
      </c>
    </row>
    <row r="18" ht="15" customHeight="1" s="66">
      <c r="A18" s="116" t="inlineStr">
        <is>
          <t>Fiyat Yansıtma Oranı (Ağırlıklı)</t>
        </is>
      </c>
      <c r="B18" s="119">
        <f>IFERROR(IF(SUM(tblUrun[Aylık Adet])=0,0,SUMPRODUCT(tblUrun[Fiyat Yansıtma Oranı],tblUrun[Aylık Adet])/MAX(BolumPaydaTaban,SUM(tblUrun[Aylık Adet]))),0)</f>
        <v/>
      </c>
    </row>
    <row r="19" ht="15" customHeight="1" s="66">
      <c r="A19" s="116" t="inlineStr">
        <is>
          <t>Fiyat Yansıtma Kazancı (₺)</t>
        </is>
      </c>
      <c r="B19" s="118">
        <f>IFERROR(SUMPRODUCT(tblUrun[Önerilen Yeni Fiyat (₺)]-tblUrun[Birim Satış Fiyatı (₺)],tblUrun[Aylık Adet]),0)</f>
        <v/>
      </c>
    </row>
    <row r="20" ht="15" customHeight="1" s="66">
      <c r="A20" s="116" t="inlineStr">
        <is>
          <t>Anomali Çalışan Adedi</t>
        </is>
      </c>
      <c r="B20" s="117">
        <f>IFERROR(COUNTIF(tblCalisan[Zam Öncesi Brüt Ücret (₺)],"&gt;"&amp;IFERROR(AVERAGE(tblCalisan[Zam Öncesi Brüt Ücret (₺)])+UcretAnomaliZEsik*IFERROR(_xlfn.STDEV.P(tblCalisan[Zam Öncesi Brüt Ücret (₺)]),0),0)),0)</f>
        <v/>
      </c>
    </row>
    <row r="21" ht="15" customHeight="1" s="66">
      <c r="A21" s="116" t="inlineStr">
        <is>
          <t>Anomali Oranı</t>
        </is>
      </c>
      <c r="B21" s="119">
        <f>IFERROR(IF(COUNTA(tblCalisan[Çalışan Adı])=0,0,AnomaliCalisanAdedi/COUNTA(tblCalisan[Çalışan Adı])),0)</f>
        <v/>
      </c>
    </row>
    <row r="22" ht="15" customHeight="1" s="66">
      <c r="A22" s="116" t="inlineStr">
        <is>
          <t>Ortalama Zam Öncesi Brüt Ücret (₺)</t>
        </is>
      </c>
      <c r="B22" s="118">
        <f>IFERROR(AVERAGE(tblCalisan[Zam Öncesi Brüt Ücret (₺)]),0)</f>
        <v/>
      </c>
    </row>
    <row r="24" ht="15" customHeight="1" s="66">
      <c r="A24" s="105" t="inlineStr">
        <is>
          <t>Analitik Modül Hesapları</t>
        </is>
      </c>
    </row>
    <row r="25" ht="15" customHeight="1" s="66">
      <c r="A25" s="116" t="inlineStr">
        <is>
          <t>Modül T1: Kıdem Ortalaması</t>
        </is>
      </c>
      <c r="B25" s="117">
        <f>IFERROR(AVERAGE(tblCalisan[Dönem Günü]),0)</f>
        <v/>
      </c>
    </row>
    <row r="26" ht="15" customHeight="1" s="66">
      <c r="A26" s="116" t="inlineStr">
        <is>
          <t>Modül T2: Ücret Eğimi</t>
        </is>
      </c>
      <c r="B26" s="118">
        <f>IFERROR(SLOPE(tblCalisan[Zam Öncesi Brüt Ücret (₺)],tblCalisan[Dönem Günü]),0)</f>
        <v/>
      </c>
    </row>
    <row r="27" ht="15" customHeight="1" s="66">
      <c r="A27" s="116" t="inlineStr">
        <is>
          <t>Modül T3: Maliyet Pareto Payı</t>
        </is>
      </c>
      <c r="B27" s="119">
        <f>IFERROR(IF(SUM(tblCalisan[Zam Öncesi Brüt Ücret (₺)])=0,0,MAX(tblCalisan[Zam Öncesi Brüt Ücret (₺)])/SUM(tblCalisan[Zam Öncesi Brüt Ücret (₺)])),0)</f>
        <v/>
      </c>
    </row>
    <row r="28" ht="15" customHeight="1" s="66">
      <c r="A28" s="116" t="inlineStr">
        <is>
          <t>Modül T5: Mutabakat Farkı</t>
        </is>
      </c>
      <c r="B28" s="118">
        <f>IFERROR(AylikIscilikYuku-ZamOncesiIsverenMaliyeti,0)</f>
        <v/>
      </c>
    </row>
    <row r="29" ht="15" customHeight="1" s="66">
      <c r="A29" s="116" t="inlineStr">
        <is>
          <t>Modül T6: Ortalama İşçilik Oranı</t>
        </is>
      </c>
      <c r="B29" s="119">
        <f>IFERROR(AVERAGE(tblUrun[İşçilik Oranı]),0)</f>
        <v/>
      </c>
    </row>
    <row r="30" ht="15" customHeight="1" s="66">
      <c r="A30" s="116" t="inlineStr">
        <is>
          <t>Modül O1: Anomali Oranı</t>
        </is>
      </c>
      <c r="B30" s="119">
        <f>IFERROR(IF(COUNTA(tblCalisan[Çalışan Adı])=0,0,AnomaliCalisanAdedi/COUNTA(tblCalisan[Çalışan Adı])),0)</f>
        <v/>
      </c>
    </row>
    <row r="31" ht="15" customHeight="1" s="66">
      <c r="A31" s="116" t="inlineStr">
        <is>
          <t>Modül O2: Tornado Zirve Etki</t>
        </is>
      </c>
      <c r="B31" s="118">
        <f>IFERROR(MAX(ABS(SenaryoMaliyetKotumser-SenaryoMaliyetIyimser),ABS(SenaryoYansitmaKotumser-SenaryoYansitmaIyimser)),0)</f>
        <v/>
      </c>
    </row>
    <row r="32" ht="15" customHeight="1" s="66">
      <c r="A32" s="116" t="inlineStr">
        <is>
          <t>Modül O3: Senaryo Baz Fark</t>
        </is>
      </c>
      <c r="B32" s="118">
        <f>IFERROR(SenaryoMaliyetKotumser-SenaryoMaliyetBaz,0)</f>
        <v/>
      </c>
    </row>
    <row r="33" ht="15" customHeight="1" s="66">
      <c r="A33" s="116" t="inlineStr">
        <is>
          <t>Modül O4: Nakit Etki Oranı</t>
        </is>
      </c>
      <c r="B33" s="119">
        <f>IFERROR(ToplamMaliyetArtis/MAX(BolumPaydaTaban,ToplamAylikSatisHasilati),0)</f>
        <v/>
      </c>
    </row>
    <row r="34" ht="15" customHeight="1" s="66">
      <c r="A34" s="116" t="inlineStr">
        <is>
          <t>Modül O6: Maliyet HHI</t>
        </is>
      </c>
      <c r="B34" s="117">
        <f>IFERROR(IF(SUM(tblCalisan[Zam Öncesi Brüt Ücret (₺)])=0,0,SUMPRODUCT(tblCalisan[Zam Öncesi Brüt Ücret (₺)],tblCalisan[Zam Öncesi Brüt Ücret (₺)])/MAX(BolumPaydaTaban,SUM(tblCalisan[Zam Öncesi Brüt Ücret (₺)])^2)),0)</f>
        <v/>
      </c>
    </row>
    <row r="35" ht="15" customHeight="1" s="66">
      <c r="A35" s="116" t="inlineStr">
        <is>
          <t>Modül O8: Veri Kalite Skoru</t>
        </is>
      </c>
      <c r="B35" s="117">
        <f>VeriKaliteSkoru</f>
        <v/>
      </c>
    </row>
    <row r="36" ht="15" customHeight="1" s="66">
      <c r="A36" s="116" t="inlineStr">
        <is>
          <t>Modül I1: Maliyet Tahmini (Orta)</t>
        </is>
      </c>
      <c r="B36" s="118">
        <f>IFERROR(_xlfn.FORECAST.LINEAR(COUNTA(tblCalisan[Dönem Günü])+1,tblCalisan[Zam Öncesi Brüt Ücret (₺)],tblCalisan[Dönem Günü]),0)</f>
        <v/>
      </c>
    </row>
    <row r="37" ht="15" customHeight="1" s="66">
      <c r="A37" s="116" t="inlineStr">
        <is>
          <t>Modül I2: Maliyet P90</t>
        </is>
      </c>
      <c r="B37" s="118">
        <f>IFERROR(_xlfn.PERCENTILE.INC(tblCalisan[Zam Sonrası İşveren Maliyeti (₺)],P90Kuantil),0)</f>
        <v/>
      </c>
    </row>
    <row r="38" ht="15" customHeight="1" s="66">
      <c r="A38" s="116" t="inlineStr">
        <is>
          <t>Modül I3: Maliyet NPV</t>
        </is>
      </c>
      <c r="B38" s="118">
        <f>IFERROR(NPV(IskontoOrani,ToplamMaliyetArtis),0)</f>
        <v/>
      </c>
    </row>
    <row r="39" ht="15" customHeight="1" s="66">
      <c r="A39" s="116" t="inlineStr">
        <is>
          <t>Modül I7: Yansıtma Açık Köprüsü</t>
        </is>
      </c>
      <c r="B39" s="118">
        <f>IFERROR(MAX(0,ToplamMaliyetArtis-FiyatYansitmaKazanci),0)</f>
        <v/>
      </c>
    </row>
    <row r="40" ht="15" customHeight="1" s="66">
      <c r="A40" s="116" t="inlineStr">
        <is>
          <t>Modül T4: Dönem Farkı</t>
        </is>
      </c>
      <c r="B40" s="118">
        <f>IFERROR(AVERAGE(tblCalisan[Maliyet Farkı (₺)]),0)</f>
        <v/>
      </c>
    </row>
    <row r="41" ht="15" customHeight="1" s="66">
      <c r="A41" s="105" t="inlineStr">
        <is>
          <t>Modül Makine Yorumları</t>
        </is>
      </c>
    </row>
    <row r="42" ht="24.75" customHeight="1" s="66">
      <c r="A42" s="116" t="inlineStr">
        <is>
          <t>T1 Kıdem Ortalaması</t>
        </is>
      </c>
      <c r="B42" s="117">
        <f>modulT1KidemOrt</f>
        <v/>
      </c>
      <c r="C42" s="120">
        <f>_xlfn.TEXTJOIN(" | ",TRUE(),"T1: AVERAGE kıdem "&amp;modulT1KidemOrt&amp;" gün",IF(modulT1KidemOrt&gt;KidemSinirGun,"kıdem "&amp;KidemSinirGun/365&amp;" yıl üzerinde, kıdem tazminatı yükü yüksek","kıdem dağılımı normal"))</f>
        <v/>
      </c>
    </row>
    <row r="43" ht="15" customHeight="1" s="66">
      <c r="A43" s="116" t="inlineStr">
        <is>
          <t>T2 Ücret Eğimi</t>
        </is>
      </c>
      <c r="B43" s="118">
        <f>modulT2UcretEgim</f>
        <v/>
      </c>
      <c r="C43" s="120">
        <f>_xlfn.TEXTJOIN(" | ",TRUE(),"T2: Ücret eğimi "&amp;TEXT(modulT2UcretEgim,"#,##0")&amp;" ₺/gün",IF(modulT2UcretEgim&gt;0,"ücret kıdemle artıyor","ücret kıdemden bağımsız"))</f>
        <v/>
      </c>
    </row>
    <row r="44" ht="15" customHeight="1" s="66">
      <c r="A44" s="116" t="inlineStr">
        <is>
          <t>T3 Maliyet Pareto Payı</t>
        </is>
      </c>
      <c r="B44" s="119">
        <f>modulT3MaliyetParetoPay</f>
        <v/>
      </c>
      <c r="C44" s="120">
        <f>_xlfn.TEXTJOIN(" | ",TRUE(),"T3: En yüksek ücretli çalışan toplamın %"&amp;TEXT(modulT3MaliyetParetoPay*100,"0")&amp;"",IF(modulT3MaliyetParetoPay&gt;ParetoEsikOran,"yoğunlaşma yüksek, tek çalışana bağımlılık var","dağılım dengeli"))</f>
        <v/>
      </c>
    </row>
    <row r="45" ht="15" customHeight="1" s="66">
      <c r="A45" s="116" t="inlineStr">
        <is>
          <t>T4 Dönem Farkı</t>
        </is>
      </c>
      <c r="B45" s="118">
        <f>modulT4DonemFark</f>
        <v/>
      </c>
      <c r="C45" s="120">
        <f>_xlfn.TEXTJOIN(" | ",TRUE(),"T4: Çalışan başına dönem maliyet farkı "&amp;TEXT(modulT4DonemFark,"#,##0")&amp;" ₺",IF(ABS(modulT4DonemFark)&gt;ZamOncesiIsverenMaliyeti*MaliyetArtisEsik,"dönem farkı yüksek, zam etkisi güçlü","dönem farkı makul"))</f>
        <v/>
      </c>
    </row>
    <row r="46" ht="24.75" customHeight="1" s="66">
      <c r="A46" s="116" t="inlineStr">
        <is>
          <t>T5 Mutabakat Farkı</t>
        </is>
      </c>
      <c r="B46" s="118">
        <f>modulT5MutabakatFark</f>
        <v/>
      </c>
      <c r="C46" s="120">
        <f>_xlfn.TEXTJOIN(" | ",TRUE(),"T5: Ürün işçilik yükü ile fiili maliyet farkı "&amp;TEXT(modulT5MutabakatFark,"#,##0")&amp;" ₺",IF(ABS(modulT5MutabakatFark)&gt;ZamOncesiIsverenMaliyeti*MaliyetArtisEsik,"mutabakat farkı yüksek, maliyet dağılımını denetleyin","mutabakat tutarlı"))</f>
        <v/>
      </c>
    </row>
    <row r="47" ht="15" customHeight="1" s="66">
      <c r="A47" s="116" t="inlineStr">
        <is>
          <t>T6 İşçilik Oranı</t>
        </is>
      </c>
      <c r="B47" s="119">
        <f>modulT6BasabasUcretYuku</f>
        <v/>
      </c>
      <c r="C47" s="120">
        <f>_xlfn.TEXTJOIN(" | ",TRUE(),"T6: AVERAGE işçilik oranı %"&amp;TEXT(modulT6BasabasUcretYuku*100,"0")&amp;"",IF(modulT6BasabasUcretYuku&gt;FiyatYansitmaEsik,"işçilik yoğun işletme, yansıtma kritik","işçilik oranı düşük"))</f>
        <v/>
      </c>
    </row>
    <row r="48" ht="15" customHeight="1" s="66">
      <c r="A48" s="116" t="inlineStr">
        <is>
          <t>O1 Anomali Oranı</t>
        </is>
      </c>
      <c r="B48" s="119">
        <f>modulO1AnomaliOran</f>
        <v/>
      </c>
      <c r="C48" s="120">
        <f>_xlfn.TEXTJOIN(" | ",TRUE(),"O1: Uç ücretli çalışan oranı %"&amp;TEXT(modulO1AnomaliOran*100,"0.0")&amp;"",IF(modulO1AnomaliOran&gt;0,"anomali çalışanlar tespit edildi, ücretleri denetleyin","anomali yok"))</f>
        <v/>
      </c>
    </row>
    <row r="49" ht="15" customHeight="1" s="66">
      <c r="A49" s="116" t="inlineStr">
        <is>
          <t>O2 Tornado Zirve</t>
        </is>
      </c>
      <c r="B49" s="118">
        <f>modulO2TornadoZirve</f>
        <v/>
      </c>
      <c r="C49" s="120">
        <f>_xlfn.TEXTJOIN(" | ",TRUE(),"O2: Tornado zirve etki "&amp;TEXT(modulO2TornadoZirve,"#,##0")&amp;" ₺",IF(modulO2TornadoZirve&gt;ToplamMaliyetArtis*ButceEtkiEsikOran,"maliyet duyarlılığı yüksek, zam senaryosu kritik","duyarlılık düşük"))</f>
        <v/>
      </c>
    </row>
    <row r="50" ht="15" customHeight="1" s="66">
      <c r="A50" s="116" t="inlineStr">
        <is>
          <t>O3 Senaryo Baz Fark</t>
        </is>
      </c>
      <c r="B50" s="118">
        <f>modulO3SenaryoBazFark</f>
        <v/>
      </c>
      <c r="C50" s="120">
        <f>_xlfn.TEXTJOIN(" | ",TRUE(),"O3: Kötümser-baz fark "&amp;TEXT(modulO3SenaryoBazFark,"#,##0")&amp;" ₺",IF(modulO3SenaryoBazFark&gt;ToplamMaliyetArtis*ButceEtkiEsikOran,"kötümser senaryoda maliyet yükseliyor","senaryo aralığı kabul edilebilir"))</f>
        <v/>
      </c>
    </row>
    <row r="51" ht="15" customHeight="1" s="66">
      <c r="A51" s="116" t="inlineStr">
        <is>
          <t>O4 Nakit Etki</t>
        </is>
      </c>
      <c r="B51" s="119">
        <f>modulO4NakitEtkiOran</f>
        <v/>
      </c>
      <c r="C51" s="120">
        <f>_xlfn.TEXTJOIN(" | ",TRUE(),"O4: Maliyet artışının aylık hasılata oranı %"&amp;TEXT(modulO4NakitEtkiOran*100,"0.0")&amp;"",IF(modulO4NakitEtkiOran&gt;FiyatYansitmaEsik,"nakit etkisi yüksek, fiyat güncellemesi acil","nakit etkisi yönetilebilir"))</f>
        <v/>
      </c>
    </row>
    <row r="52" ht="15" customHeight="1" s="66">
      <c r="A52" s="116" t="inlineStr">
        <is>
          <t>O6 Maliyet HHI</t>
        </is>
      </c>
      <c r="B52" s="117">
        <f>modulO6MaliyetHhi</f>
        <v/>
      </c>
      <c r="C52" s="120">
        <f>_xlfn.TEXTJOIN(" | ",TRUE(),"O6: Ücret yoğunlaşma endeksi "&amp;TEXT(modulO6MaliyetHhi,"0.00")&amp;"",IF(modulO6MaliyetHhi&gt;HhiYuksekEsik,"yoğunlaşma yüksek","dağılım dengeli"))</f>
        <v/>
      </c>
    </row>
    <row r="53" ht="15" customHeight="1" s="66">
      <c r="A53" s="116" t="inlineStr">
        <is>
          <t>O8 Kalite Skoru</t>
        </is>
      </c>
      <c r="B53" s="117">
        <f>modulO8KaliteSkoru</f>
        <v/>
      </c>
      <c r="C53" s="120">
        <f>_xlfn.TEXTJOIN(" | ",TRUE(),"O8: Veri kalite skoru "&amp;TEXT(modulO8KaliteSkoru,"0")&amp;"/100",IF(modulO8KaliteSkoru&gt;=VeriKaliteIyiEsik,"girdi kalitesi iyi","kalite düşük, girişleri tamamlayın"))</f>
        <v/>
      </c>
    </row>
    <row r="54" ht="15" customHeight="1" s="66">
      <c r="A54" s="116" t="inlineStr">
        <is>
          <t>I1 Maliyet Tahmini</t>
        </is>
      </c>
      <c r="B54" s="118">
        <f>modulI1MaliyetTahminOrta</f>
        <v/>
      </c>
      <c r="C54" s="120">
        <f>_xlfn.TEXTJOIN(" | ",TRUE(),"I1: Sonraki kıdem adımında beklenen brüt ücret "&amp;TEXT(modulI1MaliyetTahminOrta,"#,##0")&amp;" ₺",IF(modulI1MaliyetTahminOrta&gt;AsgariUcretYeni,"tahmin asgari ücretin üzerinde","tahmin sınır içinde"))</f>
        <v/>
      </c>
    </row>
    <row r="55" ht="15" customHeight="1" s="66">
      <c r="A55" s="116" t="inlineStr">
        <is>
          <t>I2 Maliyet P90</t>
        </is>
      </c>
      <c r="B55" s="118">
        <f>modulI2MaliyetP90</f>
        <v/>
      </c>
      <c r="C55" s="120">
        <f>_xlfn.TEXTJOIN(" | ",TRUE(),"I2: İşveren maliyeti P90 değeri "&amp;TEXT(modulI2MaliyetP90,"#,##0")&amp;" ₺",IF(modulI2MaliyetP90&gt;ZamOncesiIsverenMaliyeti*2,"P90 maliyeti ortalamanın iki katı üzerinde","P90 dağılımı kabul edilebilir"))</f>
        <v/>
      </c>
    </row>
    <row r="56" ht="15" customHeight="1" s="66">
      <c r="A56" s="116" t="inlineStr">
        <is>
          <t>I3 Maliyet NPV</t>
        </is>
      </c>
      <c r="B56" s="118">
        <f>modulI3MaliyetNpv</f>
        <v/>
      </c>
      <c r="C56" s="120">
        <f>_xlfn.TEXTJOIN(" | ",TRUE(),"I3: Maliyet artışının NPV değeri "&amp;TEXT(modulI3MaliyetNpv,"#,##0")&amp;" ₺",IF(modulI3MaliyetNpv&gt;ToplamMaliyetArtis*NpvEsikOran,"NPV maliyeti yüksek","NPV maliyeti kabul edilebilir"))</f>
        <v/>
      </c>
    </row>
    <row r="57" ht="15" customHeight="1" s="66">
      <c r="A57" s="116" t="inlineStr">
        <is>
          <t>I7 Açık Köprüsü</t>
        </is>
      </c>
      <c r="B57" s="118">
        <f>modulI7AcikKopru</f>
        <v/>
      </c>
      <c r="C57" s="120">
        <f>_xlfn.TEXTJOIN(" | ",TRUE(),"I7: Yansıtma açık köprüsü "&amp;TEXT(modulI7AcikKopru,"#,##0")&amp;" ₺",IF(modulI7AcikKopru&gt;0,"fiyat yansıtması artışı karşılamıyor, fiyat güncellemesi gerekli","yansıtma artışı karşılıyor"))</f>
        <v/>
      </c>
    </row>
    <row r="58" ht="19.5" customHeight="1" s="66">
      <c r="A58" s="103" t="inlineStr">
        <is>
          <t>Tüm hesaplar AYARLAR parametrelerinden beslenir; veri yokken 0 ve VERİ YOK güvenli dönüş yapar.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1:I1"/>
    <mergeCell ref="A4:C4"/>
    <mergeCell ref="A58:AN58"/>
    <mergeCell ref="A3:I3"/>
  </mergeCells>
  <conditionalFormatting sqref="B13">
    <cfRule type="cellIs" rank="0" priority="2" equalAverage="0" operator="greaterThan" aboveAverage="0" dxfId="7" text="" percent="0" bottom="0">
      <formula>FiyatYansitmaEsik</formula>
    </cfRule>
    <cfRule type="cellIs" rank="0" priority="3" equalAverage="0" operator="lessThanOrEqual" aboveAverage="0" dxfId="9" text="" percent="0" bottom="0">
      <formula>FiyatYansitmaEsik</formula>
    </cfRule>
  </conditionalFormatting>
  <conditionalFormatting sqref="B12">
    <cfRule type="cellIs" rank="0" priority="4" equalAverage="0" operator="greaterThan" aboveAverage="0" dxfId="7" text="" percent="0" bottom="0">
      <formula>0</formula>
    </cfRule>
  </conditionalFormatting>
  <conditionalFormatting sqref="B19">
    <cfRule type="cellIs" rank="0" priority="5" equalAverage="0" operator="greaterThan" aboveAverage="0" dxfId="8" text="" percent="0" bottom="0">
      <formula>0</formula>
    </cfRule>
  </conditionalFormatting>
  <conditionalFormatting sqref="B39">
    <cfRule type="cellIs" rank="0" priority="6" equalAverage="0" operator="greaterThan" aboveAverage="0" dxfId="7" text="" percent="0" bottom="0">
      <formula>0</formula>
    </cfRule>
    <cfRule type="cellIs" rank="0" priority="7" equalAverage="0" operator="lessThanOrEqual" aboveAverage="0" dxfId="9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AN2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3.5" customWidth="1" style="92" min="1" max="1"/>
    <col width="47.5" customWidth="1" style="92" min="2" max="2"/>
    <col width="40" customWidth="1" style="92" min="3" max="3"/>
    <col width="13" customWidth="1" style="66" min="4" max="4"/>
    <col width="13" customWidth="1" style="66" min="5" max="5"/>
    <col width="13" customWidth="1" style="66" min="6" max="6"/>
    <col width="13" customWidth="1" style="66" min="7" max="7"/>
    <col width="13" customWidth="1" style="66" min="8" max="8"/>
    <col width="13" customWidth="1" style="66" min="9" max="9"/>
    <col width="13" customWidth="1" style="66" min="10" max="10"/>
  </cols>
  <sheetData>
    <row r="1" ht="32" customHeight="1" s="66">
      <c r="A1" s="265" t="inlineStr">
        <is>
          <t>KONTROL — ASGARİ ÜCRET ZAM ETKİSİ &amp; FİYAT AYARLAMA CETVELİ</t>
        </is>
      </c>
    </row>
    <row r="3" ht="22" customHeight="1" s="66">
      <c r="A3" s="284" t="inlineStr">
        <is>
          <t>Veri Kalite Kontrolleri</t>
        </is>
      </c>
    </row>
    <row r="5" ht="15" customHeight="1" s="66">
      <c r="A5" s="116" t="inlineStr">
        <is>
          <t>Çalışan tablosunda dolu satır</t>
        </is>
      </c>
      <c r="B5" s="121">
        <f>IFERROR(COUNTA(tblCalisan[Çalışan Adı]),0)</f>
        <v/>
      </c>
    </row>
    <row r="6" ht="15" customHeight="1" s="66">
      <c r="A6" s="116" t="inlineStr">
        <is>
          <t>Ürün tablosunda dolu satır</t>
        </is>
      </c>
      <c r="B6" s="121">
        <f>IFERROR(COUNTA(tblUrun[Ürün/Hizmet Adı]),0)</f>
        <v/>
      </c>
    </row>
    <row r="7" ht="15" customHeight="1" s="66">
      <c r="A7" s="116" t="inlineStr">
        <is>
          <t>Negatif ücret kontrolü</t>
        </is>
      </c>
      <c r="B7" s="121">
        <f>IF(COUNTIF(tblCalisan[Zam Öncesi Brüt Ücret (₺)],"&lt;0")&gt;0,"FAIL","PASS")</f>
        <v/>
      </c>
    </row>
    <row r="8" ht="15" customHeight="1" s="66">
      <c r="A8" s="116" t="inlineStr">
        <is>
          <t>Negatif fiyat kontrolü</t>
        </is>
      </c>
      <c r="B8" s="121">
        <f>IF(COUNTIF(tblUrun[Birim Satış Fiyatı (₺)],"&lt;0")&gt;0,"FAIL","PASS")</f>
        <v/>
      </c>
    </row>
    <row r="9" ht="15" customHeight="1" s="66">
      <c r="A9" s="116" t="inlineStr">
        <is>
          <t>Sıfır fiyat kontrolü</t>
        </is>
      </c>
      <c r="B9" s="121">
        <f>IF(COUNTIF(tblUrun[Birim Satış Fiyatı (₺)],"=0")&gt;0,"WARN","PASS")</f>
        <v/>
      </c>
    </row>
    <row r="10" ht="15" customHeight="1" s="66">
      <c r="A10" s="116" t="inlineStr">
        <is>
          <t>İşçilik &gt; fiyat kontrolü</t>
        </is>
      </c>
      <c r="B10" s="121">
        <f>IF(SUMPRODUCT(--(tblUrun[Birim Başına İşçilik (₺)]&gt;tblUrun[Birim Satış Fiyatı (₺)]))&gt;0,"WARN","PASS")</f>
        <v/>
      </c>
    </row>
    <row r="11" ht="15" customHeight="1" s="66">
      <c r="A11" s="116" t="inlineStr">
        <is>
          <t>Boş ücret kontrolü</t>
        </is>
      </c>
      <c r="B11" s="121">
        <f>IF(COUNTIF(tblCalisan[Zam Öncesi Brüt Ücret (₺)],"")&gt;0,"FAIL","PASS")</f>
        <v/>
      </c>
    </row>
    <row r="12" ht="15" customHeight="1" s="66">
      <c r="A12" s="116" t="inlineStr">
        <is>
          <t>Boş tarih kontrolü</t>
        </is>
      </c>
      <c r="B12" s="121">
        <f>IF(COUNTIF(tblCalisan[İşe Giriş Tarihi],"")&gt;0,"WARN","PASS")</f>
        <v/>
      </c>
    </row>
    <row r="15" ht="15" customHeight="1" s="66">
      <c r="A15" s="115" t="inlineStr">
        <is>
          <t>SKORLAMA</t>
        </is>
      </c>
    </row>
    <row r="16" ht="15" customHeight="1" s="66">
      <c r="A16" s="122" t="inlineStr">
        <is>
          <t>PASS Sayısı</t>
        </is>
      </c>
      <c r="B16" s="123">
        <f>COUNTIF(B5:B12,"PASS")</f>
        <v/>
      </c>
    </row>
    <row r="17" ht="15" customHeight="1" s="66">
      <c r="A17" s="122" t="inlineStr">
        <is>
          <t>FAIL Sayısı</t>
        </is>
      </c>
      <c r="B17" s="123">
        <f>COUNTIF(B5:B12,"FAIL")</f>
        <v/>
      </c>
    </row>
    <row r="18" ht="15" customHeight="1" s="66">
      <c r="A18" s="122" t="inlineStr">
        <is>
          <t>WARN Sayısı</t>
        </is>
      </c>
      <c r="B18" s="123">
        <f>COUNTIF(B5:B12,"WARN")</f>
        <v/>
      </c>
    </row>
    <row r="19" ht="15" customHeight="1" s="66">
      <c r="A19" s="116" t="inlineStr">
        <is>
          <t>Veri Kalite Skoru</t>
        </is>
      </c>
      <c r="B19" s="117">
        <f>IFERROR(IF(DoluGirisHucre=0,0,MAX(0,VeriKaliteTaban-FAIL_Sayisi*VeriKaliteFailCeza-WARN_Sayisi*VeriKaliteUyariCeza)),0)</f>
        <v/>
      </c>
    </row>
    <row r="20" ht="15" customHeight="1" s="66">
      <c r="A20" s="122" t="inlineStr">
        <is>
          <t>Veri Kalite Seviyesi</t>
        </is>
      </c>
      <c r="B20" s="121">
        <f>IF(VeriKaliteSkoru&gt;=VeriKaliteIyiEsik,"İYİ",IF(VeriKaliteSkoru&gt;=VeriKaliteOrtaEsik,"ORTA","DÜŞÜK"))</f>
        <v/>
      </c>
    </row>
    <row r="21" ht="15" customHeight="1" s="66">
      <c r="A21" s="122" t="inlineStr">
        <is>
          <t>Dolu Girdi Hücresi</t>
        </is>
      </c>
      <c r="B21" s="123">
        <f>IFERROR(COUNTA(tblCalisan[Çalışan Adı])+COUNTA(tblUrun[Ürün/Hizmet Adı]),0)</f>
        <v/>
      </c>
    </row>
    <row r="22" ht="15" customHeight="1" s="66">
      <c r="A22" s="122" t="inlineStr">
        <is>
          <t>Toplam Girdi Kapasitesi</t>
        </is>
      </c>
      <c r="B22" s="123">
        <f>IFERROR(ROWS(tblCalisan)+ROWS(tblUrun),0)</f>
        <v/>
      </c>
    </row>
    <row r="23" ht="15" customHeight="1" s="66">
      <c r="A23" s="122" t="inlineStr">
        <is>
          <t>Doluluk Oranı</t>
        </is>
      </c>
      <c r="B23" s="124">
        <f>IFERROR(DoluGirisHucre/KayitKapasite,0)</f>
        <v/>
      </c>
    </row>
    <row r="24" ht="15" customHeight="1" s="66">
      <c r="A24" s="116" t="inlineStr">
        <is>
          <t>Durum</t>
        </is>
      </c>
      <c r="B24" s="122">
        <f>IF(FAIL_Sayisi=0,"SAĞLIKLI","İNCELE")</f>
        <v/>
      </c>
    </row>
    <row r="26" ht="19.5" customHeight="1" s="66">
      <c r="A26" s="103" t="inlineStr">
        <is>
          <t>Skor ve sağlık durumu formülle üretilir; sahte veri yoktur.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26:AN26"/>
  </mergeCells>
  <conditionalFormatting sqref="B5:B12">
    <cfRule type="cellIs" rank="0" priority="2" equalAverage="0" operator="equal" aboveAverage="0" dxfId="9" text="" percent="0" bottom="0">
      <formula>"PASS"</formula>
    </cfRule>
    <cfRule type="cellIs" rank="0" priority="3" equalAverage="0" operator="equal" aboveAverage="0" dxfId="7" text="" percent="0" bottom="0">
      <formula>"FAIL"</formula>
    </cfRule>
    <cfRule type="cellIs" rank="0" priority="4" equalAverage="0" operator="equal" aboveAverage="0" dxfId="8" text="" percent="0" bottom="0">
      <formula>"WARN"</formula>
    </cfRule>
  </conditionalFormatting>
  <conditionalFormatting sqref="B19">
    <cfRule type="cellIs" rank="0" priority="5" equalAverage="0" operator="greaterThanOrEqual" aboveAverage="0" dxfId="9" text="" percent="0" bottom="0">
      <formula>VeriKaliteIyiEsik</formula>
    </cfRule>
    <cfRule type="cellIs" rank="0" priority="6" equalAverage="0" operator="lessThan" aboveAverage="0" dxfId="7" text="" percent="0" bottom="0">
      <formula>VeriKaliteOrtaEsik</formula>
    </cfRule>
  </conditionalFormatting>
  <conditionalFormatting sqref="B17">
    <cfRule type="cellIs" rank="0" priority="7" equalAverage="0" operator="greaterThan" aboveAverage="0" dxfId="7" text="" percent="0" bottom="0">
      <formula>0</formula>
    </cfRule>
  </conditionalFormatting>
  <conditionalFormatting sqref="B18">
    <cfRule type="cellIs" rank="0" priority="8" equalAverage="0" operator="greaterThan" aboveAverage="0" dxfId="8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AN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1.5" customWidth="1" style="92" min="1" max="1"/>
    <col width="28" customWidth="1" style="92" min="2" max="2"/>
    <col width="22" customWidth="1" style="92" min="3" max="3"/>
    <col width="13" customWidth="1" style="66" min="4" max="4"/>
    <col width="13" customWidth="1" style="66" min="5" max="5"/>
    <col width="13" customWidth="1" style="66" min="6" max="6"/>
    <col width="13" customWidth="1" style="66" min="7" max="7"/>
    <col width="13" customWidth="1" style="66" min="8" max="8"/>
    <col width="13" customWidth="1" style="66" min="9" max="9"/>
    <col width="13" customWidth="1" style="66" min="10" max="10"/>
  </cols>
  <sheetData>
    <row r="1" ht="32" customHeight="1" s="66">
      <c r="A1" s="265" t="inlineStr">
        <is>
          <t>KARAR — ASGARİ ÜCRET ZAM ETKİSİ &amp; FİYAT AYARLAMA CETVELİ</t>
        </is>
      </c>
    </row>
    <row r="3" ht="15" customHeight="1" s="66">
      <c r="A3" s="105" t="inlineStr">
        <is>
          <t>Karar Motoru</t>
        </is>
      </c>
    </row>
    <row r="5" ht="15" customHeight="1" s="66">
      <c r="A5" s="115" t="inlineStr">
        <is>
          <t>MALİYET VE YANSITMA ÖZETİ</t>
        </is>
      </c>
    </row>
    <row r="6" ht="15" customHeight="1" s="66">
      <c r="A6" s="122" t="inlineStr">
        <is>
          <t>Toplam Maliyet Artışı</t>
        </is>
      </c>
      <c r="B6" s="118">
        <f>ToplamMaliyetArtis</f>
        <v/>
      </c>
    </row>
    <row r="7" ht="15" customHeight="1" s="66">
      <c r="A7" s="122" t="inlineStr">
        <is>
          <t>Maliyet Artış Oranı</t>
        </is>
      </c>
      <c r="B7" s="119">
        <f>MaliyetArtisOrani</f>
        <v/>
      </c>
    </row>
    <row r="8" ht="15" customHeight="1" s="66">
      <c r="A8" s="122" t="inlineStr">
        <is>
          <t>Fiyat Yansıtma Oranı</t>
        </is>
      </c>
      <c r="B8" s="119">
        <f>FiyatYansitmaOrani</f>
        <v/>
      </c>
    </row>
    <row r="9" ht="15" customHeight="1" s="66">
      <c r="A9" s="122" t="inlineStr">
        <is>
          <t>Yansıtma Açık Köprüsü</t>
        </is>
      </c>
      <c r="B9" s="118">
        <f>modulI7AcikKopru</f>
        <v/>
      </c>
    </row>
    <row r="11" ht="18.75" customHeight="1" s="66">
      <c r="A11" s="105" t="inlineStr">
        <is>
          <t>KARAR</t>
        </is>
      </c>
      <c r="B11" s="125">
        <f>IF(VeriKaliteSkoru=0,"VERİ YOK",IF(OR(MaliyetArtisOrani&lt;0,modulI7AcikKopru&lt;0),"DURDUR",IF(MaliyetArtisOrani&gt;FiyatYansitmaEsik,"DURDUR",IF(OR(MaliyetArtisOrani&gt;MaliyetArtisEsik,modulI7AcikKopru&gt;0,ABS(modulT5MutabakatFark)&gt;ZamOncesiIsverenMaliyeti*MaliyetArtisEsik,AnomaliCalisanAdedi&gt;0),"İNCELE","UYGUN"))))</f>
        <v/>
      </c>
    </row>
    <row r="12" ht="27.75" customHeight="1" s="66">
      <c r="A12" s="122" t="inlineStr">
        <is>
          <t>GEREKÇE</t>
        </is>
      </c>
      <c r="B12" s="126">
        <f>IF(VeriKaliteSkoru=0,"Girdi eksik; lütfen sarı hücreleri doldurun.",IF(MaliyetArtisOrani&lt;0,"Maliyet artışı negatif: ücret AND fiyat girişlerini kontrol edin.",IF(MaliyetArtisOrani&gt;FiyatYansitmaEsik,"Maliyet artışı %"&amp;TEXT(MaliyetArtisOrani,"0.0%")&amp;" eşiği aşıyor; fiyat yansıtması zorunlu.",IF(modulI7AcikKopru&gt;0,"Fiyat yansıtması maliyet artışını karşılamıyor; açık "&amp;TEXT(modulI7AcikKopru,"#,##0")&amp;" ₺.",IF(ABS(modulT5MutabakatFark)&gt;ZamOncesiIsverenMaliyeti*MaliyetArtisEsik,"Ürün işçilik yükü ile fiili maliyet farkı yüksek; maliyet dağılımını denetleyin.","Maliyet artışı eşikler içinde; fiyat güncellemesi planlanabilir.")))))</f>
        <v/>
      </c>
    </row>
    <row r="14" ht="15" customHeight="1" s="66">
      <c r="A14" s="115" t="inlineStr">
        <is>
          <t>AKSİYONLAR</t>
        </is>
      </c>
    </row>
    <row r="15" ht="15" customHeight="1" s="66">
      <c r="A15" s="126">
        <f>IF(OR(KararSonuc="VERİ YOK",KararSonuc="DURDUR"),"Ücret AND fiyat girişlerini tamamlayın; yansıtma açığını kapatmak için fiyat cetvelini gözden geçirin",IF(MaliyetArtisOrani&gt;MaliyetArtisEsik,"Maliyet artışı eşik üstünde; fiyat güncellemesini planlayın","Fiyat güncelleme planını sürdürün"))</f>
        <v/>
      </c>
    </row>
    <row r="16" ht="15" customHeight="1" s="66">
      <c r="A16" s="126">
        <f>IF(modulI7AcikKopru&gt;0,"Yansıtma açığı "&amp;TEXT(modulI7AcikKopru,"#,##0")&amp;" ₺; işçilik oranı yüksek ürünlerde fiyatı öncelikle artırın","Fiyat yansıtması artışı karşılıyor")</f>
        <v/>
      </c>
    </row>
    <row r="17" ht="15" customHeight="1" s="66">
      <c r="A17" s="126">
        <f>IF(AnomaliCalisanAdedi&gt;0,"Uç ücretli çalışanların ücret AND kıdem kayıtlarını inceleyin","Ücret dağılımı tutarlı")</f>
        <v/>
      </c>
    </row>
    <row r="18" ht="15" customHeight="1" s="66">
      <c r="A18" s="126">
        <f>IF(ABS(modulT5MutabakatFark)&gt;ZamOncesiIsverenMaliyeti*MaliyetArtisEsik,"Ürün işçilik maliyeti ile fiili bordro farkını denetleyin; maliyet dağılımı yanlış olabilir","Maliyet mutabakatı tutarlı")</f>
        <v/>
      </c>
    </row>
    <row r="21" ht="19.5" customHeight="1" s="66">
      <c r="A21" s="103" t="inlineStr">
        <is>
          <t>Karar, gerekçe ve aksiyonlar makine tarafından üretilir; yalnızca sarı hücreler değiştirilebilir.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A21:AN21"/>
    <mergeCell ref="A17:C17"/>
    <mergeCell ref="A1:I1"/>
    <mergeCell ref="A18:C18"/>
    <mergeCell ref="A15:C15"/>
    <mergeCell ref="A16:C16"/>
  </mergeCells>
  <conditionalFormatting sqref="B11">
    <cfRule type="cellIs" rank="0" priority="2" equalAverage="0" operator="equal" aboveAverage="0" dxfId="9" text="" percent="0" bottom="0">
      <formula>"UYGUN"</formula>
    </cfRule>
    <cfRule type="cellIs" rank="0" priority="3" equalAverage="0" operator="equal" aboveAverage="0" dxfId="8" text="" percent="0" bottom="0">
      <formula>"İNCELE"</formula>
    </cfRule>
    <cfRule type="cellIs" rank="0" priority="4" equalAverage="0" operator="equal" aboveAverage="0" dxfId="7" text="" percent="0" bottom="0">
      <formula>"DURDUR"</formula>
    </cfRule>
    <cfRule type="cellIs" rank="0" priority="5" equalAverage="0" operator="equal" aboveAverage="0" dxfId="10" text="" percent="0" bottom="0">
      <formula>"VERİ YOK"</formula>
    </cfRule>
  </conditionalFormatting>
  <conditionalFormatting sqref="B7">
    <cfRule type="cellIs" rank="0" priority="6" equalAverage="0" operator="greaterThan" aboveAverage="0" dxfId="7" text="" percent="0" bottom="0">
      <formula>FiyatYansitmaEsik</formula>
    </cfRule>
    <cfRule type="cellIs" rank="0" priority="7" equalAverage="0" operator="lessThanOrEqual" aboveAverage="0" dxfId="9" text="" percent="0" bottom="0">
      <formula>FiyatYansitmaEsik</formula>
    </cfRule>
  </conditionalFormatting>
  <conditionalFormatting sqref="B9">
    <cfRule type="cellIs" rank="0" priority="8" equalAverage="0" operator="greaterThan" aboveAverage="0" dxfId="7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AN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6" customWidth="1" style="92" min="1" max="1"/>
    <col width="20" customWidth="1" style="92" min="2" max="4"/>
    <col width="13" customWidth="1" style="66" min="3" max="3"/>
    <col width="13" customWidth="1" style="66" min="4" max="4"/>
    <col width="13" customWidth="1" style="66" min="5" max="5"/>
    <col width="13" customWidth="1" style="66" min="6" max="6"/>
    <col width="13" customWidth="1" style="66" min="7" max="7"/>
    <col width="13" customWidth="1" style="66" min="8" max="8"/>
    <col width="13" customWidth="1" style="66" min="9" max="9"/>
    <col width="13" customWidth="1" style="66" min="10" max="10"/>
    <col width="13" customWidth="1" style="66" min="11" max="11"/>
  </cols>
  <sheetData>
    <row r="1" ht="32" customHeight="1" s="66">
      <c r="A1" s="265" t="inlineStr">
        <is>
          <t>SENARYO DUYARLILIK — ASGARİ ÜCRET ZAM ETKİSİ &amp; FİYAT AYARLAMA CETVELİ</t>
        </is>
      </c>
    </row>
    <row r="3" ht="22" customHeight="1" s="66">
      <c r="A3" s="284" t="inlineStr">
        <is>
          <t>Senaryo ve Duyarlılık Analizi</t>
        </is>
      </c>
    </row>
    <row r="6" ht="30" customHeight="1" s="66">
      <c r="A6" s="107" t="inlineStr">
        <is>
          <t>Değişken</t>
        </is>
      </c>
      <c r="B6" s="107" t="inlineStr">
        <is>
          <t>Kötümser</t>
        </is>
      </c>
      <c r="C6" s="107" t="inlineStr">
        <is>
          <t>Baz</t>
        </is>
      </c>
      <c r="D6" s="107" t="inlineStr">
        <is>
          <t>İyimser</t>
        </is>
      </c>
    </row>
    <row r="7" ht="15" customHeight="1" s="66">
      <c r="A7" s="116" t="inlineStr">
        <is>
          <t>Maliyet Artışı (₺)</t>
        </is>
      </c>
      <c r="B7" s="118">
        <f>IFERROR(ToplamMaliyetArtis*(1+SenaryoKotumserKat),0)</f>
        <v/>
      </c>
      <c r="C7" s="118">
        <f>ToplamMaliyetArtis</f>
        <v/>
      </c>
      <c r="D7" s="118">
        <f>IFERROR(ToplamMaliyetArtis*(1-SenaryoIyimserKat),0)</f>
        <v/>
      </c>
    </row>
    <row r="8" ht="15" customHeight="1" s="66">
      <c r="A8" s="116" t="inlineStr">
        <is>
          <t>Fiyat Yansıtma Oranı (Kötümser Senaryo)</t>
        </is>
      </c>
      <c r="B8" s="119">
        <f>IFERROR(FiyatYansitmaOrani*(1-SenaryoKotumserKat),0)</f>
        <v/>
      </c>
      <c r="C8" s="119">
        <f>FiyatYansitmaOrani</f>
        <v/>
      </c>
      <c r="D8" s="119">
        <f>IFERROR(FiyatYansitmaOrani*(1+SenaryoIyimserKat),0)</f>
        <v/>
      </c>
    </row>
    <row r="9" ht="15" customHeight="1" s="66">
      <c r="A9" s="116" t="inlineStr">
        <is>
          <t>Yansıtma Kazancı (Kötümser Senaryo)</t>
        </is>
      </c>
      <c r="B9" s="118">
        <f>IFERROR(FiyatYansitmaKazanci*(1-SenaryoKotumserKat),0)</f>
        <v/>
      </c>
      <c r="C9" s="118">
        <f>FiyatYansitmaKazanci</f>
        <v/>
      </c>
      <c r="D9" s="118">
        <f>IFERROR(FiyatYansitmaKazanci*(1+SenaryoIyimserKat),0)</f>
        <v/>
      </c>
    </row>
    <row r="10" ht="15" customHeight="1" s="66">
      <c r="A10" s="116" t="inlineStr">
        <is>
          <t>Açık Köprü (Kötümser Senaryo)</t>
        </is>
      </c>
      <c r="B10" s="118">
        <f>IFERROR(MAX(0,B7-B9),0)</f>
        <v/>
      </c>
      <c r="C10" s="118">
        <f>IFERROR(MAX(0,C7-C9),0)</f>
        <v/>
      </c>
      <c r="D10" s="118">
        <f>IFERROR(MAX(0,D7-D9),0)</f>
        <v/>
      </c>
    </row>
    <row r="11" ht="15" customHeight="1" s="66">
      <c r="A11" s="116" t="inlineStr">
        <is>
          <t>Karar</t>
        </is>
      </c>
      <c r="B11" s="121">
        <f>IF(VeriKaliteSkoru=0,"VERİ YOK",IF(B7&gt;FiyatYansitmaEsik*ZamOncesiIsverenMaliyeti,"DURDUR",IF(OR(B10&gt;0,B7&gt;MaliyetArtisEsik*ZamOncesiIsverenMaliyeti),"İNCELE","UYGUN")))</f>
        <v/>
      </c>
      <c r="C11" s="121">
        <f>IF(VeriKaliteSkoru=0,"VERİ YOK",IF(C7&gt;FiyatYansitmaEsik*ZamOncesiIsverenMaliyeti,"DURDUR",IF(OR(C10&gt;0,C7&gt;MaliyetArtisEsik*ZamOncesiIsverenMaliyeti),"İNCELE","UYGUN")))</f>
        <v/>
      </c>
      <c r="D11" s="121">
        <f>IF(VeriKaliteSkoru=0,"VERİ YOK",IF(D7&gt;FiyatYansitmaEsik*ZamOncesiIsverenMaliyeti,"DURDUR",IF(OR(D10&gt;0,D7&gt;MaliyetArtisEsik*ZamOncesiIsverenMaliyeti),"İNCELE","UYGUN")))</f>
        <v/>
      </c>
    </row>
    <row r="13" ht="15" customHeight="1" s="66">
      <c r="A13" s="115" t="inlineStr">
        <is>
          <t>Tornado Duyarlılık</t>
        </is>
      </c>
    </row>
    <row r="14" ht="15" customHeight="1" s="66">
      <c r="A14" s="122" t="inlineStr">
        <is>
          <t>Asgari Ücret Zam Oranı Değişimi</t>
        </is>
      </c>
      <c r="B14" s="124">
        <f>IFERROR(AsgariUcretZamOrani*(1-DuyarliDegisim),0)</f>
        <v/>
      </c>
      <c r="C14" s="124">
        <f>AsgariUcretZamOrani</f>
        <v/>
      </c>
      <c r="D14" s="124">
        <f>IFERROR(AsgariUcretZamOrani*(1+DuyarliDegisim),0)</f>
        <v/>
      </c>
    </row>
    <row r="15" ht="15" customHeight="1" s="66">
      <c r="A15" s="122" t="inlineStr">
        <is>
          <t>Etki (₺)</t>
        </is>
      </c>
      <c r="B15" s="136">
        <f>IFERROR(MAX(0,AsgariUcretZamOrani*(1-DuyarliDegisim)*ZamOncesiIsverenMaliyeti),0)</f>
        <v/>
      </c>
      <c r="C15" s="136">
        <f>IFERROR(MAX(0,AsgariUcretZamOrani*ZamOncesiIsverenMaliyeti),0)</f>
        <v/>
      </c>
      <c r="D15" s="136">
        <f>IFERROR(MAX(0,AsgariUcretZamOrani*(1+DuyarliDegisim)*ZamOncesiIsverenMaliyeti),0)</f>
        <v/>
      </c>
    </row>
    <row r="17" ht="15" customHeight="1" s="66">
      <c r="A17" s="122" t="inlineStr">
        <is>
          <t>Karar değişimi duyarlılığı</t>
        </is>
      </c>
      <c r="B17" s="122">
        <f>IF(VeriKaliteSkoru=0,"VERİ YOK",IF(MAX(B10,C10,D10)&gt;0,"YANSITMA AÇIĞI VAR","YANSITMA YETERLİ"))</f>
        <v/>
      </c>
    </row>
    <row r="19" ht="19.5" customHeight="1" s="66">
      <c r="A19" s="103" t="inlineStr">
        <is>
          <t>Senaryo çarpanları AYARLAR'dan beslenir; kötümser/baz/iyimser aralıkta karar tek ekranda üretilir.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9:AN19"/>
    <mergeCell ref="A1:J1"/>
    <mergeCell ref="A3:J3"/>
  </mergeCells>
  <conditionalFormatting sqref="B7:D10">
    <cfRule type="cellIs" rank="0" priority="2" equalAverage="0" operator="greaterThan" aboveAverage="0" dxfId="9" text="" percent="0" bottom="0">
      <formula>0</formula>
    </cfRule>
  </conditionalFormatting>
  <conditionalFormatting sqref="B10:D10">
    <cfRule type="cellIs" rank="0" priority="3" equalAverage="0" operator="greaterThan" aboveAverage="0" dxfId="7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1"/>
  </sheetPr>
  <dimension ref="A1:I3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7.5" customWidth="1" style="92" min="1" max="1"/>
    <col width="26" customWidth="1" style="92" min="2" max="2"/>
    <col width="30" customWidth="1" style="92" min="3" max="3"/>
    <col width="13" customWidth="1" style="66" min="4" max="4"/>
    <col width="13" customWidth="1" style="66" min="5" max="5"/>
    <col width="13" customWidth="1" style="66" min="6" max="6"/>
    <col width="13" customWidth="1" style="66" min="7" max="7"/>
    <col width="13" customWidth="1" style="66" min="8" max="8"/>
    <col width="13" customWidth="1" style="66" min="9" max="9"/>
    <col width="13" customWidth="1" style="66" min="10" max="10"/>
  </cols>
  <sheetData>
    <row r="1" ht="32" customHeight="1" s="66">
      <c r="A1" s="265" t="inlineStr">
        <is>
          <t>RAPOR — ASGARİ ÜCRET ZAM ETKİSİ &amp; FİYAT AYARLAMA CETVELİ</t>
        </is>
      </c>
    </row>
    <row r="2" ht="24.75" customHeight="1" s="66">
      <c r="A2" s="138" t="inlineStr">
        <is>
          <t>ASGARİ ÜCRET ZAM ETKİSİ &amp; FİYAT AYARLAMA CETVELİ</t>
        </is>
      </c>
    </row>
    <row r="3" ht="15" customHeight="1" s="66">
      <c r="A3" s="105" t="inlineStr">
        <is>
          <t>Yönetici Raporu</t>
        </is>
      </c>
    </row>
    <row r="4" ht="15" customHeight="1" s="66">
      <c r="A4" s="122" t="inlineStr">
        <is>
          <t xml:space="preserve">Firma: </t>
        </is>
      </c>
      <c r="B4" s="121">
        <f>firmaUnvani</f>
        <v/>
      </c>
    </row>
    <row r="5" ht="15" customHeight="1" s="66">
      <c r="A5" s="122" t="inlineStr">
        <is>
          <t xml:space="preserve">Rapor Tarihi: </t>
        </is>
      </c>
      <c r="B5" s="139">
        <f>raporTarihi</f>
        <v/>
      </c>
    </row>
    <row r="6" ht="18.75" customHeight="1" s="66">
      <c r="A6" s="140" t="inlineStr">
        <is>
          <t xml:space="preserve">KARAR: </t>
        </is>
      </c>
      <c r="B6" s="141">
        <f>KararSonuc</f>
        <v/>
      </c>
    </row>
    <row r="8" ht="15" customHeight="1" s="66">
      <c r="A8" s="115" t="inlineStr">
        <is>
          <t>ÖZET TABLOSU</t>
        </is>
      </c>
    </row>
    <row r="9" ht="15" customHeight="1" s="66">
      <c r="A9" s="116" t="inlineStr">
        <is>
          <t>Toplam Maliyet Artışı (₺)</t>
        </is>
      </c>
      <c r="B9" s="118">
        <f>ToplamMaliyetArtis</f>
        <v/>
      </c>
    </row>
    <row r="10" ht="15" customHeight="1" s="66">
      <c r="A10" s="116" t="inlineStr">
        <is>
          <t>Maliyet Artış Oranı</t>
        </is>
      </c>
      <c r="B10" s="119">
        <f>MaliyetArtisOrani</f>
        <v/>
      </c>
    </row>
    <row r="11" ht="15" customHeight="1" s="66">
      <c r="A11" s="116" t="inlineStr">
        <is>
          <t>Asgari Ücret Zam Oranı</t>
        </is>
      </c>
      <c r="B11" s="119">
        <f>AsgariUcretZamOrani</f>
        <v/>
      </c>
    </row>
    <row r="12" ht="15" customHeight="1" s="66">
      <c r="A12" s="116" t="inlineStr">
        <is>
          <t>Fiyat Yansıtma Oranı</t>
        </is>
      </c>
      <c r="B12" s="119">
        <f>FiyatYansitmaOrani</f>
        <v/>
      </c>
    </row>
    <row r="13" ht="15" customHeight="1" s="66">
      <c r="A13" s="116" t="inlineStr">
        <is>
          <t>Yansıtma Kazancı (₺)</t>
        </is>
      </c>
      <c r="B13" s="118">
        <f>FiyatYansitmaKazanci</f>
        <v/>
      </c>
    </row>
    <row r="14" ht="15" customHeight="1" s="66">
      <c r="A14" s="116" t="inlineStr">
        <is>
          <t>Açık Köprü (₺)</t>
        </is>
      </c>
      <c r="B14" s="118">
        <f>modulI7AcikKopru</f>
        <v/>
      </c>
    </row>
    <row r="15" ht="15" customHeight="1" s="66">
      <c r="A15" s="116" t="inlineStr">
        <is>
          <t>Veri Kalite Skoru</t>
        </is>
      </c>
      <c r="B15" s="117">
        <f>VeriKaliteSkoru</f>
        <v/>
      </c>
    </row>
    <row r="16" ht="15" customHeight="1" s="66">
      <c r="A16" s="116" t="inlineStr">
        <is>
          <t>Toplam Çalışan</t>
        </is>
      </c>
      <c r="B16" s="117">
        <f>ToplamCalisanSayisi</f>
        <v/>
      </c>
    </row>
    <row r="18" ht="15" customHeight="1" s="66">
      <c r="A18" s="142">
        <f>KararGerekce</f>
        <v/>
      </c>
    </row>
    <row r="19" ht="15" customHeight="1" s="66"/>
    <row r="20" ht="15" customHeight="1" s="66">
      <c r="A20" s="115" t="inlineStr">
        <is>
          <t>VARSAYIMLAR</t>
        </is>
      </c>
    </row>
    <row r="21" ht="15" customHeight="1" s="66">
      <c r="A21" s="106" t="inlineStr">
        <is>
          <t>SGK işveren payı ve işsizlik işveren payı AYARLAR'dan okunur; mevzuat değişikliğinde güncellenmelidir.</t>
        </is>
      </c>
    </row>
    <row r="22" ht="15" customHeight="1" s="66">
      <c r="A22" s="106" t="inlineStr">
        <is>
          <t>Asgari ücret değerleri AYARLAR'dan okunur; Resmi Gazete duyurusu sonrası kullanıcı güncellemelidir.</t>
        </is>
      </c>
    </row>
    <row r="23" ht="15" customHeight="1" s="66">
      <c r="A23" s="106" t="inlineStr">
        <is>
          <t>Fiyat yansıtma oranı işçilik oranıyla doğrusal varsayılır; pazar koşulları farklılaştırabilir.</t>
        </is>
      </c>
    </row>
    <row r="25" ht="15" customHeight="1" s="66">
      <c r="A25" s="115" t="inlineStr">
        <is>
          <t>UYARILAR</t>
        </is>
      </c>
    </row>
    <row r="26" ht="15" customHeight="1" s="66">
      <c r="A26" s="97" t="inlineStr">
        <is>
          <t>Maliyet artışı fiyat yansıtmasıyla karşılanmıyorsa marj kaybı oluşur.</t>
        </is>
      </c>
    </row>
    <row r="27" ht="15" customHeight="1" s="66">
      <c r="A27" s="97" t="inlineStr">
        <is>
          <t>Veri kalite skoru düşükse karar güveni sınırlıdır.</t>
        </is>
      </c>
    </row>
    <row r="28" ht="15" customHeight="1" s="66">
      <c r="A28" s="97" t="inlineStr">
        <is>
          <t>Ücret mutabakat farkı varsa maliyet dağılımı yanlış olabilir.</t>
        </is>
      </c>
    </row>
    <row r="30" ht="15" customHeight="1" s="66">
      <c r="A30" s="115" t="inlineStr">
        <is>
          <t>ÖNERİLEN AKSİYONLAR</t>
        </is>
      </c>
    </row>
    <row r="31" ht="15" customHeight="1" s="66">
      <c r="A31" s="126" t="inlineStr">
        <is>
          <t>Maliyet artışı eşik üstünde ise işçilik oranı yüksek ürünlerde fiyat güncellemesini önceliklendirin.</t>
        </is>
      </c>
    </row>
    <row r="32" ht="15" customHeight="1" s="66">
      <c r="A32" s="126" t="inlineStr">
        <is>
          <t>Yansıtma açığı varsa ürün cetvelindeki fiyatları gözden geçirin; açığı kapatmadan fiyat onayı vermeyin.</t>
        </is>
      </c>
    </row>
    <row r="33" ht="15" customHeight="1" s="66">
      <c r="A33" s="126" t="inlineStr">
        <is>
          <t>Veri kalite skoru düşükse ücret ve fiyat girişlerini tamamlayıp raporu yeniden oluşturun.</t>
        </is>
      </c>
    </row>
    <row r="36" ht="15" customHeight="1" s="66">
      <c r="A36" s="99" t="inlineStr">
        <is>
          <t>Bu rapor ExcelArşiv aracıyla üretilmiştir; karar destek amaçlıdır, danışmanlık yerine geçmez.</t>
        </is>
      </c>
    </row>
    <row r="37" ht="15" customHeight="1" s="66">
      <c r="A37" s="99" t="inlineStr">
        <is>
          <t>Verileriniz cihazınızdan çıkmaz; dosya tamamen çevrimdışı çalışır.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4">
    <mergeCell ref="A28:C28"/>
    <mergeCell ref="A2:F2"/>
    <mergeCell ref="A33:C33"/>
    <mergeCell ref="A18:C19"/>
    <mergeCell ref="A36:F36"/>
    <mergeCell ref="A23:C23"/>
    <mergeCell ref="A32:C32"/>
    <mergeCell ref="A31:C31"/>
    <mergeCell ref="A37:F37"/>
    <mergeCell ref="A22:C22"/>
    <mergeCell ref="A1:I1"/>
    <mergeCell ref="A27:C27"/>
    <mergeCell ref="A21:C21"/>
    <mergeCell ref="A26:C26"/>
  </mergeCells>
  <conditionalFormatting sqref="B6">
    <cfRule type="cellIs" rank="0" priority="2" equalAverage="0" operator="equal" aboveAverage="0" dxfId="9" text="" percent="0" bottom="0">
      <formula>"UYGUN"</formula>
    </cfRule>
    <cfRule type="cellIs" rank="0" priority="3" equalAverage="0" operator="equal" aboveAverage="0" dxfId="8" text="" percent="0" bottom="0">
      <formula>"İNCELE"</formula>
    </cfRule>
    <cfRule type="cellIs" rank="0" priority="4" equalAverage="0" operator="equal" aboveAverage="0" dxfId="7" text="" percent="0" bottom="0">
      <formula>"DURDUR"</formula>
    </cfRule>
  </conditionalFormatting>
  <conditionalFormatting sqref="B9">
    <cfRule type="cellIs" rank="0" priority="5" equalAverage="0" operator="greaterThan" aboveAverage="0" dxfId="7" text="" percent="0" bottom="0">
      <formula>FiyatYansitmaEsik</formula>
    </cfRule>
    <cfRule type="cellIs" rank="0" priority="6" equalAverage="0" operator="lessThanOrEqual" aboveAverage="0" dxfId="9" text="" percent="0" bottom="0">
      <formula>FiyatYansitmaEsik</formula>
    </cfRule>
  </conditionalFormatting>
  <conditionalFormatting sqref="B14">
    <cfRule type="cellIs" rank="0" priority="7" equalAverage="0" operator="greaterThan" aboveAverage="0" dxfId="7" text="" percent="0" bottom="0">
      <formula>0</formula>
    </cfRule>
  </conditionalFormatting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&amp;LASGARİ ÜCRET ZAM ETKİSİ FİYAT AYARLAMA CETVELİ&amp;CExcelArşiv&amp;RSayfa &amp;P / &amp;N</oddFooter>
    <evenHeader/>
    <evenFooter/>
    <firstHeader/>
    <firstFooter/>
  </headerFooter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AN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74.5" customWidth="1" style="92" min="1" max="1"/>
    <col width="26.5" customWidth="1" style="92" min="2" max="2"/>
    <col width="29.5" customWidth="1" style="92" min="3" max="3"/>
    <col width="20" customWidth="1" style="92" min="4" max="4"/>
    <col width="17.5" customWidth="1" style="92" min="5" max="5"/>
    <col width="13" customWidth="1" style="66" min="6" max="6"/>
    <col width="13" customWidth="1" style="66" min="7" max="7"/>
    <col width="13" customWidth="1" style="66" min="8" max="8"/>
    <col width="13" customWidth="1" style="66" min="9" max="9"/>
    <col width="13" customWidth="1" style="66" min="10" max="10"/>
  </cols>
  <sheetData>
    <row r="1" ht="32" customHeight="1" s="66">
      <c r="A1" s="265" t="inlineStr">
        <is>
          <t>ORNEK VERI — ASGARİ ÜCRET ZAM ETKİSİ &amp; FİYAT AYARLAMA CETVELİ</t>
        </is>
      </c>
    </row>
    <row r="3" ht="22" customHeight="1" s="66">
      <c r="A3" s="284" t="inlineStr">
        <is>
          <t>Örnek Veri (CALISANLAR)</t>
        </is>
      </c>
    </row>
    <row r="5" ht="30" customHeight="1" s="66">
      <c r="A5" s="107" t="inlineStr">
        <is>
          <t>Çalışan Adı</t>
        </is>
      </c>
      <c r="B5" s="107" t="inlineStr">
        <is>
          <t>İşe Giriş Tarihi</t>
        </is>
      </c>
      <c r="C5" s="107" t="inlineStr">
        <is>
          <t>Zam Öncesi Brüt Ücret (₺)</t>
        </is>
      </c>
      <c r="D5" s="107" t="inlineStr">
        <is>
          <t>Ücret Türü</t>
        </is>
      </c>
      <c r="E5" s="107" t="inlineStr">
        <is>
          <t>Zam Oranı (%)</t>
        </is>
      </c>
    </row>
    <row r="6" ht="15" customHeight="1" s="66">
      <c r="A6" s="143" t="inlineStr">
        <is>
          <t>Ahmet Yılmaz</t>
        </is>
      </c>
      <c r="B6" s="143" t="inlineStr">
        <is>
          <t>01.03.2020</t>
        </is>
      </c>
      <c r="C6" s="136" t="n">
        <v>20000</v>
      </c>
      <c r="D6" s="143" t="inlineStr">
        <is>
          <t>Asgari</t>
        </is>
      </c>
      <c r="E6" s="124" t="n">
        <v>0</v>
      </c>
    </row>
    <row r="7" ht="15" customHeight="1" s="66">
      <c r="A7" s="143" t="inlineStr">
        <is>
          <t>Ayşe Kaya</t>
        </is>
      </c>
      <c r="B7" s="143" t="inlineStr">
        <is>
          <t>01.06.2015</t>
        </is>
      </c>
      <c r="C7" s="136" t="n">
        <v>35000</v>
      </c>
      <c r="D7" s="143" t="inlineStr">
        <is>
          <t>Ust Oran</t>
        </is>
      </c>
      <c r="E7" s="124" t="n">
        <v>0.15</v>
      </c>
    </row>
    <row r="8" ht="15" customHeight="1" s="66">
      <c r="A8" s="143" t="inlineStr">
        <is>
          <t>Mehmet Demir</t>
        </is>
      </c>
      <c r="B8" s="143" t="inlineStr">
        <is>
          <t>15.01.2022</t>
        </is>
      </c>
      <c r="C8" s="136" t="n">
        <v>12000</v>
      </c>
      <c r="D8" s="143" t="inlineStr">
        <is>
          <t>Asgari</t>
        </is>
      </c>
      <c r="E8" s="124" t="n">
        <v>0</v>
      </c>
    </row>
    <row r="9" ht="15" customHeight="1" s="66">
      <c r="A9" s="143" t="inlineStr">
        <is>
          <t>Zeynep Çelik</t>
        </is>
      </c>
      <c r="B9" s="143" t="inlineStr">
        <is>
          <t>01.04.2018</t>
        </is>
      </c>
      <c r="C9" s="136" t="n">
        <v>25000</v>
      </c>
      <c r="D9" s="143" t="inlineStr">
        <is>
          <t>Ust Oran</t>
        </is>
      </c>
      <c r="E9" s="124" t="n">
        <v>0.1</v>
      </c>
    </row>
    <row r="10" ht="15" customHeight="1" s="66">
      <c r="A10" s="143" t="inlineStr">
        <is>
          <t>Mustafa Şahin</t>
        </is>
      </c>
      <c r="B10" s="143" t="inlineStr">
        <is>
          <t>01.09.2019</t>
        </is>
      </c>
      <c r="C10" s="136" t="n">
        <v>15000</v>
      </c>
      <c r="D10" s="143" t="inlineStr">
        <is>
          <t>Asgari</t>
        </is>
      </c>
      <c r="E10" s="124" t="n">
        <v>0</v>
      </c>
    </row>
    <row r="11" ht="15" customHeight="1" s="66">
      <c r="A11" s="143" t="inlineStr">
        <is>
          <t>Fatma Öztürk</t>
        </is>
      </c>
      <c r="B11" s="143" t="inlineStr">
        <is>
          <t>01.01.2021</t>
        </is>
      </c>
      <c r="C11" s="136" t="n">
        <v>18000</v>
      </c>
      <c r="D11" s="143" t="inlineStr">
        <is>
          <t>Ust Oran</t>
        </is>
      </c>
      <c r="E11" s="124" t="n">
        <v>0.12</v>
      </c>
    </row>
    <row r="14" ht="15" customHeight="1" s="66">
      <c r="A14" s="105" t="inlineStr">
        <is>
          <t>Örnek Veri (URUNLER)</t>
        </is>
      </c>
    </row>
    <row r="16" ht="30" customHeight="1" s="66">
      <c r="A16" s="107" t="inlineStr">
        <is>
          <t>Ürün/Hizmet Adı</t>
        </is>
      </c>
      <c r="B16" s="107" t="inlineStr">
        <is>
          <t>Birim Satış Fiyatı (₺)</t>
        </is>
      </c>
      <c r="C16" s="107" t="inlineStr">
        <is>
          <t>Birim Başına İşçilik (₺)</t>
        </is>
      </c>
      <c r="D16" s="107" t="inlineStr">
        <is>
          <t>Aylık Adet</t>
        </is>
      </c>
      <c r="E16" s="107" t="n"/>
    </row>
    <row r="17" ht="15" customHeight="1" s="66">
      <c r="A17" s="143" t="inlineStr">
        <is>
          <t>Beton İşçiliği</t>
        </is>
      </c>
      <c r="B17" s="136" t="n">
        <v>1200</v>
      </c>
      <c r="C17" s="136" t="n">
        <v>300</v>
      </c>
      <c r="D17" s="123" t="n">
        <v>50</v>
      </c>
    </row>
    <row r="18" ht="15" customHeight="1" s="66">
      <c r="A18" s="143" t="inlineStr">
        <is>
          <t>Kalıp İşçiliği</t>
        </is>
      </c>
      <c r="B18" s="136" t="n">
        <v>900</v>
      </c>
      <c r="C18" s="136" t="n">
        <v>250</v>
      </c>
      <c r="D18" s="123" t="n">
        <v>60</v>
      </c>
    </row>
    <row r="19" ht="15" customHeight="1" s="66">
      <c r="A19" s="143" t="inlineStr">
        <is>
          <t>Demir İşçiliği</t>
        </is>
      </c>
      <c r="B19" s="136" t="n">
        <v>1500</v>
      </c>
      <c r="C19" s="136" t="n">
        <v>400</v>
      </c>
      <c r="D19" s="123" t="n">
        <v>30</v>
      </c>
    </row>
    <row r="20" ht="15" customHeight="1" s="66">
      <c r="A20" s="143" t="inlineStr">
        <is>
          <t>İskele Kurulumu</t>
        </is>
      </c>
      <c r="B20" s="136" t="n">
        <v>700</v>
      </c>
      <c r="C20" s="136" t="n">
        <v>180</v>
      </c>
      <c r="D20" s="123" t="n">
        <v>40</v>
      </c>
    </row>
    <row r="22" ht="19.5" customHeight="1" s="66">
      <c r="A22" s="103" t="inlineStr">
        <is>
          <t>Örnek veri yalnızca gösterim içindir; üretim dosyasına kopyalanabilir.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22:AN22"/>
    <mergeCell ref="A3:I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I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6.5" customWidth="1" style="92" min="1" max="1"/>
    <col width="16" customWidth="1" style="92" min="2" max="2"/>
    <col width="14" customWidth="1" style="92" min="3" max="4"/>
    <col width="13" customWidth="1" style="66" min="4" max="4"/>
    <col width="10" customWidth="1" style="92" min="5" max="5"/>
    <col width="16.5" customWidth="1" style="92" min="6" max="6"/>
    <col width="40.5" customWidth="1" style="92" min="7" max="7"/>
    <col width="13" customWidth="1" style="66" min="8" max="8"/>
    <col width="13" customWidth="1" style="66" min="9" max="9"/>
    <col width="13" customWidth="1" style="66" min="10" max="10"/>
  </cols>
  <sheetData>
    <row r="1" ht="32" customHeight="1" s="66">
      <c r="A1" s="265" t="inlineStr">
        <is>
          <t>AKIS — AsgariUcretZamEtkisiFiyatAyarlamaCetveli</t>
        </is>
      </c>
    </row>
    <row r="3" ht="15" customHeight="1" s="66">
      <c r="A3" s="92" t="inlineStr">
        <is>
          <t>islem_id</t>
        </is>
      </c>
      <c r="B3" s="92" t="inlineStr">
        <is>
          <t>kaynak_kart_id</t>
        </is>
      </c>
      <c r="C3" s="92" t="inlineStr">
        <is>
          <t>onceki_durum</t>
        </is>
      </c>
      <c r="D3" s="92" t="inlineStr">
        <is>
          <t>yeni_durum</t>
        </is>
      </c>
      <c r="E3" s="92" t="inlineStr">
        <is>
          <t>tutar</t>
        </is>
      </c>
      <c r="F3" s="92" t="inlineStr">
        <is>
          <t>bayrak</t>
        </is>
      </c>
      <c r="G3" s="92" t="inlineStr">
        <is>
          <t>not</t>
        </is>
      </c>
    </row>
    <row r="4" ht="15" customHeight="1" s="66">
      <c r="A4" s="92" t="inlineStr">
        <is>
          <t>I-001</t>
        </is>
      </c>
      <c r="B4" s="92" t="inlineStr">
        <is>
          <t>KART-01</t>
        </is>
      </c>
      <c r="C4" s="92" t="inlineStr">
        <is>
          <t>ACIK</t>
        </is>
      </c>
      <c r="D4" s="92" t="inlineStr">
        <is>
          <t>ISLEMDE</t>
        </is>
      </c>
      <c r="E4" s="144" t="n">
        <v>1000</v>
      </c>
      <c r="F4" s="92" t="inlineStr">
        <is>
          <t>OK</t>
        </is>
      </c>
      <c r="G4" s="92" t="inlineStr">
        <is>
          <t>normal geçiş</t>
        </is>
      </c>
    </row>
    <row r="5" ht="15" customHeight="1" s="66">
      <c r="A5" s="92" t="inlineStr">
        <is>
          <t>I-002</t>
        </is>
      </c>
      <c r="B5" s="92" t="inlineStr">
        <is>
          <t>YETİM</t>
        </is>
      </c>
      <c r="C5" s="92" t="inlineStr">
        <is>
          <t>ACIK</t>
        </is>
      </c>
      <c r="D5" s="92" t="inlineStr">
        <is>
          <t>KAPALI</t>
        </is>
      </c>
      <c r="E5" s="144" t="n">
        <v>0</v>
      </c>
      <c r="F5" s="92" t="inlineStr">
        <is>
          <t>YETİM</t>
        </is>
      </c>
      <c r="G5" s="92" t="inlineStr">
        <is>
          <t>kaynak_kart_id yok — yetim kayıt</t>
        </is>
      </c>
    </row>
    <row r="6" ht="15" customHeight="1" s="66">
      <c r="A6" s="92" t="inlineStr">
        <is>
          <t>I-003</t>
        </is>
      </c>
      <c r="B6" s="92" t="inlineStr">
        <is>
          <t>KART-02</t>
        </is>
      </c>
      <c r="C6" s="92" t="inlineStr">
        <is>
          <t>ACIK</t>
        </is>
      </c>
      <c r="D6" s="92" t="inlineStr">
        <is>
          <t>KAPALI</t>
        </is>
      </c>
      <c r="E6" s="144" t="n">
        <v>500</v>
      </c>
      <c r="F6" s="92" t="inlineStr">
        <is>
          <t>GECERSIZ</t>
        </is>
      </c>
      <c r="G6" s="92" t="inlineStr">
        <is>
          <t>geçersiz durum geçişi</t>
        </is>
      </c>
    </row>
    <row r="7" ht="15" customHeight="1" s="66">
      <c r="A7" s="92" t="inlineStr">
        <is>
          <t>I-004</t>
        </is>
      </c>
      <c r="B7" s="92" t="inlineStr">
        <is>
          <t>KART-03</t>
        </is>
      </c>
      <c r="C7" s="92" t="inlineStr">
        <is>
          <t>ISLEMDE</t>
        </is>
      </c>
      <c r="D7" s="92" t="inlineStr">
        <is>
          <t>ISLEMDE</t>
        </is>
      </c>
      <c r="E7" s="144" t="n">
        <v>250</v>
      </c>
      <c r="F7" s="92" t="inlineStr">
        <is>
          <t>ZINCIR_KIRIK</t>
        </is>
      </c>
      <c r="G7" s="92" t="inlineStr">
        <is>
          <t>ZİNCİR KIRIK — tutar zinciri sapması</t>
        </is>
      </c>
    </row>
    <row r="9" ht="15" customHeight="1" s="66">
      <c r="A9" s="92" t="inlineStr">
        <is>
          <t>kuyruk_kanit</t>
        </is>
      </c>
      <c r="B9" s="92">
        <f>IFERROR(COUNTIF($F$4:$F$1000,"OK"),0)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I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4" customWidth="1" style="92" min="1" max="1"/>
    <col width="20" customWidth="1" style="92" min="2" max="2"/>
    <col width="98.5" customWidth="1" style="92" min="3" max="3"/>
    <col width="13" customWidth="1" style="66" min="4" max="4"/>
    <col width="13" customWidth="1" style="66" min="5" max="5"/>
    <col width="13" customWidth="1" style="66" min="6" max="6"/>
    <col width="13" customWidth="1" style="66" min="7" max="7"/>
    <col width="13" customWidth="1" style="66" min="8" max="8"/>
    <col width="13" customWidth="1" style="66" min="9" max="9"/>
    <col width="13" customWidth="1" style="66" min="10" max="10"/>
  </cols>
  <sheetData>
    <row r="1" ht="32" customHeight="1" s="66">
      <c r="A1" s="265" t="inlineStr">
        <is>
          <t>DEGISIKLIK KAYDI — ASGARİ ÜCRET ZAM ETKİSİ &amp; FİYAT AYARLAMA CETVELİ</t>
        </is>
      </c>
    </row>
    <row r="3" ht="22" customHeight="1" s="66">
      <c r="A3" s="284" t="inlineStr">
        <is>
          <t>Değişiklik Kaydı</t>
        </is>
      </c>
    </row>
    <row r="5" ht="30" customHeight="1" s="66">
      <c r="A5" s="107" t="inlineStr">
        <is>
          <t>Sürüm</t>
        </is>
      </c>
      <c r="B5" s="107" t="inlineStr">
        <is>
          <t>Tarih</t>
        </is>
      </c>
      <c r="C5" s="107" t="inlineStr">
        <is>
          <t>Açıklama</t>
        </is>
      </c>
    </row>
    <row r="6" ht="27.75" customHeight="1" s="66">
      <c r="A6" s="143" t="inlineStr">
        <is>
          <t>1.0.0</t>
        </is>
      </c>
      <c r="B6" s="143" t="inlineStr">
        <is>
          <t>09.08.2026</t>
        </is>
      </c>
      <c r="C6" s="126" t="inlineStr">
        <is>
          <t>İlk sürüm: asgari ücret zam etkisi, fiyat ayarlama cetveli, karar motoru ve 15 analitik modül.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AN1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" customWidth="1" style="92" min="1" max="3"/>
    <col width="13" customWidth="1" style="66" min="2" max="2"/>
    <col width="13" customWidth="1" style="66" min="3" max="3"/>
    <col width="13" customWidth="1" style="66" min="4" max="4"/>
    <col width="13" customWidth="1" style="66" min="5" max="5"/>
    <col width="13" customWidth="1" style="66" min="6" max="6"/>
    <col width="13" customWidth="1" style="66" min="7" max="7"/>
    <col width="13" customWidth="1" style="66" min="8" max="8"/>
    <col width="13" customWidth="1" style="66" min="9" max="9"/>
    <col width="13" customWidth="1" style="66" min="10" max="10"/>
  </cols>
  <sheetData>
    <row r="1" ht="32" customHeight="1" s="66">
      <c r="A1" s="265" t="inlineStr">
        <is>
          <t>LISTELER — ASGARİ ÜCRET ZAM ETKİSİ &amp; FİYAT AYARLAMA CETVELİ</t>
        </is>
      </c>
    </row>
    <row r="3" ht="22" customHeight="1" s="66">
      <c r="A3" s="284" t="inlineStr">
        <is>
          <t>Açılır Liste Kaynakları</t>
        </is>
      </c>
    </row>
    <row r="4" ht="15" customHeight="1" s="66">
      <c r="A4" s="116" t="inlineStr">
        <is>
          <t>Ücret Türleri</t>
        </is>
      </c>
    </row>
    <row r="6" ht="15" customHeight="1" s="66">
      <c r="A6" s="145" t="inlineStr">
        <is>
          <t>Asgari</t>
        </is>
      </c>
    </row>
    <row r="7" ht="15" customHeight="1" s="66">
      <c r="A7" s="145" t="inlineStr">
        <is>
          <t>Ust Oran</t>
        </is>
      </c>
    </row>
    <row r="8" ht="15" customHeight="1" s="66">
      <c r="A8" s="145" t="inlineStr">
        <is>
          <t>Sabit</t>
        </is>
      </c>
    </row>
    <row r="11" ht="19.5" customHeight="1" s="66">
      <c r="A11" s="103" t="inlineStr">
        <is>
          <t>Listeler AYARLAR sayfasındaki ayarlarla birlikte doğrulama aralıklarını besler.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11:AN11"/>
    <mergeCell ref="A3:I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AN4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92.5" customWidth="1" style="92" min="1" max="1"/>
    <col width="26" customWidth="1" style="92" min="2" max="2"/>
    <col width="21.5" customWidth="1" style="92" min="3" max="3"/>
    <col width="11.5" customWidth="1" style="92" min="4" max="4"/>
    <col width="72.5" customWidth="1" style="92" min="5" max="5"/>
    <col width="63.5" customWidth="1" style="92" min="6" max="6"/>
    <col width="19.5" customWidth="1" style="92" min="7" max="8"/>
    <col width="20.5" customWidth="1" style="66" min="8" max="8"/>
    <col width="13" customWidth="1" style="66" min="9" max="9"/>
    <col width="16" customWidth="1" style="92" min="10" max="10"/>
    <col width="13" customWidth="1" style="92" min="11" max="11"/>
    <col width="28" customWidth="1" style="92" min="12" max="12"/>
    <col width="16" customWidth="1" style="92" min="13" max="13"/>
    <col width="13" customWidth="1" style="92" min="14" max="14"/>
  </cols>
  <sheetData>
    <row r="1" ht="32" customHeight="1" s="66">
      <c r="A1" s="265" t="inlineStr">
        <is>
          <t>AYARLAR — ASGARİ ÜCRET ZAM ETKİSİ &amp; FİYAT AYARLAMA CETVELİ</t>
        </is>
      </c>
    </row>
    <row r="3" ht="22" customHeight="1" s="66">
      <c r="A3" s="284" t="inlineStr">
        <is>
          <t>Ayarlar ve Eşikler (Formüle Sabit Sayı Girilmez)</t>
        </is>
      </c>
    </row>
    <row r="4" ht="15" customHeight="1" s="66">
      <c r="A4" s="106" t="inlineStr">
        <is>
          <t>Tüm katsayı ve eşikler bu sayfadadır. Mevzuat değişikliklerinde AYARLAR'dan güncellenir; formüller değişmez. Kaynağı Varsayım işaretli değerler kullanıcı tarafından doğrulanmalıdır.</t>
        </is>
      </c>
    </row>
    <row r="5" ht="30" customHeight="1" s="66">
      <c r="A5" s="107" t="inlineStr">
        <is>
          <t>Grup</t>
        </is>
      </c>
      <c r="B5" s="107" t="inlineStr">
        <is>
          <t>Anahtar</t>
        </is>
      </c>
      <c r="C5" s="107" t="inlineStr">
        <is>
          <t>Değer</t>
        </is>
      </c>
      <c r="D5" s="107" t="inlineStr">
        <is>
          <t>Birim</t>
        </is>
      </c>
      <c r="E5" s="107" t="inlineStr">
        <is>
          <t>Açıklama</t>
        </is>
      </c>
      <c r="F5" s="107" t="inlineStr">
        <is>
          <t>kaynak</t>
        </is>
      </c>
      <c r="G5" s="107" t="inlineStr">
        <is>
          <t>yururluk_tarihi</t>
        </is>
      </c>
      <c r="H5" s="107" t="inlineStr">
        <is>
          <t>dogrulama_tarihi</t>
        </is>
      </c>
    </row>
    <row r="6" ht="15" customHeight="1" s="66">
      <c r="A6" s="146" t="inlineStr">
        <is>
          <t>Genel</t>
        </is>
      </c>
      <c r="B6" s="146" t="inlineStr">
        <is>
          <t>firmaUnvani</t>
        </is>
      </c>
      <c r="C6" s="147" t="inlineStr">
        <is>
          <t>Örnek Şirket A.Ş.</t>
        </is>
      </c>
      <c r="D6" s="146" t="inlineStr">
        <is>
          <t>metin</t>
        </is>
      </c>
      <c r="E6" s="148" t="inlineStr">
        <is>
          <t>Rapor başlığında görünen firma adı</t>
        </is>
      </c>
      <c r="F6" s="148" t="inlineStr">
        <is>
          <t>Kullanıcı</t>
        </is>
      </c>
      <c r="G6" s="149" t="inlineStr">
        <is>
          <t>09.08.2026</t>
        </is>
      </c>
      <c r="H6" s="149" t="inlineStr">
        <is>
          <t>09.08.2026</t>
        </is>
      </c>
    </row>
    <row r="7" ht="15" customHeight="1" s="66">
      <c r="A7" s="146" t="inlineStr">
        <is>
          <t>Genel</t>
        </is>
      </c>
      <c r="B7" s="146" t="inlineStr">
        <is>
          <t>raporTarihi</t>
        </is>
      </c>
      <c r="C7" s="150">
        <f>TODAY()</f>
        <v/>
      </c>
      <c r="D7" s="146" t="inlineStr">
        <is>
          <t>tarih</t>
        </is>
      </c>
      <c r="E7" s="148" t="inlineStr">
        <is>
          <t>Dosyadaki tek tarih kaynağı; tüm rapor tarihleri buradan okunur.</t>
        </is>
      </c>
      <c r="F7" s="148" t="inlineStr">
        <is>
          <t>Kullanıcı</t>
        </is>
      </c>
      <c r="G7" s="149" t="inlineStr">
        <is>
          <t>09.08.2026</t>
        </is>
      </c>
      <c r="H7" s="149" t="inlineStr">
        <is>
          <t>09.08.2026</t>
        </is>
      </c>
    </row>
    <row r="8" ht="24.75" customHeight="1" s="66">
      <c r="A8" s="146" t="inlineStr">
        <is>
          <t>Mesai</t>
        </is>
      </c>
      <c r="B8" s="146" t="inlineStr">
        <is>
          <t>AsgariUcretEski</t>
        </is>
      </c>
      <c r="C8" s="151" t="n">
        <v>12000</v>
      </c>
      <c r="D8" s="146" t="inlineStr">
        <is>
          <t>₺</t>
        </is>
      </c>
      <c r="E8" s="148" t="inlineStr">
        <is>
          <t>Zam öncesi asgari ücret.</t>
        </is>
      </c>
      <c r="F8" s="148" t="inlineStr">
        <is>
          <t>Asgari Ücret Tespit Komisyonu kararı; kullanıcı doğrulamalı</t>
        </is>
      </c>
      <c r="G8" s="149" t="inlineStr">
        <is>
          <t>01.01.2025</t>
        </is>
      </c>
      <c r="H8" s="149" t="inlineStr">
        <is>
          <t>09.08.2026</t>
        </is>
      </c>
    </row>
    <row r="9" ht="24.75" customHeight="1" s="66">
      <c r="A9" s="146" t="inlineStr">
        <is>
          <t>Mesai</t>
        </is>
      </c>
      <c r="B9" s="146" t="inlineStr">
        <is>
          <t>AsgariUcretYeni</t>
        </is>
      </c>
      <c r="C9" s="151" t="n">
        <v>15000</v>
      </c>
      <c r="D9" s="146" t="inlineStr">
        <is>
          <t>₺</t>
        </is>
      </c>
      <c r="E9" s="148" t="inlineStr">
        <is>
          <t>Zam sonrası asgari ücret.</t>
        </is>
      </c>
      <c r="F9" s="148" t="inlineStr">
        <is>
          <t>Asgari Ücret Tespit Komisyonu kararı; kullanıcı doğrulamalı</t>
        </is>
      </c>
      <c r="G9" s="149" t="inlineStr">
        <is>
          <t>01.01.2026</t>
        </is>
      </c>
      <c r="H9" s="149" t="inlineStr">
        <is>
          <t>09.08.2026</t>
        </is>
      </c>
    </row>
    <row r="10" ht="15" customHeight="1" s="66">
      <c r="A10" s="146" t="inlineStr">
        <is>
          <t>SGK</t>
        </is>
      </c>
      <c r="B10" s="146" t="inlineStr">
        <is>
          <t>SgkIsverenOran</t>
        </is>
      </c>
      <c r="C10" s="152" t="n">
        <v>0.205</v>
      </c>
      <c r="D10" s="146" t="inlineStr">
        <is>
          <t>oran</t>
        </is>
      </c>
      <c r="E10" s="148" t="inlineStr">
        <is>
          <t>İşveren sigorta prim oranı (kısa/uzun vade + genel sağlık).</t>
        </is>
      </c>
      <c r="F10" s="148" t="inlineStr">
        <is>
          <t>5510 s. SGK md.80</t>
        </is>
      </c>
      <c r="G10" s="149" t="inlineStr">
        <is>
          <t>01.10.2008</t>
        </is>
      </c>
      <c r="H10" s="149" t="inlineStr">
        <is>
          <t>09.08.2026</t>
        </is>
      </c>
    </row>
    <row r="11" ht="15" customHeight="1" s="66">
      <c r="A11" s="146" t="inlineStr">
        <is>
          <t>SGK</t>
        </is>
      </c>
      <c r="B11" s="146" t="inlineStr">
        <is>
          <t>IssizlikIsverenOran</t>
        </is>
      </c>
      <c r="C11" s="152" t="n">
        <v>0.02</v>
      </c>
      <c r="D11" s="146" t="inlineStr">
        <is>
          <t>oran</t>
        </is>
      </c>
      <c r="E11" s="148" t="inlineStr">
        <is>
          <t>İşveren işsizlik sigortası prim oranı.</t>
        </is>
      </c>
      <c r="F11" s="148" t="inlineStr">
        <is>
          <t>4447 s. İşsizlik Sigortası md.46</t>
        </is>
      </c>
      <c r="G11" s="149" t="inlineStr">
        <is>
          <t>01.09.2000</t>
        </is>
      </c>
      <c r="H11" s="149" t="inlineStr">
        <is>
          <t>09.08.2026</t>
        </is>
      </c>
    </row>
    <row r="12" ht="15" customHeight="1" s="66">
      <c r="A12" s="146" t="inlineStr">
        <is>
          <t>SGK</t>
        </is>
      </c>
      <c r="B12" s="146" t="inlineStr">
        <is>
          <t>SgkIsciOran</t>
        </is>
      </c>
      <c r="C12" s="152" t="n">
        <v>0.14</v>
      </c>
      <c r="D12" s="146" t="inlineStr">
        <is>
          <t>oran</t>
        </is>
      </c>
      <c r="E12" s="148" t="inlineStr">
        <is>
          <t>İşçi sigorta prim oranı (uzun vade + genel sağlık).</t>
        </is>
      </c>
      <c r="F12" s="148" t="inlineStr">
        <is>
          <t>5510 s. SGK md.80</t>
        </is>
      </c>
      <c r="G12" s="149" t="inlineStr">
        <is>
          <t>01.10.2008</t>
        </is>
      </c>
      <c r="H12" s="149" t="inlineStr">
        <is>
          <t>09.08.2026</t>
        </is>
      </c>
    </row>
    <row r="13" ht="15" customHeight="1" s="66">
      <c r="A13" s="146" t="inlineStr">
        <is>
          <t>SGK</t>
        </is>
      </c>
      <c r="B13" s="146" t="inlineStr">
        <is>
          <t>IssizlikIsciOran</t>
        </is>
      </c>
      <c r="C13" s="152" t="n">
        <v>0.01</v>
      </c>
      <c r="D13" s="146" t="inlineStr">
        <is>
          <t>oran</t>
        </is>
      </c>
      <c r="E13" s="148" t="inlineStr">
        <is>
          <t>İşçi işsizlik sigortası prim oranı.</t>
        </is>
      </c>
      <c r="F13" s="148" t="inlineStr">
        <is>
          <t>4447 s. İşsizlik Sigortası md.46</t>
        </is>
      </c>
      <c r="G13" s="149" t="inlineStr">
        <is>
          <t>01.09.2000</t>
        </is>
      </c>
      <c r="H13" s="149" t="inlineStr">
        <is>
          <t>09.08.2026</t>
        </is>
      </c>
    </row>
    <row r="14" ht="15" customHeight="1" s="66">
      <c r="A14" s="146" t="inlineStr">
        <is>
          <t>Mesai</t>
        </is>
      </c>
      <c r="B14" s="146" t="inlineStr">
        <is>
          <t>UcretHesaplamaGun</t>
        </is>
      </c>
      <c r="C14" s="153" t="n">
        <v>30</v>
      </c>
      <c r="D14" s="146" t="inlineStr">
        <is>
          <t>gün</t>
        </is>
      </c>
      <c r="E14" s="148" t="inlineStr">
        <is>
          <t>Aylık ücretin günlük karşılığı için bölünen gün sayısı.</t>
        </is>
      </c>
      <c r="F14" s="148" t="inlineStr">
        <is>
          <t>Yaygın uygulama</t>
        </is>
      </c>
      <c r="G14" s="149" t="inlineStr">
        <is>
          <t>01.01.1970</t>
        </is>
      </c>
      <c r="H14" s="149" t="inlineStr">
        <is>
          <t>09.08.2026</t>
        </is>
      </c>
    </row>
    <row r="15" ht="15" customHeight="1" s="66">
      <c r="A15" s="146" t="inlineStr">
        <is>
          <t>Mesai</t>
        </is>
      </c>
      <c r="B15" s="146" t="inlineStr">
        <is>
          <t>GunlukCalismaSaat</t>
        </is>
      </c>
      <c r="C15" s="153" t="n">
        <v>8</v>
      </c>
      <c r="D15" s="146" t="inlineStr">
        <is>
          <t>saat</t>
        </is>
      </c>
      <c r="E15" s="148" t="inlineStr">
        <is>
          <t>Günlük çalışma saati (saatlik ücret hesabı tabanı).</t>
        </is>
      </c>
      <c r="F15" s="148" t="inlineStr">
        <is>
          <t>4857 s. İş Kanunu md.63</t>
        </is>
      </c>
      <c r="G15" s="149" t="inlineStr">
        <is>
          <t>10.06.2003</t>
        </is>
      </c>
      <c r="H15" s="149" t="inlineStr">
        <is>
          <t>09.08.2026</t>
        </is>
      </c>
    </row>
    <row r="16" ht="15" customHeight="1" s="66">
      <c r="A16" s="146" t="inlineStr">
        <is>
          <t>Mesai</t>
        </is>
      </c>
      <c r="B16" s="146" t="inlineStr">
        <is>
          <t>BolumPaydaTaban</t>
        </is>
      </c>
      <c r="C16" s="152" t="n">
        <v>1e-07</v>
      </c>
      <c r="D16" s="146" t="inlineStr">
        <is>
          <t>katsayı</t>
        </is>
      </c>
      <c r="E16" s="148" t="inlineStr">
        <is>
          <t>Bölme işlemlerinde sıfır payda koruması için kullanılan taban değer.</t>
        </is>
      </c>
      <c r="F16" s="148" t="inlineStr">
        <is>
          <t>Varsayım</t>
        </is>
      </c>
      <c r="G16" s="149" t="inlineStr">
        <is>
          <t>09.08.2026</t>
        </is>
      </c>
      <c r="H16" s="149" t="inlineStr">
        <is>
          <t>09.08.2026</t>
        </is>
      </c>
    </row>
    <row r="17" ht="15" customHeight="1" s="66">
      <c r="A17" s="146" t="inlineStr">
        <is>
          <t>Risk</t>
        </is>
      </c>
      <c r="B17" s="146" t="inlineStr">
        <is>
          <t>MaliyetArtisEsik</t>
        </is>
      </c>
      <c r="C17" s="152" t="n">
        <v>0.1</v>
      </c>
      <c r="D17" s="146" t="inlineStr">
        <is>
          <t>oran</t>
        </is>
      </c>
      <c r="E17" s="148" t="inlineStr">
        <is>
          <t>Maliyet artışı uyarı eşiği.</t>
        </is>
      </c>
      <c r="F17" s="148" t="inlineStr">
        <is>
          <t>Varsayım</t>
        </is>
      </c>
      <c r="G17" s="149" t="inlineStr">
        <is>
          <t>09.08.2026</t>
        </is>
      </c>
      <c r="H17" s="149" t="inlineStr">
        <is>
          <t>09.08.2026</t>
        </is>
      </c>
    </row>
    <row r="18" ht="15" customHeight="1" s="66">
      <c r="A18" s="146" t="inlineStr">
        <is>
          <t>Risk</t>
        </is>
      </c>
      <c r="B18" s="146" t="inlineStr">
        <is>
          <t>FiyatYansitmaEsik</t>
        </is>
      </c>
      <c r="C18" s="152" t="n">
        <v>0.15</v>
      </c>
      <c r="D18" s="146" t="inlineStr">
        <is>
          <t>oran</t>
        </is>
      </c>
      <c r="E18" s="148" t="inlineStr">
        <is>
          <t>Fiyat yansıtma oranı yüksek kabul eşiği.</t>
        </is>
      </c>
      <c r="F18" s="148" t="inlineStr">
        <is>
          <t>Varsayım</t>
        </is>
      </c>
      <c r="G18" s="149" t="inlineStr">
        <is>
          <t>09.08.2026</t>
        </is>
      </c>
      <c r="H18" s="149" t="inlineStr">
        <is>
          <t>09.08.2026</t>
        </is>
      </c>
    </row>
    <row r="19" ht="15" customHeight="1" s="66">
      <c r="A19" s="146" t="inlineStr">
        <is>
          <t>Risk</t>
        </is>
      </c>
      <c r="B19" s="146" t="inlineStr">
        <is>
          <t>UcretAnomaliZEsik</t>
        </is>
      </c>
      <c r="C19" s="153" t="n">
        <v>2</v>
      </c>
      <c r="D19" s="146" t="inlineStr">
        <is>
          <t>oran</t>
        </is>
      </c>
      <c r="E19" s="148" t="inlineStr">
        <is>
          <t>Ücret anomali |Z| eşiği.</t>
        </is>
      </c>
      <c r="F19" s="148" t="inlineStr">
        <is>
          <t>Varsayım</t>
        </is>
      </c>
      <c r="G19" s="149" t="inlineStr">
        <is>
          <t>09.08.2026</t>
        </is>
      </c>
      <c r="H19" s="149" t="inlineStr">
        <is>
          <t>09.08.2026</t>
        </is>
      </c>
    </row>
    <row r="20" ht="15" customHeight="1" s="66">
      <c r="A20" s="146" t="inlineStr">
        <is>
          <t>Eşik</t>
        </is>
      </c>
      <c r="B20" s="146" t="inlineStr">
        <is>
          <t>VeriKaliteIyiEsik</t>
        </is>
      </c>
      <c r="C20" s="153" t="n">
        <v>90</v>
      </c>
      <c r="D20" s="146" t="inlineStr">
        <is>
          <t>puan</t>
        </is>
      </c>
      <c r="E20" s="148" t="inlineStr">
        <is>
          <t>Kalite skoru iyi eşiği.</t>
        </is>
      </c>
      <c r="F20" s="148" t="inlineStr">
        <is>
          <t>Varsayım</t>
        </is>
      </c>
      <c r="G20" s="149" t="inlineStr">
        <is>
          <t>09.08.2026</t>
        </is>
      </c>
      <c r="H20" s="149" t="inlineStr">
        <is>
          <t>09.08.2026</t>
        </is>
      </c>
    </row>
    <row r="21" ht="15" customHeight="1" s="66">
      <c r="A21" s="146" t="inlineStr">
        <is>
          <t>Eşik</t>
        </is>
      </c>
      <c r="B21" s="146" t="inlineStr">
        <is>
          <t>VeriKaliteOrtaEsik</t>
        </is>
      </c>
      <c r="C21" s="153" t="n">
        <v>70</v>
      </c>
      <c r="D21" s="146" t="inlineStr">
        <is>
          <t>puan</t>
        </is>
      </c>
      <c r="E21" s="148" t="inlineStr">
        <is>
          <t>Kalite skoru orta eşiği.</t>
        </is>
      </c>
      <c r="F21" s="148" t="inlineStr">
        <is>
          <t>Varsayım</t>
        </is>
      </c>
      <c r="G21" s="149" t="inlineStr">
        <is>
          <t>09.08.2026</t>
        </is>
      </c>
      <c r="H21" s="149" t="inlineStr">
        <is>
          <t>09.08.2026</t>
        </is>
      </c>
    </row>
    <row r="22" ht="15" customHeight="1" s="66">
      <c r="A22" s="146" t="inlineStr">
        <is>
          <t>Eşik</t>
        </is>
      </c>
      <c r="B22" s="146" t="inlineStr">
        <is>
          <t>VeriKaliteUyariCeza</t>
        </is>
      </c>
      <c r="C22" s="153" t="n">
        <v>10</v>
      </c>
      <c r="D22" s="146" t="inlineStr">
        <is>
          <t>puan</t>
        </is>
      </c>
      <c r="E22" s="148" t="inlineStr">
        <is>
          <t>Her WARN için skor cezası.</t>
        </is>
      </c>
      <c r="F22" s="148" t="inlineStr">
        <is>
          <t>Varsayım</t>
        </is>
      </c>
      <c r="G22" s="149" t="inlineStr">
        <is>
          <t>09.08.2026</t>
        </is>
      </c>
      <c r="H22" s="149" t="inlineStr">
        <is>
          <t>09.08.2026</t>
        </is>
      </c>
    </row>
    <row r="23" ht="15" customHeight="1" s="66">
      <c r="A23" s="146" t="inlineStr">
        <is>
          <t>Senaryo</t>
        </is>
      </c>
      <c r="B23" s="146" t="inlineStr">
        <is>
          <t>SenaryoKotumserKat</t>
        </is>
      </c>
      <c r="C23" s="152" t="n">
        <v>0.1</v>
      </c>
      <c r="D23" s="146" t="inlineStr">
        <is>
          <t>oran</t>
        </is>
      </c>
      <c r="E23" s="148" t="inlineStr">
        <is>
          <t>Kötümser senaryo çarpanı.</t>
        </is>
      </c>
      <c r="F23" s="148" t="inlineStr">
        <is>
          <t>Varsayım</t>
        </is>
      </c>
      <c r="G23" s="149" t="inlineStr">
        <is>
          <t>09.08.2026</t>
        </is>
      </c>
      <c r="H23" s="149" t="inlineStr">
        <is>
          <t>09.08.2026</t>
        </is>
      </c>
    </row>
    <row r="24" ht="15" customHeight="1" s="66">
      <c r="A24" s="146" t="inlineStr">
        <is>
          <t>Senaryo</t>
        </is>
      </c>
      <c r="B24" s="146" t="inlineStr">
        <is>
          <t>SenaryoIyimserKat</t>
        </is>
      </c>
      <c r="C24" s="152" t="n">
        <v>0.1</v>
      </c>
      <c r="D24" s="146" t="inlineStr">
        <is>
          <t>oran</t>
        </is>
      </c>
      <c r="E24" s="148" t="inlineStr">
        <is>
          <t>İyimser senaryo çarpanı.</t>
        </is>
      </c>
      <c r="F24" s="148" t="inlineStr">
        <is>
          <t>Varsayım</t>
        </is>
      </c>
      <c r="G24" s="149" t="inlineStr">
        <is>
          <t>09.08.2026</t>
        </is>
      </c>
      <c r="H24" s="149" t="inlineStr">
        <is>
          <t>09.08.2026</t>
        </is>
      </c>
    </row>
    <row r="25" ht="15" customHeight="1" s="66">
      <c r="A25" s="146" t="inlineStr">
        <is>
          <t>Duyarlılık</t>
        </is>
      </c>
      <c r="B25" s="146" t="inlineStr">
        <is>
          <t>DuyarliDegisim</t>
        </is>
      </c>
      <c r="C25" s="152" t="n">
        <v>0.05</v>
      </c>
      <c r="D25" s="146" t="inlineStr">
        <is>
          <t>oran</t>
        </is>
      </c>
      <c r="E25" s="148" t="inlineStr">
        <is>
          <t>Tornado analizinde değişim oranı.</t>
        </is>
      </c>
      <c r="F25" s="148" t="inlineStr">
        <is>
          <t>Varsayım</t>
        </is>
      </c>
      <c r="G25" s="149" t="inlineStr">
        <is>
          <t>09.08.2026</t>
        </is>
      </c>
      <c r="H25" s="149" t="inlineStr">
        <is>
          <t>09.08.2026</t>
        </is>
      </c>
    </row>
    <row r="26" ht="15" customHeight="1" s="66">
      <c r="A26" s="146" t="inlineStr">
        <is>
          <t>Duyarlılık</t>
        </is>
      </c>
      <c r="B26" s="146" t="inlineStr">
        <is>
          <t>ParetoEsikOran</t>
        </is>
      </c>
      <c r="C26" s="152" t="n">
        <v>0.3</v>
      </c>
      <c r="D26" s="146" t="inlineStr">
        <is>
          <t>oran</t>
        </is>
      </c>
      <c r="E26" s="148" t="inlineStr">
        <is>
          <t>Ücret yoğunlaşması yüksek kabul eşiği.</t>
        </is>
      </c>
      <c r="F26" s="148" t="inlineStr">
        <is>
          <t>Varsayım</t>
        </is>
      </c>
      <c r="G26" s="149" t="inlineStr">
        <is>
          <t>09.08.2026</t>
        </is>
      </c>
      <c r="H26" s="149" t="inlineStr">
        <is>
          <t>09.08.2026</t>
        </is>
      </c>
    </row>
    <row r="27" ht="15" customHeight="1" s="66">
      <c r="A27" s="146" t="inlineStr">
        <is>
          <t>Tahmin</t>
        </is>
      </c>
      <c r="B27" s="146" t="inlineStr">
        <is>
          <t>P90Kuantil</t>
        </is>
      </c>
      <c r="C27" s="152" t="n">
        <v>0.9</v>
      </c>
      <c r="D27" s="146" t="inlineStr">
        <is>
          <t>oran</t>
        </is>
      </c>
      <c r="E27" s="148" t="inlineStr">
        <is>
          <t>Yüzdelik dağılım analizinde P90 kuantil değeri.</t>
        </is>
      </c>
      <c r="F27" s="148" t="inlineStr">
        <is>
          <t>Varsayım</t>
        </is>
      </c>
      <c r="G27" s="149" t="inlineStr">
        <is>
          <t>09.08.2026</t>
        </is>
      </c>
      <c r="H27" s="149" t="inlineStr">
        <is>
          <t>09.08.2026</t>
        </is>
      </c>
    </row>
    <row r="28" ht="15" customHeight="1" s="66">
      <c r="A28" s="146" t="inlineStr">
        <is>
          <t>Nakit</t>
        </is>
      </c>
      <c r="B28" s="146" t="inlineStr">
        <is>
          <t>IskontoOrani</t>
        </is>
      </c>
      <c r="C28" s="152" t="n">
        <v>0.1</v>
      </c>
      <c r="D28" s="146" t="inlineStr">
        <is>
          <t>oran</t>
        </is>
      </c>
      <c r="E28" s="148" t="inlineStr">
        <is>
          <t>Maliyet artışı NPV hesabında iskonto oranı.</t>
        </is>
      </c>
      <c r="F28" s="148" t="inlineStr">
        <is>
          <t>Varsayım</t>
        </is>
      </c>
      <c r="G28" s="149" t="inlineStr">
        <is>
          <t>09.08.2026</t>
        </is>
      </c>
      <c r="H28" s="149" t="inlineStr">
        <is>
          <t>09.08.2026</t>
        </is>
      </c>
    </row>
    <row r="29" ht="15" customHeight="1" s="66">
      <c r="A29" s="146" t="inlineStr">
        <is>
          <t>Mesai</t>
        </is>
      </c>
      <c r="B29" s="146" t="inlineStr">
        <is>
          <t>KidemSinirGun</t>
        </is>
      </c>
      <c r="C29" s="153" t="n">
        <v>1800</v>
      </c>
      <c r="D29" s="146" t="inlineStr">
        <is>
          <t>gün</t>
        </is>
      </c>
      <c r="E29" s="148" t="inlineStr">
        <is>
          <t>Kıdem ortalamasında beş yıl eşiği (yaklaşık 1800 gün).</t>
        </is>
      </c>
      <c r="F29" s="148" t="inlineStr">
        <is>
          <t>Varsayım</t>
        </is>
      </c>
      <c r="G29" s="149" t="inlineStr">
        <is>
          <t>09.08.2026</t>
        </is>
      </c>
      <c r="H29" s="149" t="inlineStr">
        <is>
          <t>09.08.2026</t>
        </is>
      </c>
    </row>
    <row r="30" ht="15" customHeight="1" s="66">
      <c r="A30" s="146" t="inlineStr">
        <is>
          <t>Eşik</t>
        </is>
      </c>
      <c r="B30" s="146" t="inlineStr">
        <is>
          <t>VeriKaliteTaban</t>
        </is>
      </c>
      <c r="C30" s="153" t="n">
        <v>100</v>
      </c>
      <c r="D30" s="146" t="inlineStr">
        <is>
          <t>puan</t>
        </is>
      </c>
      <c r="E30" s="148" t="inlineStr">
        <is>
          <t>Veri kalite skoru başlangıç puanı.</t>
        </is>
      </c>
      <c r="F30" s="148" t="inlineStr">
        <is>
          <t>Varsayım</t>
        </is>
      </c>
      <c r="G30" s="149" t="inlineStr">
        <is>
          <t>09.08.2026</t>
        </is>
      </c>
      <c r="H30" s="149" t="inlineStr">
        <is>
          <t>09.08.2026</t>
        </is>
      </c>
    </row>
    <row r="31" ht="15" customHeight="1" s="66">
      <c r="A31" s="146" t="inlineStr">
        <is>
          <t>Eşik</t>
        </is>
      </c>
      <c r="B31" s="146" t="inlineStr">
        <is>
          <t>VeriKaliteFailCeza</t>
        </is>
      </c>
      <c r="C31" s="153" t="n">
        <v>20</v>
      </c>
      <c r="D31" s="146" t="inlineStr">
        <is>
          <t>puan</t>
        </is>
      </c>
      <c r="E31" s="148" t="inlineStr">
        <is>
          <t>Her FAIL için skor cezası.</t>
        </is>
      </c>
      <c r="F31" s="148" t="inlineStr">
        <is>
          <t>Varsayım</t>
        </is>
      </c>
      <c r="G31" s="149" t="inlineStr">
        <is>
          <t>09.08.2026</t>
        </is>
      </c>
      <c r="H31" s="149" t="inlineStr">
        <is>
          <t>09.08.2026</t>
        </is>
      </c>
    </row>
    <row r="32" ht="15" customHeight="1" s="66">
      <c r="A32" s="146" t="inlineStr">
        <is>
          <t>Eşik</t>
        </is>
      </c>
      <c r="B32" s="146" t="inlineStr">
        <is>
          <t>KayitKapasite</t>
        </is>
      </c>
      <c r="C32" s="153" t="n">
        <v>3000</v>
      </c>
      <c r="D32" s="146" t="inlineStr">
        <is>
          <t>adet</t>
        </is>
      </c>
      <c r="E32" s="148" t="inlineStr">
        <is>
          <t>Çalışan ve ürün tablolarının toplam giriş kapasitesi.</t>
        </is>
      </c>
      <c r="F32" s="148" t="inlineStr">
        <is>
          <t>Tasarım</t>
        </is>
      </c>
      <c r="G32" s="149" t="inlineStr">
        <is>
          <t>09.08.2026</t>
        </is>
      </c>
      <c r="H32" s="149" t="inlineStr">
        <is>
          <t>09.08.2026</t>
        </is>
      </c>
    </row>
    <row r="33" ht="15" customHeight="1" s="66">
      <c r="A33" s="146" t="inlineStr">
        <is>
          <t>Risk</t>
        </is>
      </c>
      <c r="B33" s="146" t="inlineStr">
        <is>
          <t>ButceInceleEsikOran</t>
        </is>
      </c>
      <c r="C33" s="152" t="n">
        <v>0.6</v>
      </c>
      <c r="D33" s="146" t="inlineStr">
        <is>
          <t>oran</t>
        </is>
      </c>
      <c r="E33" s="148" t="inlineStr">
        <is>
          <t>Maliyet eşiğinin yüzde altmışı üzerinde İNCELE kararı eşiği.</t>
        </is>
      </c>
      <c r="F33" s="148" t="inlineStr">
        <is>
          <t>Varsayım</t>
        </is>
      </c>
      <c r="G33" s="149" t="inlineStr">
        <is>
          <t>09.08.2026</t>
        </is>
      </c>
      <c r="H33" s="149" t="inlineStr">
        <is>
          <t>09.08.2026</t>
        </is>
      </c>
    </row>
    <row r="34" ht="15" customHeight="1" s="66">
      <c r="A34" s="146" t="inlineStr">
        <is>
          <t>Risk</t>
        </is>
      </c>
      <c r="B34" s="146" t="inlineStr">
        <is>
          <t>ButceEtkiEsikOran</t>
        </is>
      </c>
      <c r="C34" s="152" t="n">
        <v>0.1</v>
      </c>
      <c r="D34" s="146" t="inlineStr">
        <is>
          <t>oran</t>
        </is>
      </c>
      <c r="E34" s="148" t="inlineStr">
        <is>
          <t>Tornado zirve etkisinin toplam maliyete oranı uyarı eşiği.</t>
        </is>
      </c>
      <c r="F34" s="148" t="inlineStr">
        <is>
          <t>Varsayım</t>
        </is>
      </c>
      <c r="G34" s="149" t="inlineStr">
        <is>
          <t>09.08.2026</t>
        </is>
      </c>
      <c r="H34" s="149" t="inlineStr">
        <is>
          <t>09.08.2026</t>
        </is>
      </c>
    </row>
    <row r="35" ht="15" customHeight="1" s="66">
      <c r="A35" s="146" t="inlineStr">
        <is>
          <t>Risk</t>
        </is>
      </c>
      <c r="B35" s="146" t="inlineStr">
        <is>
          <t>HhiYuksekEsik</t>
        </is>
      </c>
      <c r="C35" s="152" t="n">
        <v>0.5</v>
      </c>
      <c r="D35" s="146" t="inlineStr">
        <is>
          <t>oran</t>
        </is>
      </c>
      <c r="E35" s="148" t="inlineStr">
        <is>
          <t>Ücret yoğunlaşma endeksi yüksek kabul eşiği.</t>
        </is>
      </c>
      <c r="F35" s="148" t="inlineStr">
        <is>
          <t>Varsayım</t>
        </is>
      </c>
      <c r="G35" s="149" t="inlineStr">
        <is>
          <t>09.08.2026</t>
        </is>
      </c>
      <c r="H35" s="149" t="inlineStr">
        <is>
          <t>09.08.2026</t>
        </is>
      </c>
    </row>
    <row r="36" ht="15" customHeight="1" s="66">
      <c r="A36" s="146" t="inlineStr">
        <is>
          <t>Nakit</t>
        </is>
      </c>
      <c r="B36" s="146" t="inlineStr">
        <is>
          <t>NpvEsikOran</t>
        </is>
      </c>
      <c r="C36" s="152" t="n">
        <v>0.5</v>
      </c>
      <c r="D36" s="146" t="inlineStr">
        <is>
          <t>oran</t>
        </is>
      </c>
      <c r="E36" s="148" t="inlineStr">
        <is>
          <t>Maliyet NPV değerinin artışa oranı yüksek kabul eşiği.</t>
        </is>
      </c>
      <c r="F36" s="148" t="inlineStr">
        <is>
          <t>Varsayım</t>
        </is>
      </c>
      <c r="G36" s="149" t="inlineStr">
        <is>
          <t>09.08.2026</t>
        </is>
      </c>
      <c r="H36" s="149" t="inlineStr">
        <is>
          <t>09.08.2026</t>
        </is>
      </c>
    </row>
    <row r="38" ht="19.5" customHeight="1" s="66">
      <c r="A38" s="103" t="inlineStr">
        <is>
          <t>Sarı değer hücreleri kullanıcı tarafından değiştirilebilir; formül hücreleri kilitlidir.</t>
        </is>
      </c>
    </row>
    <row r="40" ht="15" customHeight="1" s="66">
      <c r="J40" s="92" t="inlineStr">
        <is>
          <t>durum_haritasi</t>
        </is>
      </c>
      <c r="K40" s="92" t="inlineStr">
        <is>
          <t>durum_id</t>
        </is>
      </c>
      <c r="L40" s="92" t="inlineStr">
        <is>
          <t>durum_adi</t>
        </is>
      </c>
      <c r="M40" s="92" t="inlineStr">
        <is>
          <t>izinli_sonraki</t>
        </is>
      </c>
      <c r="N40" s="92" t="inlineStr">
        <is>
          <t>kategori</t>
        </is>
      </c>
    </row>
    <row r="41" ht="15" customHeight="1" s="66">
      <c r="J41" s="92" t="inlineStr">
        <is>
          <t>HARITA</t>
        </is>
      </c>
      <c r="K41" s="92" t="inlineStr">
        <is>
          <t>ACIK</t>
        </is>
      </c>
      <c r="L41" s="92" t="inlineStr">
        <is>
          <t>Açık</t>
        </is>
      </c>
      <c r="M41" s="92" t="inlineStr">
        <is>
          <t>ISLEMDE</t>
        </is>
      </c>
      <c r="N41" s="92" t="inlineStr">
        <is>
          <t>acik</t>
        </is>
      </c>
    </row>
    <row r="42" ht="15" customHeight="1" s="66">
      <c r="J42" s="92" t="inlineStr">
        <is>
          <t>HARITA</t>
        </is>
      </c>
      <c r="K42" s="92" t="inlineStr">
        <is>
          <t>ISLEMDE</t>
        </is>
      </c>
      <c r="L42" s="92" t="inlineStr">
        <is>
          <t>İşlemde</t>
        </is>
      </c>
      <c r="M42" s="92" t="inlineStr">
        <is>
          <t>KAPALI</t>
        </is>
      </c>
      <c r="N42" s="92" t="inlineStr">
        <is>
          <t>acik</t>
        </is>
      </c>
    </row>
    <row r="43" ht="15" customHeight="1" s="66">
      <c r="J43" s="92" t="inlineStr">
        <is>
          <t>HARITA</t>
        </is>
      </c>
      <c r="K43" s="92" t="inlineStr">
        <is>
          <t>KAPALI</t>
        </is>
      </c>
      <c r="L43" s="92" t="inlineStr">
        <is>
          <t>Kapalı</t>
        </is>
      </c>
      <c r="M43" s="92" t="inlineStr">
        <is>
          <t>-</t>
        </is>
      </c>
      <c r="N43" s="92" t="inlineStr">
        <is>
          <t>kapali</t>
        </is>
      </c>
    </row>
    <row r="44" ht="15" customHeight="1" s="66">
      <c r="J44" s="92" t="inlineStr">
        <is>
          <t>HARITA</t>
        </is>
      </c>
      <c r="K44" s="92" t="inlineStr">
        <is>
          <t>GECERSIZ</t>
        </is>
      </c>
      <c r="L44" s="92" t="inlineStr">
        <is>
          <t>Geçersiz geçiş uyarısı</t>
        </is>
      </c>
      <c r="M44" s="92" t="inlineStr">
        <is>
          <t>-</t>
        </is>
      </c>
      <c r="N44" s="92" t="inlineStr">
        <is>
          <t>kapali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4:H4"/>
    <mergeCell ref="A3:H3"/>
    <mergeCell ref="A38:AN38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BH1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29.5" customWidth="1" style="92" min="1" max="1"/>
    <col width="13" customWidth="1" style="66" min="2" max="2"/>
    <col width="13" customWidth="1" style="66" min="3" max="3"/>
    <col width="13" customWidth="1" style="66" min="4" max="4"/>
    <col width="13" customWidth="1" style="66" min="5" max="5"/>
    <col width="13" customWidth="1" style="66" min="6" max="6"/>
    <col width="13" customWidth="1" style="66" min="7" max="7"/>
    <col width="13" customWidth="1" style="66" min="8" max="8"/>
    <col width="13" customWidth="1" style="66" min="9" max="9"/>
    <col width="13" customWidth="1" style="66" min="10" max="10"/>
  </cols>
  <sheetData>
    <row r="1" ht="32" customHeight="1" s="66">
      <c r="A1" s="265" t="inlineStr">
        <is>
          <t>KILAVUZ — ASGARİ ÜCRET ZAM ETKİSİ &amp; FİYAT AYARLAMA CETVELİ</t>
        </is>
      </c>
    </row>
    <row r="3" ht="22" customHeight="1" s="66">
      <c r="A3" s="284" t="inlineStr">
        <is>
          <t>Kullanım Kılavuzu</t>
        </is>
      </c>
    </row>
    <row r="5" ht="15" customHeight="1" s="66">
      <c r="A5" s="101" t="inlineStr">
        <is>
          <t>Bu dosya, asgari ücret zammının işçilik maliyetine etkisini ölçen ve fiyat ayarlama cetveli üreten bir karar destek aracıdır.</t>
        </is>
      </c>
    </row>
    <row r="6" ht="15" customHeight="1" s="66">
      <c r="A6" s="101" t="inlineStr">
        <is>
          <t>1. AYARLAR: Eski/yeni asgari ücret, SGK ve işsizlik işveren payları, fiyat yansıtma eşiği bu sayfadadır.</t>
        </is>
      </c>
    </row>
    <row r="7" ht="15" customHeight="1" s="66">
      <c r="A7" s="101" t="inlineStr">
        <is>
          <t>2. CALISANLAR: Çalışanların zam öncesi brüt ücretini ve ücret türünü girin; maliyet farkı otomatik hesaplanır.</t>
        </is>
      </c>
    </row>
    <row r="8" ht="15" customHeight="1" s="66">
      <c r="A8" s="101" t="inlineStr">
        <is>
          <t>3. URUNLER: Ürün/hizmet fiyatlarını ve birim işçilik maliyetini girin; yansıtma oranı ve yeni fiyat cetveli üretilir.</t>
        </is>
      </c>
    </row>
    <row r="9" ht="15" customHeight="1" s="66">
      <c r="A9" s="101" t="inlineStr">
        <is>
          <t>4. MOTOR: Tüm hesaplar ad tanımlı hücrelerde; denetlenebilir ve değiştirilebilir.</t>
        </is>
      </c>
    </row>
    <row r="10" ht="15" customHeight="1" s="66">
      <c r="A10" s="101" t="inlineStr">
        <is>
          <t>5. KARAR: UYGUN / İNCELE / DURDUR kararı, gerekçe ve aksiyonlar makine tarafından üretilir.</t>
        </is>
      </c>
    </row>
    <row r="11" ht="15" customHeight="1" s="66">
      <c r="A11" s="101" t="inlineStr">
        <is>
          <t>6. PANO ve RAPOR: Yönetici özeti ve yazdırılabilir rapor.</t>
        </is>
      </c>
    </row>
    <row r="12" ht="15" customHeight="1" s="66">
      <c r="A12" s="101" t="inlineStr">
        <is>
          <t>7. SENARYO_DUYARLILIK: Yansıtma senaryolarında fiyat ve karar değişimi görülür.</t>
        </is>
      </c>
    </row>
    <row r="13" ht="15" customHeight="1" s="66">
      <c r="A13" s="101" t="inlineStr">
        <is>
          <t>Veri girişi yalnızca sarı hücreleredir. Beyaz/yeşil formül hücreleri 1234 şifresiyle korumalıdır.</t>
        </is>
      </c>
    </row>
    <row r="14" ht="15" customHeight="1" s="66">
      <c r="A14" s="101" t="inlineStr">
        <is>
          <t>Güvenlik: Dosyada makro, dış bağlantı ve telemetri yoktur. Verileriniz cihazınızdan çıkmaz.</t>
        </is>
      </c>
    </row>
    <row r="15" ht="15" customHeight="1" s="66">
      <c r="A15" s="101" t="inlineStr">
        <is>
          <t>Ortam: Excel 2016–365 (Windows/Mac), LibreOffice 7+, Google Sheets ile uyumlu üretilmiştir.</t>
        </is>
      </c>
    </row>
    <row r="18" ht="19.5" customHeight="1" s="66">
      <c r="A18" s="103" t="inlineStr">
        <is>
          <t>Hata görürseniz önce AYARLAR'ı, sonra veri girişlerini kontrol edin; KONTROL sayfası kaliteyi gösterir.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4">
    <mergeCell ref="A12:BH12"/>
    <mergeCell ref="A7:BH7"/>
    <mergeCell ref="A15:BH15"/>
    <mergeCell ref="A10:BH10"/>
    <mergeCell ref="A13:BH13"/>
    <mergeCell ref="A11:BH11"/>
    <mergeCell ref="A14:BH14"/>
    <mergeCell ref="A1:I1"/>
    <mergeCell ref="A5:BH5"/>
    <mergeCell ref="A8:BH8"/>
    <mergeCell ref="A3:I3"/>
    <mergeCell ref="A6:BH6"/>
    <mergeCell ref="A9:BH9"/>
    <mergeCell ref="A18:AN18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tr-TR</dc:language>
  <dcterms:created xmlns:dcterms="http://purl.org/dc/terms/" xmlns:xsi="http://www.w3.org/2001/XMLSchema-instance" xsi:type="dcterms:W3CDTF">2026-08-09T21:01:25Z</dcterms:created>
  <dcterms:modified xmlns:dcterms="http://purl.org/dc/terms/" xmlns:xsi="http://www.w3.org/2001/XMLSchema-instance" xsi:type="dcterms:W3CDTF">2026-09-25T22:34:04Z</dcterms:modified>
  <cp:revision>0</cp:revision>
</cp:coreProperties>
</file>