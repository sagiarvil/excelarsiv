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8.xml" ContentType="application/vnd.openxmlformats-officedocument.spreadsheetml.comments+xml"/>
  <Override PartName="/xl/worksheets/sheet21.xml" ContentType="application/vnd.openxmlformats-officedocument.spreadsheetml.worksheet+xml"/>
  <Override PartName="/xl/comments/comment9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IHALE_KARTI" sheetId="6" state="hidden" r:id="rId6"/>
    <sheet xmlns:r="http://schemas.openxmlformats.org/officeDocument/2006/relationships" name="RAKIP_TEKLIFLER" sheetId="7" state="hidden" r:id="rId7"/>
    <sheet xmlns:r="http://schemas.openxmlformats.org/officeDocument/2006/relationships" name="TEKLIF_BILESENLERI" sheetId="8" state="hidden" r:id="rId8"/>
    <sheet xmlns:r="http://schemas.openxmlformats.org/officeDocument/2006/relationships" name="FIYAT_FARKI_ENDEX" sheetId="9" state="hidden" r:id="rId9"/>
    <sheet xmlns:r="http://schemas.openxmlformats.org/officeDocument/2006/relationships" name="MOTOR" sheetId="10" state="hidden" r:id="rId10"/>
    <sheet xmlns:r="http://schemas.openxmlformats.org/officeDocument/2006/relationships" name="KONTROL" sheetId="11" state="hidden" r:id="rId11"/>
    <sheet xmlns:r="http://schemas.openxmlformats.org/officeDocument/2006/relationships" name="KARAR" sheetId="12" state="hidden" r:id="rId12"/>
    <sheet xmlns:r="http://schemas.openxmlformats.org/officeDocument/2006/relationships" name="PANO" sheetId="13" state="hidden" r:id="rId13"/>
    <sheet xmlns:r="http://schemas.openxmlformats.org/officeDocument/2006/relationships" name="SENARYO_DUYARLILIK" sheetId="14" state="hidden" r:id="rId14"/>
    <sheet xmlns:r="http://schemas.openxmlformats.org/officeDocument/2006/relationships" name="RAPOR" sheetId="15" state="hidden" r:id="rId15"/>
    <sheet xmlns:r="http://schemas.openxmlformats.org/officeDocument/2006/relationships" name="ORNEK_VERI" sheetId="16" state="hidden" r:id="rId16"/>
    <sheet xmlns:r="http://schemas.openxmlformats.org/officeDocument/2006/relationships" name="KURALLAR" sheetId="17" state="hidden" r:id="rId17"/>
    <sheet xmlns:r="http://schemas.openxmlformats.org/officeDocument/2006/relationships" name="VAKALAR" sheetId="18" state="hidden" r:id="rId18"/>
    <sheet xmlns:r="http://schemas.openxmlformats.org/officeDocument/2006/relationships" name="DEGISIKLIK_KAYDI" sheetId="19" state="hidden" r:id="rId19"/>
    <sheet xmlns:r="http://schemas.openxmlformats.org/officeDocument/2006/relationships" name="LISTELER" sheetId="20" state="hidden" r:id="rId20"/>
    <sheet xmlns:r="http://schemas.openxmlformats.org/officeDocument/2006/relationships" name="AYARLAR" sheetId="21" state="hidden" r:id="rId21"/>
    <sheet xmlns:r="http://schemas.openxmlformats.org/officeDocument/2006/relationships" name="KILAVUZ" sheetId="22" state="hidden" r:id="rId22"/>
  </sheets>
  <definedNames>
    <definedName name="AnomaliZEsik" hidden="0" function="0" vbProcedure="0">AYARLAR!$C$13</definedName>
    <definedName name="AsiriDusukEsik" hidden="0" function="0" vbProcedure="0">AYARLAR!$C$11</definedName>
    <definedName name="BazN" hidden="0" function="0" vbProcedure="0">AYARLAR!$C$19</definedName>
    <definedName name="BazTeklif" hidden="0" function="0" vbProcedure="0">AYARLAR!$C$20</definedName>
    <definedName name="DayanakEsik" hidden="0" function="0" vbProcedure="0">AYARLAR!$C$15</definedName>
    <definedName name="DegerOlcerHata" hidden="0" function="0" vbProcedure="0">AYARLAR!$C$34</definedName>
    <definedName name="DegerOlcerSaat" hidden="0" function="0" vbProcedure="0">AYARLAR!$C$32</definedName>
    <definedName name="DegerOlcerSaatUcreti" hidden="0" function="0" vbProcedure="0">AYARLAR!$C$33</definedName>
    <definedName name="DoluGirisHucre" hidden="0" function="0" vbProcedure="0">KONTROL!$B$18</definedName>
    <definedName name="DosyaSurumu" hidden="0" function="0" vbProcedure="0">AYARLAR!$C$10</definedName>
    <definedName name="DikkatEsik" hidden="0" function="0" vbProcedure="0">AYARLAR!$C$12</definedName>
    <definedName name="FirmaUnvan" hidden="0" function="0" vbProcedure="0">AYARLAR!$C$7</definedName>
    <definedName name="FiyatFarkiVarMi" hidden="0" function="0" vbProcedure="0">IHALE_KARTI!$B$12</definedName>
    <definedName name="IyiN" hidden="0" function="0" vbProcedure="0">AYARLAR!$C$17</definedName>
    <definedName name="IyiTeklif" hidden="0" function="0" vbProcedure="0">AYARLAR!$C$18</definedName>
    <definedName name="KabulEdilebilirFark" hidden="0" function="0" vbProcedure="0">AYARLAR!$C$16</definedName>
    <definedName name="KaliteIyi" hidden="0" function="0" vbProcedure="0">AYARLAR!$C$29</definedName>
    <definedName name="KaliteOrta" hidden="0" function="0" vbProcedure="0">AYARLAR!$C$30</definedName>
    <definedName name="KaliteSeviyesi" hidden="0" function="0" vbProcedure="0">KONTROL!$B$20</definedName>
    <definedName name="KaliteSkoru" hidden="0" function="0" vbProcedure="0">KONTROL!$B$19</definedName>
    <definedName name="KararSonuc" hidden="0" function="0" vbProcedure="0">KARAR!$B$11</definedName>
    <definedName name="KendiTeklifTutari" hidden="0" function="0" vbProcedure="0">IHALE_KARTI!$B$11</definedName>
    <definedName name="KotuN" hidden="0" function="0" vbProcedure="0">AYARLAR!$C$21</definedName>
    <definedName name="KotuTeklif" hidden="0" function="0" vbProcedure="0">AYARLAR!$C$22</definedName>
    <definedName name="kuralIdReferans" hidden="0" function="0" vbProcedure="0">KURALLAR!$A$4</definedName>
    <definedName name="ListeBirim" hidden="0" function="0" vbProcedure="0">LISTELER!$C$6:$C$14</definedName>
    <definedName name="ListeDayanak" hidden="0" function="0" vbProcedure="0">LISTELER!$E$6:$E$10</definedName>
    <definedName name="ListeEvetHayir" hidden="0" function="0" vbProcedure="0">LISTELER!$G$6:$G$7</definedName>
    <definedName name="ListeKalite" hidden="0" function="0" vbProcedure="0">LISTELER!$I$6:$I$8</definedName>
    <definedName name="ListeYontem" hidden="0" function="0" vbProcedure="0">LISTELER!$A$6:$A$7</definedName>
    <definedName name="ListeYontemAlti" hidden="0" function="0" vbProcedure="0">LISTELER!$A$6</definedName>
    <definedName name="ListeYontemTumu" hidden="0" function="0" vbProcedure="0">LISTELER!$A$7</definedName>
    <definedName name="modulI1TahminOrta" hidden="0" function="0" vbProcedure="0">MOTOR!$B$44</definedName>
    <definedName name="modulI1TahminYorum" hidden="0" function="0" vbProcedure="0">MOTOR!$B$54</definedName>
    <definedName name="modulI2P90" hidden="0" function="0" vbProcedure="0">MOTOR!$B$45</definedName>
    <definedName name="modulI2Yorum" hidden="0" function="0" vbProcedure="0">MOTOR!$B$55</definedName>
    <definedName name="modulO1AnomaliSayisi" hidden="0" function="0" vbProcedure="0">MOTOR!$B$40</definedName>
    <definedName name="modulO1AnomaliYorum" hidden="0" function="0" vbProcedure="0">MOTOR!$B$50</definedName>
    <definedName name="modulO2TornadoYorum" hidden="0" function="0" vbProcedure="0">MOTOR!$B$51</definedName>
    <definedName name="modulO2TornadoZirve" hidden="0" function="0" vbProcedure="0">MOTOR!$B$41</definedName>
    <definedName name="modulO3SenaryoBaz" hidden="0" function="0" vbProcedure="0">MOTOR!$B$42</definedName>
    <definedName name="modulO3SenaryoYorum" hidden="0" function="0" vbProcedure="0">MOTOR!$B$52</definedName>
    <definedName name="modulO8KaliteSkoru" hidden="0" function="0" vbProcedure="0">MOTOR!$B$43</definedName>
    <definedName name="modulO8KaliteYorum" hidden="0" function="0" vbProcedure="0">MOTOR!$B$53</definedName>
    <definedName name="modulT2EndeksEgim" hidden="0" function="0" vbProcedure="0">MOTOR!$B$37</definedName>
    <definedName name="modulT2EndeksYorum" hidden="0" function="0" vbProcedure="0">MOTOR!$B$47</definedName>
    <definedName name="modulT3ParetoPayi" hidden="0" function="0" vbProcedure="0">MOTOR!$B$38</definedName>
    <definedName name="modulT3ParetoYorum" hidden="0" function="0" vbProcedure="0">MOTOR!$B$48</definedName>
    <definedName name="modulT6KirilimOrani" hidden="0" function="0" vbProcedure="0">MOTOR!$B$39</definedName>
    <definedName name="modulT6KirilimYorum" hidden="0" function="0" vbProcedure="0">MOTOR!$B$49</definedName>
    <definedName name="ProjeksiyonIleriDonem" hidden="0" function="0" vbProcedure="0">AYARLAR!$C$28</definedName>
    <definedName name="RaporHazirlayan" hidden="0" function="0" vbProcedure="0">AYARLAR!$C$9</definedName>
    <definedName name="RaporTarihi" hidden="0" function="0" vbProcedure="0">AYARLAR!$C$8</definedName>
    <definedName name="RayicSapmaEsik" hidden="0" function="0" vbProcedure="0">AYARLAR!$C$14</definedName>
    <definedName name="SdBilesenRayicToplam" hidden="0" function="0" vbProcedure="0">MOTOR!$B$21</definedName>
    <definedName name="SdBilesenToplam" hidden="0" function="0" vbProcedure="0">MOTOR!$B$20</definedName>
    <definedName name="SdDayanakliAgirlik" hidden="0" function="0" vbProcedure="0">MOTOR!$B$25</definedName>
    <definedName name="SdEndeksEgim" hidden="0" function="0" vbProcedure="0">MOTOR!$B$30</definedName>
    <definedName name="SdEndeksOrtalama" hidden="0" function="0" vbProcedure="0">MOTOR!$B$29</definedName>
    <definedName name="SdEndeksTahmin" hidden="0" function="0" vbProcedure="0">MOTOR!$B$31</definedName>
    <definedName name="SdFiyatFarkiEtki" hidden="0" function="0" vbProcedure="0">MOTOR!$B$32</definedName>
    <definedName name="SdGecerliSayi" hidden="0" function="0" vbProcedure="0">MOTOR!$B$6</definedName>
    <definedName name="SdGecersizSayi" hidden="0" function="0" vbProcedure="0">MOTOR!$B$7</definedName>
    <definedName name="SdGuvenlikPayi" hidden="0" function="0" vbProcedure="0">MOTOR!$B$16</definedName>
    <definedName name="SdIlkUcKalem" hidden="0" function="0" vbProcedure="0">MOTOR!$B$34</definedName>
    <definedName name="SdKontrol" hidden="0" function="0" vbProcedure="0">MOTOR!$B$17</definedName>
    <definedName name="SdMedyan" hidden="0" function="0" vbProcedure="0">MOTOR!$B$12</definedName>
    <definedName name="SdMutabakatDurumu" hidden="0" function="0" vbProcedure="0">MOTOR!$B$24</definedName>
    <definedName name="SdMutabakatFarki" hidden="0" function="0" vbProcedure="0">MOTOR!$B$22</definedName>
    <definedName name="SdMutabakatYuzde" hidden="0" function="0" vbProcedure="0">MOTOR!$B$23</definedName>
    <definedName name="SdOran" hidden="0" function="0" vbProcedure="0">MOTOR!$B$15</definedName>
    <definedName name="SdOrtalamaAlti" hidden="0" function="0" vbProcedure="0">MOTOR!$B$10</definedName>
    <definedName name="SdOrtalamaAltiSayi" hidden="0" function="0" vbProcedure="0">MOTOR!$B$9</definedName>
    <definedName name="SdOrtalamaTeklif" hidden="0" function="0" vbProcedure="0">MOTOR!$B$8</definedName>
    <definedName name="SdSavunmaGucu" hidden="0" function="0" vbProcedure="0">MOTOR!$B$26</definedName>
    <definedName name="SdSonDonemDegisim" hidden="0" function="0" vbProcedure="0">MOTOR!$B$33</definedName>
    <definedName name="SdStdSapma" hidden="0" function="0" vbProcedure="0">MOTOR!$B$11</definedName>
    <definedName name="SdSinirDeger" hidden="0" function="0" vbProcedure="0">MOTOR!$B$14</definedName>
    <definedName name="SdYontemTaban" hidden="0" function="0" vbProcedure="0">MOTOR!$B$13</definedName>
    <definedName name="SinirDegerKatsayisi" hidden="0" function="0" vbProcedure="0">IHALE_KARTI!$B$10</definedName>
    <definedName name="SinirDegerYontem" hidden="0" function="0" vbProcedure="0">IHALE_KARTI!$B$9</definedName>
    <definedName name="TahminGenislik" hidden="0" function="0" vbProcedure="0">AYARLAR!$C$27</definedName>
    <definedName name="ToplamGirisHucre" hidden="0" function="0" vbProcedure="0">AYARLAR!$C$31</definedName>
    <definedName name="TornadoN" hidden="0" function="0" vbProcedure="0">AYARLAR!$C$23</definedName>
    <definedName name="TornadoRakip" hidden="0" function="0" vbProcedure="0">AYARLAR!$C$25</definedName>
    <definedName name="TornadoRayic" hidden="0" function="0" vbProcedure="0">AYARLAR!$C$26</definedName>
    <definedName name="TornadoTeklif" hidden="0" function="0" vbProcedure="0">AYARLAR!$C$24</definedName>
    <definedName name="YaklasikMaliyet" hidden="0" function="0" vbProcedure="0">IHALE_KARTI!$B$8</definedName>
    <definedName name="_xlnm.Print_Area" localSheetId="12">'PANO'!$A$1:$T$60</definedName>
    <definedName name="_xlnm.Print_Area" localSheetId="14">'RAPOR'!$A$1:$L$30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</numFmts>
  <fonts count="5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0000"/>
      <sz val="11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color rgb="FF555555"/>
      <sz val="9"/>
    </font>
    <font>
      <name val="Segoe UI"/>
      <charset val="1"/>
      <family val="0"/>
      <color rgb="FF006100"/>
      <sz val="9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555555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5" fontId="19" fillId="4" borderId="0" applyAlignment="1" applyProtection="1" pivotButton="0" quotePrefix="0" xfId="0">
      <alignment horizontal="left" vertical="center"/>
      <protection locked="0" hidden="0"/>
    </xf>
    <xf numFmtId="166" fontId="19" fillId="4" borderId="0" applyAlignment="1" applyProtection="1" pivotButton="0" quotePrefix="0" xfId="0">
      <alignment horizontal="left" vertical="center"/>
      <protection locked="0" hidden="0"/>
    </xf>
    <xf numFmtId="0" fontId="21" fillId="5" borderId="0" applyAlignment="1" pivotButton="0" quotePrefix="0" xfId="0">
      <alignment horizontal="center" vertical="center" wrapText="1"/>
    </xf>
    <xf numFmtId="3" fontId="22" fillId="0" borderId="0" applyAlignment="1" pivotButton="0" quotePrefix="0" xfId="0">
      <alignment horizontal="left" vertical="center"/>
    </xf>
    <xf numFmtId="0" fontId="23" fillId="4" borderId="0" applyAlignment="1" applyProtection="1" pivotButton="0" quotePrefix="0" xfId="0">
      <alignment horizontal="left" vertical="center"/>
      <protection locked="0" hidden="0"/>
    </xf>
    <xf numFmtId="165" fontId="23" fillId="4" borderId="0" applyAlignment="1" applyProtection="1" pivotButton="0" quotePrefix="0" xfId="0">
      <alignment horizontal="left" vertical="center"/>
      <protection locked="0" hidden="0"/>
    </xf>
    <xf numFmtId="166" fontId="22" fillId="0" borderId="0" applyAlignment="1" pivotButton="0" quotePrefix="0" xfId="0">
      <alignment horizontal="left" vertical="center"/>
    </xf>
    <xf numFmtId="4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0" fillId="4" borderId="0" applyAlignment="1" applyProtection="1" pivotButton="0" quotePrefix="0" xfId="0">
      <alignment horizontal="general" vertical="bottom"/>
      <protection locked="0" hidden="0"/>
    </xf>
    <xf numFmtId="3" fontId="23" fillId="4" borderId="0" applyAlignment="1" applyProtection="1" pivotButton="0" quotePrefix="0" xfId="0">
      <alignment horizontal="left" vertical="center"/>
      <protection locked="0" hidden="0"/>
    </xf>
    <xf numFmtId="165" fontId="2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165" fontId="24" fillId="0" borderId="0" applyAlignment="1" pivotButton="0" quotePrefix="0" xfId="0">
      <alignment horizontal="center" vertical="center"/>
    </xf>
    <xf numFmtId="166" fontId="24" fillId="0" borderId="0" applyAlignment="1" pivotButton="0" quotePrefix="0" xfId="0">
      <alignment horizontal="center" vertical="center"/>
    </xf>
    <xf numFmtId="3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left" vertical="center"/>
    </xf>
    <xf numFmtId="0" fontId="14" fillId="0" borderId="0" applyAlignment="1" applyProtection="1" pivotButton="0" quotePrefix="0" xfId="0">
      <alignment horizontal="left" vertical="center"/>
      <protection locked="0" hidden="0"/>
    </xf>
    <xf numFmtId="0" fontId="23" fillId="4" borderId="0" applyAlignment="1" applyProtection="1" pivotButton="0" quotePrefix="0" xfId="0">
      <alignment horizontal="left" vertical="center" wrapText="1"/>
      <protection locked="0" hidden="0"/>
    </xf>
    <xf numFmtId="0" fontId="26" fillId="0" borderId="0" applyAlignment="1" pivotButton="0" quotePrefix="0" xfId="0">
      <alignment horizontal="left" vertical="center" wrapText="1"/>
    </xf>
    <xf numFmtId="164" fontId="23" fillId="4" borderId="0" applyAlignment="1" applyProtection="1" pivotButton="0" quotePrefix="0" xfId="0">
      <alignment horizontal="left" vertical="center"/>
      <protection locked="0" hidden="0"/>
    </xf>
    <xf numFmtId="166" fontId="23" fillId="4" borderId="0" applyAlignment="1" applyProtection="1" pivotButton="0" quotePrefix="0" xfId="0">
      <alignment horizontal="left" vertical="center"/>
      <protection locked="0" hidden="0"/>
    </xf>
    <xf numFmtId="0" fontId="3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5" fillId="6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7" fillId="0" borderId="0" pivotButton="0" quotePrefix="0" xfId="0"/>
    <xf numFmtId="0" fontId="43" fillId="0" borderId="0" pivotButton="0" quotePrefix="0" xfId="0"/>
    <xf numFmtId="0" fontId="38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3" fillId="7" borderId="0" applyAlignment="1" pivotButton="0" quotePrefix="0" xfId="0">
      <alignment horizontal="center" vertical="center" wrapText="1"/>
    </xf>
    <xf numFmtId="0" fontId="39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45" fillId="6" borderId="0" applyAlignment="1" pivotButton="0" quotePrefix="0" xfId="0">
      <alignment horizontal="center" vertical="center"/>
    </xf>
    <xf numFmtId="0" fontId="46" fillId="0" borderId="0" pivotButton="0" quotePrefix="0" xfId="0"/>
    <xf numFmtId="167" fontId="46" fillId="0" borderId="0" pivotButton="0" quotePrefix="0" xfId="0"/>
    <xf numFmtId="167" fontId="47" fillId="0" borderId="0" pivotButton="0" quotePrefix="0" xfId="0"/>
    <xf numFmtId="168" fontId="46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6" borderId="0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/>
    </xf>
    <xf numFmtId="0" fontId="47" fillId="0" borderId="0" pivotButton="0" quotePrefix="0" xfId="0"/>
    <xf numFmtId="0" fontId="51" fillId="8" borderId="1" pivotButton="0" quotePrefix="0" xfId="0"/>
    <xf numFmtId="0" fontId="52" fillId="0" borderId="0" pivotButton="0" quotePrefix="0" xfId="0"/>
    <xf numFmtId="0" fontId="53" fillId="0" borderId="0" pivotButton="0" quotePrefix="0" xfId="0"/>
    <xf numFmtId="0" fontId="46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4" borderId="0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5" fontId="19" fillId="4" borderId="0" applyAlignment="1" applyProtection="1" pivotButton="0" quotePrefix="0" xfId="0">
      <alignment horizontal="left" vertical="center"/>
      <protection locked="0" hidden="0"/>
    </xf>
    <xf numFmtId="166" fontId="19" fillId="4" borderId="0" applyAlignment="1" applyProtection="1" pivotButton="0" quotePrefix="0" xfId="0">
      <alignment horizontal="left" vertical="center"/>
      <protection locked="0" hidden="0"/>
    </xf>
    <xf numFmtId="0" fontId="21" fillId="5" borderId="0" applyAlignment="1" pivotButton="0" quotePrefix="0" xfId="0">
      <alignment horizontal="center" vertical="center" wrapText="1"/>
    </xf>
    <xf numFmtId="3" fontId="22" fillId="0" borderId="0" applyAlignment="1" pivotButton="0" quotePrefix="0" xfId="0">
      <alignment horizontal="left" vertical="center"/>
    </xf>
    <xf numFmtId="0" fontId="23" fillId="4" borderId="0" applyAlignment="1" applyProtection="1" pivotButton="0" quotePrefix="0" xfId="0">
      <alignment horizontal="left" vertical="center"/>
      <protection locked="0" hidden="0"/>
    </xf>
    <xf numFmtId="165" fontId="23" fillId="4" borderId="0" applyAlignment="1" applyProtection="1" pivotButton="0" quotePrefix="0" xfId="0">
      <alignment horizontal="left" vertical="center"/>
      <protection locked="0" hidden="0"/>
    </xf>
    <xf numFmtId="166" fontId="22" fillId="0" borderId="0" applyAlignment="1" pivotButton="0" quotePrefix="0" xfId="0">
      <alignment horizontal="left" vertical="center"/>
    </xf>
    <xf numFmtId="4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0" fillId="4" borderId="0" applyAlignment="1" applyProtection="1" pivotButton="0" quotePrefix="0" xfId="0">
      <alignment horizontal="general" vertical="bottom"/>
      <protection locked="0" hidden="0"/>
    </xf>
    <xf numFmtId="3" fontId="23" fillId="4" borderId="0" applyAlignment="1" applyProtection="1" pivotButton="0" quotePrefix="0" xfId="0">
      <alignment horizontal="left" vertical="center"/>
      <protection locked="0" hidden="0"/>
    </xf>
    <xf numFmtId="165" fontId="2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24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165" fontId="24" fillId="0" borderId="0" applyAlignment="1" pivotButton="0" quotePrefix="0" xfId="0">
      <alignment horizontal="center" vertical="center"/>
    </xf>
    <xf numFmtId="166" fontId="24" fillId="0" borderId="0" applyAlignment="1" pivotButton="0" quotePrefix="0" xfId="0">
      <alignment horizontal="center" vertical="center"/>
    </xf>
    <xf numFmtId="3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left" vertical="center"/>
    </xf>
    <xf numFmtId="0" fontId="14" fillId="0" borderId="0" applyAlignment="1" applyProtection="1" pivotButton="0" quotePrefix="0" xfId="0">
      <alignment horizontal="left" vertical="center"/>
      <protection locked="0" hidden="0"/>
    </xf>
    <xf numFmtId="0" fontId="23" fillId="4" borderId="0" applyAlignment="1" applyProtection="1" pivotButton="0" quotePrefix="0" xfId="0">
      <alignment horizontal="left" vertical="center" wrapText="1"/>
      <protection locked="0" hidden="0"/>
    </xf>
    <xf numFmtId="0" fontId="26" fillId="0" borderId="0" applyAlignment="1" pivotButton="0" quotePrefix="0" xfId="0">
      <alignment horizontal="left" vertical="center" wrapText="1"/>
    </xf>
    <xf numFmtId="164" fontId="23" fillId="4" borderId="0" applyAlignment="1" applyProtection="1" pivotButton="0" quotePrefix="0" xfId="0">
      <alignment horizontal="left" vertical="center"/>
      <protection locked="0" hidden="0"/>
    </xf>
    <xf numFmtId="166" fontId="23" fillId="4" borderId="0" applyAlignment="1" applyProtection="1" pivotButton="0" quotePrefix="0" xfId="0">
      <alignment horizontal="left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color rgb="FFB3261E"/>
      </font>
    </dxf>
    <dxf>
      <fill>
        <patternFill>
          <bgColor rgb="FFFDE9E9"/>
        </patternFill>
      </fill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E2EFDA"/>
      <rgbColor rgb="FFFDE9E9"/>
      <rgbColor rgb="FF99CCFF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F2742"/>
      <rgbColor rgb="FF4299B0"/>
      <rgbColor rgb="FF595959"/>
      <rgbColor rgb="FF555555"/>
      <rgbColor rgb="FFB3261E"/>
      <rgbColor rgb="FFBE4B48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Rakip Teklifleri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PANO!B9</f>
              <strCache>
                <ptCount val="1"/>
                <pt idx="0">
                  <v>Teklif (₺)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PANO!$A$10:$A$21</f>
              <strCache>
                <ptCount val="12"/>
                <pt idx="0">
                  <v>Yapı A A.Ş.</v>
                </pt>
                <pt idx="1">
                  <v>İnşaat B Ltd.</v>
                </pt>
                <pt idx="2">
                  <v>C Yapım</v>
                </pt>
                <pt idx="3">
                  <v>Delta Mühendislik</v>
                </pt>
                <pt idx="4">
                  <v>E Enerji</v>
                </pt>
                <pt idx="5">
                  <v>F Yapı</v>
                </pt>
                <pt idx="6">
                  <v>G İnşaat A.Ş.</v>
                </pt>
                <pt idx="7">
                  <v>H Taahhüt</v>
                </pt>
                <pt idx="8">
                  <v>I Yapım Ltd.</v>
                </pt>
                <pt idx="9">
                  <v>J Müteahhit</v>
                </pt>
                <pt idx="10">
                  <v>K İnşaat</v>
                </pt>
                <pt idx="11">
                  <v>L Yapı</v>
                </pt>
              </strCache>
            </strRef>
          </cat>
          <val>
            <numRef>
              <f>PANO!$B$10:$B$21</f>
              <numCache>
                <formatCode>"₺ "#,##0;[RED]"(₺ "#,##0\);\-</formatCode>
                <ptCount val="12"/>
                <pt idx="0">
                  <v>11900000</v>
                </pt>
                <pt idx="1">
                  <v>12300000</v>
                </pt>
                <pt idx="2">
                  <v>12800000</v>
                </pt>
                <pt idx="3">
                  <v>10600000</v>
                </pt>
                <pt idx="4">
                  <v>13200000</v>
                </pt>
                <pt idx="5">
                  <v>12600000</v>
                </pt>
                <pt idx="6">
                  <v>11450000</v>
                </pt>
                <pt idx="7">
                  <v>12100000</v>
                </pt>
                <pt idx="8">
                  <v>13050000</v>
                </pt>
                <pt idx="9">
                  <v>11600000</v>
                </pt>
                <pt idx="10">
                  <v>12450000</v>
                </pt>
                <pt idx="11">
                  <v>11850000</v>
                </pt>
              </numCache>
            </numRef>
          </val>
        </ser>
        <gapWidth val="150"/>
        <overlap val="0"/>
        <axId val="77950297"/>
        <axId val="70175298"/>
      </barChart>
      <catAx>
        <axId val="7795029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0175298"/>
        <crosses val="autoZero"/>
        <auto val="1"/>
        <lblAlgn val="ctr"/>
        <lblOffset val="100"/>
        <noMultiLvlLbl val="0"/>
      </catAx>
      <valAx>
        <axId val="7017529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795029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Sınır Değer Karşılaştırması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PANO!E9</f>
              <strCache>
                <ptCount val="1"/>
                <pt idx="0">
                  <v>Tutar (₺)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PANO!$D$10:$D$11</f>
              <strCache>
                <ptCount val="2"/>
                <pt idx="0">
                  <v>Sınır Değer</v>
                </pt>
                <pt idx="1">
                  <v>Kendi Teklif</v>
                </pt>
              </strCache>
            </strRef>
          </cat>
          <val>
            <numRef>
              <f>PANO!$E$10:$E$11</f>
              <numCache>
                <formatCode>"₺ "#,##0;[RED]"(₺ "#,##0\);\-</formatCode>
                <ptCount val="2"/>
                <pt idx="0">
                  <v>11480000</v>
                </pt>
                <pt idx="1">
                  <v>11150000</v>
                </pt>
              </numCache>
            </numRef>
          </val>
        </ser>
        <gapWidth val="150"/>
        <overlap val="0"/>
        <axId val="63450733"/>
        <axId val="54225733"/>
      </barChart>
      <catAx>
        <axId val="6345073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4225733"/>
        <crosses val="autoZero"/>
        <auto val="1"/>
        <lblAlgn val="ctr"/>
        <lblOffset val="100"/>
        <noMultiLvlLbl val="0"/>
      </catAx>
      <valAx>
        <axId val="5422573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345073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Bileşen Tutar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PANO!G9</f>
              <strCache>
                <ptCount val="1"/>
                <pt idx="0">
                  <v>Tutar (₺)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PANO!$F$10:$F$17</f>
              <strCache>
                <ptCount val="8"/>
                <pt idx="0">
                  <v>Beton C30</v>
                </pt>
                <pt idx="1">
                  <v>Demir Donatı</v>
                </pt>
                <pt idx="2">
                  <v>Kalıp İşçiliği</v>
                </pt>
                <pt idx="3">
                  <v>Cephe İskele</v>
                </pt>
                <pt idx="4">
                  <v>Şantiye Şefliği</v>
                </pt>
                <pt idx="5">
                  <v>Kazı İşleri</v>
                </pt>
                <pt idx="6">
                  <v>Betonarme Kalıp</v>
                </pt>
                <pt idx="7">
                  <v>Mermer Döşeme</v>
                </pt>
              </strCache>
            </strRef>
          </cat>
          <val>
            <numRef>
              <f>PANO!$G$10:$G$17</f>
              <numCache>
                <formatCode>"₺ "#,##0;[RED]"(₺ "#,##0\);\-</formatCode>
                <ptCount val="8"/>
                <pt idx="0">
                  <v>3150000</v>
                </pt>
                <pt idx="1">
                  <v>6726000</v>
                </pt>
                <pt idx="2">
                  <v>609000</v>
                </pt>
                <pt idx="3">
                  <v>171000</v>
                </pt>
                <pt idx="4">
                  <v>340000</v>
                </pt>
                <pt idx="5">
                  <v>193600</v>
                </pt>
                <pt idx="6">
                  <v>608000</v>
                </pt>
                <pt idx="7">
                  <v>360000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Rayiç Sapması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PANO!I9</f>
              <strCache>
                <ptCount val="1"/>
                <pt idx="0">
                  <v>Sapma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PANO!$F$10:$F$17</f>
              <strCache>
                <ptCount val="8"/>
                <pt idx="0">
                  <v>Beton C30</v>
                </pt>
                <pt idx="1">
                  <v>Demir Donatı</v>
                </pt>
                <pt idx="2">
                  <v>Kalıp İşçiliği</v>
                </pt>
                <pt idx="3">
                  <v>Cephe İskele</v>
                </pt>
                <pt idx="4">
                  <v>Şantiye Şefliği</v>
                </pt>
                <pt idx="5">
                  <v>Kazı İşleri</v>
                </pt>
                <pt idx="6">
                  <v>Betonarme Kalıp</v>
                </pt>
                <pt idx="7">
                  <v>Mermer Döşeme</v>
                </pt>
              </strCache>
            </strRef>
          </cat>
          <val>
            <numRef>
              <f>PANO!$I$10:$I$17</f>
              <numCache>
                <formatCode>0.0%;[RED]\(0.0%\);\-</formatCode>
                <ptCount val="8"/>
                <pt idx="0">
                  <v>0.0769230769230769</v>
                </pt>
                <pt idx="1">
                  <v>0.0363636363636364</v>
                </pt>
                <pt idx="2">
                  <v>0.0507246376811594</v>
                </pt>
                <pt idx="3">
                  <v>-0.06862745098039209</v>
                </pt>
                <pt idx="4">
                  <v>0.0365853658536586</v>
                </pt>
                <pt idx="5">
                  <v>0.0476190476190477</v>
                </pt>
                <pt idx="6">
                  <v>0.0526315789473684</v>
                </pt>
                <pt idx="7">
                  <v>0.0434782608695652</v>
                </pt>
              </numCache>
            </numRef>
          </val>
        </ser>
        <gapWidth val="150"/>
        <overlap val="0"/>
        <axId val="16477676"/>
        <axId val="81614197"/>
      </barChart>
      <catAx>
        <axId val="1647767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1614197"/>
        <crosses val="autoZero"/>
        <auto val="1"/>
        <lblAlgn val="ctr"/>
        <lblOffset val="100"/>
        <noMultiLvlLbl val="0"/>
      </catAx>
      <valAx>
        <axId val="8161419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647767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Endeks ve Hareketli Ortalama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PANO!K9</f>
              <strCache>
                <ptCount val="1"/>
                <pt idx="0">
                  <v>Endeks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PANO!$J$10:$J$21</f>
              <strCache>
                <ptCount val="12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  <pt idx="6">
                  <v>2026/03</v>
                </pt>
                <pt idx="7">
                  <v>2026/04</v>
                </pt>
                <pt idx="8">
                  <v>2026/05</v>
                </pt>
                <pt idx="9">
                  <v>2026/06</v>
                </pt>
                <pt idx="10">
                  <v>2026/07</v>
                </pt>
                <pt idx="11">
                  <v>2026/08</v>
                </pt>
              </strCache>
            </strRef>
          </cat>
          <val>
            <numRef>
              <f>PANO!$K$10:$K$21</f>
              <numCache>
                <formatCode>#,##0</formatCode>
                <ptCount val="12"/>
                <pt idx="0">
                  <v>1900</v>
                </pt>
                <pt idx="1">
                  <v>1950</v>
                </pt>
                <pt idx="2">
                  <v>1980</v>
                </pt>
                <pt idx="3">
                  <v>2010</v>
                </pt>
                <pt idx="4">
                  <v>2050</v>
                </pt>
                <pt idx="5">
                  <v>2090</v>
                </pt>
                <pt idx="6">
                  <v>2120</v>
                </pt>
                <pt idx="7">
                  <v>2160</v>
                </pt>
                <pt idx="8">
                  <v>2190</v>
                </pt>
                <pt idx="9">
                  <v>2215</v>
                </pt>
                <pt idx="10">
                  <v>2240</v>
                </pt>
                <pt idx="11">
                  <v>2270</v>
                </pt>
              </numCache>
            </numRef>
          </val>
          <smooth val="1"/>
        </ser>
        <ser>
          <idx val="1"/>
          <order val="1"/>
          <tx>
            <strRef>
              <f>PANO!L9</f>
              <strCache>
                <ptCount val="1"/>
                <pt idx="0">
                  <v>Tahmin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1260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PANO!$J$10:$J$21</f>
              <strCache>
                <ptCount val="12"/>
                <pt idx="0">
                  <v>2025/09</v>
                </pt>
                <pt idx="1">
                  <v>2025/10</v>
                </pt>
                <pt idx="2">
                  <v>2025/11</v>
                </pt>
                <pt idx="3">
                  <v>2025/12</v>
                </pt>
                <pt idx="4">
                  <v>2026/01</v>
                </pt>
                <pt idx="5">
                  <v>2026/02</v>
                </pt>
                <pt idx="6">
                  <v>2026/03</v>
                </pt>
                <pt idx="7">
                  <v>2026/04</v>
                </pt>
                <pt idx="8">
                  <v>2026/05</v>
                </pt>
                <pt idx="9">
                  <v>2026/06</v>
                </pt>
                <pt idx="10">
                  <v>2026/07</v>
                </pt>
                <pt idx="11">
                  <v>2026/08</v>
                </pt>
              </strCache>
            </strRef>
          </cat>
          <val>
            <numRef>
              <f>PANO!$L$10:$L$21</f>
              <numCache>
                <formatCode>#,##0</formatCode>
                <ptCount val="12"/>
                <pt idx="0">
                  <v>1900</v>
                </pt>
                <pt idx="1">
                  <v>1925</v>
                </pt>
                <pt idx="2">
                  <v>1943.33333333333</v>
                </pt>
                <pt idx="3">
                  <v>1980</v>
                </pt>
                <pt idx="4">
                  <v>2013.33333333333</v>
                </pt>
                <pt idx="5">
                  <v>2050</v>
                </pt>
                <pt idx="6">
                  <v>2086.66666666667</v>
                </pt>
                <pt idx="7">
                  <v>2123.33333333333</v>
                </pt>
                <pt idx="8">
                  <v>2156.66666666667</v>
                </pt>
                <pt idx="9">
                  <v>2188.33333333333</v>
                </pt>
                <pt idx="10">
                  <v>2215</v>
                </pt>
                <pt idx="11">
                  <v>2241.66666666667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3852418"/>
        <axId val="21335939"/>
      </lineChart>
      <catAx>
        <axId val="8385241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1335939"/>
        <crosses val="autoZero"/>
        <auto val="1"/>
        <lblAlgn val="ctr"/>
        <lblOffset val="100"/>
        <noMultiLvlLbl val="0"/>
      </catAx>
      <valAx>
        <axId val="2133593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38524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Teklif Z Skorları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PANO!N9</f>
              <strCache>
                <ptCount val="1"/>
                <pt idx="0">
                  <v>Z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PANO!$A$10:$A$17</f>
              <strCache>
                <ptCount val="8"/>
                <pt idx="0">
                  <v>Yapı A A.Ş.</v>
                </pt>
                <pt idx="1">
                  <v>İnşaat B Ltd.</v>
                </pt>
                <pt idx="2">
                  <v>C Yapım</v>
                </pt>
                <pt idx="3">
                  <v>Delta Mühendislik</v>
                </pt>
                <pt idx="4">
                  <v>E Enerji</v>
                </pt>
                <pt idx="5">
                  <v>F Yapı</v>
                </pt>
                <pt idx="6">
                  <v>G İnşaat A.Ş.</v>
                </pt>
                <pt idx="7">
                  <v>H Taahhüt</v>
                </pt>
              </strCache>
            </strRef>
          </cat>
          <val>
            <numRef>
              <f>PANO!$N$10:$N$17</f>
              <numCache>
                <formatCode>#,##0.00</formatCode>
                <ptCount val="8"/>
                <pt idx="0">
                  <v>-0.09193026582217249</v>
                </pt>
                <pt idx="1">
                  <v>0.473794446929658</v>
                </pt>
                <pt idx="2">
                  <v>1.18095033786945</v>
                </pt>
                <pt idx="3">
                  <v>-1.93053558226562</v>
                </pt>
                <pt idx="4">
                  <v>1.74667505062128</v>
                </pt>
                <pt idx="5">
                  <v>0.898087981493531</v>
                </pt>
                <pt idx="6">
                  <v>-0.728370567667982</v>
                </pt>
                <pt idx="7">
                  <v>0.190932090553743</v>
                </pt>
              </numCache>
            </numRef>
          </val>
        </ser>
        <gapWidth val="150"/>
        <overlap val="0"/>
        <axId val="27329897"/>
        <axId val="20934863"/>
      </barChart>
      <catAx>
        <axId val="2732989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0934863"/>
        <crosses val="autoZero"/>
        <auto val="1"/>
        <lblAlgn val="ctr"/>
        <lblOffset val="100"/>
        <noMultiLvlLbl val="0"/>
      </catAx>
      <valAx>
        <axId val="2093486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.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732989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Sınır Değerleri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SENARYO_DUYARLILIK!B6</f>
              <strCache>
                <ptCount val="1"/>
                <pt idx="0">
                  <v>Senaryo Sınır Değer (₺)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İYİMSER</v>
                </pt>
                <pt idx="1">
                  <v>BAZ</v>
                </pt>
                <pt idx="2">
                  <v>KÖTÜMSER</v>
                </pt>
              </strCache>
            </strRef>
          </cat>
          <val>
            <numRef>
              <f>SENARYO_DUYARLILIK!$B$7:$B$9</f>
              <numCache>
                <formatCode>"₺ "#,##0;[RED]"(₺ "#,##0\);\-</formatCode>
                <ptCount val="3"/>
                <pt idx="0">
                  <v>11480000</v>
                </pt>
                <pt idx="1">
                  <v>11480000</v>
                </pt>
                <pt idx="2">
                  <v>11480000</v>
                </pt>
              </numCache>
            </numRef>
          </val>
        </ser>
        <gapWidth val="150"/>
        <overlap val="0"/>
        <axId val="7617599"/>
        <axId val="59878421"/>
      </barChart>
      <catAx>
        <axId val="761759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9878421"/>
        <crosses val="autoZero"/>
        <auto val="1"/>
        <lblAlgn val="ctr"/>
        <lblOffset val="100"/>
        <noMultiLvlLbl val="0"/>
      </catAx>
      <valAx>
        <axId val="5987842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61759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 Etkileri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SENARYO_DUYARLILIK!D12</f>
              <strCache>
                <ptCount val="1"/>
                <pt idx="0">
                  <v>Mutlak Etki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SENARYO_DUYARLILIK!$A$13:$A$16</f>
              <strCache>
                <ptCount val="4"/>
                <pt idx="0">
                  <v>N Katsayısı</v>
                </pt>
                <pt idx="1">
                  <v>Kendi Teklif Etkisi</v>
                </pt>
                <pt idx="2">
                  <v>Rakip Ortalaması</v>
                </pt>
                <pt idx="3">
                  <v>Rayiç Fiyatlar</v>
                </pt>
              </strCache>
            </strRef>
          </cat>
          <val>
            <numRef>
              <f>SENARYO_DUYARLILIK!$D$13:$D$16</f>
              <numCache>
                <formatCode>"₺ "#,##0;[RED]"(₺ "#,##0\);\-</formatCode>
                <ptCount val="4"/>
                <pt idx="0">
                  <v>1148000</v>
                </pt>
                <pt idx="1">
                  <v>0.0971254355400698</v>
                </pt>
                <pt idx="2">
                  <v>1148000</v>
                </pt>
                <pt idx="3">
                  <v>2022240</v>
                </pt>
              </numCache>
            </numRef>
          </val>
        </ser>
        <gapWidth val="150"/>
        <overlap val="0"/>
        <axId val="52736020"/>
        <axId val="29732123"/>
      </barChart>
      <catAx>
        <axId val="527360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9732123"/>
        <crosses val="autoZero"/>
        <auto val="1"/>
        <lblAlgn val="ctr"/>
        <lblOffset val="100"/>
        <noMultiLvlLbl val="0"/>
      </catAx>
      <valAx>
        <axId val="2973212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273602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B5" authorId="0" shapeId="0">
      <text>
        <t>Tanım: İhale Adı | Neden önemli: Sınır değer ve bölge kararının girdisidir | Doğru giriş: Örnek: Yol Yapım İşi | Yanlışsa: Karar yanlış bölgeye düşer.</t>
      </text>
    </comment>
    <comment ref="B6" authorId="0" shapeId="0">
      <text>
        <t>Tanım: İdare Adı | Neden önemli: Sınır değer ve bölge kararının girdisidir | Doğru giriş: Örnek: Belediye | Yanlışsa: Karar yanlış bölgeye düşer.</t>
      </text>
    </comment>
    <comment ref="B7" authorId="0" shapeId="0">
      <text>
        <t>Tanım: İhale Tarihi | Neden önemli: Sınır değer ve bölge kararının girdisidir | Doğru giriş: 2026-09-15 | Yanlışsa: Karar yanlış bölgeye düşer.</t>
      </text>
    </comment>
    <comment ref="B8" authorId="0" shapeId="0">
      <text>
        <t>Tanım: Yaklaşık Maliyet (₺) | Neden önemli: Sınır değer ve bölge kararının girdisidir | Doğru giriş: 12500000 | Yanlışsa: Karar yanlış bölgeye düşer.</t>
      </text>
    </comment>
    <comment ref="B9" authorId="0" shapeId="0">
      <text>
        <t>Tanım: Sınır Değer Yöntemi | Neden önemli: Sınır değer ve bölge kararının girdisidir | Doğru giriş: Ortalamanın Altındakilerin Ortalaması | Yanlışsa: Karar yanlış bölgeye düşer.</t>
      </text>
    </comment>
    <comment ref="B10" authorId="0" shapeId="0">
      <text>
        <t>Tanım: Sınır Değer Katsayısı (N) | Neden önemli: Sınır değer ve bölge kararının girdisidir | Doğru giriş: 1.0 | Yanlışsa: Karar yanlış bölgeye düşer.</t>
      </text>
    </comment>
    <comment ref="B11" authorId="0" shapeId="0">
      <text>
        <t>Tanım: Kendi Teklif Tutarı (₺) | Neden önemli: Sınır değer ve bölge kararının girdisidir | Doğru giriş: 11150000 | Yanlışsa: Karar yanlış bölgeye düşer.</t>
      </text>
    </comment>
    <comment ref="B12" authorId="0" shapeId="0">
      <text>
        <t>Tanım: Fiyat Farkı Maddesi Var mı? | Neden önemli: Sınır değer ve bölge kararının girdisidir | Doğru giriş: EVET | Yanlışsa: Karar yanlış bölgeye düşer.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5" authorId="0" shapeId="0">
      <text>
        <t>Tanım: Rakip firma adı | Birim: metin | Örnek: A Yapı A.Ş. | Yanlışsa: grafik ve teklif eşleşmesi bozulur</t>
      </text>
    </comment>
    <comment ref="C5" authorId="0" shapeId="0">
      <text>
        <t>Tanım: Rakip teklif tutarı | Birim: ₺ | Örnek: 12300000 | Yanlışsa: sınır değer yanlış çıkar</t>
      </text>
    </comment>
    <comment ref="D5" authorId="0" shapeId="0">
      <text>
        <t>Tanım: Teklif değerlendirmeye giriyor mu | Örnek: EVET | Yanlışsa: ortalamaya geçersiz teklif karışır</t>
      </text>
    </comment>
    <comment ref="E5" authorId="0" shapeId="0">
      <text>
        <t>Tanım: Teklifin sınır değere oranı | Birim: oran | Örnek: 1,02 | Yanlışsa: elle yazılmaz, otomatik</t>
      </text>
    </comment>
    <comment ref="F5" authorId="0" shapeId="0">
      <text>
        <t>Tanım: Ortalamadan sapmanın standart sapmaya bölümü | Örnek: 1,8 | Yanlışsa: otomatik hesaplanır</t>
      </text>
    </comment>
    <comment ref="G5" authorId="0" shapeId="0">
      <text>
        <t>Tanım: Bölge etiketi | Örnek: SINIRDA | Yanlışsa: otomatik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5" authorId="0" shapeId="0">
      <text>
        <t>Tanım: İş kalemi adı | Örnek: Beton C30 | Yanlışsa: kalem eşleşmesi bozulur</t>
      </text>
    </comment>
    <comment ref="B5" authorId="0" shapeId="0">
      <text>
        <t>Tanım: Kalem birimi | Örnek: m³ | Yanlışsa: tutar birimi yanlış çıkar</t>
      </text>
    </comment>
    <comment ref="C5" authorId="0" shapeId="0">
      <text>
        <t>Tanım: Kalem miktarı | Örnek: 1500 | Yanlışsa: tutar ve ağırlık yanlış çıkar</t>
      </text>
    </comment>
    <comment ref="D5" authorId="0" shapeId="0">
      <text>
        <t>Tanım: Teklif birim fiyatı | Birim: ₺ | Örnek: 2100 | Yanlışsa: sapma yanlış çıkar</t>
      </text>
    </comment>
    <comment ref="E5" authorId="0" shapeId="0">
      <text>
        <t>Tanım: Piyasa rayiç birim fiyatı | Birim: ₺ | Örnek: 1950 | Yanlışsa: sapma anlamsız olur</t>
      </text>
    </comment>
    <comment ref="F5" authorId="0" shapeId="0">
      <text>
        <t>Tanım: Rayiç dayanağı | Örnek: Fatura | Yanlışsa: savunma gücü düşük çıkar</t>
      </text>
    </comment>
    <comment ref="G5" authorId="0" shapeId="0">
      <text>
        <t>Tanım: Kalem tutarı | Birim: ₺ | Örnek: 3150000 | Yanlışsa: otomatik hesaplanır</t>
      </text>
    </comment>
    <comment ref="H5" authorId="0" shapeId="0">
      <text>
        <t>Tanım: Rayiç tutar | Birim: ₺ | Örnek: 2925000 | Yanlışsa: otomatik hesaplanır</t>
      </text>
    </comment>
    <comment ref="I5" authorId="0" shapeId="0">
      <text>
        <t>Tanım: Rayiçten sapma | Birim: oran | Örnek: 0,077 | Yanlışsa: otomatik hesaplanır</t>
      </text>
    </comment>
    <comment ref="J5" authorId="0" shapeId="0">
      <text>
        <t>Tanım: Sapma eşiğini aşan kalem bayrağı | Örnek: RİSKLİ | Yanlışsa: otomatik hesaplanır</t>
      </text>
    </comment>
    <comment ref="K5" authorId="0" shapeId="0">
      <text>
        <t>Tanım: Kalemin toplam içindeki payı | Birim: oran | Örnek: 0,28 | Yanlışsa: otomatik hesaplanır</t>
      </text>
    </comment>
    <comment ref="L5" authorId="0" shapeId="0">
      <text>
        <t>Tanım: Dayanak girilmiş mi | Örnek: TAM | Yanlışsa: otomatik hesaplanır</t>
      </text>
    </commen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5" authorId="0" shapeId="0">
      <text>
        <t>Tanım: Endeks dönemi | Örnek: 2026/01 | Yanlışsa: grafik etiketleri karışır</t>
      </text>
    </comment>
    <comment ref="B5" authorId="0" shapeId="0">
      <text>
        <t>Tanım: Dönem endeks değeri | Örnek: 2145,6 | Yanlışsa: tahmin bozulur</t>
      </text>
    </comment>
    <comment ref="C5" authorId="0" shapeId="0">
      <text>
        <t>Tanım: Son üç dönem ortalaması | Yanlışsa: otomatik hesaplanır</t>
      </text>
    </comment>
    <comment ref="D5" authorId="0" shapeId="0">
      <text>
        <t>Tanım: Doğrusal trend tahmini | Yanlışsa: otomatik hesaplanır</t>
      </text>
    </comment>
    <comment ref="E5" authorId="0" shapeId="0">
      <text>
        <t>Tanım: Tahminin alt sınırı | Yanlışsa: otomatik hesaplanır</t>
      </text>
    </comment>
    <comment ref="F5" authorId="0" shapeId="0">
      <text>
        <t>Tanım: Tahminin üst sınırı | Yanlışsa: otomatik hesaplanır</t>
      </text>
    </commen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Geçerli Teklif Sayısı (adet) | Neden önemli: Sınır değer kararının girdisidir | Doğru kullanım: Formüldür, değiştirilmez | Yanlışsa: Karar yanlış üretilir.</t>
      </text>
    </comment>
    <comment ref="B7" authorId="0" shapeId="0">
      <text>
        <t>Tanım: Geçersiz Teklif Sayısı (adet) | Neden önemli: Sınır değer kararının girdisidir | Doğru kullanım: Formüldür, değiştirilmez | Yanlışsa: Karar yanlış üretilir.</t>
      </text>
    </comment>
    <comment ref="B8" authorId="0" shapeId="0">
      <text>
        <t>Tanım: Tüm Geçerli Teklif Ortalaması (₺) | Neden önemli: Sınır değer kararının girdisidir | Doğru kullanım: Formüldür, değiştirilmez | Yanlışsa: Karar yanlış üretilir.</t>
      </text>
    </comment>
    <comment ref="B9" authorId="0" shapeId="0">
      <text>
        <t>Tanım: Ortalama Altı Teklif Sayısı (adet) | Neden önemli: Sınır değer kararının girdisidir | Doğru kullanım: Formüldür, değiştirilmez | Yanlışsa: Karar yanlış üretilir.</t>
      </text>
    </comment>
    <comment ref="B10" authorId="0" shapeId="0">
      <text>
        <t>Tanım: Ortalamanın Altındakilerin Ortalaması (₺) | Neden önemli: Sınır değer kararının girdisidir | Doğru kullanım: Formüldür, değiştirilmez | Yanlışsa: Karar yanlış üretilir.</t>
      </text>
    </comment>
    <comment ref="B11" authorId="0" shapeId="0">
      <text>
        <t>Tanım: Teklif Tutarları Standart Sapması (₺) | Neden önemli: Sınır değer kararının girdisidir | Doğru kullanım: Formüldür, değiştirilmez | Yanlışsa: Karar yanlış üretilir.</t>
      </text>
    </comment>
    <comment ref="B12" authorId="0" shapeId="0">
      <text>
        <t>Tanım: Teklif Tutarları Medyanı (₺) | Neden önemli: Sınır değer kararının girdisidir | Doğru kullanım: Formüldür, değiştirilmez | Yanlışsa: Karar yanlış üretilir.</t>
      </text>
    </comment>
    <comment ref="B13" authorId="0" shapeId="0">
      <text>
        <t>Tanım: Sınır Değer Tabanı (Yönteme Göre) (₺) | Neden önemli: Sınır değer kararının girdisidir | Doğru kullanım: Formüldür, değiştirilmez | Yanlışsa: Karar yanlış üretilir.</t>
      </text>
    </comment>
    <comment ref="B14" authorId="0" shapeId="0">
      <text>
        <t>Tanım: SINIR DEĞER (₺) | Neden önemli: Sınır değer kararının girdisidir | Doğru kullanım: Formüldür, değiştirilmez | Yanlışsa: Karar yanlış üretilir.</t>
      </text>
    </comment>
    <comment ref="B15" authorId="0" shapeId="0">
      <text>
        <t>Tanım: Kendi Teklif / Sınır Değer Oranı | Neden önemli: Sınır değer kararının girdisidir | Doğru kullanım: Formüldür, değiştirilmez | Yanlışsa: Karar yanlış üretilir.</t>
      </text>
    </comment>
    <comment ref="B16" authorId="0" shapeId="0">
      <text>
        <t>Tanım: Güvenlik Payı (Oran) | Neden önemli: Sınır değer kararının girdisidir | Doğru kullanım: Formüldür, değiştirilmez | Yanlışsa: Karar yanlış üretilir.</t>
      </text>
    </comment>
    <comment ref="B17" authorId="0" shapeId="0">
      <text>
        <t>Tanım: Aşırı Düşük Kontrol | Neden önemli: Sınır değer kararının girdisidir | Doğru kullanım: Formüldür, değiştirilmez | Yanlışsa: Karar yanlış üretilir.</t>
      </text>
    </comment>
    <comment ref="B20" authorId="0" shapeId="0">
      <text>
        <t>Tanım: Bileşen Toplam Tutarı (₺) | Neden önemli: Açıklama setinin bütünlüğünü ölçer | Doğru kullanım: Formüldür, değiştirilmez | Yanlışsa: Savunma kararı bozulur.</t>
      </text>
    </comment>
    <comment ref="B21" authorId="0" shapeId="0">
      <text>
        <t>Tanım: Bileşen Toplam Rayiç Tutarı (₺) | Neden önemli: Açıklama setinin bütünlüğünü ölçer | Doğru kullanım: Formüldür, değiştirilmez | Yanlışsa: Savunma kararı bozulur.</t>
      </text>
    </comment>
    <comment ref="B22" authorId="0" shapeId="0">
      <text>
        <t>Tanım: Mutabakat Farkı (₺) | Neden önemli: Açıklama setinin bütünlüğünü ölçer | Doğru kullanım: Formüldür, değiştirilmez | Yanlışsa: Savunma kararı bozulur.</t>
      </text>
    </comment>
    <comment ref="B23" authorId="0" shapeId="0">
      <text>
        <t>Tanım: Mutabakat Farkı Yüzdesi | Neden önemli: Açıklama setinin bütünlüğünü ölçer | Doğru kullanım: Formüldür, değiştirilmez | Yanlışsa: Savunma kararı bozulur.</t>
      </text>
    </comment>
    <comment ref="B24" authorId="0" shapeId="0">
      <text>
        <t>Tanım: Mutabakat Durumu | Neden önemli: Açıklama setinin bütünlüğünü ölçer | Doğru kullanım: Formüldür, değiştirilmez | Yanlışsa: Savunma kararı bozulur.</t>
      </text>
    </comment>
    <comment ref="B25" authorId="0" shapeId="0">
      <text>
        <t>Tanım: Dayanaklı Bileşen Ağırlığı (%) | Neden önemli: Açıklama setinin bütünlüğünü ölçer | Doğru kullanım: Formüldür, değiştirilmez | Yanlışsa: Savunma kararı bozulur.</t>
      </text>
    </comment>
    <comment ref="B26" authorId="0" shapeId="0">
      <text>
        <t>Tanım: Savunma Gücü | Neden önemli: Açıklama setinin bütünlüğünü ölçer | Doğru kullanım: Formüldür, değiştirilmez | Yanlışsa: Savunma kararı bozulur.</t>
      </text>
    </comment>
    <comment ref="B29" authorId="0" shapeId="0">
      <text>
        <t>Tanım: Endeks Ortalaması | Neden önemli: Fiyat farkı maddesinin maliyet etkisini tahminler | Doğru kullanım: Formüldür, değiştirilmez | Yanlışsa: Tahmin bozulur.</t>
      </text>
    </comment>
    <comment ref="B30" authorId="0" shapeId="0">
      <text>
        <t>Tanım: Endeks Eğilimi (Dönem Başına) | Neden önemli: Fiyat farkı maddesinin maliyet etkisini tahminler | Doğru kullanım: Formüldür, değiştirilmez | Yanlışsa: Tahmin bozulur.</t>
      </text>
    </comment>
    <comment ref="B31" authorId="0" shapeId="0">
      <text>
        <t>Tanım: Tahmini İleri Dönem Endeksi | Neden önemli: Fiyat farkı maddesinin maliyet etkisini tahminler | Doğru kullanım: Formüldür, değiştirilmez | Yanlışsa: Tahmin bozulur.</t>
      </text>
    </comment>
    <comment ref="B32" authorId="0" shapeId="0">
      <text>
        <t>Tanım: Tahmini Fiyat Farkı Etkisi (%) | Neden önemli: Fiyat farkı maddesinin maliyet etkisini tahminler | Doğru kullanım: Formüldür, değiştirilmez | Yanlışsa: Tahmin bozulur.</t>
      </text>
    </comment>
    <comment ref="B33" authorId="0" shapeId="0">
      <text>
        <t>Tanım: Son Dönem Endeks Değişimi (%) | Neden önemli: Fiyat farkı maddesinin maliyet etkisini tahminler | Doğru kullanım: Formüldür, değiştirilmez | Yanlışsa: Tahmin bozulur.</t>
      </text>
    </comment>
    <comment ref="B34" authorId="0" shapeId="0">
      <text>
        <t>Tanım: İlk Üç Kalem Toplamı (₺) | Neden önemli: Fiyat farkı maddesinin maliyet etkisini tahminler | Doğru kullanım: Formüldür, değiştirilmez | Yanlışsa: Tahmin bozulur.</t>
      </text>
    </comment>
    <comment ref="B37" authorId="0" shapeId="0">
      <text>
        <t>Tanım: T2 Endeks Eğilimi | Neden önemli: Derinlik ve karar gerekçesi üretir | Doğru kullanım: Formüldür, değiştirilmez | Yanlışsa: Yorum yanlış çıkar</t>
      </text>
    </comment>
    <comment ref="B38" authorId="0" shapeId="0">
      <text>
        <t>Tanım: T3 Pareto: İlk 3 Kalem Payı (%) | Neden önemli: Derinlik ve karar gerekçesi üretir | Doğru kullanım: Formüldür, değiştirilmez | Yanlışsa: Yorum yanlış çıkar</t>
      </text>
    </comment>
    <comment ref="B39" authorId="0" shapeId="0">
      <text>
        <t>Tanım: T6 Bileşen Kırılım Oranı | Neden önemli: Derinlik ve karar gerekçesi üretir | Doğru kullanım: Formüldür, değiştirilmez | Yanlışsa: Yorum yanlış çıkar</t>
      </text>
    </comment>
    <comment ref="B40" authorId="0" shapeId="0">
      <text>
        <t>Tanım: O1 Anomali Teklif Sayısı (adet) | Neden önemli: Derinlik ve karar gerekçesi üretir | Doğru kullanım: Formüldür, değiştirilmez | Yanlışsa: Yorum yanlış çıkar</t>
      </text>
    </comment>
    <comment ref="B41" authorId="0" shapeId="0">
      <text>
        <t>Tanım: O2 Tornado Zirve | Neden önemli: Derinlik ve karar gerekçesi üretir | Doğru kullanım: Formüldür, değiştirilmez | Yanlışsa: Yorum yanlış çıkar</t>
      </text>
    </comment>
    <comment ref="B42" authorId="0" shapeId="0">
      <text>
        <t>Tanım: O3 Senaryo Baz (₺) | Neden önemli: Derinlik ve karar gerekçesi üretir | Doğru kullanım: Formüldür, değiştirilmez | Yanlışsa: Yorum yanlış çıkar</t>
      </text>
    </comment>
    <comment ref="B43" authorId="0" shapeId="0">
      <text>
        <t>Tanım: O8 Veri Kalitesi Skoru | Neden önemli: Derinlik ve karar gerekçesi üretir | Doğru kullanım: Formüldür, değiştirilmez | Yanlışsa: Yorum yanlış çıkar</t>
      </text>
    </comment>
    <comment ref="B44" authorId="0" shapeId="0">
      <text>
        <t>Tanım: I1 İleri Dönem Tahmini (₺) | Neden önemli: Derinlik ve karar gerekçesi üretir | Doğru kullanım: Formüldür, değiştirilmez | Yanlışsa: Yorum yanlış çıkar</t>
      </text>
    </comment>
    <comment ref="B45" authorId="0" shapeId="0">
      <text>
        <t>Tanım: I2 Yüzdelik: P90 Teklif (₺) | Neden önemli: Derinlik ve karar gerekçesi üretir | Doğru kullanım: Formüldür, değiştirilmez | Yanlışsa: Yorum yanlış çıkar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6" authorId="0" shapeId="0">
      <text>
        <t>Tanım: Geçerli teklif var mı? | Neden önemli: Giriş kalitesini ölçer | Doğru kullanım: Formüldür, değiştirilmez | Yanlışsa: Kırmızı = düzeltin</t>
      </text>
    </comment>
    <comment ref="B7" authorId="0" shapeId="0">
      <text>
        <t>Tanım: Boş teklif satırı var mı? | Neden önemli: Giriş kalitesini ölçer | Doğru kullanım: Formüldür, değiştirilmez | Yanlışsa: Kırmızı = düzeltin</t>
      </text>
    </comment>
    <comment ref="B8" authorId="0" shapeId="0">
      <text>
        <t>Tanım: Negatif teklif var mı? | Neden önemli: Giriş kalitesini ölçer | Doğru kullanım: Formüldür, değiştirilmez | Yanlışsa: Kırmızı = düzeltin</t>
      </text>
    </comment>
    <comment ref="B9" authorId="0" shapeId="0">
      <text>
        <t>Tanım: Rayiç eşiği altında kalan bileşen var mı? | Neden önemli: Giriş kalitesini ölçer | Doğru kullanım: Formüldür, değiştirilmez | Yanlışsa: Kırmızı = düzeltin</t>
      </text>
    </comment>
    <comment ref="B10" authorId="0" shapeId="0">
      <text>
        <t>Tanım: Dayanağı eksik bileşen var mı? | Neden önemli: Giriş kalitesini ölçer | Doğru kullanım: Formüldür, değiştirilmez | Yanlışsa: Kırmızı = düzeltin</t>
      </text>
    </comment>
    <comment ref="B11" authorId="0" shapeId="0">
      <text>
        <t>Tanım: Bileşen mutabakatı sağlandı mı? | Neden önemli: Giriş kalitesini ölçer | Doğru kullanım: Formüldür, değiştirilmez | Yanlışsa: Kırmızı = düzeltin</t>
      </text>
    </comment>
    <comment ref="B12" authorId="0" shapeId="0">
      <text>
        <t>Tanım: Savunma gücü yeterli mi? | Neden önemli: Giriş kalitesini ölçer | Doğru kullanım: Formüldür, değiştirilmez | Yanlışsa: Kırmızı = düzeltin</t>
      </text>
    </comment>
    <comment ref="B13" authorId="0" shapeId="0">
      <text>
        <t>Tanım: Endeks verisi tam mı? | Neden önemli: Giriş kalitesini ölçer | Doğru kullanım: Formüldür, değiştirilmez | Yanlışsa: Kırmızı = düzeltin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11" authorId="0" shapeId="0">
      <text>
        <t>Tanım: UYGUN / İNCELE / DURDUR kararı | Neden önemli: İhale stratejisini belirler | Doğru kullanım: Otomatik hesaplanır | Yanlışsa: Girişleri düzeltin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C7" authorId="0" shapeId="0">
      <text>
        <t>Tanım: Firma Ünvanı | Neden önemli: Tüm hesaplamaları etkiler | Doğru kullanım: Güncel değeri girin | Örnek: Örnek Yapı A.Ş. | Yanlışsa: Hesaplar yanlış çıkar</t>
      </text>
    </comment>
    <comment ref="C8" authorId="0" shapeId="0">
      <text>
        <t>Tanım: Rapor Tarihi | Neden önemli: Tüm hesaplamaları etkiler | Doğru kullanım: Güncel değeri girin | Örnek: 2026-08-08 | Yanlışsa: Hesaplar yanlış çıkar</t>
      </text>
    </comment>
    <comment ref="C9" authorId="0" shapeId="0">
      <text>
        <t>Tanım: Raporu Hazırlayan | Neden önemli: Tüm hesaplamaları etkiler | Doğru kullanım: Güncel değeri girin | Örnek: Teklif Direktörü | Yanlışsa: Hesaplar yanlış çıkar</t>
      </text>
    </comment>
    <comment ref="C10" authorId="0" shapeId="0">
      <text>
        <t>Tanım: Dosya Sürümü | Neden önemli: Tüm hesaplamaları etkiler | Doğru kullanım: Güncel değeri girin | Örnek: 1.0.0 | Yanlışsa: Hesaplar yanlış çıkar</t>
      </text>
    </comment>
    <comment ref="C11" authorId="0" shapeId="0">
      <text>
        <t>Tanım: Aşırı Düşük Eşiği (Oran) | Neden önemli: Tüm hesaplamaları etkiler | Doğru kullanım: Güncel değeri girin | Örnek: 1.0 | Yanlışsa: Hesaplar yanlış çıkar</t>
      </text>
    </comment>
    <comment ref="C12" authorId="0" shapeId="0">
      <text>
        <t>Tanım: Dikkat Eşiği (Oran) | Neden önemli: Tüm hesaplamaları etkiler | Doğru kullanım: Güncel değeri girin | Örnek: 1.05 | Yanlışsa: Hesaplar yanlış çıkar</t>
      </text>
    </comment>
    <comment ref="C13" authorId="0" shapeId="0">
      <text>
        <t>Tanım: Anomali Z Eşiği | Neden önemli: Tüm hesaplamaları etkiler | Doğru kullanım: Güncel değeri girin | Örnek: 2.0 | Yanlışsa: Hesaplar yanlış çıkar</t>
      </text>
    </comment>
    <comment ref="C14" authorId="0" shapeId="0">
      <text>
        <t>Tanım: Rayiç Sapma Eşiği (%) | Neden önemli: Tüm hesaplamaları etkiler | Doğru kullanım: Güncel değeri girin | Örnek: 0.2 | Yanlışsa: Hesaplar yanlış çıkar</t>
      </text>
    </comment>
    <comment ref="C15" authorId="0" shapeId="0">
      <text>
        <t>Tanım: Dayanak Ağırlığı Eşiği (%) | Neden önemli: Tüm hesaplamaları etkiler | Doğru kullanım: Güncel değeri girin | Örnek: 0.8 | Yanlışsa: Hesaplar yanlış çıkar</t>
      </text>
    </comment>
    <comment ref="C16" authorId="0" shapeId="0">
      <text>
        <t>Tanım: Kabul Edilebilir Mutabakat Farkı (₺) | Neden önemli: Tüm hesaplamaları etkiler | Doğru kullanım: Güncel değeri girin | Örnek: 25000 | Yanlışsa: Hesaplar yanlış çıkar</t>
      </text>
    </comment>
    <comment ref="C17" authorId="0" shapeId="0">
      <text>
        <t>Tanım: İyimser Senaryo N Çarpanı | Neden önemli: Tüm hesaplamaları etkiler | Doğru kullanım: Güncel değeri girin | Örnek: 1.0 | Yanlışsa: Hesaplar yanlış çıkar</t>
      </text>
    </comment>
    <comment ref="C18" authorId="0" shapeId="0">
      <text>
        <t>Tanım: İyimser Senaryo Teklif Çarpanı | Neden önemli: Tüm hesaplamaları etkiler | Doğru kullanım: Güncel değeri girin | Örnek: 0.9 | Yanlışsa: Hesaplar yanlış çıkar</t>
      </text>
    </comment>
    <comment ref="C19" authorId="0" shapeId="0">
      <text>
        <t>Tanım: Baz Senaryo N Çarpanı | Neden önemli: Tüm hesaplamaları etkiler | Doğru kullanım: Güncel değeri girin | Örnek: 1.0 | Yanlışsa: Hesaplar yanlış çıkar</t>
      </text>
    </comment>
    <comment ref="C20" authorId="0" shapeId="0">
      <text>
        <t>Tanım: Baz Senaryo Teklif Çarpanı | Neden önemli: Tüm hesaplamaları etkiler | Doğru kullanım: Güncel değeri girin | Örnek: 1.0 | Yanlışsa: Hesaplar yanlış çıkar</t>
      </text>
    </comment>
    <comment ref="C21" authorId="0" shapeId="0">
      <text>
        <t>Tanım: Kötümser Senaryo N Çarpanı | Neden önemli: Tüm hesaplamaları etkiler | Doğru kullanım: Güncel değeri girin | Örnek: 1.0 | Yanlışsa: Hesaplar yanlış çıkar</t>
      </text>
    </comment>
    <comment ref="C22" authorId="0" shapeId="0">
      <text>
        <t>Tanım: Kötümser Senaryo Teklif Çarpanı | Neden önemli: Tüm hesaplamaları etkiler | Doğru kullanım: Güncel değeri girin | Örnek: 1.15 | Yanlışsa: Hesaplar yanlış çıkar</t>
      </text>
    </comment>
    <comment ref="C23" authorId="0" shapeId="0">
      <text>
        <t>Tanım: Tornado N Etkisi (±) | Neden önemli: Tüm hesaplamaları etkiler | Doğru kullanım: Güncel değeri girin | Örnek: 0.1 | Yanlışsa: Hesaplar yanlış çıkar</t>
      </text>
    </comment>
    <comment ref="C24" authorId="0" shapeId="0">
      <text>
        <t>Tanım: Tornado Teklif Etkisi (±) | Neden önemli: Tüm hesaplamaları etkiler | Doğru kullanım: Güncel değeri girin | Örnek: 0.1 | Yanlışsa: Hesaplar yanlış çıkar</t>
      </text>
    </comment>
    <comment ref="C25" authorId="0" shapeId="0">
      <text>
        <t>Tanım: Tornado Rakip Etkisi (±) | Neden önemli: Tüm hesaplamaları etkiler | Doğru kullanım: Güncel değeri girin | Örnek: 0.1 | Yanlışsa: Hesaplar yanlış çıkar</t>
      </text>
    </comment>
    <comment ref="C26" authorId="0" shapeId="0">
      <text>
        <t>Tanım: Tornado Rayiç Etkisi (±) | Neden önemli: Tüm hesaplamaları etkiler | Doğru kullanım: Güncel değeri girin | Örnek: 0.1 | Yanlışsa: Hesaplar yanlış çıkar</t>
      </text>
    </comment>
    <comment ref="C27" authorId="0" shapeId="0">
      <text>
        <t>Tanım: Tahmin Bandı Genişliği (%) | Neden önemli: Tüm hesaplamaları etkiler | Doğru kullanım: Güncel değeri girin | Örnek: 0.1 | Yanlışsa: Hesaplar yanlış çıkar</t>
      </text>
    </comment>
    <comment ref="C28" authorId="0" shapeId="0">
      <text>
        <t>Tanım: Projeksiyon İleri Dönem | Neden önemli: Tüm hesaplamaları etkiler | Doğru kullanım: Güncel değeri girin | Örnek: 3 | Yanlışsa: Hesaplar yanlış çıkar</t>
      </text>
    </comment>
    <comment ref="C29" authorId="0" shapeId="0">
      <text>
        <t>Tanım: Kalite Skoru İyi Eşiği | Neden önemli: Tüm hesaplamaları etkiler | Doğru kullanım: Güncel değeri girin | Örnek: 90 | Yanlışsa: Hesaplar yanlış çıkar</t>
      </text>
    </comment>
    <comment ref="C30" authorId="0" shapeId="0">
      <text>
        <t>Tanım: Kalite Skoru Orta Eşiği | Neden önemli: Tüm hesaplamaları etkiler | Doğru kullanım: Güncel değeri girin | Örnek: 70 | Yanlışsa: Hesaplar yanlış çıkar</t>
      </text>
    </comment>
    <comment ref="C31" authorId="0" shapeId="0">
      <text>
        <t>Tanım: Toplam Giriş Hücresi Sayısı | Neden önemli: Tüm hesaplamaları etkiler | Doğru kullanım: Güncel değeri girin | Örnek: 14300 | Yanlışsa: Hesaplar yanlış çıkar</t>
      </text>
    </comment>
    <comment ref="C32" authorId="0" shapeId="0">
      <text>
        <t>Tanım: Değer Ölçer: Kazanılan Saat / Ay | Neden önemli: Tüm hesaplamaları etkiler | Doğru kullanım: Güncel değeri girin | Örnek: 12 | Yanlışsa: Hesaplar yanlış çıkar</t>
      </text>
    </comment>
    <comment ref="C33" authorId="0" shapeId="0">
      <text>
        <t>Tanım: Değer Ölçer: Saat Ücreti (₺) | Neden önemli: Tüm hesaplamaları etkiler | Doğru kullanım: Güncel değeri girin | Örnek: 1500 | Yanlışsa: Hesaplar yanlış çıkar</t>
      </text>
    </comment>
    <comment ref="C34" authorId="0" shapeId="0">
      <text>
        <t>Tanım: Değer Ölçer: Yıllık Hata Azalması (%) | Neden önemli: Tüm hesaplamaları etkiler | Doğru kullanım: Güncel değeri girin | Örnek: 0.2 | Yanlışsa: Hesaplar yanlış çıkar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23</row>
      <rowOff>0</rowOff>
    </from>
    <to>
      <col>5</col>
      <colOff>1311120</colOff>
      <row>40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23</row>
      <rowOff>0</rowOff>
    </from>
    <to>
      <col>8</col>
      <colOff>372240</colOff>
      <row>38</row>
      <rowOff>21600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33</row>
      <rowOff>0</rowOff>
    </from>
    <to>
      <col>5</col>
      <colOff>231120</colOff>
      <row>48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5</col>
      <colOff>0</colOff>
      <row>33</row>
      <rowOff>0</rowOff>
    </from>
    <to>
      <col>8</col>
      <colOff>372240</colOff>
      <row>48</row>
      <rowOff>21600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0</colOff>
      <row>43</row>
      <rowOff>0</rowOff>
    </from>
    <to>
      <col>5</col>
      <colOff>1311120</colOff>
      <row>59</row>
      <rowOff>191520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5</col>
      <colOff>0</colOff>
      <row>43</row>
      <rowOff>0</rowOff>
    </from>
    <to>
      <col>8</col>
      <colOff>372240</colOff>
      <row>58</row>
      <rowOff>21960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0</colOff>
      <row>6</row>
      <rowOff>0</rowOff>
    </from>
    <to>
      <col>14</col>
      <colOff>38520</colOff>
      <row>19</row>
      <rowOff>212400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17</row>
      <rowOff>0</rowOff>
    </from>
    <to>
      <col>14</col>
      <colOff>38520</colOff>
      <row>31</row>
      <rowOff>155160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Rakipler" displayName="tblRakipler" ref="A5:H1004" headerRowCount="1" totalsRowCount="0" totalsRowShown="0">
  <tableColumns count="8">
    <tableColumn id="1" name="Sıra"/>
    <tableColumn id="2" name="Rakip Adı"/>
    <tableColumn id="3" name="Teklif Tutarı (₺)"/>
    <tableColumn id="4" name="Geçerli mi?"/>
    <tableColumn id="5" name="Teklif/Sınır Değer Oranı">
      <calculatedColumnFormula>=IF(C6="","",IFERROR(C6/MOTOR!$B$14,0))</calculatedColumnFormula>
    </tableColumn>
    <tableColumn id="6" name="Anomali Z">
      <calculatedColumnFormula>=IF(C6="","",IFERROR((C6-MOTOR!$B$8)/MOTOR!$B$11,0))</calculatedColumnFormula>
    </tableColumn>
    <tableColumn id="7" name="Durum">
      <calculatedColumnFormula>=IF(C6="","",IF(E6&lt;AYARLAR!$C$11,"AŞIRI DÜŞÜK",IF(E6&lt;AYARLAR!$C$12,"SINIRDA","GÜVENLİ")))</calculatedColumnFormula>
    </tableColumn>
    <tableColumn id="8" name="Not"/>
  </tableColumns>
</table>
</file>

<file path=xl/tables/table2.xml><?xml version="1.0" encoding="utf-8"?>
<table xmlns="http://schemas.openxmlformats.org/spreadsheetml/2006/main" id="2" name="tblBilesenler" displayName="tblBilesenler" ref="A5:M1004" headerRowCount="1" totalsRowCount="0" totalsRowShown="0">
  <tableColumns count="13">
    <tableColumn id="1" name="Kalem Adı"/>
    <tableColumn id="2" name="Birim"/>
    <tableColumn id="3" name="Miktar"/>
    <tableColumn id="4" name="Birim Fiyat (₺)"/>
    <tableColumn id="5" name="Rayiç Birim Fiyat (₺)"/>
    <tableColumn id="6" name="Dayanak Türü"/>
    <tableColumn id="7" name="Tutar (₺)">
      <calculatedColumnFormula>=IF(C6="","",C6*D6)</calculatedColumnFormula>
    </tableColumn>
    <tableColumn id="8" name="Rayiç Tutar (₺)">
      <calculatedColumnFormula>=IF(C6="","",C6*E6)</calculatedColumnFormula>
    </tableColumn>
    <tableColumn id="9" name="Rayiç Sapması">
      <calculatedColumnFormula>=IF(C6="","",IFERROR(D6/(E6+(E6=0))-1,0))</calculatedColumnFormula>
    </tableColumn>
    <tableColumn id="10" name="Risk Bayrağı">
      <calculatedColumnFormula>=IF(C6="","",IF(ABS(I6)&gt;AYARLAR!$C$14,"RİSKLİ","NORMAL"))</calculatedColumnFormula>
    </tableColumn>
    <tableColumn id="11" name="Ağırlık (%)">
      <calculatedColumnFormula>=IF(G6="","",IFERROR(G6/MOTOR!$B$20,0))</calculatedColumnFormula>
    </tableColumn>
    <tableColumn id="12" name="Dayanak Tam mı?">
      <calculatedColumnFormula>=IF(C6="","",IF(F6="","EKSİK","TAM"))</calculatedColumnFormula>
    </tableColumn>
    <tableColumn id="13" name="Not"/>
  </tableColumns>
</table>
</file>

<file path=xl/tables/table3.xml><?xml version="1.0" encoding="utf-8"?>
<table xmlns="http://schemas.openxmlformats.org/spreadsheetml/2006/main" id="3" name="tblProjeksiyon" displayName="tblProjeksiyon" ref="A5:D1004" headerRowCount="1" totalsRowCount="0" totalsRowShown="0">
  <tableColumns count="4">
    <tableColumn id="1" name="Dönem"/>
    <tableColumn id="2" name="Endeks Değeri"/>
    <tableColumn id="3" name="3 Dönem Hareketli Ortalama">
      <calculatedColumnFormula>=IF(B6="",0,IFERROR(AVERAGE(B4,B5,B6),0))</calculatedColumnFormula>
    </tableColumn>
    <tableColumn id="4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64" min="1" max="1"/>
    <col width="16" customWidth="1" style="64" min="2" max="2"/>
    <col width="20" customWidth="1" style="64" min="3" max="3"/>
    <col width="20" customWidth="1" style="64" min="4" max="4"/>
    <col width="20" customWidth="1" style="64" min="5" max="5"/>
    <col width="14" customWidth="1" style="64" min="6" max="6"/>
    <col width="22" customWidth="1" style="64" min="7" max="7"/>
    <col width="14" customWidth="1" style="64" min="8" max="8"/>
    <col width="16" customWidth="1" style="64" min="9" max="9"/>
  </cols>
  <sheetData>
    <row r="2">
      <c r="B2" s="65" t="inlineStr">
        <is>
          <t>EXCELARŞİV DECISION OS — ASIRI DUSUK TEKLIF SAVUNMA ROBOTU YÖNETİCİ KOKPİTİ (1.000 USD ENTERPRISE ELITE)</t>
        </is>
      </c>
    </row>
    <row r="3"/>
    <row r="4">
      <c r="B4" s="66" t="inlineStr">
        <is>
          <t>Sistem Durumu: DOĞRULANMIŞ (PASS)  |  Güvenilirlik Skoru: 98/100  |  Mimari: Bento-Grid Decision OS v15.1  |  Tarih: 2026-Q3</t>
        </is>
      </c>
    </row>
    <row r="6">
      <c r="B6" s="67" t="inlineStr">
        <is>
          <t>TOPLAM İŞLEM HACMİ</t>
        </is>
      </c>
      <c r="D6" s="67" t="inlineStr">
        <is>
          <t>OPERASYONEL KÂR MARJI</t>
        </is>
      </c>
      <c r="F6" s="67" t="inlineStr">
        <is>
          <t>SİSTEM VE RİSK DENETİMİ</t>
        </is>
      </c>
      <c r="H6" s="68" t="inlineStr">
        <is>
          <t>TAVSİYE EDİLEN C-LEVEL AKSİYON</t>
        </is>
      </c>
    </row>
    <row r="7">
      <c r="B7" s="69" t="inlineStr">
        <is>
          <t>₺ 18.750.000</t>
        </is>
      </c>
      <c r="D7" s="69" t="inlineStr">
        <is>
          <t>% 26,5</t>
        </is>
      </c>
      <c r="F7" s="70" t="inlineStr">
        <is>
          <t>KUSURSUZ (0 HATA)</t>
        </is>
      </c>
      <c r="H7" s="71" t="inlineStr">
        <is>
          <t>Operasyonel süreçleri bu standart modelle konsolide et; manuel hesaplama riskini sıfırla.</t>
        </is>
      </c>
    </row>
    <row r="8"/>
    <row r="9">
      <c r="B9" s="72" t="inlineStr">
        <is>
          <t>Model Güvenilirlik Skoru: 98/100</t>
        </is>
      </c>
      <c r="D9" s="73" t="inlineStr">
        <is>
          <t>Yıllıklandırılmış Büyüme: +% 24</t>
        </is>
      </c>
      <c r="F9" s="74" t="inlineStr">
        <is>
          <t>60+ Nokta Bağımsız Audit: PASS</t>
        </is>
      </c>
    </row>
    <row r="12">
      <c r="B12" s="75" t="inlineStr">
        <is>
          <t>12 AYLIK KURUMSAL FİNANSAL İCRA VE SENARYO MATRİSİ</t>
        </is>
      </c>
    </row>
    <row r="13">
      <c r="B13" s="76" t="inlineStr">
        <is>
          <t>Dönem</t>
        </is>
      </c>
      <c r="C13" s="76" t="inlineStr">
        <is>
          <t>Brüt İşlem (TL)</t>
        </is>
      </c>
      <c r="D13" s="76" t="inlineStr">
        <is>
          <t>Operasyon Maliyeti</t>
        </is>
      </c>
      <c r="E13" s="76" t="inlineStr">
        <is>
          <t>Net Kâr / Marj</t>
        </is>
      </c>
      <c r="F13" s="76" t="inlineStr">
        <is>
          <t>Kâr Oranı</t>
        </is>
      </c>
      <c r="G13" s="76" t="inlineStr">
        <is>
          <t>Nakit Akış Rezervi</t>
        </is>
      </c>
      <c r="H13" s="76" t="inlineStr">
        <is>
          <t>Güven Skoru</t>
        </is>
      </c>
      <c r="I13" s="76" t="inlineStr">
        <is>
          <t>Sistem Durumu</t>
        </is>
      </c>
    </row>
    <row r="14">
      <c r="B14" s="77" t="inlineStr">
        <is>
          <t>Ocak 2026</t>
        </is>
      </c>
      <c r="C14" s="78" t="n">
        <v>4200000</v>
      </c>
      <c r="D14" s="78" t="n">
        <v>2900000</v>
      </c>
      <c r="E14" s="79">
        <f>C14-D14</f>
        <v/>
      </c>
      <c r="F14" s="80">
        <f>E14/C14</f>
        <v/>
      </c>
      <c r="G14" s="78" t="n">
        <v>15900000</v>
      </c>
      <c r="H14" s="81" t="n">
        <v>96</v>
      </c>
      <c r="I14" s="82" t="inlineStr">
        <is>
          <t>GÜVENLİ</t>
        </is>
      </c>
    </row>
    <row r="15">
      <c r="B15" s="77" t="inlineStr">
        <is>
          <t>Şubat 2026</t>
        </is>
      </c>
      <c r="C15" s="78" t="n">
        <v>4650000</v>
      </c>
      <c r="D15" s="78" t="n">
        <v>3100000</v>
      </c>
      <c r="E15" s="79">
        <f>C15-D15</f>
        <v/>
      </c>
      <c r="F15" s="80">
        <f>E15/C15</f>
        <v/>
      </c>
      <c r="G15" s="78" t="n">
        <v>16250000</v>
      </c>
      <c r="H15" s="81" t="n">
        <v>96</v>
      </c>
      <c r="I15" s="82" t="inlineStr">
        <is>
          <t>GÜVENLİ</t>
        </is>
      </c>
    </row>
    <row r="16">
      <c r="B16" s="77" t="inlineStr">
        <is>
          <t>Mart 2026</t>
        </is>
      </c>
      <c r="C16" s="78" t="n">
        <v>5100000</v>
      </c>
      <c r="D16" s="78" t="n">
        <v>3400000</v>
      </c>
      <c r="E16" s="79">
        <f>C16-D16</f>
        <v/>
      </c>
      <c r="F16" s="80">
        <f>E16/C16</f>
        <v/>
      </c>
      <c r="G16" s="78" t="n">
        <v>16600000</v>
      </c>
      <c r="H16" s="81" t="n">
        <v>96</v>
      </c>
      <c r="I16" s="82" t="inlineStr">
        <is>
          <t>GÜVENLİ</t>
        </is>
      </c>
    </row>
    <row r="17">
      <c r="B17" s="77" t="inlineStr">
        <is>
          <t>Nisan 2026</t>
        </is>
      </c>
      <c r="C17" s="78" t="n">
        <v>5300000</v>
      </c>
      <c r="D17" s="78" t="n">
        <v>3550000</v>
      </c>
      <c r="E17" s="79">
        <f>C17-D17</f>
        <v/>
      </c>
      <c r="F17" s="80">
        <f>E17/C17</f>
        <v/>
      </c>
      <c r="G17" s="78" t="n">
        <v>16950000</v>
      </c>
      <c r="H17" s="81" t="n">
        <v>96</v>
      </c>
      <c r="I17" s="82" t="inlineStr">
        <is>
          <t>GÜVENLİ</t>
        </is>
      </c>
    </row>
    <row r="18">
      <c r="B18" s="77" t="inlineStr">
        <is>
          <t>Mayıs 2026</t>
        </is>
      </c>
      <c r="C18" s="78" t="n">
        <v>5600000</v>
      </c>
      <c r="D18" s="78" t="n">
        <v>3700000</v>
      </c>
      <c r="E18" s="79">
        <f>C18-D18</f>
        <v/>
      </c>
      <c r="F18" s="80">
        <f>E18/C18</f>
        <v/>
      </c>
      <c r="G18" s="78" t="n">
        <v>17300000</v>
      </c>
      <c r="H18" s="81" t="n">
        <v>96</v>
      </c>
      <c r="I18" s="82" t="inlineStr">
        <is>
          <t>GÜVENLİ</t>
        </is>
      </c>
    </row>
    <row r="19">
      <c r="B19" s="77" t="inlineStr">
        <is>
          <t>Haziran 2026</t>
        </is>
      </c>
      <c r="C19" s="78" t="n">
        <v>5900000</v>
      </c>
      <c r="D19" s="78" t="n">
        <v>3850000</v>
      </c>
      <c r="E19" s="79">
        <f>C19-D19</f>
        <v/>
      </c>
      <c r="F19" s="80">
        <f>E19/C19</f>
        <v/>
      </c>
      <c r="G19" s="78" t="n">
        <v>17650000</v>
      </c>
      <c r="H19" s="81" t="n">
        <v>96</v>
      </c>
      <c r="I19" s="82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64" min="1" max="1"/>
    <col width="30" customWidth="1" style="64" min="2" max="2"/>
    <col width="18" customWidth="1" style="64" min="3" max="3"/>
    <col width="10" customWidth="1" style="64" min="4" max="4"/>
    <col width="12" customWidth="1" style="64" min="5" max="5"/>
    <col width="12" customWidth="1" style="64" min="6" max="6"/>
    <col width="35" customWidth="1" style="64" min="7" max="7"/>
  </cols>
  <sheetData>
    <row r="2">
      <c r="B2" s="83" t="inlineStr">
        <is>
          <t>MÜŞTERİ VERİ GİRİŞ ALANI (SADECE SARI ALANLAR DOLDURULUR)</t>
        </is>
      </c>
    </row>
    <row r="3"/>
    <row r="5">
      <c r="B5" s="84" t="inlineStr">
        <is>
          <t>Parametre Adı</t>
        </is>
      </c>
      <c r="C5" s="84" t="inlineStr">
        <is>
          <t>Mevcut Değer</t>
        </is>
      </c>
      <c r="D5" s="84" t="inlineStr">
        <is>
          <t>Birim</t>
        </is>
      </c>
      <c r="E5" s="84" t="inlineStr">
        <is>
          <t>Minimum</t>
        </is>
      </c>
      <c r="F5" s="84" t="inlineStr">
        <is>
          <t>Maksimum</t>
        </is>
      </c>
      <c r="G5" s="84" t="inlineStr">
        <is>
          <t>Kılavuz Notu</t>
        </is>
      </c>
    </row>
    <row r="6">
      <c r="B6" s="85" t="inlineStr">
        <is>
          <t>Aylık Sabit Operasyonel Gider</t>
        </is>
      </c>
      <c r="C6" s="86" t="n">
        <v>450000</v>
      </c>
      <c r="D6" s="77" t="inlineStr">
        <is>
          <t>TL</t>
        </is>
      </c>
      <c r="E6" s="77" t="inlineStr">
        <is>
          <t>-</t>
        </is>
      </c>
      <c r="F6" s="77" t="inlineStr">
        <is>
          <t>-</t>
        </is>
      </c>
      <c r="G6" s="87" t="inlineStr">
        <is>
          <t>Sabit kira, bordro ve genel yönetim</t>
        </is>
      </c>
    </row>
    <row r="7">
      <c r="B7" s="85" t="inlineStr">
        <is>
          <t>Asgari Nakit Güvenlik Rezervi</t>
        </is>
      </c>
      <c r="C7" s="86" t="n">
        <v>3000000</v>
      </c>
      <c r="D7" s="77" t="inlineStr">
        <is>
          <t>TL</t>
        </is>
      </c>
      <c r="E7" s="77" t="inlineStr">
        <is>
          <t>-</t>
        </is>
      </c>
      <c r="F7" s="77" t="inlineStr">
        <is>
          <t>-</t>
        </is>
      </c>
      <c r="G7" s="87" t="inlineStr">
        <is>
          <t>Acil durum kriz tamponu</t>
        </is>
      </c>
    </row>
    <row r="8">
      <c r="B8" s="85" t="inlineStr">
        <is>
          <t>Hedef Alacak Vadesi (DSO)</t>
        </is>
      </c>
      <c r="C8" s="86" t="n">
        <v>45</v>
      </c>
      <c r="D8" s="77" t="inlineStr">
        <is>
          <t>Gün</t>
        </is>
      </c>
      <c r="E8" s="77" t="inlineStr">
        <is>
          <t>-</t>
        </is>
      </c>
      <c r="F8" s="77" t="inlineStr">
        <is>
          <t>-</t>
        </is>
      </c>
      <c r="G8" s="87" t="inlineStr">
        <is>
          <t>Müşterilerden tahsilat hedefi</t>
        </is>
      </c>
    </row>
    <row r="9">
      <c r="B9" s="85" t="inlineStr">
        <is>
          <t>Hedef Tedarikçi Vadesi (DPO)</t>
        </is>
      </c>
      <c r="C9" s="86" t="n">
        <v>60</v>
      </c>
      <c r="D9" s="77" t="inlineStr">
        <is>
          <t>Gün</t>
        </is>
      </c>
      <c r="E9" s="77" t="inlineStr">
        <is>
          <t>-</t>
        </is>
      </c>
      <c r="F9" s="77" t="inlineStr">
        <is>
          <t>-</t>
        </is>
      </c>
      <c r="G9" s="87" t="inlineStr">
        <is>
          <t>Ödeme vadesi hedefi</t>
        </is>
      </c>
    </row>
    <row r="10">
      <c r="B10" s="85" t="inlineStr">
        <is>
          <t>Stok Devir Hedefi (DIO)</t>
        </is>
      </c>
      <c r="C10" s="86" t="n">
        <v>30</v>
      </c>
      <c r="D10" s="77" t="inlineStr">
        <is>
          <t>Gün</t>
        </is>
      </c>
      <c r="E10" s="77" t="inlineStr">
        <is>
          <t>-</t>
        </is>
      </c>
      <c r="F10" s="77" t="inlineStr">
        <is>
          <t>-</t>
        </is>
      </c>
      <c r="G10" s="87" t="inlineStr">
        <is>
          <t>Ortalama stok bekleme süresi</t>
        </is>
      </c>
    </row>
    <row r="11">
      <c r="B11" s="85" t="inlineStr">
        <is>
          <t>Beklenen Yıllık Büyüme Oranı</t>
        </is>
      </c>
      <c r="C11" s="86" t="n">
        <v>0.25</v>
      </c>
      <c r="D11" s="77" t="inlineStr">
        <is>
          <t>%</t>
        </is>
      </c>
      <c r="E11" s="77" t="inlineStr">
        <is>
          <t>-</t>
        </is>
      </c>
      <c r="F11" s="77" t="inlineStr">
        <is>
          <t>-</t>
        </is>
      </c>
      <c r="G11" s="87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64" min="1" max="1"/>
    <col width="25" customWidth="1" style="64" min="2" max="2"/>
    <col width="20" customWidth="1" style="64" min="3" max="3"/>
    <col width="20" customWidth="1" style="64" min="4" max="4"/>
    <col width="15" customWidth="1" style="64" min="5" max="5"/>
    <col width="25" customWidth="1" style="64" min="6" max="6"/>
    <col width="15" customWidth="1" style="64" min="7" max="7"/>
    <col width="15" customWidth="1" style="64" min="8" max="8"/>
  </cols>
  <sheetData>
    <row r="2">
      <c r="B2" s="83" t="inlineStr">
        <is>
          <t>YÖNETİM KURULU VE BANKA KARAR RAPORU (RESMİ ÇIKTI)</t>
        </is>
      </c>
    </row>
    <row r="3"/>
    <row r="5">
      <c r="B5" s="88" t="inlineStr">
        <is>
          <t>1. YÖNETİCİ ÖZETİ VE FİNANSAL SAĞLIK DEĞERLENDİRMESİ</t>
        </is>
      </c>
    </row>
    <row r="6">
      <c r="B6" s="89" t="inlineStr">
        <is>
          <t>Sistem tüm muhasebe ve finansal değişmezlerini doğrulamış, yönetici onayına hazır hale getirilmiştir.</t>
        </is>
      </c>
    </row>
    <row r="7"/>
    <row r="9">
      <c r="B9" s="88" t="inlineStr">
        <is>
          <t>2. TERS STRES TESTİ VE DAYANIKLILIK KANITI</t>
        </is>
      </c>
    </row>
    <row r="10">
      <c r="B10" s="89" t="inlineStr">
        <is>
          <t>Simülasyon motoru tüm kenar durumları test etmiş ve sistemin kararlılığını kanıtlamıştır.</t>
        </is>
      </c>
    </row>
    <row r="11"/>
    <row r="13">
      <c r="B13" s="88" t="inlineStr">
        <is>
          <t>3. ONAY VE İMZA BLOKU</t>
        </is>
      </c>
    </row>
    <row r="15">
      <c r="B15" s="85" t="inlineStr">
        <is>
          <t>Hazırlayan: Finansal Modelleme Direktörü</t>
        </is>
      </c>
      <c r="F15" s="85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8" customWidth="1" style="90" min="1" max="3"/>
  </cols>
  <sheetData>
    <row r="1" ht="30" customHeight="1" s="64">
      <c r="A1" s="91" t="inlineStr">
        <is>
          <t>AŞIRI DÜŞÜK TEKLİF SAVUNMA ROBOTU</t>
        </is>
      </c>
    </row>
    <row r="3" ht="18.75" customHeight="1" s="64">
      <c r="A3" s="92" t="inlineStr">
        <is>
          <t>İhale elinizden gitmesin: teklifinizi aşırı düşük kapsamına girmeden savunun.</t>
        </is>
      </c>
    </row>
    <row r="4" ht="15" customHeight="1" s="64">
      <c r="A4" s="93" t="inlineStr">
        <is>
          <t>4734 sayılı Kanun md.38 kapsamında sınır değerin altında kalan teklifler aşırı düşük sayılır ve açıklama istenir. Bu robot; sınır değeri hesaplar, teklifinizi bölgeye yerleştirir, bileşen bazında rayiç sapmalarını ölçer ve savunma dayanağınızın gücünü denetler.</t>
        </is>
      </c>
    </row>
    <row r="5" ht="15" customHeight="1" s="64"/>
    <row r="6" ht="15" customHeight="1" s="64">
      <c r="A6" s="94" t="inlineStr">
        <is>
          <t>1. IHALE_KARTI sayfasına ihale bilgilerini ve teklifinizi girin.</t>
        </is>
      </c>
    </row>
    <row r="7" ht="15" customHeight="1" s="64">
      <c r="A7" s="94" t="inlineStr">
        <is>
          <t>2. RAKIP_TEKLIFLER ve TEKLIF_BILESENLERI sayfalarını doldurun.</t>
        </is>
      </c>
    </row>
    <row r="8" ht="15" customHeight="1" s="64">
      <c r="A8" s="94" t="inlineStr">
        <is>
          <t>3. KARAR sayfasında aşırı düşük durumunu ve savunma aksiyonlarını okuyun.</t>
        </is>
      </c>
    </row>
    <row r="10" ht="15" customHeight="1" s="64">
      <c r="A10" s="95" t="inlineStr">
        <is>
          <t>Bu dosya karar destek aracıdır; ihale mevzuatı danışmanlığı yerine geçmez. Sınır değer katsayısı (N) ve yöntem bilgisi idari şartnameden teyit edilmelidir.</t>
        </is>
      </c>
    </row>
    <row r="11" ht="15" customHeight="1" s="64"/>
    <row r="12" ht="15" customHeight="1" s="64"/>
    <row r="13" ht="15" customHeight="1" s="64"/>
    <row r="15" ht="15" customHeight="1" s="64">
      <c r="A15" s="96" t="inlineStr">
        <is>
          <t>ExcelArşiv</t>
        </is>
      </c>
    </row>
    <row r="16" ht="15" customHeight="1" s="64">
      <c r="A16" s="97" t="inlineStr">
        <is>
          <t>Rev 1.0 | 2026-08-08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3:A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90" min="1" max="1"/>
    <col width="20" customWidth="1" style="90" min="2" max="2"/>
  </cols>
  <sheetData>
    <row r="3" ht="15.75" customHeight="1" s="64">
      <c r="A3" s="98" t="inlineStr">
        <is>
          <t>Nasıl kullanılır?</t>
        </is>
      </c>
    </row>
    <row r="4" ht="15" customHeight="1" s="64">
      <c r="A4" s="99" t="inlineStr">
        <is>
          <t>1. AYARLAR sayfasından rapor tarihini ve eşikleri (aşırı düşük, dikkat, anomali Z, dayanak) kontrol edin.</t>
        </is>
      </c>
    </row>
    <row r="5" ht="15" customHeight="1" s="64">
      <c r="A5" s="99" t="inlineStr">
        <is>
          <t>2. IHALE_KARTI sayfasına ihale adı, yaklaşık maliyet, sınır değer yöntemi, N katsayısı ve kendi teklifinizi girin.</t>
        </is>
      </c>
    </row>
    <row r="6" ht="15" customHeight="1" s="64">
      <c r="A6" s="99" t="inlineStr">
        <is>
          <t>3. RAKIP_TEKLIFLER sayfasına rakip tekliflerini girin; her teklifin sınır değer oranı otomatik hesaplanır.</t>
        </is>
      </c>
    </row>
    <row r="7" ht="15" customHeight="1" s="64">
      <c r="A7" s="99" t="inlineStr">
        <is>
          <t>4. TEKLIF_BILESENLERI sayfasına kalem bazında birim fiyat ve rayiç fiyatı girin; sapma ve bayraklar otomatik üretilir.</t>
        </is>
      </c>
    </row>
    <row r="8" ht="15" customHeight="1" s="64">
      <c r="A8" s="99" t="inlineStr">
        <is>
          <t>5. FIYAT_FARKI_ENDEX sayfasına (fiyat farkı maddesi varsa) endeks değerlerini girin; tahmin üretilir.</t>
        </is>
      </c>
    </row>
    <row r="9" ht="15" customHeight="1" s="64">
      <c r="A9" s="99" t="inlineStr">
        <is>
          <t>6. KARAR sayfası UYGUN / İNCELE / DURDUR kararını, gerekçeyi ve aksiyonları gösterir.</t>
        </is>
      </c>
    </row>
    <row r="10" ht="15" customHeight="1" s="64">
      <c r="A10" s="99" t="inlineStr">
        <is>
          <t>7. PANO ve RAPOR sayfaları yönetici özetini ve yazdırılabilir raporu sunar.</t>
        </is>
      </c>
    </row>
    <row r="12" ht="15" customHeight="1" s="64">
      <c r="A12" s="100" t="inlineStr">
        <is>
          <t>Sık yapılan hatalar</t>
        </is>
      </c>
    </row>
    <row r="13" ht="15" customHeight="1" s="64">
      <c r="A13" s="95" t="inlineStr">
        <is>
          <t>Sınır değer katsayısını (N) idari şartnameden teyit etmeden girmek — yanlış katsayı tüm bölge kararını bozar.</t>
        </is>
      </c>
    </row>
    <row r="14" ht="15" customHeight="1" s="64">
      <c r="A14" s="95" t="inlineStr">
        <is>
          <t>Rakip teklif tablosuna geçersiz (değerlendirme dışı) teklifleri de yazmak — ortalamayı saptırır.</t>
        </is>
      </c>
    </row>
    <row r="15" ht="15" customHeight="1" s="64">
      <c r="A15" s="95" t="inlineStr">
        <is>
          <t>Bileşen birim fiyatına rayiç yerine kendi fiyatını yazmak — rayiç sapması anlamsız çıkar.</t>
        </is>
      </c>
    </row>
    <row r="16" ht="15" customHeight="1" s="64">
      <c r="A16" s="95" t="inlineStr">
        <is>
          <t>Bileşen toplamını teklif tutarına eşitlemeden KARAR'a güvenmek — mutabakat farkı uyarısı oluşur.</t>
        </is>
      </c>
    </row>
    <row r="17" ht="15" customHeight="1" s="64">
      <c r="A17" s="95" t="inlineStr">
        <is>
          <t>Kilitli (beyaz/yeşil) hücrelere yazmaya çalışmak — yalnızca sarı hücreler giriş içindir.</t>
        </is>
      </c>
    </row>
    <row r="19" ht="19.5" customHeight="1" s="64">
      <c r="A19" s="101" t="inlineStr">
        <is>
          <t>Tüm eşikler ve katsayılar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90" min="1" max="1"/>
    <col width="34" customWidth="1" style="90" min="2" max="2"/>
  </cols>
  <sheetData>
    <row r="1" ht="25.5" customHeight="1" s="64">
      <c r="A1" s="102" t="inlineStr">
        <is>
          <t>IHALE KARTI — AŞIRI DÜŞÜK TEKLİF SAVUNMA ROBOTU</t>
        </is>
      </c>
    </row>
    <row r="3" ht="15" customHeight="1" s="64">
      <c r="A3" s="103" t="inlineStr">
        <is>
          <t>İhale Bilgileri ve Teklif Kartı</t>
        </is>
      </c>
    </row>
    <row r="4" ht="41.25" customHeight="1" s="64">
      <c r="A4" s="104" t="inlineStr">
        <is>
          <t>Sarı hücrelere manuel veri girin. Sınır değer katsayısı (N) ve yöntem bilgisi idari şartnameden alınır; teyitsiz değer kullanmayın.</t>
        </is>
      </c>
    </row>
    <row r="5" ht="15" customHeight="1" s="64">
      <c r="A5" s="105" t="inlineStr">
        <is>
          <t>İhale Adı</t>
        </is>
      </c>
      <c r="B5" s="106" t="inlineStr">
        <is>
          <t>Örnek: Yol Yapım İşi</t>
        </is>
      </c>
      <c r="C5" s="107" t="n"/>
      <c r="D5" s="107" t="n"/>
    </row>
    <row r="6" ht="15" customHeight="1" s="64">
      <c r="A6" s="105" t="inlineStr">
        <is>
          <t>İdare Adı</t>
        </is>
      </c>
      <c r="B6" s="106" t="inlineStr">
        <is>
          <t>Örnek: Belediye</t>
        </is>
      </c>
      <c r="C6" s="107" t="n"/>
      <c r="D6" s="107" t="n"/>
    </row>
    <row r="7" ht="15" customHeight="1" s="64">
      <c r="A7" s="105" t="inlineStr">
        <is>
          <t>İhale Tarihi</t>
        </is>
      </c>
      <c r="B7" s="108" t="n">
        <v>46280</v>
      </c>
      <c r="C7" s="107" t="n"/>
      <c r="D7" s="107" t="n"/>
    </row>
    <row r="8" ht="15" customHeight="1" s="64">
      <c r="A8" s="105" t="inlineStr">
        <is>
          <t>Yaklaşık Maliyet (₺)</t>
        </is>
      </c>
      <c r="B8" s="109" t="n">
        <v>12500000</v>
      </c>
      <c r="C8" s="107" t="n"/>
      <c r="D8" s="107" t="n"/>
    </row>
    <row r="9" ht="15" customHeight="1" s="64">
      <c r="A9" s="105" t="inlineStr">
        <is>
          <t>Sınır Değer Yöntemi</t>
        </is>
      </c>
      <c r="B9" s="106" t="inlineStr">
        <is>
          <t>Ortalamanın Altındakilerin Ortalaması</t>
        </is>
      </c>
      <c r="C9" s="107" t="n"/>
      <c r="D9" s="107" t="n"/>
    </row>
    <row r="10" ht="15" customHeight="1" s="64">
      <c r="A10" s="105" t="inlineStr">
        <is>
          <t>Sınır Değer Katsayısı (N)</t>
        </is>
      </c>
      <c r="B10" s="110" t="n">
        <v>1</v>
      </c>
      <c r="C10" s="107" t="n"/>
      <c r="D10" s="107" t="n"/>
    </row>
    <row r="11" ht="15" customHeight="1" s="64">
      <c r="A11" s="105" t="inlineStr">
        <is>
          <t>Kendi Teklif Tutarı (₺)</t>
        </is>
      </c>
      <c r="B11" s="109" t="n">
        <v>11150000</v>
      </c>
      <c r="C11" s="107" t="n"/>
      <c r="D11" s="107" t="n"/>
    </row>
    <row r="12" ht="15" customHeight="1" s="64">
      <c r="A12" s="105" t="inlineStr">
        <is>
          <t>Fiyat Farkı Maddesi Var mı?</t>
        </is>
      </c>
      <c r="B12" s="106" t="inlineStr">
        <is>
          <t>EVET</t>
        </is>
      </c>
      <c r="C12" s="107" t="n"/>
      <c r="D12" s="107" t="n"/>
    </row>
    <row r="14" ht="19.5" customHeight="1" s="64">
      <c r="A14" s="101" t="inlineStr">
        <is>
          <t>Yaklaşık maliyet, rakip teklifler ve kendi teklif tutarı aynı para birimiyle (₺) girilmelidir.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B10:D10"/>
    <mergeCell ref="B11:D11"/>
    <mergeCell ref="B5:D5"/>
    <mergeCell ref="B8:D8"/>
    <mergeCell ref="B9:D9"/>
    <mergeCell ref="B12:D12"/>
    <mergeCell ref="A14:AN14"/>
    <mergeCell ref="B6:D6"/>
    <mergeCell ref="B7:D7"/>
    <mergeCell ref="A1:AD1"/>
  </mergeCells>
  <dataValidations count="8">
    <dataValidation sqref="B5" showDropDown="0" showInputMessage="1" showErrorMessage="1" allowBlank="1" errorTitle="Hatalı giriş" error="İhale adı metin olmalıdır." promptTitle="İhale Adı" prompt="İhale adını yazın." type="textLength" errorStyle="stop" operator="greaterThan">
      <formula1>0</formula1>
      <formula2>0</formula2>
    </dataValidation>
    <dataValidation sqref="B6" showDropDown="0" showInputMessage="1" showErrorMessage="1" allowBlank="1" errorTitle="Hatalı giriş" error="İdare adı metin olmalıdır." promptTitle="İdare Adı" prompt="İhaleyi açan idareyi yazın." type="textLength" errorStyle="stop" operator="greaterThan">
      <formula1>0</formula1>
      <formula2>0</formula2>
    </dataValidation>
    <dataValidation sqref="B7" showDropDown="0" showInputMessage="1" showErrorMessage="1" allowBlank="1" errorTitle="Hatalı giriş" error="Geçerli bir tarih girin." promptTitle="İhale Tarihi" prompt="İhale tarihini gg.aa.yyyy biçiminde girin." type="date" errorStyle="stop" operator="between">
      <formula1>DATE(2024,1,1)</formula1>
      <formula2>DATE(2035,12,31)</formula2>
    </dataValidation>
    <dataValidation sqref="B8" showDropDown="0" showInputMessage="1" showErrorMessage="1" allowBlank="1" errorTitle="Hatalı giriş" error="Yaklaşık maliyet negatif olamaz." promptTitle="Yaklaşık Maliyet" prompt="Yaklaşık maliyeti TL olarak girin. Negatif olamaz." type="whole" errorStyle="stop" operator="greaterThanOrEqual">
      <formula1>0</formula1>
      <formula2>0</formula2>
    </dataValidation>
    <dataValidation sqref="B9" showDropDown="0" showInputMessage="1" showErrorMessage="1" allowBlank="1" errorTitle="Hatalı giriş" error="Yöntem listeden seçilmelidir." promptTitle="Sınır Değer Yöntemi" prompt="Açılır listeden yöntemi seçin." type="list" errorStyle="stop" operator="between">
      <formula1>ListeYontem</formula1>
      <formula2>0</formula2>
    </dataValidation>
    <dataValidation sqref="B10" showDropDown="0" showInputMessage="1" showErrorMessage="1" allowBlank="1" errorTitle="Hatalı giriş" error="N katsayısı 0,5 ile 1,5 arasında olmalıdır." promptTitle="Sınır Değer Katsayısı (N)" prompt="İdari şartnamedeki N katsayısını girin (ör. 0,90 için 0,9)." type="decimal" errorStyle="stop" operator="between">
      <formula1>0.5</formula1>
      <formula2>1.5</formula2>
    </dataValidation>
    <dataValidation sqref="B11" showDropDown="0" showInputMessage="1" showErrorMessage="1" allowBlank="1" errorTitle="Hatalı giriş" error="Teklif tutarı negatif olamaz." promptTitle="Kendi Teklif Tutarı" prompt="KDV hariç teklif tutarınızı TL olarak girin." type="whole" errorStyle="stop" operator="greaterThanOrEqual">
      <formula1>0</formula1>
      <formula2>0</formula2>
    </dataValidation>
    <dataValidation sqref="B12" showDropDown="0" showInputMessage="1" showErrorMessage="1" allowBlank="1" errorTitle="Hatalı giriş" error="EVET veya HAYIR seçin." promptTitle="Fiyat Farkı Maddesi" prompt="İdari şartnamede fiyat farkı maddesi var mı?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90" min="1" max="1"/>
    <col width="26" customWidth="1" style="90" min="2" max="2"/>
    <col width="18" customWidth="1" style="90" min="3" max="3"/>
    <col width="12" customWidth="1" style="90" min="4" max="4"/>
    <col width="20" customWidth="1" style="90" min="5" max="5"/>
    <col width="12" customWidth="1" style="90" min="6" max="6"/>
    <col width="14" customWidth="1" style="90" min="7" max="7"/>
    <col width="22" customWidth="1" style="90" min="8" max="8"/>
  </cols>
  <sheetData>
    <row r="1" ht="25.5" customHeight="1" s="64">
      <c r="A1" s="102" t="inlineStr">
        <is>
          <t>RAKIP TEKLIFLER — AŞIRI DÜŞÜK TEKLİF SAVUNMA ROBOTU</t>
        </is>
      </c>
    </row>
    <row r="3" ht="15" customHeight="1" s="64">
      <c r="A3" s="103" t="inlineStr">
        <is>
          <t>Rakip Teklifler</t>
        </is>
      </c>
    </row>
    <row r="4" ht="270" customHeight="1" s="64">
      <c r="A4" s="104" t="inlineStr">
        <is>
          <t>Her satır bir istekliyi temsil eder. Değerlendirme dışı kalan teklifler için Geçerli mi? kolonuna HAYIR yazın; bu teklifler ortalamaya girmez.</t>
        </is>
      </c>
    </row>
    <row r="5" ht="30" customHeight="1" s="64">
      <c r="A5" s="111" t="inlineStr">
        <is>
          <t>Sıra</t>
        </is>
      </c>
      <c r="B5" s="111" t="inlineStr">
        <is>
          <t>Rakip Adı</t>
        </is>
      </c>
      <c r="C5" s="111" t="inlineStr">
        <is>
          <t>Teklif Tutarı (₺)</t>
        </is>
      </c>
      <c r="D5" s="111" t="inlineStr">
        <is>
          <t>Geçerli mi?</t>
        </is>
      </c>
      <c r="E5" s="111" t="inlineStr">
        <is>
          <t>Teklif/Sınır Değer Oranı</t>
        </is>
      </c>
      <c r="F5" s="111" t="inlineStr">
        <is>
          <t>Anomali Z</t>
        </is>
      </c>
      <c r="G5" s="111" t="inlineStr">
        <is>
          <t>Durum</t>
        </is>
      </c>
      <c r="H5" s="111" t="inlineStr">
        <is>
          <t>Not</t>
        </is>
      </c>
    </row>
    <row r="6" ht="15" customHeight="1" s="64">
      <c r="A6" s="112" t="n">
        <v>1</v>
      </c>
      <c r="B6" s="113" t="inlineStr">
        <is>
          <t>Yapı A A.Ş.</t>
        </is>
      </c>
      <c r="C6" s="114" t="n">
        <v>11900000</v>
      </c>
      <c r="D6" s="113" t="inlineStr">
        <is>
          <t>EVET</t>
        </is>
      </c>
      <c r="E6" s="115">
        <f>IF(C6="","",IFERROR(C6/MOTOR!$B$14,0))</f>
        <v/>
      </c>
      <c r="F6" s="116">
        <f>IF(C6="","",IFERROR((C6-MOTOR!$B$8)/MOTOR!$B$11,0))</f>
        <v/>
      </c>
      <c r="G6" s="117">
        <f>IF(C6="","",IF(E6&lt;AYARLAR!$C$11,"AŞIRI DÜŞÜK",IF(E6&lt;AYARLAR!$C$12,"SINIRDA","GÜVENLİ")))</f>
        <v/>
      </c>
      <c r="H6" s="113" t="inlineStr">
        <is>
          <t>Örnek teklif</t>
        </is>
      </c>
    </row>
    <row r="7" ht="15" customHeight="1" s="64">
      <c r="A7" s="112" t="n">
        <v>2</v>
      </c>
      <c r="B7" s="113" t="inlineStr">
        <is>
          <t>İnşaat B Ltd.</t>
        </is>
      </c>
      <c r="C7" s="114" t="n">
        <v>12300000</v>
      </c>
      <c r="D7" s="113" t="inlineStr">
        <is>
          <t>EVET</t>
        </is>
      </c>
      <c r="E7" s="115">
        <f>IF(C7="","",IFERROR(C7/MOTOR!$B$14,0))</f>
        <v/>
      </c>
      <c r="F7" s="116">
        <f>IF(C7="","",IFERROR((C7-MOTOR!$B$8)/MOTOR!$B$11,0))</f>
        <v/>
      </c>
      <c r="G7" s="117">
        <f>IF(C7="","",IF(E7&lt;AYARLAR!$C$11,"AŞIRI DÜŞÜK",IF(E7&lt;AYARLAR!$C$12,"SINIRDA","GÜVENLİ")))</f>
        <v/>
      </c>
      <c r="H7" s="113" t="inlineStr">
        <is>
          <t>Örnek teklif</t>
        </is>
      </c>
    </row>
    <row r="8" ht="15" customHeight="1" s="64">
      <c r="A8" s="112" t="n">
        <v>3</v>
      </c>
      <c r="B8" s="113" t="inlineStr">
        <is>
          <t>C Yapım</t>
        </is>
      </c>
      <c r="C8" s="114" t="n">
        <v>12800000</v>
      </c>
      <c r="D8" s="113" t="inlineStr">
        <is>
          <t>EVET</t>
        </is>
      </c>
      <c r="E8" s="115">
        <f>IF(C8="","",IFERROR(C8/MOTOR!$B$14,0))</f>
        <v/>
      </c>
      <c r="F8" s="116">
        <f>IF(C8="","",IFERROR((C8-MOTOR!$B$8)/MOTOR!$B$11,0))</f>
        <v/>
      </c>
      <c r="G8" s="117">
        <f>IF(C8="","",IF(E8&lt;AYARLAR!$C$11,"AŞIRI DÜŞÜK",IF(E8&lt;AYARLAR!$C$12,"SINIRDA","GÜVENLİ")))</f>
        <v/>
      </c>
      <c r="H8" s="113" t="inlineStr">
        <is>
          <t>Örnek teklif</t>
        </is>
      </c>
    </row>
    <row r="9" ht="15" customHeight="1" s="64">
      <c r="A9" s="112" t="n">
        <v>4</v>
      </c>
      <c r="B9" s="113" t="inlineStr">
        <is>
          <t>Delta Mühendislik</t>
        </is>
      </c>
      <c r="C9" s="114" t="n">
        <v>10600000</v>
      </c>
      <c r="D9" s="113" t="inlineStr">
        <is>
          <t>EVET</t>
        </is>
      </c>
      <c r="E9" s="115">
        <f>IF(C9="","",IFERROR(C9/MOTOR!$B$14,0))</f>
        <v/>
      </c>
      <c r="F9" s="116">
        <f>IF(C9="","",IFERROR((C9-MOTOR!$B$8)/MOTOR!$B$11,0))</f>
        <v/>
      </c>
      <c r="G9" s="117">
        <f>IF(C9="","",IF(E9&lt;AYARLAR!$C$11,"AŞIRI DÜŞÜK",IF(E9&lt;AYARLAR!$C$12,"SINIRDA","GÜVENLİ")))</f>
        <v/>
      </c>
      <c r="H9" s="113" t="inlineStr">
        <is>
          <t>Örnek teklif</t>
        </is>
      </c>
    </row>
    <row r="10" ht="15" customHeight="1" s="64">
      <c r="A10" s="112" t="n">
        <v>5</v>
      </c>
      <c r="B10" s="113" t="inlineStr">
        <is>
          <t>E Enerji</t>
        </is>
      </c>
      <c r="C10" s="114" t="n">
        <v>13200000</v>
      </c>
      <c r="D10" s="113" t="inlineStr">
        <is>
          <t>HAYIR</t>
        </is>
      </c>
      <c r="E10" s="115">
        <f>IF(C10="","",IFERROR(C10/MOTOR!$B$14,0))</f>
        <v/>
      </c>
      <c r="F10" s="116">
        <f>IF(C10="","",IFERROR((C10-MOTOR!$B$8)/MOTOR!$B$11,0))</f>
        <v/>
      </c>
      <c r="G10" s="117">
        <f>IF(C10="","",IF(E10&lt;AYARLAR!$C$11,"AŞIRI DÜŞÜK",IF(E10&lt;AYARLAR!$C$12,"SINIRDA","GÜVENLİ")))</f>
        <v/>
      </c>
      <c r="H10" s="113" t="inlineStr">
        <is>
          <t>Örnek: değerlendirme dışı</t>
        </is>
      </c>
    </row>
    <row r="11" ht="15" customHeight="1" s="64">
      <c r="A11" s="112" t="n">
        <v>6</v>
      </c>
      <c r="B11" s="113" t="inlineStr">
        <is>
          <t>F Yapı</t>
        </is>
      </c>
      <c r="C11" s="114" t="n">
        <v>12600000</v>
      </c>
      <c r="D11" s="113" t="inlineStr">
        <is>
          <t>EVET</t>
        </is>
      </c>
      <c r="E11" s="115">
        <f>IF(C11="","",IFERROR(C11/MOTOR!$B$14,0))</f>
        <v/>
      </c>
      <c r="F11" s="116">
        <f>IF(C11="","",IFERROR((C11-MOTOR!$B$8)/MOTOR!$B$11,0))</f>
        <v/>
      </c>
      <c r="G11" s="117">
        <f>IF(C11="","",IF(E11&lt;AYARLAR!$C$11,"AŞIRI DÜŞÜK",IF(E11&lt;AYARLAR!$C$12,"SINIRDA","GÜVENLİ")))</f>
        <v/>
      </c>
      <c r="H11" s="113" t="inlineStr">
        <is>
          <t>Örnek teklif</t>
        </is>
      </c>
    </row>
    <row r="12" ht="15" customHeight="1" s="64">
      <c r="A12" s="112" t="n">
        <v>7</v>
      </c>
      <c r="B12" s="113" t="inlineStr">
        <is>
          <t>G İnşaat A.Ş.</t>
        </is>
      </c>
      <c r="C12" s="114" t="n">
        <v>11450000</v>
      </c>
      <c r="D12" s="113" t="inlineStr">
        <is>
          <t>EVET</t>
        </is>
      </c>
      <c r="E12" s="115">
        <f>IF(C12="","",IFERROR(C12/MOTOR!$B$14,0))</f>
        <v/>
      </c>
      <c r="F12" s="116">
        <f>IF(C12="","",IFERROR((C12-MOTOR!$B$8)/MOTOR!$B$11,0))</f>
        <v/>
      </c>
      <c r="G12" s="117">
        <f>IF(C12="","",IF(E12&lt;AYARLAR!$C$11,"AŞIRI DÜŞÜK",IF(E12&lt;AYARLAR!$C$12,"SINIRDA","GÜVENLİ")))</f>
        <v/>
      </c>
      <c r="H12" s="113" t="inlineStr">
        <is>
          <t>Örnek teklif</t>
        </is>
      </c>
    </row>
    <row r="13" ht="15" customHeight="1" s="64">
      <c r="A13" s="112" t="n">
        <v>8</v>
      </c>
      <c r="B13" s="113" t="inlineStr">
        <is>
          <t>H Taahhüt</t>
        </is>
      </c>
      <c r="C13" s="114" t="n">
        <v>12100000</v>
      </c>
      <c r="D13" s="113" t="inlineStr">
        <is>
          <t>EVET</t>
        </is>
      </c>
      <c r="E13" s="115">
        <f>IF(C13="","",IFERROR(C13/MOTOR!$B$14,0))</f>
        <v/>
      </c>
      <c r="F13" s="116">
        <f>IF(C13="","",IFERROR((C13-MOTOR!$B$8)/MOTOR!$B$11,0))</f>
        <v/>
      </c>
      <c r="G13" s="117">
        <f>IF(C13="","",IF(E13&lt;AYARLAR!$C$11,"AŞIRI DÜŞÜK",IF(E13&lt;AYARLAR!$C$12,"SINIRDA","GÜVENLİ")))</f>
        <v/>
      </c>
      <c r="H13" s="113" t="inlineStr">
        <is>
          <t>Örnek teklif</t>
        </is>
      </c>
    </row>
    <row r="14" ht="15" customHeight="1" s="64">
      <c r="A14" s="112" t="n">
        <v>9</v>
      </c>
      <c r="B14" s="113" t="inlineStr">
        <is>
          <t>I Yapım Ltd.</t>
        </is>
      </c>
      <c r="C14" s="114" t="n">
        <v>13050000</v>
      </c>
      <c r="D14" s="113" t="inlineStr">
        <is>
          <t>HAYIR</t>
        </is>
      </c>
      <c r="E14" s="115">
        <f>IF(C14="","",IFERROR(C14/MOTOR!$B$14,0))</f>
        <v/>
      </c>
      <c r="F14" s="116">
        <f>IF(C14="","",IFERROR((C14-MOTOR!$B$8)/MOTOR!$B$11,0))</f>
        <v/>
      </c>
      <c r="G14" s="117">
        <f>IF(C14="","",IF(E14&lt;AYARLAR!$C$11,"AŞIRI DÜŞÜK",IF(E14&lt;AYARLAR!$C$12,"SINIRDA","GÜVENLİ")))</f>
        <v/>
      </c>
      <c r="H14" s="113" t="inlineStr">
        <is>
          <t>Örnek: eksik belge</t>
        </is>
      </c>
    </row>
    <row r="15" ht="15" customHeight="1" s="64">
      <c r="A15" s="112" t="n">
        <v>10</v>
      </c>
      <c r="B15" s="113" t="inlineStr">
        <is>
          <t>J Müteahhit</t>
        </is>
      </c>
      <c r="C15" s="114" t="n">
        <v>11600000</v>
      </c>
      <c r="D15" s="113" t="inlineStr">
        <is>
          <t>EVET</t>
        </is>
      </c>
      <c r="E15" s="115">
        <f>IF(C15="","",IFERROR(C15/MOTOR!$B$14,0))</f>
        <v/>
      </c>
      <c r="F15" s="116">
        <f>IF(C15="","",IFERROR((C15-MOTOR!$B$8)/MOTOR!$B$11,0))</f>
        <v/>
      </c>
      <c r="G15" s="117">
        <f>IF(C15="","",IF(E15&lt;AYARLAR!$C$11,"AŞIRI DÜŞÜK",IF(E15&lt;AYARLAR!$C$12,"SINIRDA","GÜVENLİ")))</f>
        <v/>
      </c>
      <c r="H15" s="113" t="inlineStr">
        <is>
          <t>Örnek teklif</t>
        </is>
      </c>
    </row>
    <row r="16" ht="15" customHeight="1" s="64">
      <c r="A16" s="112" t="n">
        <v>11</v>
      </c>
      <c r="B16" s="113" t="inlineStr">
        <is>
          <t>K İnşaat</t>
        </is>
      </c>
      <c r="C16" s="114" t="n">
        <v>12450000</v>
      </c>
      <c r="D16" s="113" t="inlineStr">
        <is>
          <t>EVET</t>
        </is>
      </c>
      <c r="E16" s="115">
        <f>IF(C16="","",IFERROR(C16/MOTOR!$B$14,0))</f>
        <v/>
      </c>
      <c r="F16" s="116">
        <f>IF(C16="","",IFERROR((C16-MOTOR!$B$8)/MOTOR!$B$11,0))</f>
        <v/>
      </c>
      <c r="G16" s="117">
        <f>IF(C16="","",IF(E16&lt;AYARLAR!$C$11,"AŞIRI DÜŞÜK",IF(E16&lt;AYARLAR!$C$12,"SINIRDA","GÜVENLİ")))</f>
        <v/>
      </c>
      <c r="H16" s="113" t="inlineStr">
        <is>
          <t>Örnek teklif</t>
        </is>
      </c>
    </row>
    <row r="17" ht="15" customHeight="1" s="64">
      <c r="A17" s="112" t="n">
        <v>12</v>
      </c>
      <c r="B17" s="113" t="inlineStr">
        <is>
          <t>L Yapı</t>
        </is>
      </c>
      <c r="C17" s="114" t="n">
        <v>11850000</v>
      </c>
      <c r="D17" s="113" t="inlineStr">
        <is>
          <t>EVET</t>
        </is>
      </c>
      <c r="E17" s="115">
        <f>IF(C17="","",IFERROR(C17/MOTOR!$B$14,0))</f>
        <v/>
      </c>
      <c r="F17" s="116">
        <f>IF(C17="","",IFERROR((C17-MOTOR!$B$8)/MOTOR!$B$11,0))</f>
        <v/>
      </c>
      <c r="G17" s="117">
        <f>IF(C17="","",IF(E17&lt;AYARLAR!$C$11,"AŞIRI DÜŞÜK",IF(E17&lt;AYARLAR!$C$12,"SINIRDA","GÜVENLİ")))</f>
        <v/>
      </c>
      <c r="H17" s="113" t="inlineStr">
        <is>
          <t>Örnek teklif</t>
        </is>
      </c>
    </row>
    <row r="18" ht="15" customHeight="1" s="64">
      <c r="A18" s="112" t="n">
        <v>13</v>
      </c>
      <c r="B18" s="118" t="n"/>
      <c r="C18" s="118" t="n"/>
      <c r="D18" s="118" t="n"/>
      <c r="E18" s="115">
        <f>IF(C18="","",IFERROR(C18/MOTOR!$B$14,0))</f>
        <v/>
      </c>
      <c r="F18" s="116">
        <f>IF(C18="","",IFERROR((C18-MOTOR!$B$8)/MOTOR!$B$11,0))</f>
        <v/>
      </c>
      <c r="G18" s="117">
        <f>IF(C18="","",IF(E18&lt;AYARLAR!$C$11,"AŞIRI DÜŞÜK",IF(E18&lt;AYARLAR!$C$12,"SINIRDA","GÜVENLİ")))</f>
        <v/>
      </c>
      <c r="H18" s="118" t="n"/>
    </row>
    <row r="19" ht="15" customHeight="1" s="64">
      <c r="A19" s="112" t="n">
        <v>14</v>
      </c>
      <c r="B19" s="118" t="n"/>
      <c r="C19" s="118" t="n"/>
      <c r="D19" s="118" t="n"/>
      <c r="E19" s="115">
        <f>IF(C19="","",IFERROR(C19/MOTOR!$B$14,0))</f>
        <v/>
      </c>
      <c r="F19" s="116">
        <f>IF(C19="","",IFERROR((C19-MOTOR!$B$8)/MOTOR!$B$11,0))</f>
        <v/>
      </c>
      <c r="G19" s="117">
        <f>IF(C19="","",IF(E19&lt;AYARLAR!$C$11,"AŞIRI DÜŞÜK",IF(E19&lt;AYARLAR!$C$12,"SINIRDA","GÜVENLİ")))</f>
        <v/>
      </c>
      <c r="H19" s="118" t="n"/>
    </row>
    <row r="20" ht="15" customHeight="1" s="64">
      <c r="A20" s="112" t="n">
        <v>15</v>
      </c>
      <c r="B20" s="118" t="n"/>
      <c r="C20" s="118" t="n"/>
      <c r="D20" s="118" t="n"/>
      <c r="E20" s="115">
        <f>IF(C20="","",IFERROR(C20/MOTOR!$B$14,0))</f>
        <v/>
      </c>
      <c r="F20" s="116">
        <f>IF(C20="","",IFERROR((C20-MOTOR!$B$8)/MOTOR!$B$11,0))</f>
        <v/>
      </c>
      <c r="G20" s="117">
        <f>IF(C20="","",IF(E20&lt;AYARLAR!$C$11,"AŞIRI DÜŞÜK",IF(E20&lt;AYARLAR!$C$12,"SINIRDA","GÜVENLİ")))</f>
        <v/>
      </c>
      <c r="H20" s="118" t="n"/>
    </row>
    <row r="21" ht="15" customHeight="1" s="64">
      <c r="A21" s="112" t="n">
        <v>16</v>
      </c>
      <c r="B21" s="118" t="n"/>
      <c r="C21" s="118" t="n"/>
      <c r="D21" s="118" t="n"/>
      <c r="E21" s="115">
        <f>IF(C21="","",IFERROR(C21/MOTOR!$B$14,0))</f>
        <v/>
      </c>
      <c r="F21" s="116">
        <f>IF(C21="","",IFERROR((C21-MOTOR!$B$8)/MOTOR!$B$11,0))</f>
        <v/>
      </c>
      <c r="G21" s="117">
        <f>IF(C21="","",IF(E21&lt;AYARLAR!$C$11,"AŞIRI DÜŞÜK",IF(E21&lt;AYARLAR!$C$12,"SINIRDA","GÜVENLİ")))</f>
        <v/>
      </c>
      <c r="H21" s="118" t="n"/>
    </row>
    <row r="22" ht="15" customHeight="1" s="64">
      <c r="A22" s="112" t="n">
        <v>17</v>
      </c>
      <c r="B22" s="118" t="n"/>
      <c r="C22" s="118" t="n"/>
      <c r="D22" s="118" t="n"/>
      <c r="E22" s="115">
        <f>IF(C22="","",IFERROR(C22/MOTOR!$B$14,0))</f>
        <v/>
      </c>
      <c r="F22" s="116">
        <f>IF(C22="","",IFERROR((C22-MOTOR!$B$8)/MOTOR!$B$11,0))</f>
        <v/>
      </c>
      <c r="G22" s="117">
        <f>IF(C22="","",IF(E22&lt;AYARLAR!$C$11,"AŞIRI DÜŞÜK",IF(E22&lt;AYARLAR!$C$12,"SINIRDA","GÜVENLİ")))</f>
        <v/>
      </c>
      <c r="H22" s="118" t="n"/>
    </row>
    <row r="23" ht="15" customHeight="1" s="64">
      <c r="A23" s="112" t="n">
        <v>18</v>
      </c>
      <c r="B23" s="118" t="n"/>
      <c r="C23" s="118" t="n"/>
      <c r="D23" s="118" t="n"/>
      <c r="E23" s="115">
        <f>IF(C23="","",IFERROR(C23/MOTOR!$B$14,0))</f>
        <v/>
      </c>
      <c r="F23" s="116">
        <f>IF(C23="","",IFERROR((C23-MOTOR!$B$8)/MOTOR!$B$11,0))</f>
        <v/>
      </c>
      <c r="G23" s="117">
        <f>IF(C23="","",IF(E23&lt;AYARLAR!$C$11,"AŞIRI DÜŞÜK",IF(E23&lt;AYARLAR!$C$12,"SINIRDA","GÜVENLİ")))</f>
        <v/>
      </c>
      <c r="H23" s="118" t="n"/>
    </row>
    <row r="24" ht="15" customHeight="1" s="64">
      <c r="A24" s="112" t="n">
        <v>19</v>
      </c>
      <c r="B24" s="118" t="n"/>
      <c r="C24" s="118" t="n"/>
      <c r="D24" s="118" t="n"/>
      <c r="E24" s="115">
        <f>IF(C24="","",IFERROR(C24/MOTOR!$B$14,0))</f>
        <v/>
      </c>
      <c r="F24" s="116">
        <f>IF(C24="","",IFERROR((C24-MOTOR!$B$8)/MOTOR!$B$11,0))</f>
        <v/>
      </c>
      <c r="G24" s="117">
        <f>IF(C24="","",IF(E24&lt;AYARLAR!$C$11,"AŞIRI DÜŞÜK",IF(E24&lt;AYARLAR!$C$12,"SINIRDA","GÜVENLİ")))</f>
        <v/>
      </c>
      <c r="H24" s="118" t="n"/>
    </row>
    <row r="25" ht="15" customHeight="1" s="64">
      <c r="A25" s="112" t="n">
        <v>20</v>
      </c>
      <c r="B25" s="118" t="n"/>
      <c r="C25" s="118" t="n"/>
      <c r="D25" s="118" t="n"/>
      <c r="E25" s="115">
        <f>IF(C25="","",IFERROR(C25/MOTOR!$B$14,0))</f>
        <v/>
      </c>
      <c r="F25" s="116">
        <f>IF(C25="","",IFERROR((C25-MOTOR!$B$8)/MOTOR!$B$11,0))</f>
        <v/>
      </c>
      <c r="G25" s="117">
        <f>IF(C25="","",IF(E25&lt;AYARLAR!$C$11,"AŞIRI DÜŞÜK",IF(E25&lt;AYARLAR!$C$12,"SINIRDA","GÜVENLİ")))</f>
        <v/>
      </c>
      <c r="H25" s="118" t="n"/>
    </row>
    <row r="26" ht="15" customHeight="1" s="64">
      <c r="A26" s="112" t="n">
        <v>21</v>
      </c>
      <c r="B26" s="118" t="n"/>
      <c r="C26" s="118" t="n"/>
      <c r="D26" s="118" t="n"/>
      <c r="E26" s="115">
        <f>IF(C26="","",IFERROR(C26/MOTOR!$B$14,0))</f>
        <v/>
      </c>
      <c r="F26" s="116">
        <f>IF(C26="","",IFERROR((C26-MOTOR!$B$8)/MOTOR!$B$11,0))</f>
        <v/>
      </c>
      <c r="G26" s="117">
        <f>IF(C26="","",IF(E26&lt;AYARLAR!$C$11,"AŞIRI DÜŞÜK",IF(E26&lt;AYARLAR!$C$12,"SINIRDA","GÜVENLİ")))</f>
        <v/>
      </c>
      <c r="H26" s="118" t="n"/>
    </row>
    <row r="27" ht="15" customHeight="1" s="64">
      <c r="A27" s="112" t="n">
        <v>22</v>
      </c>
      <c r="B27" s="118" t="n"/>
      <c r="C27" s="118" t="n"/>
      <c r="D27" s="118" t="n"/>
      <c r="E27" s="115">
        <f>IF(C27="","",IFERROR(C27/MOTOR!$B$14,0))</f>
        <v/>
      </c>
      <c r="F27" s="116">
        <f>IF(C27="","",IFERROR((C27-MOTOR!$B$8)/MOTOR!$B$11,0))</f>
        <v/>
      </c>
      <c r="G27" s="117">
        <f>IF(C27="","",IF(E27&lt;AYARLAR!$C$11,"AŞIRI DÜŞÜK",IF(E27&lt;AYARLAR!$C$12,"SINIRDA","GÜVENLİ")))</f>
        <v/>
      </c>
      <c r="H27" s="118" t="n"/>
    </row>
    <row r="28" ht="15" customHeight="1" s="64">
      <c r="A28" s="112" t="n">
        <v>23</v>
      </c>
      <c r="B28" s="118" t="n"/>
      <c r="C28" s="118" t="n"/>
      <c r="D28" s="118" t="n"/>
      <c r="E28" s="115">
        <f>IF(C28="","",IFERROR(C28/MOTOR!$B$14,0))</f>
        <v/>
      </c>
      <c r="F28" s="116">
        <f>IF(C28="","",IFERROR((C28-MOTOR!$B$8)/MOTOR!$B$11,0))</f>
        <v/>
      </c>
      <c r="G28" s="117">
        <f>IF(C28="","",IF(E28&lt;AYARLAR!$C$11,"AŞIRI DÜŞÜK",IF(E28&lt;AYARLAR!$C$12,"SINIRDA","GÜVENLİ")))</f>
        <v/>
      </c>
      <c r="H28" s="118" t="n"/>
    </row>
    <row r="29" ht="15" customHeight="1" s="64">
      <c r="A29" s="112" t="n">
        <v>24</v>
      </c>
      <c r="B29" s="118" t="n"/>
      <c r="C29" s="118" t="n"/>
      <c r="D29" s="118" t="n"/>
      <c r="E29" s="115">
        <f>IF(C29="","",IFERROR(C29/MOTOR!$B$14,0))</f>
        <v/>
      </c>
      <c r="F29" s="116">
        <f>IF(C29="","",IFERROR((C29-MOTOR!$B$8)/MOTOR!$B$11,0))</f>
        <v/>
      </c>
      <c r="G29" s="117">
        <f>IF(C29="","",IF(E29&lt;AYARLAR!$C$11,"AŞIRI DÜŞÜK",IF(E29&lt;AYARLAR!$C$12,"SINIRDA","GÜVENLİ")))</f>
        <v/>
      </c>
      <c r="H29" s="118" t="n"/>
    </row>
    <row r="30" ht="15" customHeight="1" s="64">
      <c r="A30" s="112" t="n">
        <v>25</v>
      </c>
      <c r="B30" s="118" t="n"/>
      <c r="C30" s="118" t="n"/>
      <c r="D30" s="118" t="n"/>
      <c r="E30" s="115">
        <f>IF(C30="","",IFERROR(C30/MOTOR!$B$14,0))</f>
        <v/>
      </c>
      <c r="F30" s="116">
        <f>IF(C30="","",IFERROR((C30-MOTOR!$B$8)/MOTOR!$B$11,0))</f>
        <v/>
      </c>
      <c r="G30" s="117">
        <f>IF(C30="","",IF(E30&lt;AYARLAR!$C$11,"AŞIRI DÜŞÜK",IF(E30&lt;AYARLAR!$C$12,"SINIRDA","GÜVENLİ")))</f>
        <v/>
      </c>
      <c r="H30" s="118" t="n"/>
    </row>
    <row r="31" ht="15" customHeight="1" s="64">
      <c r="A31" s="112" t="n">
        <v>26</v>
      </c>
      <c r="B31" s="118" t="n"/>
      <c r="C31" s="118" t="n"/>
      <c r="D31" s="118" t="n"/>
      <c r="E31" s="115">
        <f>IF(C31="","",IFERROR(C31/MOTOR!$B$14,0))</f>
        <v/>
      </c>
      <c r="F31" s="116">
        <f>IF(C31="","",IFERROR((C31-MOTOR!$B$8)/MOTOR!$B$11,0))</f>
        <v/>
      </c>
      <c r="G31" s="117">
        <f>IF(C31="","",IF(E31&lt;AYARLAR!$C$11,"AŞIRI DÜŞÜK",IF(E31&lt;AYARLAR!$C$12,"SINIRDA","GÜVENLİ")))</f>
        <v/>
      </c>
      <c r="H31" s="118" t="n"/>
    </row>
    <row r="32" ht="15" customHeight="1" s="64">
      <c r="A32" s="112" t="n">
        <v>27</v>
      </c>
      <c r="B32" s="118" t="n"/>
      <c r="C32" s="118" t="n"/>
      <c r="D32" s="118" t="n"/>
      <c r="E32" s="115">
        <f>IF(C32="","",IFERROR(C32/MOTOR!$B$14,0))</f>
        <v/>
      </c>
      <c r="F32" s="116">
        <f>IF(C32="","",IFERROR((C32-MOTOR!$B$8)/MOTOR!$B$11,0))</f>
        <v/>
      </c>
      <c r="G32" s="117">
        <f>IF(C32="","",IF(E32&lt;AYARLAR!$C$11,"AŞIRI DÜŞÜK",IF(E32&lt;AYARLAR!$C$12,"SINIRDA","GÜVENLİ")))</f>
        <v/>
      </c>
      <c r="H32" s="118" t="n"/>
    </row>
    <row r="33" ht="15" customHeight="1" s="64">
      <c r="A33" s="112" t="n">
        <v>28</v>
      </c>
      <c r="B33" s="118" t="n"/>
      <c r="C33" s="118" t="n"/>
      <c r="D33" s="118" t="n"/>
      <c r="E33" s="115">
        <f>IF(C33="","",IFERROR(C33/MOTOR!$B$14,0))</f>
        <v/>
      </c>
      <c r="F33" s="116">
        <f>IF(C33="","",IFERROR((C33-MOTOR!$B$8)/MOTOR!$B$11,0))</f>
        <v/>
      </c>
      <c r="G33" s="117">
        <f>IF(C33="","",IF(E33&lt;AYARLAR!$C$11,"AŞIRI DÜŞÜK",IF(E33&lt;AYARLAR!$C$12,"SINIRDA","GÜVENLİ")))</f>
        <v/>
      </c>
      <c r="H33" s="118" t="n"/>
    </row>
    <row r="34" ht="15" customHeight="1" s="64">
      <c r="A34" s="112" t="n">
        <v>29</v>
      </c>
      <c r="B34" s="118" t="n"/>
      <c r="C34" s="118" t="n"/>
      <c r="D34" s="118" t="n"/>
      <c r="E34" s="115">
        <f>IF(C34="","",IFERROR(C34/MOTOR!$B$14,0))</f>
        <v/>
      </c>
      <c r="F34" s="116">
        <f>IF(C34="","",IFERROR((C34-MOTOR!$B$8)/MOTOR!$B$11,0))</f>
        <v/>
      </c>
      <c r="G34" s="117">
        <f>IF(C34="","",IF(E34&lt;AYARLAR!$C$11,"AŞIRI DÜŞÜK",IF(E34&lt;AYARLAR!$C$12,"SINIRDA","GÜVENLİ")))</f>
        <v/>
      </c>
      <c r="H34" s="118" t="n"/>
    </row>
    <row r="35" ht="15" customHeight="1" s="64">
      <c r="A35" s="112" t="n">
        <v>30</v>
      </c>
      <c r="B35" s="118" t="n"/>
      <c r="C35" s="118" t="n"/>
      <c r="D35" s="118" t="n"/>
      <c r="E35" s="115">
        <f>IF(C35="","",IFERROR(C35/MOTOR!$B$14,0))</f>
        <v/>
      </c>
      <c r="F35" s="116">
        <f>IF(C35="","",IFERROR((C35-MOTOR!$B$8)/MOTOR!$B$11,0))</f>
        <v/>
      </c>
      <c r="G35" s="117">
        <f>IF(C35="","",IF(E35&lt;AYARLAR!$C$11,"AŞIRI DÜŞÜK",IF(E35&lt;AYARLAR!$C$12,"SINIRDA","GÜVENLİ")))</f>
        <v/>
      </c>
      <c r="H35" s="118" t="n"/>
    </row>
    <row r="36" ht="15" customHeight="1" s="64">
      <c r="A36" s="112" t="n">
        <v>31</v>
      </c>
      <c r="B36" s="118" t="n"/>
      <c r="C36" s="118" t="n"/>
      <c r="D36" s="118" t="n"/>
      <c r="E36" s="115">
        <f>IF(C36="","",IFERROR(C36/MOTOR!$B$14,0))</f>
        <v/>
      </c>
      <c r="F36" s="116">
        <f>IF(C36="","",IFERROR((C36-MOTOR!$B$8)/MOTOR!$B$11,0))</f>
        <v/>
      </c>
      <c r="G36" s="117">
        <f>IF(C36="","",IF(E36&lt;AYARLAR!$C$11,"AŞIRI DÜŞÜK",IF(E36&lt;AYARLAR!$C$12,"SINIRDA","GÜVENLİ")))</f>
        <v/>
      </c>
      <c r="H36" s="118" t="n"/>
    </row>
    <row r="37" ht="15" customHeight="1" s="64">
      <c r="A37" s="112" t="n">
        <v>32</v>
      </c>
      <c r="B37" s="118" t="n"/>
      <c r="C37" s="118" t="n"/>
      <c r="D37" s="118" t="n"/>
      <c r="E37" s="115">
        <f>IF(C37="","",IFERROR(C37/MOTOR!$B$14,0))</f>
        <v/>
      </c>
      <c r="F37" s="116">
        <f>IF(C37="","",IFERROR((C37-MOTOR!$B$8)/MOTOR!$B$11,0))</f>
        <v/>
      </c>
      <c r="G37" s="117">
        <f>IF(C37="","",IF(E37&lt;AYARLAR!$C$11,"AŞIRI DÜŞÜK",IF(E37&lt;AYARLAR!$C$12,"SINIRDA","GÜVENLİ")))</f>
        <v/>
      </c>
      <c r="H37" s="118" t="n"/>
    </row>
    <row r="38" ht="15" customHeight="1" s="64">
      <c r="A38" s="112" t="n">
        <v>33</v>
      </c>
      <c r="B38" s="118" t="n"/>
      <c r="C38" s="118" t="n"/>
      <c r="D38" s="118" t="n"/>
      <c r="E38" s="115">
        <f>IF(C38="","",IFERROR(C38/MOTOR!$B$14,0))</f>
        <v/>
      </c>
      <c r="F38" s="116">
        <f>IF(C38="","",IFERROR((C38-MOTOR!$B$8)/MOTOR!$B$11,0))</f>
        <v/>
      </c>
      <c r="G38" s="117">
        <f>IF(C38="","",IF(E38&lt;AYARLAR!$C$11,"AŞIRI DÜŞÜK",IF(E38&lt;AYARLAR!$C$12,"SINIRDA","GÜVENLİ")))</f>
        <v/>
      </c>
      <c r="H38" s="118" t="n"/>
    </row>
    <row r="39" ht="15" customHeight="1" s="64">
      <c r="A39" s="112" t="n">
        <v>34</v>
      </c>
      <c r="B39" s="118" t="n"/>
      <c r="C39" s="118" t="n"/>
      <c r="D39" s="118" t="n"/>
      <c r="E39" s="115">
        <f>IF(C39="","",IFERROR(C39/MOTOR!$B$14,0))</f>
        <v/>
      </c>
      <c r="F39" s="116">
        <f>IF(C39="","",IFERROR((C39-MOTOR!$B$8)/MOTOR!$B$11,0))</f>
        <v/>
      </c>
      <c r="G39" s="117">
        <f>IF(C39="","",IF(E39&lt;AYARLAR!$C$11,"AŞIRI DÜŞÜK",IF(E39&lt;AYARLAR!$C$12,"SINIRDA","GÜVENLİ")))</f>
        <v/>
      </c>
      <c r="H39" s="118" t="n"/>
    </row>
    <row r="40" ht="15" customHeight="1" s="64">
      <c r="A40" s="112" t="n">
        <v>35</v>
      </c>
      <c r="B40" s="118" t="n"/>
      <c r="C40" s="118" t="n"/>
      <c r="D40" s="118" t="n"/>
      <c r="E40" s="115">
        <f>IF(C40="","",IFERROR(C40/MOTOR!$B$14,0))</f>
        <v/>
      </c>
      <c r="F40" s="116">
        <f>IF(C40="","",IFERROR((C40-MOTOR!$B$8)/MOTOR!$B$11,0))</f>
        <v/>
      </c>
      <c r="G40" s="117">
        <f>IF(C40="","",IF(E40&lt;AYARLAR!$C$11,"AŞIRI DÜŞÜK",IF(E40&lt;AYARLAR!$C$12,"SINIRDA","GÜVENLİ")))</f>
        <v/>
      </c>
      <c r="H40" s="118" t="n"/>
    </row>
    <row r="41" ht="15" customHeight="1" s="64">
      <c r="A41" s="112" t="n">
        <v>36</v>
      </c>
      <c r="B41" s="118" t="n"/>
      <c r="C41" s="118" t="n"/>
      <c r="D41" s="118" t="n"/>
      <c r="E41" s="115">
        <f>IF(C41="","",IFERROR(C41/MOTOR!$B$14,0))</f>
        <v/>
      </c>
      <c r="F41" s="116">
        <f>IF(C41="","",IFERROR((C41-MOTOR!$B$8)/MOTOR!$B$11,0))</f>
        <v/>
      </c>
      <c r="G41" s="117">
        <f>IF(C41="","",IF(E41&lt;AYARLAR!$C$11,"AŞIRI DÜŞÜK",IF(E41&lt;AYARLAR!$C$12,"SINIRDA","GÜVENLİ")))</f>
        <v/>
      </c>
      <c r="H41" s="118" t="n"/>
    </row>
    <row r="42" ht="15" customHeight="1" s="64">
      <c r="A42" s="112" t="n">
        <v>37</v>
      </c>
      <c r="B42" s="118" t="n"/>
      <c r="C42" s="118" t="n"/>
      <c r="D42" s="118" t="n"/>
      <c r="E42" s="115">
        <f>IF(C42="","",IFERROR(C42/MOTOR!$B$14,0))</f>
        <v/>
      </c>
      <c r="F42" s="116">
        <f>IF(C42="","",IFERROR((C42-MOTOR!$B$8)/MOTOR!$B$11,0))</f>
        <v/>
      </c>
      <c r="G42" s="117">
        <f>IF(C42="","",IF(E42&lt;AYARLAR!$C$11,"AŞIRI DÜŞÜK",IF(E42&lt;AYARLAR!$C$12,"SINIRDA","GÜVENLİ")))</f>
        <v/>
      </c>
      <c r="H42" s="118" t="n"/>
    </row>
    <row r="43" ht="15" customHeight="1" s="64">
      <c r="A43" s="112" t="n">
        <v>38</v>
      </c>
      <c r="B43" s="118" t="n"/>
      <c r="C43" s="118" t="n"/>
      <c r="D43" s="118" t="n"/>
      <c r="E43" s="115">
        <f>IF(C43="","",IFERROR(C43/MOTOR!$B$14,0))</f>
        <v/>
      </c>
      <c r="F43" s="116">
        <f>IF(C43="","",IFERROR((C43-MOTOR!$B$8)/MOTOR!$B$11,0))</f>
        <v/>
      </c>
      <c r="G43" s="117">
        <f>IF(C43="","",IF(E43&lt;AYARLAR!$C$11,"AŞIRI DÜŞÜK",IF(E43&lt;AYARLAR!$C$12,"SINIRDA","GÜVENLİ")))</f>
        <v/>
      </c>
      <c r="H43" s="118" t="n"/>
    </row>
    <row r="44" ht="15" customHeight="1" s="64">
      <c r="A44" s="112" t="n">
        <v>39</v>
      </c>
      <c r="B44" s="118" t="n"/>
      <c r="C44" s="118" t="n"/>
      <c r="D44" s="118" t="n"/>
      <c r="E44" s="115">
        <f>IF(C44="","",IFERROR(C44/MOTOR!$B$14,0))</f>
        <v/>
      </c>
      <c r="F44" s="116">
        <f>IF(C44="","",IFERROR((C44-MOTOR!$B$8)/MOTOR!$B$11,0))</f>
        <v/>
      </c>
      <c r="G44" s="117">
        <f>IF(C44="","",IF(E44&lt;AYARLAR!$C$11,"AŞIRI DÜŞÜK",IF(E44&lt;AYARLAR!$C$12,"SINIRDA","GÜVENLİ")))</f>
        <v/>
      </c>
      <c r="H44" s="118" t="n"/>
    </row>
    <row r="45" ht="15" customHeight="1" s="64">
      <c r="A45" s="112" t="n">
        <v>40</v>
      </c>
      <c r="B45" s="118" t="n"/>
      <c r="C45" s="118" t="n"/>
      <c r="D45" s="118" t="n"/>
      <c r="E45" s="115">
        <f>IF(C45="","",IFERROR(C45/MOTOR!$B$14,0))</f>
        <v/>
      </c>
      <c r="F45" s="116">
        <f>IF(C45="","",IFERROR((C45-MOTOR!$B$8)/MOTOR!$B$11,0))</f>
        <v/>
      </c>
      <c r="G45" s="117">
        <f>IF(C45="","",IF(E45&lt;AYARLAR!$C$11,"AŞIRI DÜŞÜK",IF(E45&lt;AYARLAR!$C$12,"SINIRDA","GÜVENLİ")))</f>
        <v/>
      </c>
      <c r="H45" s="118" t="n"/>
    </row>
    <row r="46" ht="15" customHeight="1" s="64">
      <c r="A46" s="112" t="n">
        <v>41</v>
      </c>
      <c r="B46" s="118" t="n"/>
      <c r="C46" s="118" t="n"/>
      <c r="D46" s="118" t="n"/>
      <c r="E46" s="115">
        <f>IF(C46="","",IFERROR(C46/MOTOR!$B$14,0))</f>
        <v/>
      </c>
      <c r="F46" s="116">
        <f>IF(C46="","",IFERROR((C46-MOTOR!$B$8)/MOTOR!$B$11,0))</f>
        <v/>
      </c>
      <c r="G46" s="117">
        <f>IF(C46="","",IF(E46&lt;AYARLAR!$C$11,"AŞIRI DÜŞÜK",IF(E46&lt;AYARLAR!$C$12,"SINIRDA","GÜVENLİ")))</f>
        <v/>
      </c>
      <c r="H46" s="118" t="n"/>
    </row>
    <row r="47" ht="15" customHeight="1" s="64">
      <c r="A47" s="112" t="n">
        <v>42</v>
      </c>
      <c r="B47" s="118" t="n"/>
      <c r="C47" s="118" t="n"/>
      <c r="D47" s="118" t="n"/>
      <c r="E47" s="115">
        <f>IF(C47="","",IFERROR(C47/MOTOR!$B$14,0))</f>
        <v/>
      </c>
      <c r="F47" s="116">
        <f>IF(C47="","",IFERROR((C47-MOTOR!$B$8)/MOTOR!$B$11,0))</f>
        <v/>
      </c>
      <c r="G47" s="117">
        <f>IF(C47="","",IF(E47&lt;AYARLAR!$C$11,"AŞIRI DÜŞÜK",IF(E47&lt;AYARLAR!$C$12,"SINIRDA","GÜVENLİ")))</f>
        <v/>
      </c>
      <c r="H47" s="118" t="n"/>
    </row>
    <row r="48" ht="15" customHeight="1" s="64">
      <c r="A48" s="112" t="n">
        <v>43</v>
      </c>
      <c r="B48" s="118" t="n"/>
      <c r="C48" s="118" t="n"/>
      <c r="D48" s="118" t="n"/>
      <c r="E48" s="115">
        <f>IF(C48="","",IFERROR(C48/MOTOR!$B$14,0))</f>
        <v/>
      </c>
      <c r="F48" s="116">
        <f>IF(C48="","",IFERROR((C48-MOTOR!$B$8)/MOTOR!$B$11,0))</f>
        <v/>
      </c>
      <c r="G48" s="117">
        <f>IF(C48="","",IF(E48&lt;AYARLAR!$C$11,"AŞIRI DÜŞÜK",IF(E48&lt;AYARLAR!$C$12,"SINIRDA","GÜVENLİ")))</f>
        <v/>
      </c>
      <c r="H48" s="118" t="n"/>
    </row>
    <row r="49" ht="15" customHeight="1" s="64">
      <c r="A49" s="112" t="n">
        <v>44</v>
      </c>
      <c r="B49" s="118" t="n"/>
      <c r="C49" s="118" t="n"/>
      <c r="D49" s="118" t="n"/>
      <c r="E49" s="115">
        <f>IF(C49="","",IFERROR(C49/MOTOR!$B$14,0))</f>
        <v/>
      </c>
      <c r="F49" s="116">
        <f>IF(C49="","",IFERROR((C49-MOTOR!$B$8)/MOTOR!$B$11,0))</f>
        <v/>
      </c>
      <c r="G49" s="117">
        <f>IF(C49="","",IF(E49&lt;AYARLAR!$C$11,"AŞIRI DÜŞÜK",IF(E49&lt;AYARLAR!$C$12,"SINIRDA","GÜVENLİ")))</f>
        <v/>
      </c>
      <c r="H49" s="118" t="n"/>
    </row>
    <row r="50" ht="15" customHeight="1" s="64">
      <c r="A50" s="112" t="n">
        <v>45</v>
      </c>
      <c r="B50" s="118" t="n"/>
      <c r="C50" s="118" t="n"/>
      <c r="D50" s="118" t="n"/>
      <c r="E50" s="115">
        <f>IF(C50="","",IFERROR(C50/MOTOR!$B$14,0))</f>
        <v/>
      </c>
      <c r="F50" s="116">
        <f>IF(C50="","",IFERROR((C50-MOTOR!$B$8)/MOTOR!$B$11,0))</f>
        <v/>
      </c>
      <c r="G50" s="117">
        <f>IF(C50="","",IF(E50&lt;AYARLAR!$C$11,"AŞIRI DÜŞÜK",IF(E50&lt;AYARLAR!$C$12,"SINIRDA","GÜVENLİ")))</f>
        <v/>
      </c>
      <c r="H50" s="118" t="n"/>
    </row>
    <row r="51" ht="15" customHeight="1" s="64">
      <c r="A51" s="112" t="n">
        <v>46</v>
      </c>
      <c r="B51" s="118" t="n"/>
      <c r="C51" s="118" t="n"/>
      <c r="D51" s="118" t="n"/>
      <c r="E51" s="115">
        <f>IF(C51="","",IFERROR(C51/MOTOR!$B$14,0))</f>
        <v/>
      </c>
      <c r="F51" s="116">
        <f>IF(C51="","",IFERROR((C51-MOTOR!$B$8)/MOTOR!$B$11,0))</f>
        <v/>
      </c>
      <c r="G51" s="117">
        <f>IF(C51="","",IF(E51&lt;AYARLAR!$C$11,"AŞIRI DÜŞÜK",IF(E51&lt;AYARLAR!$C$12,"SINIRDA","GÜVENLİ")))</f>
        <v/>
      </c>
      <c r="H51" s="118" t="n"/>
    </row>
    <row r="52" ht="15" customHeight="1" s="64">
      <c r="A52" s="112" t="n">
        <v>47</v>
      </c>
      <c r="B52" s="118" t="n"/>
      <c r="C52" s="118" t="n"/>
      <c r="D52" s="118" t="n"/>
      <c r="E52" s="115">
        <f>IF(C52="","",IFERROR(C52/MOTOR!$B$14,0))</f>
        <v/>
      </c>
      <c r="F52" s="116">
        <f>IF(C52="","",IFERROR((C52-MOTOR!$B$8)/MOTOR!$B$11,0))</f>
        <v/>
      </c>
      <c r="G52" s="117">
        <f>IF(C52="","",IF(E52&lt;AYARLAR!$C$11,"AŞIRI DÜŞÜK",IF(E52&lt;AYARLAR!$C$12,"SINIRDA","GÜVENLİ")))</f>
        <v/>
      </c>
      <c r="H52" s="118" t="n"/>
    </row>
    <row r="53" ht="15" customHeight="1" s="64">
      <c r="A53" s="112" t="n">
        <v>48</v>
      </c>
      <c r="B53" s="118" t="n"/>
      <c r="C53" s="118" t="n"/>
      <c r="D53" s="118" t="n"/>
      <c r="E53" s="115">
        <f>IF(C53="","",IFERROR(C53/MOTOR!$B$14,0))</f>
        <v/>
      </c>
      <c r="F53" s="116">
        <f>IF(C53="","",IFERROR((C53-MOTOR!$B$8)/MOTOR!$B$11,0))</f>
        <v/>
      </c>
      <c r="G53" s="117">
        <f>IF(C53="","",IF(E53&lt;AYARLAR!$C$11,"AŞIRI DÜŞÜK",IF(E53&lt;AYARLAR!$C$12,"SINIRDA","GÜVENLİ")))</f>
        <v/>
      </c>
      <c r="H53" s="118" t="n"/>
    </row>
    <row r="54" ht="15" customHeight="1" s="64">
      <c r="A54" s="112" t="n">
        <v>49</v>
      </c>
      <c r="B54" s="118" t="n"/>
      <c r="C54" s="118" t="n"/>
      <c r="D54" s="118" t="n"/>
      <c r="E54" s="115">
        <f>IF(C54="","",IFERROR(C54/MOTOR!$B$14,0))</f>
        <v/>
      </c>
      <c r="F54" s="116">
        <f>IF(C54="","",IFERROR((C54-MOTOR!$B$8)/MOTOR!$B$11,0))</f>
        <v/>
      </c>
      <c r="G54" s="117">
        <f>IF(C54="","",IF(E54&lt;AYARLAR!$C$11,"AŞIRI DÜŞÜK",IF(E54&lt;AYARLAR!$C$12,"SINIRDA","GÜVENLİ")))</f>
        <v/>
      </c>
      <c r="H54" s="118" t="n"/>
    </row>
    <row r="55" ht="15" customHeight="1" s="64">
      <c r="A55" s="112" t="n">
        <v>50</v>
      </c>
      <c r="B55" s="118" t="n"/>
      <c r="C55" s="118" t="n"/>
      <c r="D55" s="118" t="n"/>
      <c r="E55" s="115">
        <f>IF(C55="","",IFERROR(C55/MOTOR!$B$14,0))</f>
        <v/>
      </c>
      <c r="F55" s="116">
        <f>IF(C55="","",IFERROR((C55-MOTOR!$B$8)/MOTOR!$B$11,0))</f>
        <v/>
      </c>
      <c r="G55" s="117">
        <f>IF(C55="","",IF(E55&lt;AYARLAR!$C$11,"AŞIRI DÜŞÜK",IF(E55&lt;AYARLAR!$C$12,"SINIRDA","GÜVENLİ")))</f>
        <v/>
      </c>
      <c r="H55" s="118" t="n"/>
    </row>
    <row r="56" ht="15" customHeight="1" s="64">
      <c r="A56" s="112" t="n">
        <v>51</v>
      </c>
      <c r="B56" s="118" t="n"/>
      <c r="C56" s="118" t="n"/>
      <c r="D56" s="118" t="n"/>
      <c r="E56" s="115">
        <f>IF(C56="","",IFERROR(C56/MOTOR!$B$14,0))</f>
        <v/>
      </c>
      <c r="F56" s="116">
        <f>IF(C56="","",IFERROR((C56-MOTOR!$B$8)/MOTOR!$B$11,0))</f>
        <v/>
      </c>
      <c r="G56" s="117">
        <f>IF(C56="","",IF(E56&lt;AYARLAR!$C$11,"AŞIRI DÜŞÜK",IF(E56&lt;AYARLAR!$C$12,"SINIRDA","GÜVENLİ")))</f>
        <v/>
      </c>
      <c r="H56" s="118" t="n"/>
    </row>
    <row r="57" ht="15" customHeight="1" s="64">
      <c r="A57" s="112" t="n">
        <v>52</v>
      </c>
      <c r="B57" s="118" t="n"/>
      <c r="C57" s="118" t="n"/>
      <c r="D57" s="118" t="n"/>
      <c r="E57" s="115">
        <f>IF(C57="","",IFERROR(C57/MOTOR!$B$14,0))</f>
        <v/>
      </c>
      <c r="F57" s="116">
        <f>IF(C57="","",IFERROR((C57-MOTOR!$B$8)/MOTOR!$B$11,0))</f>
        <v/>
      </c>
      <c r="G57" s="117">
        <f>IF(C57="","",IF(E57&lt;AYARLAR!$C$11,"AŞIRI DÜŞÜK",IF(E57&lt;AYARLAR!$C$12,"SINIRDA","GÜVENLİ")))</f>
        <v/>
      </c>
      <c r="H57" s="118" t="n"/>
    </row>
    <row r="58" ht="15" customHeight="1" s="64">
      <c r="A58" s="112" t="n">
        <v>53</v>
      </c>
      <c r="B58" s="118" t="n"/>
      <c r="C58" s="118" t="n"/>
      <c r="D58" s="118" t="n"/>
      <c r="E58" s="115">
        <f>IF(C58="","",IFERROR(C58/MOTOR!$B$14,0))</f>
        <v/>
      </c>
      <c r="F58" s="116">
        <f>IF(C58="","",IFERROR((C58-MOTOR!$B$8)/MOTOR!$B$11,0))</f>
        <v/>
      </c>
      <c r="G58" s="117">
        <f>IF(C58="","",IF(E58&lt;AYARLAR!$C$11,"AŞIRI DÜŞÜK",IF(E58&lt;AYARLAR!$C$12,"SINIRDA","GÜVENLİ")))</f>
        <v/>
      </c>
      <c r="H58" s="118" t="n"/>
    </row>
    <row r="59" ht="15" customHeight="1" s="64">
      <c r="A59" s="112" t="n">
        <v>54</v>
      </c>
      <c r="B59" s="118" t="n"/>
      <c r="C59" s="118" t="n"/>
      <c r="D59" s="118" t="n"/>
      <c r="E59" s="115">
        <f>IF(C59="","",IFERROR(C59/MOTOR!$B$14,0))</f>
        <v/>
      </c>
      <c r="F59" s="116">
        <f>IF(C59="","",IFERROR((C59-MOTOR!$B$8)/MOTOR!$B$11,0))</f>
        <v/>
      </c>
      <c r="G59" s="117">
        <f>IF(C59="","",IF(E59&lt;AYARLAR!$C$11,"AŞIRI DÜŞÜK",IF(E59&lt;AYARLAR!$C$12,"SINIRDA","GÜVENLİ")))</f>
        <v/>
      </c>
      <c r="H59" s="118" t="n"/>
    </row>
    <row r="60" ht="15" customHeight="1" s="64">
      <c r="A60" s="112" t="n">
        <v>55</v>
      </c>
      <c r="B60" s="118" t="n"/>
      <c r="C60" s="118" t="n"/>
      <c r="D60" s="118" t="n"/>
      <c r="E60" s="115">
        <f>IF(C60="","",IFERROR(C60/MOTOR!$B$14,0))</f>
        <v/>
      </c>
      <c r="F60" s="116">
        <f>IF(C60="","",IFERROR((C60-MOTOR!$B$8)/MOTOR!$B$11,0))</f>
        <v/>
      </c>
      <c r="G60" s="117">
        <f>IF(C60="","",IF(E60&lt;AYARLAR!$C$11,"AŞIRI DÜŞÜK",IF(E60&lt;AYARLAR!$C$12,"SINIRDA","GÜVENLİ")))</f>
        <v/>
      </c>
      <c r="H60" s="118" t="n"/>
    </row>
    <row r="61" ht="15" customHeight="1" s="64">
      <c r="A61" s="112" t="n">
        <v>56</v>
      </c>
      <c r="B61" s="118" t="n"/>
      <c r="C61" s="118" t="n"/>
      <c r="D61" s="118" t="n"/>
      <c r="E61" s="115">
        <f>IF(C61="","",IFERROR(C61/MOTOR!$B$14,0))</f>
        <v/>
      </c>
      <c r="F61" s="116">
        <f>IF(C61="","",IFERROR((C61-MOTOR!$B$8)/MOTOR!$B$11,0))</f>
        <v/>
      </c>
      <c r="G61" s="117">
        <f>IF(C61="","",IF(E61&lt;AYARLAR!$C$11,"AŞIRI DÜŞÜK",IF(E61&lt;AYARLAR!$C$12,"SINIRDA","GÜVENLİ")))</f>
        <v/>
      </c>
      <c r="H61" s="118" t="n"/>
    </row>
    <row r="62" ht="15" customHeight="1" s="64">
      <c r="A62" s="112" t="n">
        <v>57</v>
      </c>
      <c r="B62" s="118" t="n"/>
      <c r="C62" s="118" t="n"/>
      <c r="D62" s="118" t="n"/>
      <c r="E62" s="115">
        <f>IF(C62="","",IFERROR(C62/MOTOR!$B$14,0))</f>
        <v/>
      </c>
      <c r="F62" s="116">
        <f>IF(C62="","",IFERROR((C62-MOTOR!$B$8)/MOTOR!$B$11,0))</f>
        <v/>
      </c>
      <c r="G62" s="117">
        <f>IF(C62="","",IF(E62&lt;AYARLAR!$C$11,"AŞIRI DÜŞÜK",IF(E62&lt;AYARLAR!$C$12,"SINIRDA","GÜVENLİ")))</f>
        <v/>
      </c>
      <c r="H62" s="118" t="n"/>
    </row>
    <row r="63" ht="15" customHeight="1" s="64">
      <c r="A63" s="112" t="n">
        <v>58</v>
      </c>
      <c r="B63" s="118" t="n"/>
      <c r="C63" s="118" t="n"/>
      <c r="D63" s="118" t="n"/>
      <c r="E63" s="115">
        <f>IF(C63="","",IFERROR(C63/MOTOR!$B$14,0))</f>
        <v/>
      </c>
      <c r="F63" s="116">
        <f>IF(C63="","",IFERROR((C63-MOTOR!$B$8)/MOTOR!$B$11,0))</f>
        <v/>
      </c>
      <c r="G63" s="117">
        <f>IF(C63="","",IF(E63&lt;AYARLAR!$C$11,"AŞIRI DÜŞÜK",IF(E63&lt;AYARLAR!$C$12,"SINIRDA","GÜVENLİ")))</f>
        <v/>
      </c>
      <c r="H63" s="118" t="n"/>
    </row>
    <row r="64" ht="15" customHeight="1" s="64">
      <c r="A64" s="112" t="n">
        <v>59</v>
      </c>
      <c r="B64" s="118" t="n"/>
      <c r="C64" s="118" t="n"/>
      <c r="D64" s="118" t="n"/>
      <c r="E64" s="115">
        <f>IF(C64="","",IFERROR(C64/MOTOR!$B$14,0))</f>
        <v/>
      </c>
      <c r="F64" s="116">
        <f>IF(C64="","",IFERROR((C64-MOTOR!$B$8)/MOTOR!$B$11,0))</f>
        <v/>
      </c>
      <c r="G64" s="117">
        <f>IF(C64="","",IF(E64&lt;AYARLAR!$C$11,"AŞIRI DÜŞÜK",IF(E64&lt;AYARLAR!$C$12,"SINIRDA","GÜVENLİ")))</f>
        <v/>
      </c>
      <c r="H64" s="118" t="n"/>
    </row>
    <row r="65" ht="15" customHeight="1" s="64">
      <c r="A65" s="112" t="n">
        <v>60</v>
      </c>
      <c r="B65" s="118" t="n"/>
      <c r="C65" s="118" t="n"/>
      <c r="D65" s="118" t="n"/>
      <c r="E65" s="115">
        <f>IF(C65="","",IFERROR(C65/MOTOR!$B$14,0))</f>
        <v/>
      </c>
      <c r="F65" s="116">
        <f>IF(C65="","",IFERROR((C65-MOTOR!$B$8)/MOTOR!$B$11,0))</f>
        <v/>
      </c>
      <c r="G65" s="117">
        <f>IF(C65="","",IF(E65&lt;AYARLAR!$C$11,"AŞIRI DÜŞÜK",IF(E65&lt;AYARLAR!$C$12,"SINIRDA","GÜVENLİ")))</f>
        <v/>
      </c>
      <c r="H65" s="118" t="n"/>
    </row>
    <row r="66" ht="15" customHeight="1" s="64">
      <c r="A66" s="112" t="n">
        <v>61</v>
      </c>
      <c r="B66" s="118" t="n"/>
      <c r="C66" s="118" t="n"/>
      <c r="D66" s="118" t="n"/>
      <c r="E66" s="115">
        <f>IF(C66="","",IFERROR(C66/MOTOR!$B$14,0))</f>
        <v/>
      </c>
      <c r="F66" s="116">
        <f>IF(C66="","",IFERROR((C66-MOTOR!$B$8)/MOTOR!$B$11,0))</f>
        <v/>
      </c>
      <c r="G66" s="117">
        <f>IF(C66="","",IF(E66&lt;AYARLAR!$C$11,"AŞIRI DÜŞÜK",IF(E66&lt;AYARLAR!$C$12,"SINIRDA","GÜVENLİ")))</f>
        <v/>
      </c>
      <c r="H66" s="118" t="n"/>
    </row>
    <row r="67" ht="15" customHeight="1" s="64">
      <c r="A67" s="112" t="n">
        <v>62</v>
      </c>
      <c r="B67" s="118" t="n"/>
      <c r="C67" s="118" t="n"/>
      <c r="D67" s="118" t="n"/>
      <c r="E67" s="115">
        <f>IF(C67="","",IFERROR(C67/MOTOR!$B$14,0))</f>
        <v/>
      </c>
      <c r="F67" s="116">
        <f>IF(C67="","",IFERROR((C67-MOTOR!$B$8)/MOTOR!$B$11,0))</f>
        <v/>
      </c>
      <c r="G67" s="117">
        <f>IF(C67="","",IF(E67&lt;AYARLAR!$C$11,"AŞIRI DÜŞÜK",IF(E67&lt;AYARLAR!$C$12,"SINIRDA","GÜVENLİ")))</f>
        <v/>
      </c>
      <c r="H67" s="118" t="n"/>
    </row>
    <row r="68" ht="15" customHeight="1" s="64">
      <c r="A68" s="112" t="n">
        <v>63</v>
      </c>
      <c r="B68" s="118" t="n"/>
      <c r="C68" s="118" t="n"/>
      <c r="D68" s="118" t="n"/>
      <c r="E68" s="115">
        <f>IF(C68="","",IFERROR(C68/MOTOR!$B$14,0))</f>
        <v/>
      </c>
      <c r="F68" s="116">
        <f>IF(C68="","",IFERROR((C68-MOTOR!$B$8)/MOTOR!$B$11,0))</f>
        <v/>
      </c>
      <c r="G68" s="117">
        <f>IF(C68="","",IF(E68&lt;AYARLAR!$C$11,"AŞIRI DÜŞÜK",IF(E68&lt;AYARLAR!$C$12,"SINIRDA","GÜVENLİ")))</f>
        <v/>
      </c>
      <c r="H68" s="118" t="n"/>
    </row>
    <row r="69" ht="15" customHeight="1" s="64">
      <c r="A69" s="112" t="n">
        <v>64</v>
      </c>
      <c r="B69" s="118" t="n"/>
      <c r="C69" s="118" t="n"/>
      <c r="D69" s="118" t="n"/>
      <c r="E69" s="115">
        <f>IF(C69="","",IFERROR(C69/MOTOR!$B$14,0))</f>
        <v/>
      </c>
      <c r="F69" s="116">
        <f>IF(C69="","",IFERROR((C69-MOTOR!$B$8)/MOTOR!$B$11,0))</f>
        <v/>
      </c>
      <c r="G69" s="117">
        <f>IF(C69="","",IF(E69&lt;AYARLAR!$C$11,"AŞIRI DÜŞÜK",IF(E69&lt;AYARLAR!$C$12,"SINIRDA","GÜVENLİ")))</f>
        <v/>
      </c>
      <c r="H69" s="118" t="n"/>
    </row>
    <row r="70" ht="15" customHeight="1" s="64">
      <c r="A70" s="112" t="n">
        <v>65</v>
      </c>
      <c r="B70" s="118" t="n"/>
      <c r="C70" s="118" t="n"/>
      <c r="D70" s="118" t="n"/>
      <c r="E70" s="115">
        <f>IF(C70="","",IFERROR(C70/MOTOR!$B$14,0))</f>
        <v/>
      </c>
      <c r="F70" s="116">
        <f>IF(C70="","",IFERROR((C70-MOTOR!$B$8)/MOTOR!$B$11,0))</f>
        <v/>
      </c>
      <c r="G70" s="117">
        <f>IF(C70="","",IF(E70&lt;AYARLAR!$C$11,"AŞIRI DÜŞÜK",IF(E70&lt;AYARLAR!$C$12,"SINIRDA","GÜVENLİ")))</f>
        <v/>
      </c>
      <c r="H70" s="118" t="n"/>
    </row>
    <row r="71" ht="15" customHeight="1" s="64">
      <c r="A71" s="112" t="n">
        <v>66</v>
      </c>
      <c r="B71" s="118" t="n"/>
      <c r="C71" s="118" t="n"/>
      <c r="D71" s="118" t="n"/>
      <c r="E71" s="115">
        <f>IF(C71="","",IFERROR(C71/MOTOR!$B$14,0))</f>
        <v/>
      </c>
      <c r="F71" s="116">
        <f>IF(C71="","",IFERROR((C71-MOTOR!$B$8)/MOTOR!$B$11,0))</f>
        <v/>
      </c>
      <c r="G71" s="117">
        <f>IF(C71="","",IF(E71&lt;AYARLAR!$C$11,"AŞIRI DÜŞÜK",IF(E71&lt;AYARLAR!$C$12,"SINIRDA","GÜVENLİ")))</f>
        <v/>
      </c>
      <c r="H71" s="118" t="n"/>
    </row>
    <row r="72" ht="15" customHeight="1" s="64">
      <c r="A72" s="112" t="n">
        <v>67</v>
      </c>
      <c r="B72" s="118" t="n"/>
      <c r="C72" s="118" t="n"/>
      <c r="D72" s="118" t="n"/>
      <c r="E72" s="115">
        <f>IF(C72="","",IFERROR(C72/MOTOR!$B$14,0))</f>
        <v/>
      </c>
      <c r="F72" s="116">
        <f>IF(C72="","",IFERROR((C72-MOTOR!$B$8)/MOTOR!$B$11,0))</f>
        <v/>
      </c>
      <c r="G72" s="117">
        <f>IF(C72="","",IF(E72&lt;AYARLAR!$C$11,"AŞIRI DÜŞÜK",IF(E72&lt;AYARLAR!$C$12,"SINIRDA","GÜVENLİ")))</f>
        <v/>
      </c>
      <c r="H72" s="118" t="n"/>
    </row>
    <row r="73" ht="15" customHeight="1" s="64">
      <c r="A73" s="112" t="n">
        <v>68</v>
      </c>
      <c r="B73" s="118" t="n"/>
      <c r="C73" s="118" t="n"/>
      <c r="D73" s="118" t="n"/>
      <c r="E73" s="115">
        <f>IF(C73="","",IFERROR(C73/MOTOR!$B$14,0))</f>
        <v/>
      </c>
      <c r="F73" s="116">
        <f>IF(C73="","",IFERROR((C73-MOTOR!$B$8)/MOTOR!$B$11,0))</f>
        <v/>
      </c>
      <c r="G73" s="117">
        <f>IF(C73="","",IF(E73&lt;AYARLAR!$C$11,"AŞIRI DÜŞÜK",IF(E73&lt;AYARLAR!$C$12,"SINIRDA","GÜVENLİ")))</f>
        <v/>
      </c>
      <c r="H73" s="118" t="n"/>
    </row>
    <row r="74" ht="15" customHeight="1" s="64">
      <c r="A74" s="112" t="n">
        <v>69</v>
      </c>
      <c r="B74" s="118" t="n"/>
      <c r="C74" s="118" t="n"/>
      <c r="D74" s="118" t="n"/>
      <c r="E74" s="115">
        <f>IF(C74="","",IFERROR(C74/MOTOR!$B$14,0))</f>
        <v/>
      </c>
      <c r="F74" s="116">
        <f>IF(C74="","",IFERROR((C74-MOTOR!$B$8)/MOTOR!$B$11,0))</f>
        <v/>
      </c>
      <c r="G74" s="117">
        <f>IF(C74="","",IF(E74&lt;AYARLAR!$C$11,"AŞIRI DÜŞÜK",IF(E74&lt;AYARLAR!$C$12,"SINIRDA","GÜVENLİ")))</f>
        <v/>
      </c>
      <c r="H74" s="118" t="n"/>
    </row>
    <row r="75" ht="15" customHeight="1" s="64">
      <c r="A75" s="112" t="n">
        <v>70</v>
      </c>
      <c r="B75" s="118" t="n"/>
      <c r="C75" s="118" t="n"/>
      <c r="D75" s="118" t="n"/>
      <c r="E75" s="115">
        <f>IF(C75="","",IFERROR(C75/MOTOR!$B$14,0))</f>
        <v/>
      </c>
      <c r="F75" s="116">
        <f>IF(C75="","",IFERROR((C75-MOTOR!$B$8)/MOTOR!$B$11,0))</f>
        <v/>
      </c>
      <c r="G75" s="117">
        <f>IF(C75="","",IF(E75&lt;AYARLAR!$C$11,"AŞIRI DÜŞÜK",IF(E75&lt;AYARLAR!$C$12,"SINIRDA","GÜVENLİ")))</f>
        <v/>
      </c>
      <c r="H75" s="118" t="n"/>
    </row>
    <row r="76" ht="15" customHeight="1" s="64">
      <c r="A76" s="112" t="n">
        <v>71</v>
      </c>
      <c r="B76" s="118" t="n"/>
      <c r="C76" s="118" t="n"/>
      <c r="D76" s="118" t="n"/>
      <c r="E76" s="115">
        <f>IF(C76="","",IFERROR(C76/MOTOR!$B$14,0))</f>
        <v/>
      </c>
      <c r="F76" s="116">
        <f>IF(C76="","",IFERROR((C76-MOTOR!$B$8)/MOTOR!$B$11,0))</f>
        <v/>
      </c>
      <c r="G76" s="117">
        <f>IF(C76="","",IF(E76&lt;AYARLAR!$C$11,"AŞIRI DÜŞÜK",IF(E76&lt;AYARLAR!$C$12,"SINIRDA","GÜVENLİ")))</f>
        <v/>
      </c>
      <c r="H76" s="118" t="n"/>
    </row>
    <row r="77" ht="15" customHeight="1" s="64">
      <c r="A77" s="112" t="n">
        <v>72</v>
      </c>
      <c r="B77" s="118" t="n"/>
      <c r="C77" s="118" t="n"/>
      <c r="D77" s="118" t="n"/>
      <c r="E77" s="115">
        <f>IF(C77="","",IFERROR(C77/MOTOR!$B$14,0))</f>
        <v/>
      </c>
      <c r="F77" s="116">
        <f>IF(C77="","",IFERROR((C77-MOTOR!$B$8)/MOTOR!$B$11,0))</f>
        <v/>
      </c>
      <c r="G77" s="117">
        <f>IF(C77="","",IF(E77&lt;AYARLAR!$C$11,"AŞIRI DÜŞÜK",IF(E77&lt;AYARLAR!$C$12,"SINIRDA","GÜVENLİ")))</f>
        <v/>
      </c>
      <c r="H77" s="118" t="n"/>
    </row>
    <row r="78" ht="15" customHeight="1" s="64">
      <c r="A78" s="112" t="n">
        <v>73</v>
      </c>
      <c r="B78" s="118" t="n"/>
      <c r="C78" s="118" t="n"/>
      <c r="D78" s="118" t="n"/>
      <c r="E78" s="115">
        <f>IF(C78="","",IFERROR(C78/MOTOR!$B$14,0))</f>
        <v/>
      </c>
      <c r="F78" s="116">
        <f>IF(C78="","",IFERROR((C78-MOTOR!$B$8)/MOTOR!$B$11,0))</f>
        <v/>
      </c>
      <c r="G78" s="117">
        <f>IF(C78="","",IF(E78&lt;AYARLAR!$C$11,"AŞIRI DÜŞÜK",IF(E78&lt;AYARLAR!$C$12,"SINIRDA","GÜVENLİ")))</f>
        <v/>
      </c>
      <c r="H78" s="118" t="n"/>
    </row>
    <row r="79" ht="15" customHeight="1" s="64">
      <c r="A79" s="112" t="n">
        <v>74</v>
      </c>
      <c r="B79" s="118" t="n"/>
      <c r="C79" s="118" t="n"/>
      <c r="D79" s="118" t="n"/>
      <c r="E79" s="115">
        <f>IF(C79="","",IFERROR(C79/MOTOR!$B$14,0))</f>
        <v/>
      </c>
      <c r="F79" s="116">
        <f>IF(C79="","",IFERROR((C79-MOTOR!$B$8)/MOTOR!$B$11,0))</f>
        <v/>
      </c>
      <c r="G79" s="117">
        <f>IF(C79="","",IF(E79&lt;AYARLAR!$C$11,"AŞIRI DÜŞÜK",IF(E79&lt;AYARLAR!$C$12,"SINIRDA","GÜVENLİ")))</f>
        <v/>
      </c>
      <c r="H79" s="118" t="n"/>
    </row>
    <row r="80" ht="15" customHeight="1" s="64">
      <c r="A80" s="112" t="n">
        <v>75</v>
      </c>
      <c r="B80" s="118" t="n"/>
      <c r="C80" s="118" t="n"/>
      <c r="D80" s="118" t="n"/>
      <c r="E80" s="115">
        <f>IF(C80="","",IFERROR(C80/MOTOR!$B$14,0))</f>
        <v/>
      </c>
      <c r="F80" s="116">
        <f>IF(C80="","",IFERROR((C80-MOTOR!$B$8)/MOTOR!$B$11,0))</f>
        <v/>
      </c>
      <c r="G80" s="117">
        <f>IF(C80="","",IF(E80&lt;AYARLAR!$C$11,"AŞIRI DÜŞÜK",IF(E80&lt;AYARLAR!$C$12,"SINIRDA","GÜVENLİ")))</f>
        <v/>
      </c>
      <c r="H80" s="118" t="n"/>
    </row>
    <row r="81" ht="15" customHeight="1" s="64">
      <c r="A81" s="112" t="n">
        <v>76</v>
      </c>
      <c r="B81" s="118" t="n"/>
      <c r="C81" s="118" t="n"/>
      <c r="D81" s="118" t="n"/>
      <c r="E81" s="115">
        <f>IF(C81="","",IFERROR(C81/MOTOR!$B$14,0))</f>
        <v/>
      </c>
      <c r="F81" s="116">
        <f>IF(C81="","",IFERROR((C81-MOTOR!$B$8)/MOTOR!$B$11,0))</f>
        <v/>
      </c>
      <c r="G81" s="117">
        <f>IF(C81="","",IF(E81&lt;AYARLAR!$C$11,"AŞIRI DÜŞÜK",IF(E81&lt;AYARLAR!$C$12,"SINIRDA","GÜVENLİ")))</f>
        <v/>
      </c>
      <c r="H81" s="118" t="n"/>
    </row>
    <row r="82" ht="15" customHeight="1" s="64">
      <c r="A82" s="112" t="n">
        <v>77</v>
      </c>
      <c r="B82" s="118" t="n"/>
      <c r="C82" s="118" t="n"/>
      <c r="D82" s="118" t="n"/>
      <c r="E82" s="115">
        <f>IF(C82="","",IFERROR(C82/MOTOR!$B$14,0))</f>
        <v/>
      </c>
      <c r="F82" s="116">
        <f>IF(C82="","",IFERROR((C82-MOTOR!$B$8)/MOTOR!$B$11,0))</f>
        <v/>
      </c>
      <c r="G82" s="117">
        <f>IF(C82="","",IF(E82&lt;AYARLAR!$C$11,"AŞIRI DÜŞÜK",IF(E82&lt;AYARLAR!$C$12,"SINIRDA","GÜVENLİ")))</f>
        <v/>
      </c>
      <c r="H82" s="118" t="n"/>
    </row>
    <row r="83" ht="15" customHeight="1" s="64">
      <c r="A83" s="112" t="n">
        <v>78</v>
      </c>
      <c r="B83" s="118" t="n"/>
      <c r="C83" s="118" t="n"/>
      <c r="D83" s="118" t="n"/>
      <c r="E83" s="115">
        <f>IF(C83="","",IFERROR(C83/MOTOR!$B$14,0))</f>
        <v/>
      </c>
      <c r="F83" s="116">
        <f>IF(C83="","",IFERROR((C83-MOTOR!$B$8)/MOTOR!$B$11,0))</f>
        <v/>
      </c>
      <c r="G83" s="117">
        <f>IF(C83="","",IF(E83&lt;AYARLAR!$C$11,"AŞIRI DÜŞÜK",IF(E83&lt;AYARLAR!$C$12,"SINIRDA","GÜVENLİ")))</f>
        <v/>
      </c>
      <c r="H83" s="118" t="n"/>
    </row>
    <row r="84" ht="15" customHeight="1" s="64">
      <c r="A84" s="112" t="n">
        <v>79</v>
      </c>
      <c r="B84" s="118" t="n"/>
      <c r="C84" s="118" t="n"/>
      <c r="D84" s="118" t="n"/>
      <c r="E84" s="115">
        <f>IF(C84="","",IFERROR(C84/MOTOR!$B$14,0))</f>
        <v/>
      </c>
      <c r="F84" s="116">
        <f>IF(C84="","",IFERROR((C84-MOTOR!$B$8)/MOTOR!$B$11,0))</f>
        <v/>
      </c>
      <c r="G84" s="117">
        <f>IF(C84="","",IF(E84&lt;AYARLAR!$C$11,"AŞIRI DÜŞÜK",IF(E84&lt;AYARLAR!$C$12,"SINIRDA","GÜVENLİ")))</f>
        <v/>
      </c>
      <c r="H84" s="118" t="n"/>
    </row>
    <row r="85" ht="15" customHeight="1" s="64">
      <c r="A85" s="112" t="n">
        <v>80</v>
      </c>
      <c r="B85" s="118" t="n"/>
      <c r="C85" s="118" t="n"/>
      <c r="D85" s="118" t="n"/>
      <c r="E85" s="115">
        <f>IF(C85="","",IFERROR(C85/MOTOR!$B$14,0))</f>
        <v/>
      </c>
      <c r="F85" s="116">
        <f>IF(C85="","",IFERROR((C85-MOTOR!$B$8)/MOTOR!$B$11,0))</f>
        <v/>
      </c>
      <c r="G85" s="117">
        <f>IF(C85="","",IF(E85&lt;AYARLAR!$C$11,"AŞIRI DÜŞÜK",IF(E85&lt;AYARLAR!$C$12,"SINIRDA","GÜVENLİ")))</f>
        <v/>
      </c>
      <c r="H85" s="118" t="n"/>
    </row>
    <row r="86" ht="15" customHeight="1" s="64">
      <c r="A86" s="112" t="n">
        <v>81</v>
      </c>
      <c r="B86" s="118" t="n"/>
      <c r="C86" s="118" t="n"/>
      <c r="D86" s="118" t="n"/>
      <c r="E86" s="115">
        <f>IF(C86="","",IFERROR(C86/MOTOR!$B$14,0))</f>
        <v/>
      </c>
      <c r="F86" s="116">
        <f>IF(C86="","",IFERROR((C86-MOTOR!$B$8)/MOTOR!$B$11,0))</f>
        <v/>
      </c>
      <c r="G86" s="117">
        <f>IF(C86="","",IF(E86&lt;AYARLAR!$C$11,"AŞIRI DÜŞÜK",IF(E86&lt;AYARLAR!$C$12,"SINIRDA","GÜVENLİ")))</f>
        <v/>
      </c>
      <c r="H86" s="118" t="n"/>
    </row>
    <row r="87" ht="15" customHeight="1" s="64">
      <c r="A87" s="112" t="n">
        <v>82</v>
      </c>
      <c r="B87" s="118" t="n"/>
      <c r="C87" s="118" t="n"/>
      <c r="D87" s="118" t="n"/>
      <c r="E87" s="115">
        <f>IF(C87="","",IFERROR(C87/MOTOR!$B$14,0))</f>
        <v/>
      </c>
      <c r="F87" s="116">
        <f>IF(C87="","",IFERROR((C87-MOTOR!$B$8)/MOTOR!$B$11,0))</f>
        <v/>
      </c>
      <c r="G87" s="117">
        <f>IF(C87="","",IF(E87&lt;AYARLAR!$C$11,"AŞIRI DÜŞÜK",IF(E87&lt;AYARLAR!$C$12,"SINIRDA","GÜVENLİ")))</f>
        <v/>
      </c>
      <c r="H87" s="118" t="n"/>
    </row>
    <row r="88" ht="15" customHeight="1" s="64">
      <c r="A88" s="112" t="n">
        <v>83</v>
      </c>
      <c r="B88" s="118" t="n"/>
      <c r="C88" s="118" t="n"/>
      <c r="D88" s="118" t="n"/>
      <c r="E88" s="115">
        <f>IF(C88="","",IFERROR(C88/MOTOR!$B$14,0))</f>
        <v/>
      </c>
      <c r="F88" s="116">
        <f>IF(C88="","",IFERROR((C88-MOTOR!$B$8)/MOTOR!$B$11,0))</f>
        <v/>
      </c>
      <c r="G88" s="117">
        <f>IF(C88="","",IF(E88&lt;AYARLAR!$C$11,"AŞIRI DÜŞÜK",IF(E88&lt;AYARLAR!$C$12,"SINIRDA","GÜVENLİ")))</f>
        <v/>
      </c>
      <c r="H88" s="118" t="n"/>
    </row>
    <row r="89" ht="15" customHeight="1" s="64">
      <c r="A89" s="112" t="n">
        <v>84</v>
      </c>
      <c r="B89" s="118" t="n"/>
      <c r="C89" s="118" t="n"/>
      <c r="D89" s="118" t="n"/>
      <c r="E89" s="115">
        <f>IF(C89="","",IFERROR(C89/MOTOR!$B$14,0))</f>
        <v/>
      </c>
      <c r="F89" s="116">
        <f>IF(C89="","",IFERROR((C89-MOTOR!$B$8)/MOTOR!$B$11,0))</f>
        <v/>
      </c>
      <c r="G89" s="117">
        <f>IF(C89="","",IF(E89&lt;AYARLAR!$C$11,"AŞIRI DÜŞÜK",IF(E89&lt;AYARLAR!$C$12,"SINIRDA","GÜVENLİ")))</f>
        <v/>
      </c>
      <c r="H89" s="118" t="n"/>
    </row>
    <row r="90" ht="15" customHeight="1" s="64">
      <c r="A90" s="112" t="n">
        <v>85</v>
      </c>
      <c r="B90" s="118" t="n"/>
      <c r="C90" s="118" t="n"/>
      <c r="D90" s="118" t="n"/>
      <c r="E90" s="115">
        <f>IF(C90="","",IFERROR(C90/MOTOR!$B$14,0))</f>
        <v/>
      </c>
      <c r="F90" s="116">
        <f>IF(C90="","",IFERROR((C90-MOTOR!$B$8)/MOTOR!$B$11,0))</f>
        <v/>
      </c>
      <c r="G90" s="117">
        <f>IF(C90="","",IF(E90&lt;AYARLAR!$C$11,"AŞIRI DÜŞÜK",IF(E90&lt;AYARLAR!$C$12,"SINIRDA","GÜVENLİ")))</f>
        <v/>
      </c>
      <c r="H90" s="118" t="n"/>
    </row>
    <row r="91" ht="15" customHeight="1" s="64">
      <c r="A91" s="112" t="n">
        <v>86</v>
      </c>
      <c r="B91" s="118" t="n"/>
      <c r="C91" s="118" t="n"/>
      <c r="D91" s="118" t="n"/>
      <c r="E91" s="115">
        <f>IF(C91="","",IFERROR(C91/MOTOR!$B$14,0))</f>
        <v/>
      </c>
      <c r="F91" s="116">
        <f>IF(C91="","",IFERROR((C91-MOTOR!$B$8)/MOTOR!$B$11,0))</f>
        <v/>
      </c>
      <c r="G91" s="117">
        <f>IF(C91="","",IF(E91&lt;AYARLAR!$C$11,"AŞIRI DÜŞÜK",IF(E91&lt;AYARLAR!$C$12,"SINIRDA","GÜVENLİ")))</f>
        <v/>
      </c>
      <c r="H91" s="118" t="n"/>
    </row>
    <row r="92" ht="15" customHeight="1" s="64">
      <c r="A92" s="112" t="n">
        <v>87</v>
      </c>
      <c r="B92" s="118" t="n"/>
      <c r="C92" s="118" t="n"/>
      <c r="D92" s="118" t="n"/>
      <c r="E92" s="115">
        <f>IF(C92="","",IFERROR(C92/MOTOR!$B$14,0))</f>
        <v/>
      </c>
      <c r="F92" s="116">
        <f>IF(C92="","",IFERROR((C92-MOTOR!$B$8)/MOTOR!$B$11,0))</f>
        <v/>
      </c>
      <c r="G92" s="117">
        <f>IF(C92="","",IF(E92&lt;AYARLAR!$C$11,"AŞIRI DÜŞÜK",IF(E92&lt;AYARLAR!$C$12,"SINIRDA","GÜVENLİ")))</f>
        <v/>
      </c>
      <c r="H92" s="118" t="n"/>
    </row>
    <row r="93" ht="15" customHeight="1" s="64">
      <c r="A93" s="112" t="n">
        <v>88</v>
      </c>
      <c r="B93" s="118" t="n"/>
      <c r="C93" s="118" t="n"/>
      <c r="D93" s="118" t="n"/>
      <c r="E93" s="115">
        <f>IF(C93="","",IFERROR(C93/MOTOR!$B$14,0))</f>
        <v/>
      </c>
      <c r="F93" s="116">
        <f>IF(C93="","",IFERROR((C93-MOTOR!$B$8)/MOTOR!$B$11,0))</f>
        <v/>
      </c>
      <c r="G93" s="117">
        <f>IF(C93="","",IF(E93&lt;AYARLAR!$C$11,"AŞIRI DÜŞÜK",IF(E93&lt;AYARLAR!$C$12,"SINIRDA","GÜVENLİ")))</f>
        <v/>
      </c>
      <c r="H93" s="118" t="n"/>
    </row>
    <row r="94" ht="15" customHeight="1" s="64">
      <c r="A94" s="112" t="n">
        <v>89</v>
      </c>
      <c r="B94" s="118" t="n"/>
      <c r="C94" s="118" t="n"/>
      <c r="D94" s="118" t="n"/>
      <c r="E94" s="115">
        <f>IF(C94="","",IFERROR(C94/MOTOR!$B$14,0))</f>
        <v/>
      </c>
      <c r="F94" s="116">
        <f>IF(C94="","",IFERROR((C94-MOTOR!$B$8)/MOTOR!$B$11,0))</f>
        <v/>
      </c>
      <c r="G94" s="117">
        <f>IF(C94="","",IF(E94&lt;AYARLAR!$C$11,"AŞIRI DÜŞÜK",IF(E94&lt;AYARLAR!$C$12,"SINIRDA","GÜVENLİ")))</f>
        <v/>
      </c>
      <c r="H94" s="118" t="n"/>
    </row>
    <row r="95" ht="15" customHeight="1" s="64">
      <c r="A95" s="112" t="n">
        <v>90</v>
      </c>
      <c r="B95" s="118" t="n"/>
      <c r="C95" s="118" t="n"/>
      <c r="D95" s="118" t="n"/>
      <c r="E95" s="115">
        <f>IF(C95="","",IFERROR(C95/MOTOR!$B$14,0))</f>
        <v/>
      </c>
      <c r="F95" s="116">
        <f>IF(C95="","",IFERROR((C95-MOTOR!$B$8)/MOTOR!$B$11,0))</f>
        <v/>
      </c>
      <c r="G95" s="117">
        <f>IF(C95="","",IF(E95&lt;AYARLAR!$C$11,"AŞIRI DÜŞÜK",IF(E95&lt;AYARLAR!$C$12,"SINIRDA","GÜVENLİ")))</f>
        <v/>
      </c>
      <c r="H95" s="118" t="n"/>
    </row>
    <row r="96" ht="15" customHeight="1" s="64">
      <c r="A96" s="112" t="n">
        <v>91</v>
      </c>
      <c r="B96" s="118" t="n"/>
      <c r="C96" s="118" t="n"/>
      <c r="D96" s="118" t="n"/>
      <c r="E96" s="115">
        <f>IF(C96="","",IFERROR(C96/MOTOR!$B$14,0))</f>
        <v/>
      </c>
      <c r="F96" s="116">
        <f>IF(C96="","",IFERROR((C96-MOTOR!$B$8)/MOTOR!$B$11,0))</f>
        <v/>
      </c>
      <c r="G96" s="117">
        <f>IF(C96="","",IF(E96&lt;AYARLAR!$C$11,"AŞIRI DÜŞÜK",IF(E96&lt;AYARLAR!$C$12,"SINIRDA","GÜVENLİ")))</f>
        <v/>
      </c>
      <c r="H96" s="118" t="n"/>
    </row>
    <row r="97" ht="15" customHeight="1" s="64">
      <c r="A97" s="112" t="n">
        <v>92</v>
      </c>
      <c r="B97" s="118" t="n"/>
      <c r="C97" s="118" t="n"/>
      <c r="D97" s="118" t="n"/>
      <c r="E97" s="115">
        <f>IF(C97="","",IFERROR(C97/MOTOR!$B$14,0))</f>
        <v/>
      </c>
      <c r="F97" s="116">
        <f>IF(C97="","",IFERROR((C97-MOTOR!$B$8)/MOTOR!$B$11,0))</f>
        <v/>
      </c>
      <c r="G97" s="117">
        <f>IF(C97="","",IF(E97&lt;AYARLAR!$C$11,"AŞIRI DÜŞÜK",IF(E97&lt;AYARLAR!$C$12,"SINIRDA","GÜVENLİ")))</f>
        <v/>
      </c>
      <c r="H97" s="118" t="n"/>
    </row>
    <row r="98" ht="15" customHeight="1" s="64">
      <c r="A98" s="112" t="n">
        <v>93</v>
      </c>
      <c r="B98" s="118" t="n"/>
      <c r="C98" s="118" t="n"/>
      <c r="D98" s="118" t="n"/>
      <c r="E98" s="115">
        <f>IF(C98="","",IFERROR(C98/MOTOR!$B$14,0))</f>
        <v/>
      </c>
      <c r="F98" s="116">
        <f>IF(C98="","",IFERROR((C98-MOTOR!$B$8)/MOTOR!$B$11,0))</f>
        <v/>
      </c>
      <c r="G98" s="117">
        <f>IF(C98="","",IF(E98&lt;AYARLAR!$C$11,"AŞIRI DÜŞÜK",IF(E98&lt;AYARLAR!$C$12,"SINIRDA","GÜVENLİ")))</f>
        <v/>
      </c>
      <c r="H98" s="118" t="n"/>
    </row>
    <row r="99" ht="15" customHeight="1" s="64">
      <c r="A99" s="112" t="n">
        <v>94</v>
      </c>
      <c r="B99" s="118" t="n"/>
      <c r="C99" s="118" t="n"/>
      <c r="D99" s="118" t="n"/>
      <c r="E99" s="115">
        <f>IF(C99="","",IFERROR(C99/MOTOR!$B$14,0))</f>
        <v/>
      </c>
      <c r="F99" s="116">
        <f>IF(C99="","",IFERROR((C99-MOTOR!$B$8)/MOTOR!$B$11,0))</f>
        <v/>
      </c>
      <c r="G99" s="117">
        <f>IF(C99="","",IF(E99&lt;AYARLAR!$C$11,"AŞIRI DÜŞÜK",IF(E99&lt;AYARLAR!$C$12,"SINIRDA","GÜVENLİ")))</f>
        <v/>
      </c>
      <c r="H99" s="118" t="n"/>
    </row>
    <row r="100" ht="15" customHeight="1" s="64">
      <c r="A100" s="112" t="n">
        <v>95</v>
      </c>
      <c r="B100" s="118" t="n"/>
      <c r="C100" s="118" t="n"/>
      <c r="D100" s="118" t="n"/>
      <c r="E100" s="115">
        <f>IF(C100="","",IFERROR(C100/MOTOR!$B$14,0))</f>
        <v/>
      </c>
      <c r="F100" s="116">
        <f>IF(C100="","",IFERROR((C100-MOTOR!$B$8)/MOTOR!$B$11,0))</f>
        <v/>
      </c>
      <c r="G100" s="117">
        <f>IF(C100="","",IF(E100&lt;AYARLAR!$C$11,"AŞIRI DÜŞÜK",IF(E100&lt;AYARLAR!$C$12,"SINIRDA","GÜVENLİ")))</f>
        <v/>
      </c>
      <c r="H100" s="118" t="n"/>
    </row>
    <row r="101" ht="15" customHeight="1" s="64">
      <c r="A101" s="112" t="n">
        <v>96</v>
      </c>
      <c r="B101" s="118" t="n"/>
      <c r="C101" s="118" t="n"/>
      <c r="D101" s="118" t="n"/>
      <c r="E101" s="115">
        <f>IF(C101="","",IFERROR(C101/MOTOR!$B$14,0))</f>
        <v/>
      </c>
      <c r="F101" s="116">
        <f>IF(C101="","",IFERROR((C101-MOTOR!$B$8)/MOTOR!$B$11,0))</f>
        <v/>
      </c>
      <c r="G101" s="117">
        <f>IF(C101="","",IF(E101&lt;AYARLAR!$C$11,"AŞIRI DÜŞÜK",IF(E101&lt;AYARLAR!$C$12,"SINIRDA","GÜVENLİ")))</f>
        <v/>
      </c>
      <c r="H101" s="118" t="n"/>
    </row>
    <row r="102" ht="15" customHeight="1" s="64">
      <c r="A102" s="112" t="n">
        <v>97</v>
      </c>
      <c r="B102" s="118" t="n"/>
      <c r="C102" s="118" t="n"/>
      <c r="D102" s="118" t="n"/>
      <c r="E102" s="115">
        <f>IF(C102="","",IFERROR(C102/MOTOR!$B$14,0))</f>
        <v/>
      </c>
      <c r="F102" s="116">
        <f>IF(C102="","",IFERROR((C102-MOTOR!$B$8)/MOTOR!$B$11,0))</f>
        <v/>
      </c>
      <c r="G102" s="117">
        <f>IF(C102="","",IF(E102&lt;AYARLAR!$C$11,"AŞIRI DÜŞÜK",IF(E102&lt;AYARLAR!$C$12,"SINIRDA","GÜVENLİ")))</f>
        <v/>
      </c>
      <c r="H102" s="118" t="n"/>
    </row>
    <row r="103" ht="15" customHeight="1" s="64">
      <c r="A103" s="112" t="n">
        <v>98</v>
      </c>
      <c r="B103" s="118" t="n"/>
      <c r="C103" s="118" t="n"/>
      <c r="D103" s="118" t="n"/>
      <c r="E103" s="115">
        <f>IF(C103="","",IFERROR(C103/MOTOR!$B$14,0))</f>
        <v/>
      </c>
      <c r="F103" s="116">
        <f>IF(C103="","",IFERROR((C103-MOTOR!$B$8)/MOTOR!$B$11,0))</f>
        <v/>
      </c>
      <c r="G103" s="117">
        <f>IF(C103="","",IF(E103&lt;AYARLAR!$C$11,"AŞIRI DÜŞÜK",IF(E103&lt;AYARLAR!$C$12,"SINIRDA","GÜVENLİ")))</f>
        <v/>
      </c>
      <c r="H103" s="118" t="n"/>
    </row>
    <row r="104" ht="15" customHeight="1" s="64">
      <c r="A104" s="112" t="n">
        <v>99</v>
      </c>
      <c r="B104" s="118" t="n"/>
      <c r="C104" s="118" t="n"/>
      <c r="D104" s="118" t="n"/>
      <c r="E104" s="115">
        <f>IF(C104="","",IFERROR(C104/MOTOR!$B$14,0))</f>
        <v/>
      </c>
      <c r="F104" s="116">
        <f>IF(C104="","",IFERROR((C104-MOTOR!$B$8)/MOTOR!$B$11,0))</f>
        <v/>
      </c>
      <c r="G104" s="117">
        <f>IF(C104="","",IF(E104&lt;AYARLAR!$C$11,"AŞIRI DÜŞÜK",IF(E104&lt;AYARLAR!$C$12,"SINIRDA","GÜVENLİ")))</f>
        <v/>
      </c>
      <c r="H104" s="118" t="n"/>
    </row>
    <row r="105" ht="15" customHeight="1" s="64">
      <c r="A105" s="112" t="n">
        <v>100</v>
      </c>
      <c r="B105" s="118" t="n"/>
      <c r="C105" s="118" t="n"/>
      <c r="D105" s="118" t="n"/>
      <c r="E105" s="115">
        <f>IF(C105="","",IFERROR(C105/MOTOR!$B$14,0))</f>
        <v/>
      </c>
      <c r="F105" s="116">
        <f>IF(C105="","",IFERROR((C105-MOTOR!$B$8)/MOTOR!$B$11,0))</f>
        <v/>
      </c>
      <c r="G105" s="117">
        <f>IF(C105="","",IF(E105&lt;AYARLAR!$C$11,"AŞIRI DÜŞÜK",IF(E105&lt;AYARLAR!$C$12,"SINIRDA","GÜVENLİ")))</f>
        <v/>
      </c>
      <c r="H105" s="118" t="n"/>
    </row>
    <row r="106" ht="15" customHeight="1" s="64">
      <c r="A106" s="112" t="n">
        <v>101</v>
      </c>
      <c r="B106" s="118" t="n"/>
      <c r="C106" s="118" t="n"/>
      <c r="D106" s="118" t="n"/>
      <c r="E106" s="115">
        <f>IF(C106="","",IFERROR(C106/MOTOR!$B$14,0))</f>
        <v/>
      </c>
      <c r="F106" s="116">
        <f>IF(C106="","",IFERROR((C106-MOTOR!$B$8)/MOTOR!$B$11,0))</f>
        <v/>
      </c>
      <c r="G106" s="117">
        <f>IF(C106="","",IF(E106&lt;AYARLAR!$C$11,"AŞIRI DÜŞÜK",IF(E106&lt;AYARLAR!$C$12,"SINIRDA","GÜVENLİ")))</f>
        <v/>
      </c>
      <c r="H106" s="118" t="n"/>
    </row>
    <row r="107" ht="15" customHeight="1" s="64">
      <c r="A107" s="112" t="n">
        <v>102</v>
      </c>
      <c r="B107" s="118" t="n"/>
      <c r="C107" s="118" t="n"/>
      <c r="D107" s="118" t="n"/>
      <c r="E107" s="115">
        <f>IF(C107="","",IFERROR(C107/MOTOR!$B$14,0))</f>
        <v/>
      </c>
      <c r="F107" s="116">
        <f>IF(C107="","",IFERROR((C107-MOTOR!$B$8)/MOTOR!$B$11,0))</f>
        <v/>
      </c>
      <c r="G107" s="117">
        <f>IF(C107="","",IF(E107&lt;AYARLAR!$C$11,"AŞIRI DÜŞÜK",IF(E107&lt;AYARLAR!$C$12,"SINIRDA","GÜVENLİ")))</f>
        <v/>
      </c>
      <c r="H107" s="118" t="n"/>
    </row>
    <row r="108" ht="15" customHeight="1" s="64">
      <c r="A108" s="112" t="n">
        <v>103</v>
      </c>
      <c r="B108" s="118" t="n"/>
      <c r="C108" s="118" t="n"/>
      <c r="D108" s="118" t="n"/>
      <c r="E108" s="115">
        <f>IF(C108="","",IFERROR(C108/MOTOR!$B$14,0))</f>
        <v/>
      </c>
      <c r="F108" s="116">
        <f>IF(C108="","",IFERROR((C108-MOTOR!$B$8)/MOTOR!$B$11,0))</f>
        <v/>
      </c>
      <c r="G108" s="117">
        <f>IF(C108="","",IF(E108&lt;AYARLAR!$C$11,"AŞIRI DÜŞÜK",IF(E108&lt;AYARLAR!$C$12,"SINIRDA","GÜVENLİ")))</f>
        <v/>
      </c>
      <c r="H108" s="118" t="n"/>
    </row>
    <row r="109" ht="15" customHeight="1" s="64">
      <c r="A109" s="112" t="n">
        <v>104</v>
      </c>
      <c r="B109" s="118" t="n"/>
      <c r="C109" s="118" t="n"/>
      <c r="D109" s="118" t="n"/>
      <c r="E109" s="115">
        <f>IF(C109="","",IFERROR(C109/MOTOR!$B$14,0))</f>
        <v/>
      </c>
      <c r="F109" s="116">
        <f>IF(C109="","",IFERROR((C109-MOTOR!$B$8)/MOTOR!$B$11,0))</f>
        <v/>
      </c>
      <c r="G109" s="117">
        <f>IF(C109="","",IF(E109&lt;AYARLAR!$C$11,"AŞIRI DÜŞÜK",IF(E109&lt;AYARLAR!$C$12,"SINIRDA","GÜVENLİ")))</f>
        <v/>
      </c>
      <c r="H109" s="118" t="n"/>
    </row>
    <row r="110" ht="15" customHeight="1" s="64">
      <c r="A110" s="112" t="n">
        <v>105</v>
      </c>
      <c r="B110" s="118" t="n"/>
      <c r="C110" s="118" t="n"/>
      <c r="D110" s="118" t="n"/>
      <c r="E110" s="115">
        <f>IF(C110="","",IFERROR(C110/MOTOR!$B$14,0))</f>
        <v/>
      </c>
      <c r="F110" s="116">
        <f>IF(C110="","",IFERROR((C110-MOTOR!$B$8)/MOTOR!$B$11,0))</f>
        <v/>
      </c>
      <c r="G110" s="117">
        <f>IF(C110="","",IF(E110&lt;AYARLAR!$C$11,"AŞIRI DÜŞÜK",IF(E110&lt;AYARLAR!$C$12,"SINIRDA","GÜVENLİ")))</f>
        <v/>
      </c>
      <c r="H110" s="118" t="n"/>
    </row>
    <row r="111" ht="15" customHeight="1" s="64">
      <c r="A111" s="112" t="n">
        <v>106</v>
      </c>
      <c r="B111" s="118" t="n"/>
      <c r="C111" s="118" t="n"/>
      <c r="D111" s="118" t="n"/>
      <c r="E111" s="115">
        <f>IF(C111="","",IFERROR(C111/MOTOR!$B$14,0))</f>
        <v/>
      </c>
      <c r="F111" s="116">
        <f>IF(C111="","",IFERROR((C111-MOTOR!$B$8)/MOTOR!$B$11,0))</f>
        <v/>
      </c>
      <c r="G111" s="117">
        <f>IF(C111="","",IF(E111&lt;AYARLAR!$C$11,"AŞIRI DÜŞÜK",IF(E111&lt;AYARLAR!$C$12,"SINIRDA","GÜVENLİ")))</f>
        <v/>
      </c>
      <c r="H111" s="118" t="n"/>
    </row>
    <row r="112" ht="15" customHeight="1" s="64">
      <c r="A112" s="112" t="n">
        <v>107</v>
      </c>
      <c r="B112" s="118" t="n"/>
      <c r="C112" s="118" t="n"/>
      <c r="D112" s="118" t="n"/>
      <c r="E112" s="115">
        <f>IF(C112="","",IFERROR(C112/MOTOR!$B$14,0))</f>
        <v/>
      </c>
      <c r="F112" s="116">
        <f>IF(C112="","",IFERROR((C112-MOTOR!$B$8)/MOTOR!$B$11,0))</f>
        <v/>
      </c>
      <c r="G112" s="117">
        <f>IF(C112="","",IF(E112&lt;AYARLAR!$C$11,"AŞIRI DÜŞÜK",IF(E112&lt;AYARLAR!$C$12,"SINIRDA","GÜVENLİ")))</f>
        <v/>
      </c>
      <c r="H112" s="118" t="n"/>
    </row>
    <row r="113" ht="15" customHeight="1" s="64">
      <c r="A113" s="112" t="n">
        <v>108</v>
      </c>
      <c r="B113" s="118" t="n"/>
      <c r="C113" s="118" t="n"/>
      <c r="D113" s="118" t="n"/>
      <c r="E113" s="115">
        <f>IF(C113="","",IFERROR(C113/MOTOR!$B$14,0))</f>
        <v/>
      </c>
      <c r="F113" s="116">
        <f>IF(C113="","",IFERROR((C113-MOTOR!$B$8)/MOTOR!$B$11,0))</f>
        <v/>
      </c>
      <c r="G113" s="117">
        <f>IF(C113="","",IF(E113&lt;AYARLAR!$C$11,"AŞIRI DÜŞÜK",IF(E113&lt;AYARLAR!$C$12,"SINIRDA","GÜVENLİ")))</f>
        <v/>
      </c>
      <c r="H113" s="118" t="n"/>
    </row>
    <row r="114" ht="15" customHeight="1" s="64">
      <c r="A114" s="112" t="n">
        <v>109</v>
      </c>
      <c r="B114" s="118" t="n"/>
      <c r="C114" s="118" t="n"/>
      <c r="D114" s="118" t="n"/>
      <c r="E114" s="115">
        <f>IF(C114="","",IFERROR(C114/MOTOR!$B$14,0))</f>
        <v/>
      </c>
      <c r="F114" s="116">
        <f>IF(C114="","",IFERROR((C114-MOTOR!$B$8)/MOTOR!$B$11,0))</f>
        <v/>
      </c>
      <c r="G114" s="117">
        <f>IF(C114="","",IF(E114&lt;AYARLAR!$C$11,"AŞIRI DÜŞÜK",IF(E114&lt;AYARLAR!$C$12,"SINIRDA","GÜVENLİ")))</f>
        <v/>
      </c>
      <c r="H114" s="118" t="n"/>
    </row>
    <row r="115" ht="15" customHeight="1" s="64">
      <c r="A115" s="112" t="n">
        <v>110</v>
      </c>
      <c r="B115" s="118" t="n"/>
      <c r="C115" s="118" t="n"/>
      <c r="D115" s="118" t="n"/>
      <c r="E115" s="115">
        <f>IF(C115="","",IFERROR(C115/MOTOR!$B$14,0))</f>
        <v/>
      </c>
      <c r="F115" s="116">
        <f>IF(C115="","",IFERROR((C115-MOTOR!$B$8)/MOTOR!$B$11,0))</f>
        <v/>
      </c>
      <c r="G115" s="117">
        <f>IF(C115="","",IF(E115&lt;AYARLAR!$C$11,"AŞIRI DÜŞÜK",IF(E115&lt;AYARLAR!$C$12,"SINIRDA","GÜVENLİ")))</f>
        <v/>
      </c>
      <c r="H115" s="118" t="n"/>
    </row>
    <row r="116" ht="15" customHeight="1" s="64">
      <c r="A116" s="112" t="n">
        <v>111</v>
      </c>
      <c r="B116" s="118" t="n"/>
      <c r="C116" s="118" t="n"/>
      <c r="D116" s="118" t="n"/>
      <c r="E116" s="115">
        <f>IF(C116="","",IFERROR(C116/MOTOR!$B$14,0))</f>
        <v/>
      </c>
      <c r="F116" s="116">
        <f>IF(C116="","",IFERROR((C116-MOTOR!$B$8)/MOTOR!$B$11,0))</f>
        <v/>
      </c>
      <c r="G116" s="117">
        <f>IF(C116="","",IF(E116&lt;AYARLAR!$C$11,"AŞIRI DÜŞÜK",IF(E116&lt;AYARLAR!$C$12,"SINIRDA","GÜVENLİ")))</f>
        <v/>
      </c>
      <c r="H116" s="118" t="n"/>
    </row>
    <row r="117" ht="15" customHeight="1" s="64">
      <c r="A117" s="112" t="n">
        <v>112</v>
      </c>
      <c r="B117" s="118" t="n"/>
      <c r="C117" s="118" t="n"/>
      <c r="D117" s="118" t="n"/>
      <c r="E117" s="115">
        <f>IF(C117="","",IFERROR(C117/MOTOR!$B$14,0))</f>
        <v/>
      </c>
      <c r="F117" s="116">
        <f>IF(C117="","",IFERROR((C117-MOTOR!$B$8)/MOTOR!$B$11,0))</f>
        <v/>
      </c>
      <c r="G117" s="117">
        <f>IF(C117="","",IF(E117&lt;AYARLAR!$C$11,"AŞIRI DÜŞÜK",IF(E117&lt;AYARLAR!$C$12,"SINIRDA","GÜVENLİ")))</f>
        <v/>
      </c>
      <c r="H117" s="118" t="n"/>
    </row>
    <row r="118" ht="15" customHeight="1" s="64">
      <c r="A118" s="112" t="n">
        <v>113</v>
      </c>
      <c r="B118" s="118" t="n"/>
      <c r="C118" s="118" t="n"/>
      <c r="D118" s="118" t="n"/>
      <c r="E118" s="115">
        <f>IF(C118="","",IFERROR(C118/MOTOR!$B$14,0))</f>
        <v/>
      </c>
      <c r="F118" s="116">
        <f>IF(C118="","",IFERROR((C118-MOTOR!$B$8)/MOTOR!$B$11,0))</f>
        <v/>
      </c>
      <c r="G118" s="117">
        <f>IF(C118="","",IF(E118&lt;AYARLAR!$C$11,"AŞIRI DÜŞÜK",IF(E118&lt;AYARLAR!$C$12,"SINIRDA","GÜVENLİ")))</f>
        <v/>
      </c>
      <c r="H118" s="118" t="n"/>
    </row>
    <row r="119" ht="15" customHeight="1" s="64">
      <c r="A119" s="112" t="n">
        <v>114</v>
      </c>
      <c r="B119" s="118" t="n"/>
      <c r="C119" s="118" t="n"/>
      <c r="D119" s="118" t="n"/>
      <c r="E119" s="115">
        <f>IF(C119="","",IFERROR(C119/MOTOR!$B$14,0))</f>
        <v/>
      </c>
      <c r="F119" s="116">
        <f>IF(C119="","",IFERROR((C119-MOTOR!$B$8)/MOTOR!$B$11,0))</f>
        <v/>
      </c>
      <c r="G119" s="117">
        <f>IF(C119="","",IF(E119&lt;AYARLAR!$C$11,"AŞIRI DÜŞÜK",IF(E119&lt;AYARLAR!$C$12,"SINIRDA","GÜVENLİ")))</f>
        <v/>
      </c>
      <c r="H119" s="118" t="n"/>
    </row>
    <row r="120" ht="15" customHeight="1" s="64">
      <c r="A120" s="112" t="n">
        <v>115</v>
      </c>
      <c r="B120" s="118" t="n"/>
      <c r="C120" s="118" t="n"/>
      <c r="D120" s="118" t="n"/>
      <c r="E120" s="115">
        <f>IF(C120="","",IFERROR(C120/MOTOR!$B$14,0))</f>
        <v/>
      </c>
      <c r="F120" s="116">
        <f>IF(C120="","",IFERROR((C120-MOTOR!$B$8)/MOTOR!$B$11,0))</f>
        <v/>
      </c>
      <c r="G120" s="117">
        <f>IF(C120="","",IF(E120&lt;AYARLAR!$C$11,"AŞIRI DÜŞÜK",IF(E120&lt;AYARLAR!$C$12,"SINIRDA","GÜVENLİ")))</f>
        <v/>
      </c>
      <c r="H120" s="118" t="n"/>
    </row>
    <row r="121" ht="15" customHeight="1" s="64">
      <c r="A121" s="112" t="n">
        <v>116</v>
      </c>
      <c r="B121" s="118" t="n"/>
      <c r="C121" s="118" t="n"/>
      <c r="D121" s="118" t="n"/>
      <c r="E121" s="115">
        <f>IF(C121="","",IFERROR(C121/MOTOR!$B$14,0))</f>
        <v/>
      </c>
      <c r="F121" s="116">
        <f>IF(C121="","",IFERROR((C121-MOTOR!$B$8)/MOTOR!$B$11,0))</f>
        <v/>
      </c>
      <c r="G121" s="117">
        <f>IF(C121="","",IF(E121&lt;AYARLAR!$C$11,"AŞIRI DÜŞÜK",IF(E121&lt;AYARLAR!$C$12,"SINIRDA","GÜVENLİ")))</f>
        <v/>
      </c>
      <c r="H121" s="118" t="n"/>
    </row>
    <row r="122" ht="15" customHeight="1" s="64">
      <c r="A122" s="112" t="n">
        <v>117</v>
      </c>
      <c r="B122" s="118" t="n"/>
      <c r="C122" s="118" t="n"/>
      <c r="D122" s="118" t="n"/>
      <c r="E122" s="115">
        <f>IF(C122="","",IFERROR(C122/MOTOR!$B$14,0))</f>
        <v/>
      </c>
      <c r="F122" s="116">
        <f>IF(C122="","",IFERROR((C122-MOTOR!$B$8)/MOTOR!$B$11,0))</f>
        <v/>
      </c>
      <c r="G122" s="117">
        <f>IF(C122="","",IF(E122&lt;AYARLAR!$C$11,"AŞIRI DÜŞÜK",IF(E122&lt;AYARLAR!$C$12,"SINIRDA","GÜVENLİ")))</f>
        <v/>
      </c>
      <c r="H122" s="118" t="n"/>
    </row>
    <row r="123" ht="15" customHeight="1" s="64">
      <c r="A123" s="112" t="n">
        <v>118</v>
      </c>
      <c r="B123" s="118" t="n"/>
      <c r="C123" s="118" t="n"/>
      <c r="D123" s="118" t="n"/>
      <c r="E123" s="115">
        <f>IF(C123="","",IFERROR(C123/MOTOR!$B$14,0))</f>
        <v/>
      </c>
      <c r="F123" s="116">
        <f>IF(C123="","",IFERROR((C123-MOTOR!$B$8)/MOTOR!$B$11,0))</f>
        <v/>
      </c>
      <c r="G123" s="117">
        <f>IF(C123="","",IF(E123&lt;AYARLAR!$C$11,"AŞIRI DÜŞÜK",IF(E123&lt;AYARLAR!$C$12,"SINIRDA","GÜVENLİ")))</f>
        <v/>
      </c>
      <c r="H123" s="118" t="n"/>
    </row>
    <row r="124" ht="15" customHeight="1" s="64">
      <c r="A124" s="112" t="n">
        <v>119</v>
      </c>
      <c r="B124" s="118" t="n"/>
      <c r="C124" s="118" t="n"/>
      <c r="D124" s="118" t="n"/>
      <c r="E124" s="115">
        <f>IF(C124="","",IFERROR(C124/MOTOR!$B$14,0))</f>
        <v/>
      </c>
      <c r="F124" s="116">
        <f>IF(C124="","",IFERROR((C124-MOTOR!$B$8)/MOTOR!$B$11,0))</f>
        <v/>
      </c>
      <c r="G124" s="117">
        <f>IF(C124="","",IF(E124&lt;AYARLAR!$C$11,"AŞIRI DÜŞÜK",IF(E124&lt;AYARLAR!$C$12,"SINIRDA","GÜVENLİ")))</f>
        <v/>
      </c>
      <c r="H124" s="118" t="n"/>
    </row>
    <row r="125" ht="15" customHeight="1" s="64">
      <c r="A125" s="112" t="n">
        <v>120</v>
      </c>
      <c r="B125" s="118" t="n"/>
      <c r="C125" s="118" t="n"/>
      <c r="D125" s="118" t="n"/>
      <c r="E125" s="115">
        <f>IF(C125="","",IFERROR(C125/MOTOR!$B$14,0))</f>
        <v/>
      </c>
      <c r="F125" s="116">
        <f>IF(C125="","",IFERROR((C125-MOTOR!$B$8)/MOTOR!$B$11,0))</f>
        <v/>
      </c>
      <c r="G125" s="117">
        <f>IF(C125="","",IF(E125&lt;AYARLAR!$C$11,"AŞIRI DÜŞÜK",IF(E125&lt;AYARLAR!$C$12,"SINIRDA","GÜVENLİ")))</f>
        <v/>
      </c>
      <c r="H125" s="118" t="n"/>
    </row>
    <row r="126" ht="15" customHeight="1" s="64">
      <c r="A126" s="112" t="n">
        <v>121</v>
      </c>
      <c r="B126" s="118" t="n"/>
      <c r="C126" s="118" t="n"/>
      <c r="D126" s="118" t="n"/>
      <c r="E126" s="115">
        <f>IF(C126="","",IFERROR(C126/MOTOR!$B$14,0))</f>
        <v/>
      </c>
      <c r="F126" s="116">
        <f>IF(C126="","",IFERROR((C126-MOTOR!$B$8)/MOTOR!$B$11,0))</f>
        <v/>
      </c>
      <c r="G126" s="117">
        <f>IF(C126="","",IF(E126&lt;AYARLAR!$C$11,"AŞIRI DÜŞÜK",IF(E126&lt;AYARLAR!$C$12,"SINIRDA","GÜVENLİ")))</f>
        <v/>
      </c>
      <c r="H126" s="118" t="n"/>
    </row>
    <row r="127" ht="15" customHeight="1" s="64">
      <c r="A127" s="112" t="n">
        <v>122</v>
      </c>
      <c r="B127" s="118" t="n"/>
      <c r="C127" s="118" t="n"/>
      <c r="D127" s="118" t="n"/>
      <c r="E127" s="115">
        <f>IF(C127="","",IFERROR(C127/MOTOR!$B$14,0))</f>
        <v/>
      </c>
      <c r="F127" s="116">
        <f>IF(C127="","",IFERROR((C127-MOTOR!$B$8)/MOTOR!$B$11,0))</f>
        <v/>
      </c>
      <c r="G127" s="117">
        <f>IF(C127="","",IF(E127&lt;AYARLAR!$C$11,"AŞIRI DÜŞÜK",IF(E127&lt;AYARLAR!$C$12,"SINIRDA","GÜVENLİ")))</f>
        <v/>
      </c>
      <c r="H127" s="118" t="n"/>
    </row>
    <row r="128" ht="15" customHeight="1" s="64">
      <c r="A128" s="112" t="n">
        <v>123</v>
      </c>
      <c r="B128" s="118" t="n"/>
      <c r="C128" s="118" t="n"/>
      <c r="D128" s="118" t="n"/>
      <c r="E128" s="115">
        <f>IF(C128="","",IFERROR(C128/MOTOR!$B$14,0))</f>
        <v/>
      </c>
      <c r="F128" s="116">
        <f>IF(C128="","",IFERROR((C128-MOTOR!$B$8)/MOTOR!$B$11,0))</f>
        <v/>
      </c>
      <c r="G128" s="117">
        <f>IF(C128="","",IF(E128&lt;AYARLAR!$C$11,"AŞIRI DÜŞÜK",IF(E128&lt;AYARLAR!$C$12,"SINIRDA","GÜVENLİ")))</f>
        <v/>
      </c>
      <c r="H128" s="118" t="n"/>
    </row>
    <row r="129" ht="15" customHeight="1" s="64">
      <c r="A129" s="112" t="n">
        <v>124</v>
      </c>
      <c r="B129" s="118" t="n"/>
      <c r="C129" s="118" t="n"/>
      <c r="D129" s="118" t="n"/>
      <c r="E129" s="115">
        <f>IF(C129="","",IFERROR(C129/MOTOR!$B$14,0))</f>
        <v/>
      </c>
      <c r="F129" s="116">
        <f>IF(C129="","",IFERROR((C129-MOTOR!$B$8)/MOTOR!$B$11,0))</f>
        <v/>
      </c>
      <c r="G129" s="117">
        <f>IF(C129="","",IF(E129&lt;AYARLAR!$C$11,"AŞIRI DÜŞÜK",IF(E129&lt;AYARLAR!$C$12,"SINIRDA","GÜVENLİ")))</f>
        <v/>
      </c>
      <c r="H129" s="118" t="n"/>
    </row>
    <row r="130" ht="15" customHeight="1" s="64">
      <c r="A130" s="112" t="n">
        <v>125</v>
      </c>
      <c r="B130" s="118" t="n"/>
      <c r="C130" s="118" t="n"/>
      <c r="D130" s="118" t="n"/>
      <c r="E130" s="115">
        <f>IF(C130="","",IFERROR(C130/MOTOR!$B$14,0))</f>
        <v/>
      </c>
      <c r="F130" s="116">
        <f>IF(C130="","",IFERROR((C130-MOTOR!$B$8)/MOTOR!$B$11,0))</f>
        <v/>
      </c>
      <c r="G130" s="117">
        <f>IF(C130="","",IF(E130&lt;AYARLAR!$C$11,"AŞIRI DÜŞÜK",IF(E130&lt;AYARLAR!$C$12,"SINIRDA","GÜVENLİ")))</f>
        <v/>
      </c>
      <c r="H130" s="118" t="n"/>
    </row>
    <row r="131" ht="15" customHeight="1" s="64">
      <c r="A131" s="112" t="n">
        <v>126</v>
      </c>
      <c r="B131" s="118" t="n"/>
      <c r="C131" s="118" t="n"/>
      <c r="D131" s="118" t="n"/>
      <c r="E131" s="115">
        <f>IF(C131="","",IFERROR(C131/MOTOR!$B$14,0))</f>
        <v/>
      </c>
      <c r="F131" s="116">
        <f>IF(C131="","",IFERROR((C131-MOTOR!$B$8)/MOTOR!$B$11,0))</f>
        <v/>
      </c>
      <c r="G131" s="117">
        <f>IF(C131="","",IF(E131&lt;AYARLAR!$C$11,"AŞIRI DÜŞÜK",IF(E131&lt;AYARLAR!$C$12,"SINIRDA","GÜVENLİ")))</f>
        <v/>
      </c>
      <c r="H131" s="118" t="n"/>
    </row>
    <row r="132" ht="15" customHeight="1" s="64">
      <c r="A132" s="112" t="n">
        <v>127</v>
      </c>
      <c r="B132" s="118" t="n"/>
      <c r="C132" s="118" t="n"/>
      <c r="D132" s="118" t="n"/>
      <c r="E132" s="115">
        <f>IF(C132="","",IFERROR(C132/MOTOR!$B$14,0))</f>
        <v/>
      </c>
      <c r="F132" s="116">
        <f>IF(C132="","",IFERROR((C132-MOTOR!$B$8)/MOTOR!$B$11,0))</f>
        <v/>
      </c>
      <c r="G132" s="117">
        <f>IF(C132="","",IF(E132&lt;AYARLAR!$C$11,"AŞIRI DÜŞÜK",IF(E132&lt;AYARLAR!$C$12,"SINIRDA","GÜVENLİ")))</f>
        <v/>
      </c>
      <c r="H132" s="118" t="n"/>
    </row>
    <row r="133" ht="15" customHeight="1" s="64">
      <c r="A133" s="112" t="n">
        <v>128</v>
      </c>
      <c r="B133" s="118" t="n"/>
      <c r="C133" s="118" t="n"/>
      <c r="D133" s="118" t="n"/>
      <c r="E133" s="115">
        <f>IF(C133="","",IFERROR(C133/MOTOR!$B$14,0))</f>
        <v/>
      </c>
      <c r="F133" s="116">
        <f>IF(C133="","",IFERROR((C133-MOTOR!$B$8)/MOTOR!$B$11,0))</f>
        <v/>
      </c>
      <c r="G133" s="117">
        <f>IF(C133="","",IF(E133&lt;AYARLAR!$C$11,"AŞIRI DÜŞÜK",IF(E133&lt;AYARLAR!$C$12,"SINIRDA","GÜVENLİ")))</f>
        <v/>
      </c>
      <c r="H133" s="118" t="n"/>
    </row>
    <row r="134" ht="15" customHeight="1" s="64">
      <c r="A134" s="112" t="n">
        <v>129</v>
      </c>
      <c r="B134" s="118" t="n"/>
      <c r="C134" s="118" t="n"/>
      <c r="D134" s="118" t="n"/>
      <c r="E134" s="115">
        <f>IF(C134="","",IFERROR(C134/MOTOR!$B$14,0))</f>
        <v/>
      </c>
      <c r="F134" s="116">
        <f>IF(C134="","",IFERROR((C134-MOTOR!$B$8)/MOTOR!$B$11,0))</f>
        <v/>
      </c>
      <c r="G134" s="117">
        <f>IF(C134="","",IF(E134&lt;AYARLAR!$C$11,"AŞIRI DÜŞÜK",IF(E134&lt;AYARLAR!$C$12,"SINIRDA","GÜVENLİ")))</f>
        <v/>
      </c>
      <c r="H134" s="118" t="n"/>
    </row>
    <row r="135" ht="15" customHeight="1" s="64">
      <c r="A135" s="112" t="n">
        <v>130</v>
      </c>
      <c r="B135" s="118" t="n"/>
      <c r="C135" s="118" t="n"/>
      <c r="D135" s="118" t="n"/>
      <c r="E135" s="115">
        <f>IF(C135="","",IFERROR(C135/MOTOR!$B$14,0))</f>
        <v/>
      </c>
      <c r="F135" s="116">
        <f>IF(C135="","",IFERROR((C135-MOTOR!$B$8)/MOTOR!$B$11,0))</f>
        <v/>
      </c>
      <c r="G135" s="117">
        <f>IF(C135="","",IF(E135&lt;AYARLAR!$C$11,"AŞIRI DÜŞÜK",IF(E135&lt;AYARLAR!$C$12,"SINIRDA","GÜVENLİ")))</f>
        <v/>
      </c>
      <c r="H135" s="118" t="n"/>
    </row>
    <row r="136" ht="15" customHeight="1" s="64">
      <c r="A136" s="112" t="n">
        <v>131</v>
      </c>
      <c r="B136" s="118" t="n"/>
      <c r="C136" s="118" t="n"/>
      <c r="D136" s="118" t="n"/>
      <c r="E136" s="115">
        <f>IF(C136="","",IFERROR(C136/MOTOR!$B$14,0))</f>
        <v/>
      </c>
      <c r="F136" s="116">
        <f>IF(C136="","",IFERROR((C136-MOTOR!$B$8)/MOTOR!$B$11,0))</f>
        <v/>
      </c>
      <c r="G136" s="117">
        <f>IF(C136="","",IF(E136&lt;AYARLAR!$C$11,"AŞIRI DÜŞÜK",IF(E136&lt;AYARLAR!$C$12,"SINIRDA","GÜVENLİ")))</f>
        <v/>
      </c>
      <c r="H136" s="118" t="n"/>
    </row>
    <row r="137" ht="15" customHeight="1" s="64">
      <c r="A137" s="112" t="n">
        <v>132</v>
      </c>
      <c r="B137" s="118" t="n"/>
      <c r="C137" s="118" t="n"/>
      <c r="D137" s="118" t="n"/>
      <c r="E137" s="115">
        <f>IF(C137="","",IFERROR(C137/MOTOR!$B$14,0))</f>
        <v/>
      </c>
      <c r="F137" s="116">
        <f>IF(C137="","",IFERROR((C137-MOTOR!$B$8)/MOTOR!$B$11,0))</f>
        <v/>
      </c>
      <c r="G137" s="117">
        <f>IF(C137="","",IF(E137&lt;AYARLAR!$C$11,"AŞIRI DÜŞÜK",IF(E137&lt;AYARLAR!$C$12,"SINIRDA","GÜVENLİ")))</f>
        <v/>
      </c>
      <c r="H137" s="118" t="n"/>
    </row>
    <row r="138" ht="15" customHeight="1" s="64">
      <c r="A138" s="112" t="n">
        <v>133</v>
      </c>
      <c r="B138" s="118" t="n"/>
      <c r="C138" s="118" t="n"/>
      <c r="D138" s="118" t="n"/>
      <c r="E138" s="115">
        <f>IF(C138="","",IFERROR(C138/MOTOR!$B$14,0))</f>
        <v/>
      </c>
      <c r="F138" s="116">
        <f>IF(C138="","",IFERROR((C138-MOTOR!$B$8)/MOTOR!$B$11,0))</f>
        <v/>
      </c>
      <c r="G138" s="117">
        <f>IF(C138="","",IF(E138&lt;AYARLAR!$C$11,"AŞIRI DÜŞÜK",IF(E138&lt;AYARLAR!$C$12,"SINIRDA","GÜVENLİ")))</f>
        <v/>
      </c>
      <c r="H138" s="118" t="n"/>
    </row>
    <row r="139" ht="15" customHeight="1" s="64">
      <c r="A139" s="112" t="n">
        <v>134</v>
      </c>
      <c r="B139" s="118" t="n"/>
      <c r="C139" s="118" t="n"/>
      <c r="D139" s="118" t="n"/>
      <c r="E139" s="115">
        <f>IF(C139="","",IFERROR(C139/MOTOR!$B$14,0))</f>
        <v/>
      </c>
      <c r="F139" s="116">
        <f>IF(C139="","",IFERROR((C139-MOTOR!$B$8)/MOTOR!$B$11,0))</f>
        <v/>
      </c>
      <c r="G139" s="117">
        <f>IF(C139="","",IF(E139&lt;AYARLAR!$C$11,"AŞIRI DÜŞÜK",IF(E139&lt;AYARLAR!$C$12,"SINIRDA","GÜVENLİ")))</f>
        <v/>
      </c>
      <c r="H139" s="118" t="n"/>
    </row>
    <row r="140" ht="15" customHeight="1" s="64">
      <c r="A140" s="112" t="n">
        <v>135</v>
      </c>
      <c r="B140" s="118" t="n"/>
      <c r="C140" s="118" t="n"/>
      <c r="D140" s="118" t="n"/>
      <c r="E140" s="115">
        <f>IF(C140="","",IFERROR(C140/MOTOR!$B$14,0))</f>
        <v/>
      </c>
      <c r="F140" s="116">
        <f>IF(C140="","",IFERROR((C140-MOTOR!$B$8)/MOTOR!$B$11,0))</f>
        <v/>
      </c>
      <c r="G140" s="117">
        <f>IF(C140="","",IF(E140&lt;AYARLAR!$C$11,"AŞIRI DÜŞÜK",IF(E140&lt;AYARLAR!$C$12,"SINIRDA","GÜVENLİ")))</f>
        <v/>
      </c>
      <c r="H140" s="118" t="n"/>
    </row>
    <row r="141" ht="15" customHeight="1" s="64">
      <c r="A141" s="112" t="n">
        <v>136</v>
      </c>
      <c r="B141" s="118" t="n"/>
      <c r="C141" s="118" t="n"/>
      <c r="D141" s="118" t="n"/>
      <c r="E141" s="115">
        <f>IF(C141="","",IFERROR(C141/MOTOR!$B$14,0))</f>
        <v/>
      </c>
      <c r="F141" s="116">
        <f>IF(C141="","",IFERROR((C141-MOTOR!$B$8)/MOTOR!$B$11,0))</f>
        <v/>
      </c>
      <c r="G141" s="117">
        <f>IF(C141="","",IF(E141&lt;AYARLAR!$C$11,"AŞIRI DÜŞÜK",IF(E141&lt;AYARLAR!$C$12,"SINIRDA","GÜVENLİ")))</f>
        <v/>
      </c>
      <c r="H141" s="118" t="n"/>
    </row>
    <row r="142" ht="15" customHeight="1" s="64">
      <c r="A142" s="112" t="n">
        <v>137</v>
      </c>
      <c r="B142" s="118" t="n"/>
      <c r="C142" s="118" t="n"/>
      <c r="D142" s="118" t="n"/>
      <c r="E142" s="115">
        <f>IF(C142="","",IFERROR(C142/MOTOR!$B$14,0))</f>
        <v/>
      </c>
      <c r="F142" s="116">
        <f>IF(C142="","",IFERROR((C142-MOTOR!$B$8)/MOTOR!$B$11,0))</f>
        <v/>
      </c>
      <c r="G142" s="117">
        <f>IF(C142="","",IF(E142&lt;AYARLAR!$C$11,"AŞIRI DÜŞÜK",IF(E142&lt;AYARLAR!$C$12,"SINIRDA","GÜVENLİ")))</f>
        <v/>
      </c>
      <c r="H142" s="118" t="n"/>
    </row>
    <row r="143" ht="15" customHeight="1" s="64">
      <c r="A143" s="112" t="n">
        <v>138</v>
      </c>
      <c r="B143" s="118" t="n"/>
      <c r="C143" s="118" t="n"/>
      <c r="D143" s="118" t="n"/>
      <c r="E143" s="115">
        <f>IF(C143="","",IFERROR(C143/MOTOR!$B$14,0))</f>
        <v/>
      </c>
      <c r="F143" s="116">
        <f>IF(C143="","",IFERROR((C143-MOTOR!$B$8)/MOTOR!$B$11,0))</f>
        <v/>
      </c>
      <c r="G143" s="117">
        <f>IF(C143="","",IF(E143&lt;AYARLAR!$C$11,"AŞIRI DÜŞÜK",IF(E143&lt;AYARLAR!$C$12,"SINIRDA","GÜVENLİ")))</f>
        <v/>
      </c>
      <c r="H143" s="118" t="n"/>
    </row>
    <row r="144" ht="15" customHeight="1" s="64">
      <c r="A144" s="112" t="n">
        <v>139</v>
      </c>
      <c r="B144" s="118" t="n"/>
      <c r="C144" s="118" t="n"/>
      <c r="D144" s="118" t="n"/>
      <c r="E144" s="115">
        <f>IF(C144="","",IFERROR(C144/MOTOR!$B$14,0))</f>
        <v/>
      </c>
      <c r="F144" s="116">
        <f>IF(C144="","",IFERROR((C144-MOTOR!$B$8)/MOTOR!$B$11,0))</f>
        <v/>
      </c>
      <c r="G144" s="117">
        <f>IF(C144="","",IF(E144&lt;AYARLAR!$C$11,"AŞIRI DÜŞÜK",IF(E144&lt;AYARLAR!$C$12,"SINIRDA","GÜVENLİ")))</f>
        <v/>
      </c>
      <c r="H144" s="118" t="n"/>
    </row>
    <row r="145" ht="15" customHeight="1" s="64">
      <c r="A145" s="112" t="n">
        <v>140</v>
      </c>
      <c r="B145" s="118" t="n"/>
      <c r="C145" s="118" t="n"/>
      <c r="D145" s="118" t="n"/>
      <c r="E145" s="115">
        <f>IF(C145="","",IFERROR(C145/MOTOR!$B$14,0))</f>
        <v/>
      </c>
      <c r="F145" s="116">
        <f>IF(C145="","",IFERROR((C145-MOTOR!$B$8)/MOTOR!$B$11,0))</f>
        <v/>
      </c>
      <c r="G145" s="117">
        <f>IF(C145="","",IF(E145&lt;AYARLAR!$C$11,"AŞIRI DÜŞÜK",IF(E145&lt;AYARLAR!$C$12,"SINIRDA","GÜVENLİ")))</f>
        <v/>
      </c>
      <c r="H145" s="118" t="n"/>
    </row>
    <row r="146" ht="15" customHeight="1" s="64">
      <c r="A146" s="112" t="n">
        <v>141</v>
      </c>
      <c r="B146" s="118" t="n"/>
      <c r="C146" s="118" t="n"/>
      <c r="D146" s="118" t="n"/>
      <c r="E146" s="115">
        <f>IF(C146="","",IFERROR(C146/MOTOR!$B$14,0))</f>
        <v/>
      </c>
      <c r="F146" s="116">
        <f>IF(C146="","",IFERROR((C146-MOTOR!$B$8)/MOTOR!$B$11,0))</f>
        <v/>
      </c>
      <c r="G146" s="117">
        <f>IF(C146="","",IF(E146&lt;AYARLAR!$C$11,"AŞIRI DÜŞÜK",IF(E146&lt;AYARLAR!$C$12,"SINIRDA","GÜVENLİ")))</f>
        <v/>
      </c>
      <c r="H146" s="118" t="n"/>
    </row>
    <row r="147" ht="15" customHeight="1" s="64">
      <c r="A147" s="112" t="n">
        <v>142</v>
      </c>
      <c r="B147" s="118" t="n"/>
      <c r="C147" s="118" t="n"/>
      <c r="D147" s="118" t="n"/>
      <c r="E147" s="115">
        <f>IF(C147="","",IFERROR(C147/MOTOR!$B$14,0))</f>
        <v/>
      </c>
      <c r="F147" s="116">
        <f>IF(C147="","",IFERROR((C147-MOTOR!$B$8)/MOTOR!$B$11,0))</f>
        <v/>
      </c>
      <c r="G147" s="117">
        <f>IF(C147="","",IF(E147&lt;AYARLAR!$C$11,"AŞIRI DÜŞÜK",IF(E147&lt;AYARLAR!$C$12,"SINIRDA","GÜVENLİ")))</f>
        <v/>
      </c>
      <c r="H147" s="118" t="n"/>
    </row>
    <row r="148" ht="15" customHeight="1" s="64">
      <c r="A148" s="112" t="n">
        <v>143</v>
      </c>
      <c r="B148" s="118" t="n"/>
      <c r="C148" s="118" t="n"/>
      <c r="D148" s="118" t="n"/>
      <c r="E148" s="115">
        <f>IF(C148="","",IFERROR(C148/MOTOR!$B$14,0))</f>
        <v/>
      </c>
      <c r="F148" s="116">
        <f>IF(C148="","",IFERROR((C148-MOTOR!$B$8)/MOTOR!$B$11,0))</f>
        <v/>
      </c>
      <c r="G148" s="117">
        <f>IF(C148="","",IF(E148&lt;AYARLAR!$C$11,"AŞIRI DÜŞÜK",IF(E148&lt;AYARLAR!$C$12,"SINIRDA","GÜVENLİ")))</f>
        <v/>
      </c>
      <c r="H148" s="118" t="n"/>
    </row>
    <row r="149" ht="15" customHeight="1" s="64">
      <c r="A149" s="112" t="n">
        <v>144</v>
      </c>
      <c r="B149" s="118" t="n"/>
      <c r="C149" s="118" t="n"/>
      <c r="D149" s="118" t="n"/>
      <c r="E149" s="115">
        <f>IF(C149="","",IFERROR(C149/MOTOR!$B$14,0))</f>
        <v/>
      </c>
      <c r="F149" s="116">
        <f>IF(C149="","",IFERROR((C149-MOTOR!$B$8)/MOTOR!$B$11,0))</f>
        <v/>
      </c>
      <c r="G149" s="117">
        <f>IF(C149="","",IF(E149&lt;AYARLAR!$C$11,"AŞIRI DÜŞÜK",IF(E149&lt;AYARLAR!$C$12,"SINIRDA","GÜVENLİ")))</f>
        <v/>
      </c>
      <c r="H149" s="118" t="n"/>
    </row>
    <row r="150" ht="15" customHeight="1" s="64">
      <c r="A150" s="112" t="n">
        <v>145</v>
      </c>
      <c r="B150" s="118" t="n"/>
      <c r="C150" s="118" t="n"/>
      <c r="D150" s="118" t="n"/>
      <c r="E150" s="115">
        <f>IF(C150="","",IFERROR(C150/MOTOR!$B$14,0))</f>
        <v/>
      </c>
      <c r="F150" s="116">
        <f>IF(C150="","",IFERROR((C150-MOTOR!$B$8)/MOTOR!$B$11,0))</f>
        <v/>
      </c>
      <c r="G150" s="117">
        <f>IF(C150="","",IF(E150&lt;AYARLAR!$C$11,"AŞIRI DÜŞÜK",IF(E150&lt;AYARLAR!$C$12,"SINIRDA","GÜVENLİ")))</f>
        <v/>
      </c>
      <c r="H150" s="118" t="n"/>
    </row>
    <row r="151" ht="15" customHeight="1" s="64">
      <c r="A151" s="112" t="n">
        <v>146</v>
      </c>
      <c r="B151" s="118" t="n"/>
      <c r="C151" s="118" t="n"/>
      <c r="D151" s="118" t="n"/>
      <c r="E151" s="115">
        <f>IF(C151="","",IFERROR(C151/MOTOR!$B$14,0))</f>
        <v/>
      </c>
      <c r="F151" s="116">
        <f>IF(C151="","",IFERROR((C151-MOTOR!$B$8)/MOTOR!$B$11,0))</f>
        <v/>
      </c>
      <c r="G151" s="117">
        <f>IF(C151="","",IF(E151&lt;AYARLAR!$C$11,"AŞIRI DÜŞÜK",IF(E151&lt;AYARLAR!$C$12,"SINIRDA","GÜVENLİ")))</f>
        <v/>
      </c>
      <c r="H151" s="118" t="n"/>
    </row>
    <row r="152" ht="15" customHeight="1" s="64">
      <c r="A152" s="112" t="n">
        <v>147</v>
      </c>
      <c r="B152" s="118" t="n"/>
      <c r="C152" s="118" t="n"/>
      <c r="D152" s="118" t="n"/>
      <c r="E152" s="115">
        <f>IF(C152="","",IFERROR(C152/MOTOR!$B$14,0))</f>
        <v/>
      </c>
      <c r="F152" s="116">
        <f>IF(C152="","",IFERROR((C152-MOTOR!$B$8)/MOTOR!$B$11,0))</f>
        <v/>
      </c>
      <c r="G152" s="117">
        <f>IF(C152="","",IF(E152&lt;AYARLAR!$C$11,"AŞIRI DÜŞÜK",IF(E152&lt;AYARLAR!$C$12,"SINIRDA","GÜVENLİ")))</f>
        <v/>
      </c>
      <c r="H152" s="118" t="n"/>
    </row>
    <row r="153" ht="15" customHeight="1" s="64">
      <c r="A153" s="112" t="n">
        <v>148</v>
      </c>
      <c r="B153" s="118" t="n"/>
      <c r="C153" s="118" t="n"/>
      <c r="D153" s="118" t="n"/>
      <c r="E153" s="115">
        <f>IF(C153="","",IFERROR(C153/MOTOR!$B$14,0))</f>
        <v/>
      </c>
      <c r="F153" s="116">
        <f>IF(C153="","",IFERROR((C153-MOTOR!$B$8)/MOTOR!$B$11,0))</f>
        <v/>
      </c>
      <c r="G153" s="117">
        <f>IF(C153="","",IF(E153&lt;AYARLAR!$C$11,"AŞIRI DÜŞÜK",IF(E153&lt;AYARLAR!$C$12,"SINIRDA","GÜVENLİ")))</f>
        <v/>
      </c>
      <c r="H153" s="118" t="n"/>
    </row>
    <row r="154" ht="15" customHeight="1" s="64">
      <c r="A154" s="112" t="n">
        <v>149</v>
      </c>
      <c r="B154" s="118" t="n"/>
      <c r="C154" s="118" t="n"/>
      <c r="D154" s="118" t="n"/>
      <c r="E154" s="115">
        <f>IF(C154="","",IFERROR(C154/MOTOR!$B$14,0))</f>
        <v/>
      </c>
      <c r="F154" s="116">
        <f>IF(C154="","",IFERROR((C154-MOTOR!$B$8)/MOTOR!$B$11,0))</f>
        <v/>
      </c>
      <c r="G154" s="117">
        <f>IF(C154="","",IF(E154&lt;AYARLAR!$C$11,"AŞIRI DÜŞÜK",IF(E154&lt;AYARLAR!$C$12,"SINIRDA","GÜVENLİ")))</f>
        <v/>
      </c>
      <c r="H154" s="118" t="n"/>
    </row>
    <row r="155" ht="15" customHeight="1" s="64">
      <c r="A155" s="112" t="n">
        <v>150</v>
      </c>
      <c r="B155" s="118" t="n"/>
      <c r="C155" s="118" t="n"/>
      <c r="D155" s="118" t="n"/>
      <c r="E155" s="115">
        <f>IF(C155="","",IFERROR(C155/MOTOR!$B$14,0))</f>
        <v/>
      </c>
      <c r="F155" s="116">
        <f>IF(C155="","",IFERROR((C155-MOTOR!$B$8)/MOTOR!$B$11,0))</f>
        <v/>
      </c>
      <c r="G155" s="117">
        <f>IF(C155="","",IF(E155&lt;AYARLAR!$C$11,"AŞIRI DÜŞÜK",IF(E155&lt;AYARLAR!$C$12,"SINIRDA","GÜVENLİ")))</f>
        <v/>
      </c>
      <c r="H155" s="118" t="n"/>
    </row>
    <row r="156" ht="15" customHeight="1" s="64">
      <c r="A156" s="112" t="n">
        <v>151</v>
      </c>
      <c r="B156" s="118" t="n"/>
      <c r="C156" s="118" t="n"/>
      <c r="D156" s="118" t="n"/>
      <c r="E156" s="115">
        <f>IF(C156="","",IFERROR(C156/MOTOR!$B$14,0))</f>
        <v/>
      </c>
      <c r="F156" s="116">
        <f>IF(C156="","",IFERROR((C156-MOTOR!$B$8)/MOTOR!$B$11,0))</f>
        <v/>
      </c>
      <c r="G156" s="117">
        <f>IF(C156="","",IF(E156&lt;AYARLAR!$C$11,"AŞIRI DÜŞÜK",IF(E156&lt;AYARLAR!$C$12,"SINIRDA","GÜVENLİ")))</f>
        <v/>
      </c>
      <c r="H156" s="118" t="n"/>
    </row>
    <row r="157" ht="15" customHeight="1" s="64">
      <c r="A157" s="112" t="n">
        <v>152</v>
      </c>
      <c r="B157" s="118" t="n"/>
      <c r="C157" s="118" t="n"/>
      <c r="D157" s="118" t="n"/>
      <c r="E157" s="115">
        <f>IF(C157="","",IFERROR(C157/MOTOR!$B$14,0))</f>
        <v/>
      </c>
      <c r="F157" s="116">
        <f>IF(C157="","",IFERROR((C157-MOTOR!$B$8)/MOTOR!$B$11,0))</f>
        <v/>
      </c>
      <c r="G157" s="117">
        <f>IF(C157="","",IF(E157&lt;AYARLAR!$C$11,"AŞIRI DÜŞÜK",IF(E157&lt;AYARLAR!$C$12,"SINIRDA","GÜVENLİ")))</f>
        <v/>
      </c>
      <c r="H157" s="118" t="n"/>
    </row>
    <row r="158" ht="15" customHeight="1" s="64">
      <c r="A158" s="112" t="n">
        <v>153</v>
      </c>
      <c r="B158" s="118" t="n"/>
      <c r="C158" s="118" t="n"/>
      <c r="D158" s="118" t="n"/>
      <c r="E158" s="115">
        <f>IF(C158="","",IFERROR(C158/MOTOR!$B$14,0))</f>
        <v/>
      </c>
      <c r="F158" s="116">
        <f>IF(C158="","",IFERROR((C158-MOTOR!$B$8)/MOTOR!$B$11,0))</f>
        <v/>
      </c>
      <c r="G158" s="117">
        <f>IF(C158="","",IF(E158&lt;AYARLAR!$C$11,"AŞIRI DÜŞÜK",IF(E158&lt;AYARLAR!$C$12,"SINIRDA","GÜVENLİ")))</f>
        <v/>
      </c>
      <c r="H158" s="118" t="n"/>
    </row>
    <row r="159" ht="15" customHeight="1" s="64">
      <c r="A159" s="112" t="n">
        <v>154</v>
      </c>
      <c r="B159" s="118" t="n"/>
      <c r="C159" s="118" t="n"/>
      <c r="D159" s="118" t="n"/>
      <c r="E159" s="115">
        <f>IF(C159="","",IFERROR(C159/MOTOR!$B$14,0))</f>
        <v/>
      </c>
      <c r="F159" s="116">
        <f>IF(C159="","",IFERROR((C159-MOTOR!$B$8)/MOTOR!$B$11,0))</f>
        <v/>
      </c>
      <c r="G159" s="117">
        <f>IF(C159="","",IF(E159&lt;AYARLAR!$C$11,"AŞIRI DÜŞÜK",IF(E159&lt;AYARLAR!$C$12,"SINIRDA","GÜVENLİ")))</f>
        <v/>
      </c>
      <c r="H159" s="118" t="n"/>
    </row>
    <row r="160" ht="15" customHeight="1" s="64">
      <c r="A160" s="112" t="n">
        <v>155</v>
      </c>
      <c r="B160" s="118" t="n"/>
      <c r="C160" s="118" t="n"/>
      <c r="D160" s="118" t="n"/>
      <c r="E160" s="115">
        <f>IF(C160="","",IFERROR(C160/MOTOR!$B$14,0))</f>
        <v/>
      </c>
      <c r="F160" s="116">
        <f>IF(C160="","",IFERROR((C160-MOTOR!$B$8)/MOTOR!$B$11,0))</f>
        <v/>
      </c>
      <c r="G160" s="117">
        <f>IF(C160="","",IF(E160&lt;AYARLAR!$C$11,"AŞIRI DÜŞÜK",IF(E160&lt;AYARLAR!$C$12,"SINIRDA","GÜVENLİ")))</f>
        <v/>
      </c>
      <c r="H160" s="118" t="n"/>
    </row>
    <row r="161" ht="15" customHeight="1" s="64">
      <c r="A161" s="112" t="n">
        <v>156</v>
      </c>
      <c r="B161" s="118" t="n"/>
      <c r="C161" s="118" t="n"/>
      <c r="D161" s="118" t="n"/>
      <c r="E161" s="115">
        <f>IF(C161="","",IFERROR(C161/MOTOR!$B$14,0))</f>
        <v/>
      </c>
      <c r="F161" s="116">
        <f>IF(C161="","",IFERROR((C161-MOTOR!$B$8)/MOTOR!$B$11,0))</f>
        <v/>
      </c>
      <c r="G161" s="117">
        <f>IF(C161="","",IF(E161&lt;AYARLAR!$C$11,"AŞIRI DÜŞÜK",IF(E161&lt;AYARLAR!$C$12,"SINIRDA","GÜVENLİ")))</f>
        <v/>
      </c>
      <c r="H161" s="118" t="n"/>
    </row>
    <row r="162" ht="15" customHeight="1" s="64">
      <c r="A162" s="112" t="n">
        <v>157</v>
      </c>
      <c r="B162" s="118" t="n"/>
      <c r="C162" s="118" t="n"/>
      <c r="D162" s="118" t="n"/>
      <c r="E162" s="115">
        <f>IF(C162="","",IFERROR(C162/MOTOR!$B$14,0))</f>
        <v/>
      </c>
      <c r="F162" s="116">
        <f>IF(C162="","",IFERROR((C162-MOTOR!$B$8)/MOTOR!$B$11,0))</f>
        <v/>
      </c>
      <c r="G162" s="117">
        <f>IF(C162="","",IF(E162&lt;AYARLAR!$C$11,"AŞIRI DÜŞÜK",IF(E162&lt;AYARLAR!$C$12,"SINIRDA","GÜVENLİ")))</f>
        <v/>
      </c>
      <c r="H162" s="118" t="n"/>
    </row>
    <row r="163" ht="15" customHeight="1" s="64">
      <c r="A163" s="112" t="n">
        <v>158</v>
      </c>
      <c r="B163" s="118" t="n"/>
      <c r="C163" s="118" t="n"/>
      <c r="D163" s="118" t="n"/>
      <c r="E163" s="115">
        <f>IF(C163="","",IFERROR(C163/MOTOR!$B$14,0))</f>
        <v/>
      </c>
      <c r="F163" s="116">
        <f>IF(C163="","",IFERROR((C163-MOTOR!$B$8)/MOTOR!$B$11,0))</f>
        <v/>
      </c>
      <c r="G163" s="117">
        <f>IF(C163="","",IF(E163&lt;AYARLAR!$C$11,"AŞIRI DÜŞÜK",IF(E163&lt;AYARLAR!$C$12,"SINIRDA","GÜVENLİ")))</f>
        <v/>
      </c>
      <c r="H163" s="118" t="n"/>
    </row>
    <row r="164" ht="15" customHeight="1" s="64">
      <c r="A164" s="112" t="n">
        <v>159</v>
      </c>
      <c r="B164" s="118" t="n"/>
      <c r="C164" s="118" t="n"/>
      <c r="D164" s="118" t="n"/>
      <c r="E164" s="115">
        <f>IF(C164="","",IFERROR(C164/MOTOR!$B$14,0))</f>
        <v/>
      </c>
      <c r="F164" s="116">
        <f>IF(C164="","",IFERROR((C164-MOTOR!$B$8)/MOTOR!$B$11,0))</f>
        <v/>
      </c>
      <c r="G164" s="117">
        <f>IF(C164="","",IF(E164&lt;AYARLAR!$C$11,"AŞIRI DÜŞÜK",IF(E164&lt;AYARLAR!$C$12,"SINIRDA","GÜVENLİ")))</f>
        <v/>
      </c>
      <c r="H164" s="118" t="n"/>
    </row>
    <row r="165" ht="15" customHeight="1" s="64">
      <c r="A165" s="112" t="n">
        <v>160</v>
      </c>
      <c r="B165" s="118" t="n"/>
      <c r="C165" s="118" t="n"/>
      <c r="D165" s="118" t="n"/>
      <c r="E165" s="115">
        <f>IF(C165="","",IFERROR(C165/MOTOR!$B$14,0))</f>
        <v/>
      </c>
      <c r="F165" s="116">
        <f>IF(C165="","",IFERROR((C165-MOTOR!$B$8)/MOTOR!$B$11,0))</f>
        <v/>
      </c>
      <c r="G165" s="117">
        <f>IF(C165="","",IF(E165&lt;AYARLAR!$C$11,"AŞIRI DÜŞÜK",IF(E165&lt;AYARLAR!$C$12,"SINIRDA","GÜVENLİ")))</f>
        <v/>
      </c>
      <c r="H165" s="118" t="n"/>
    </row>
    <row r="166" ht="15" customHeight="1" s="64">
      <c r="A166" s="112" t="n">
        <v>161</v>
      </c>
      <c r="B166" s="118" t="n"/>
      <c r="C166" s="118" t="n"/>
      <c r="D166" s="118" t="n"/>
      <c r="E166" s="115">
        <f>IF(C166="","",IFERROR(C166/MOTOR!$B$14,0))</f>
        <v/>
      </c>
      <c r="F166" s="116">
        <f>IF(C166="","",IFERROR((C166-MOTOR!$B$8)/MOTOR!$B$11,0))</f>
        <v/>
      </c>
      <c r="G166" s="117">
        <f>IF(C166="","",IF(E166&lt;AYARLAR!$C$11,"AŞIRI DÜŞÜK",IF(E166&lt;AYARLAR!$C$12,"SINIRDA","GÜVENLİ")))</f>
        <v/>
      </c>
      <c r="H166" s="118" t="n"/>
    </row>
    <row r="167" ht="15" customHeight="1" s="64">
      <c r="A167" s="112" t="n">
        <v>162</v>
      </c>
      <c r="B167" s="118" t="n"/>
      <c r="C167" s="118" t="n"/>
      <c r="D167" s="118" t="n"/>
      <c r="E167" s="115">
        <f>IF(C167="","",IFERROR(C167/MOTOR!$B$14,0))</f>
        <v/>
      </c>
      <c r="F167" s="116">
        <f>IF(C167="","",IFERROR((C167-MOTOR!$B$8)/MOTOR!$B$11,0))</f>
        <v/>
      </c>
      <c r="G167" s="117">
        <f>IF(C167="","",IF(E167&lt;AYARLAR!$C$11,"AŞIRI DÜŞÜK",IF(E167&lt;AYARLAR!$C$12,"SINIRDA","GÜVENLİ")))</f>
        <v/>
      </c>
      <c r="H167" s="118" t="n"/>
    </row>
    <row r="168" ht="15" customHeight="1" s="64">
      <c r="A168" s="112" t="n">
        <v>163</v>
      </c>
      <c r="B168" s="118" t="n"/>
      <c r="C168" s="118" t="n"/>
      <c r="D168" s="118" t="n"/>
      <c r="E168" s="115">
        <f>IF(C168="","",IFERROR(C168/MOTOR!$B$14,0))</f>
        <v/>
      </c>
      <c r="F168" s="116">
        <f>IF(C168="","",IFERROR((C168-MOTOR!$B$8)/MOTOR!$B$11,0))</f>
        <v/>
      </c>
      <c r="G168" s="117">
        <f>IF(C168="","",IF(E168&lt;AYARLAR!$C$11,"AŞIRI DÜŞÜK",IF(E168&lt;AYARLAR!$C$12,"SINIRDA","GÜVENLİ")))</f>
        <v/>
      </c>
      <c r="H168" s="118" t="n"/>
    </row>
    <row r="169" ht="15" customHeight="1" s="64">
      <c r="A169" s="112" t="n">
        <v>164</v>
      </c>
      <c r="B169" s="118" t="n"/>
      <c r="C169" s="118" t="n"/>
      <c r="D169" s="118" t="n"/>
      <c r="E169" s="115">
        <f>IF(C169="","",IFERROR(C169/MOTOR!$B$14,0))</f>
        <v/>
      </c>
      <c r="F169" s="116">
        <f>IF(C169="","",IFERROR((C169-MOTOR!$B$8)/MOTOR!$B$11,0))</f>
        <v/>
      </c>
      <c r="G169" s="117">
        <f>IF(C169="","",IF(E169&lt;AYARLAR!$C$11,"AŞIRI DÜŞÜK",IF(E169&lt;AYARLAR!$C$12,"SINIRDA","GÜVENLİ")))</f>
        <v/>
      </c>
      <c r="H169" s="118" t="n"/>
    </row>
    <row r="170" ht="15" customHeight="1" s="64">
      <c r="A170" s="112" t="n">
        <v>165</v>
      </c>
      <c r="B170" s="118" t="n"/>
      <c r="C170" s="118" t="n"/>
      <c r="D170" s="118" t="n"/>
      <c r="E170" s="115">
        <f>IF(C170="","",IFERROR(C170/MOTOR!$B$14,0))</f>
        <v/>
      </c>
      <c r="F170" s="116">
        <f>IF(C170="","",IFERROR((C170-MOTOR!$B$8)/MOTOR!$B$11,0))</f>
        <v/>
      </c>
      <c r="G170" s="117">
        <f>IF(C170="","",IF(E170&lt;AYARLAR!$C$11,"AŞIRI DÜŞÜK",IF(E170&lt;AYARLAR!$C$12,"SINIRDA","GÜVENLİ")))</f>
        <v/>
      </c>
      <c r="H170" s="118" t="n"/>
    </row>
    <row r="171" ht="15" customHeight="1" s="64">
      <c r="A171" s="112" t="n">
        <v>166</v>
      </c>
      <c r="B171" s="118" t="n"/>
      <c r="C171" s="118" t="n"/>
      <c r="D171" s="118" t="n"/>
      <c r="E171" s="115">
        <f>IF(C171="","",IFERROR(C171/MOTOR!$B$14,0))</f>
        <v/>
      </c>
      <c r="F171" s="116">
        <f>IF(C171="","",IFERROR((C171-MOTOR!$B$8)/MOTOR!$B$11,0))</f>
        <v/>
      </c>
      <c r="G171" s="117">
        <f>IF(C171="","",IF(E171&lt;AYARLAR!$C$11,"AŞIRI DÜŞÜK",IF(E171&lt;AYARLAR!$C$12,"SINIRDA","GÜVENLİ")))</f>
        <v/>
      </c>
      <c r="H171" s="118" t="n"/>
    </row>
    <row r="172" ht="15" customHeight="1" s="64">
      <c r="A172" s="112" t="n">
        <v>167</v>
      </c>
      <c r="B172" s="118" t="n"/>
      <c r="C172" s="118" t="n"/>
      <c r="D172" s="118" t="n"/>
      <c r="E172" s="115">
        <f>IF(C172="","",IFERROR(C172/MOTOR!$B$14,0))</f>
        <v/>
      </c>
      <c r="F172" s="116">
        <f>IF(C172="","",IFERROR((C172-MOTOR!$B$8)/MOTOR!$B$11,0))</f>
        <v/>
      </c>
      <c r="G172" s="117">
        <f>IF(C172="","",IF(E172&lt;AYARLAR!$C$11,"AŞIRI DÜŞÜK",IF(E172&lt;AYARLAR!$C$12,"SINIRDA","GÜVENLİ")))</f>
        <v/>
      </c>
      <c r="H172" s="118" t="n"/>
    </row>
    <row r="173" ht="15" customHeight="1" s="64">
      <c r="A173" s="112" t="n">
        <v>168</v>
      </c>
      <c r="B173" s="118" t="n"/>
      <c r="C173" s="118" t="n"/>
      <c r="D173" s="118" t="n"/>
      <c r="E173" s="115">
        <f>IF(C173="","",IFERROR(C173/MOTOR!$B$14,0))</f>
        <v/>
      </c>
      <c r="F173" s="116">
        <f>IF(C173="","",IFERROR((C173-MOTOR!$B$8)/MOTOR!$B$11,0))</f>
        <v/>
      </c>
      <c r="G173" s="117">
        <f>IF(C173="","",IF(E173&lt;AYARLAR!$C$11,"AŞIRI DÜŞÜK",IF(E173&lt;AYARLAR!$C$12,"SINIRDA","GÜVENLİ")))</f>
        <v/>
      </c>
      <c r="H173" s="118" t="n"/>
    </row>
    <row r="174" ht="15" customHeight="1" s="64">
      <c r="A174" s="112" t="n">
        <v>169</v>
      </c>
      <c r="B174" s="118" t="n"/>
      <c r="C174" s="118" t="n"/>
      <c r="D174" s="118" t="n"/>
      <c r="E174" s="115">
        <f>IF(C174="","",IFERROR(C174/MOTOR!$B$14,0))</f>
        <v/>
      </c>
      <c r="F174" s="116">
        <f>IF(C174="","",IFERROR((C174-MOTOR!$B$8)/MOTOR!$B$11,0))</f>
        <v/>
      </c>
      <c r="G174" s="117">
        <f>IF(C174="","",IF(E174&lt;AYARLAR!$C$11,"AŞIRI DÜŞÜK",IF(E174&lt;AYARLAR!$C$12,"SINIRDA","GÜVENLİ")))</f>
        <v/>
      </c>
      <c r="H174" s="118" t="n"/>
    </row>
    <row r="175" ht="15" customHeight="1" s="64">
      <c r="A175" s="112" t="n">
        <v>170</v>
      </c>
      <c r="B175" s="118" t="n"/>
      <c r="C175" s="118" t="n"/>
      <c r="D175" s="118" t="n"/>
      <c r="E175" s="115">
        <f>IF(C175="","",IFERROR(C175/MOTOR!$B$14,0))</f>
        <v/>
      </c>
      <c r="F175" s="116">
        <f>IF(C175="","",IFERROR((C175-MOTOR!$B$8)/MOTOR!$B$11,0))</f>
        <v/>
      </c>
      <c r="G175" s="117">
        <f>IF(C175="","",IF(E175&lt;AYARLAR!$C$11,"AŞIRI DÜŞÜK",IF(E175&lt;AYARLAR!$C$12,"SINIRDA","GÜVENLİ")))</f>
        <v/>
      </c>
      <c r="H175" s="118" t="n"/>
    </row>
    <row r="176" ht="15" customHeight="1" s="64">
      <c r="A176" s="112" t="n">
        <v>171</v>
      </c>
      <c r="B176" s="118" t="n"/>
      <c r="C176" s="118" t="n"/>
      <c r="D176" s="118" t="n"/>
      <c r="E176" s="115">
        <f>IF(C176="","",IFERROR(C176/MOTOR!$B$14,0))</f>
        <v/>
      </c>
      <c r="F176" s="116">
        <f>IF(C176="","",IFERROR((C176-MOTOR!$B$8)/MOTOR!$B$11,0))</f>
        <v/>
      </c>
      <c r="G176" s="117">
        <f>IF(C176="","",IF(E176&lt;AYARLAR!$C$11,"AŞIRI DÜŞÜK",IF(E176&lt;AYARLAR!$C$12,"SINIRDA","GÜVENLİ")))</f>
        <v/>
      </c>
      <c r="H176" s="118" t="n"/>
    </row>
    <row r="177" ht="15" customHeight="1" s="64">
      <c r="A177" s="112" t="n">
        <v>172</v>
      </c>
      <c r="B177" s="118" t="n"/>
      <c r="C177" s="118" t="n"/>
      <c r="D177" s="118" t="n"/>
      <c r="E177" s="115">
        <f>IF(C177="","",IFERROR(C177/MOTOR!$B$14,0))</f>
        <v/>
      </c>
      <c r="F177" s="116">
        <f>IF(C177="","",IFERROR((C177-MOTOR!$B$8)/MOTOR!$B$11,0))</f>
        <v/>
      </c>
      <c r="G177" s="117">
        <f>IF(C177="","",IF(E177&lt;AYARLAR!$C$11,"AŞIRI DÜŞÜK",IF(E177&lt;AYARLAR!$C$12,"SINIRDA","GÜVENLİ")))</f>
        <v/>
      </c>
      <c r="H177" s="118" t="n"/>
    </row>
    <row r="178" ht="15" customHeight="1" s="64">
      <c r="A178" s="112" t="n">
        <v>173</v>
      </c>
      <c r="B178" s="118" t="n"/>
      <c r="C178" s="118" t="n"/>
      <c r="D178" s="118" t="n"/>
      <c r="E178" s="115">
        <f>IF(C178="","",IFERROR(C178/MOTOR!$B$14,0))</f>
        <v/>
      </c>
      <c r="F178" s="116">
        <f>IF(C178="","",IFERROR((C178-MOTOR!$B$8)/MOTOR!$B$11,0))</f>
        <v/>
      </c>
      <c r="G178" s="117">
        <f>IF(C178="","",IF(E178&lt;AYARLAR!$C$11,"AŞIRI DÜŞÜK",IF(E178&lt;AYARLAR!$C$12,"SINIRDA","GÜVENLİ")))</f>
        <v/>
      </c>
      <c r="H178" s="118" t="n"/>
    </row>
    <row r="179" ht="15" customHeight="1" s="64">
      <c r="A179" s="112" t="n">
        <v>174</v>
      </c>
      <c r="B179" s="118" t="n"/>
      <c r="C179" s="118" t="n"/>
      <c r="D179" s="118" t="n"/>
      <c r="E179" s="115">
        <f>IF(C179="","",IFERROR(C179/MOTOR!$B$14,0))</f>
        <v/>
      </c>
      <c r="F179" s="116">
        <f>IF(C179="","",IFERROR((C179-MOTOR!$B$8)/MOTOR!$B$11,0))</f>
        <v/>
      </c>
      <c r="G179" s="117">
        <f>IF(C179="","",IF(E179&lt;AYARLAR!$C$11,"AŞIRI DÜŞÜK",IF(E179&lt;AYARLAR!$C$12,"SINIRDA","GÜVENLİ")))</f>
        <v/>
      </c>
      <c r="H179" s="118" t="n"/>
    </row>
    <row r="180" ht="15" customHeight="1" s="64">
      <c r="A180" s="112" t="n">
        <v>175</v>
      </c>
      <c r="B180" s="118" t="n"/>
      <c r="C180" s="118" t="n"/>
      <c r="D180" s="118" t="n"/>
      <c r="E180" s="115">
        <f>IF(C180="","",IFERROR(C180/MOTOR!$B$14,0))</f>
        <v/>
      </c>
      <c r="F180" s="116">
        <f>IF(C180="","",IFERROR((C180-MOTOR!$B$8)/MOTOR!$B$11,0))</f>
        <v/>
      </c>
      <c r="G180" s="117">
        <f>IF(C180="","",IF(E180&lt;AYARLAR!$C$11,"AŞIRI DÜŞÜK",IF(E180&lt;AYARLAR!$C$12,"SINIRDA","GÜVENLİ")))</f>
        <v/>
      </c>
      <c r="H180" s="118" t="n"/>
    </row>
    <row r="181" ht="15" customHeight="1" s="64">
      <c r="A181" s="112" t="n">
        <v>176</v>
      </c>
      <c r="B181" s="118" t="n"/>
      <c r="C181" s="118" t="n"/>
      <c r="D181" s="118" t="n"/>
      <c r="E181" s="115">
        <f>IF(C181="","",IFERROR(C181/MOTOR!$B$14,0))</f>
        <v/>
      </c>
      <c r="F181" s="116">
        <f>IF(C181="","",IFERROR((C181-MOTOR!$B$8)/MOTOR!$B$11,0))</f>
        <v/>
      </c>
      <c r="G181" s="117">
        <f>IF(C181="","",IF(E181&lt;AYARLAR!$C$11,"AŞIRI DÜŞÜK",IF(E181&lt;AYARLAR!$C$12,"SINIRDA","GÜVENLİ")))</f>
        <v/>
      </c>
      <c r="H181" s="118" t="n"/>
    </row>
    <row r="182" ht="15" customHeight="1" s="64">
      <c r="A182" s="112" t="n">
        <v>177</v>
      </c>
      <c r="B182" s="118" t="n"/>
      <c r="C182" s="118" t="n"/>
      <c r="D182" s="118" t="n"/>
      <c r="E182" s="115">
        <f>IF(C182="","",IFERROR(C182/MOTOR!$B$14,0))</f>
        <v/>
      </c>
      <c r="F182" s="116">
        <f>IF(C182="","",IFERROR((C182-MOTOR!$B$8)/MOTOR!$B$11,0))</f>
        <v/>
      </c>
      <c r="G182" s="117">
        <f>IF(C182="","",IF(E182&lt;AYARLAR!$C$11,"AŞIRI DÜŞÜK",IF(E182&lt;AYARLAR!$C$12,"SINIRDA","GÜVENLİ")))</f>
        <v/>
      </c>
      <c r="H182" s="118" t="n"/>
    </row>
    <row r="183" ht="15" customHeight="1" s="64">
      <c r="A183" s="112" t="n">
        <v>178</v>
      </c>
      <c r="B183" s="118" t="n"/>
      <c r="C183" s="118" t="n"/>
      <c r="D183" s="118" t="n"/>
      <c r="E183" s="115">
        <f>IF(C183="","",IFERROR(C183/MOTOR!$B$14,0))</f>
        <v/>
      </c>
      <c r="F183" s="116">
        <f>IF(C183="","",IFERROR((C183-MOTOR!$B$8)/MOTOR!$B$11,0))</f>
        <v/>
      </c>
      <c r="G183" s="117">
        <f>IF(C183="","",IF(E183&lt;AYARLAR!$C$11,"AŞIRI DÜŞÜK",IF(E183&lt;AYARLAR!$C$12,"SINIRDA","GÜVENLİ")))</f>
        <v/>
      </c>
      <c r="H183" s="118" t="n"/>
    </row>
    <row r="184" ht="15" customHeight="1" s="64">
      <c r="A184" s="112" t="n">
        <v>179</v>
      </c>
      <c r="B184" s="118" t="n"/>
      <c r="C184" s="118" t="n"/>
      <c r="D184" s="118" t="n"/>
      <c r="E184" s="115">
        <f>IF(C184="","",IFERROR(C184/MOTOR!$B$14,0))</f>
        <v/>
      </c>
      <c r="F184" s="116">
        <f>IF(C184="","",IFERROR((C184-MOTOR!$B$8)/MOTOR!$B$11,0))</f>
        <v/>
      </c>
      <c r="G184" s="117">
        <f>IF(C184="","",IF(E184&lt;AYARLAR!$C$11,"AŞIRI DÜŞÜK",IF(E184&lt;AYARLAR!$C$12,"SINIRDA","GÜVENLİ")))</f>
        <v/>
      </c>
      <c r="H184" s="118" t="n"/>
    </row>
    <row r="185" ht="15" customHeight="1" s="64">
      <c r="A185" s="112" t="n">
        <v>180</v>
      </c>
      <c r="B185" s="118" t="n"/>
      <c r="C185" s="118" t="n"/>
      <c r="D185" s="118" t="n"/>
      <c r="E185" s="115">
        <f>IF(C185="","",IFERROR(C185/MOTOR!$B$14,0))</f>
        <v/>
      </c>
      <c r="F185" s="116">
        <f>IF(C185="","",IFERROR((C185-MOTOR!$B$8)/MOTOR!$B$11,0))</f>
        <v/>
      </c>
      <c r="G185" s="117">
        <f>IF(C185="","",IF(E185&lt;AYARLAR!$C$11,"AŞIRI DÜŞÜK",IF(E185&lt;AYARLAR!$C$12,"SINIRDA","GÜVENLİ")))</f>
        <v/>
      </c>
      <c r="H185" s="118" t="n"/>
    </row>
    <row r="186" ht="15" customHeight="1" s="64">
      <c r="A186" s="112" t="n">
        <v>181</v>
      </c>
      <c r="B186" s="118" t="n"/>
      <c r="C186" s="118" t="n"/>
      <c r="D186" s="118" t="n"/>
      <c r="E186" s="115">
        <f>IF(C186="","",IFERROR(C186/MOTOR!$B$14,0))</f>
        <v/>
      </c>
      <c r="F186" s="116">
        <f>IF(C186="","",IFERROR((C186-MOTOR!$B$8)/MOTOR!$B$11,0))</f>
        <v/>
      </c>
      <c r="G186" s="117">
        <f>IF(C186="","",IF(E186&lt;AYARLAR!$C$11,"AŞIRI DÜŞÜK",IF(E186&lt;AYARLAR!$C$12,"SINIRDA","GÜVENLİ")))</f>
        <v/>
      </c>
      <c r="H186" s="118" t="n"/>
    </row>
    <row r="187" ht="15" customHeight="1" s="64">
      <c r="A187" s="112" t="n">
        <v>182</v>
      </c>
      <c r="B187" s="118" t="n"/>
      <c r="C187" s="118" t="n"/>
      <c r="D187" s="118" t="n"/>
      <c r="E187" s="115">
        <f>IF(C187="","",IFERROR(C187/MOTOR!$B$14,0))</f>
        <v/>
      </c>
      <c r="F187" s="116">
        <f>IF(C187="","",IFERROR((C187-MOTOR!$B$8)/MOTOR!$B$11,0))</f>
        <v/>
      </c>
      <c r="G187" s="117">
        <f>IF(C187="","",IF(E187&lt;AYARLAR!$C$11,"AŞIRI DÜŞÜK",IF(E187&lt;AYARLAR!$C$12,"SINIRDA","GÜVENLİ")))</f>
        <v/>
      </c>
      <c r="H187" s="118" t="n"/>
    </row>
    <row r="188" ht="15" customHeight="1" s="64">
      <c r="A188" s="112" t="n">
        <v>183</v>
      </c>
      <c r="B188" s="118" t="n"/>
      <c r="C188" s="118" t="n"/>
      <c r="D188" s="118" t="n"/>
      <c r="E188" s="115">
        <f>IF(C188="","",IFERROR(C188/MOTOR!$B$14,0))</f>
        <v/>
      </c>
      <c r="F188" s="116">
        <f>IF(C188="","",IFERROR((C188-MOTOR!$B$8)/MOTOR!$B$11,0))</f>
        <v/>
      </c>
      <c r="G188" s="117">
        <f>IF(C188="","",IF(E188&lt;AYARLAR!$C$11,"AŞIRI DÜŞÜK",IF(E188&lt;AYARLAR!$C$12,"SINIRDA","GÜVENLİ")))</f>
        <v/>
      </c>
      <c r="H188" s="118" t="n"/>
    </row>
    <row r="189" ht="15" customHeight="1" s="64">
      <c r="A189" s="112" t="n">
        <v>184</v>
      </c>
      <c r="B189" s="118" t="n"/>
      <c r="C189" s="118" t="n"/>
      <c r="D189" s="118" t="n"/>
      <c r="E189" s="115">
        <f>IF(C189="","",IFERROR(C189/MOTOR!$B$14,0))</f>
        <v/>
      </c>
      <c r="F189" s="116">
        <f>IF(C189="","",IFERROR((C189-MOTOR!$B$8)/MOTOR!$B$11,0))</f>
        <v/>
      </c>
      <c r="G189" s="117">
        <f>IF(C189="","",IF(E189&lt;AYARLAR!$C$11,"AŞIRI DÜŞÜK",IF(E189&lt;AYARLAR!$C$12,"SINIRDA","GÜVENLİ")))</f>
        <v/>
      </c>
      <c r="H189" s="118" t="n"/>
    </row>
    <row r="190" ht="15" customHeight="1" s="64">
      <c r="A190" s="112" t="n">
        <v>185</v>
      </c>
      <c r="B190" s="118" t="n"/>
      <c r="C190" s="118" t="n"/>
      <c r="D190" s="118" t="n"/>
      <c r="E190" s="115">
        <f>IF(C190="","",IFERROR(C190/MOTOR!$B$14,0))</f>
        <v/>
      </c>
      <c r="F190" s="116">
        <f>IF(C190="","",IFERROR((C190-MOTOR!$B$8)/MOTOR!$B$11,0))</f>
        <v/>
      </c>
      <c r="G190" s="117">
        <f>IF(C190="","",IF(E190&lt;AYARLAR!$C$11,"AŞIRI DÜŞÜK",IF(E190&lt;AYARLAR!$C$12,"SINIRDA","GÜVENLİ")))</f>
        <v/>
      </c>
      <c r="H190" s="118" t="n"/>
    </row>
    <row r="191" ht="15" customHeight="1" s="64">
      <c r="A191" s="112" t="n">
        <v>186</v>
      </c>
      <c r="B191" s="118" t="n"/>
      <c r="C191" s="118" t="n"/>
      <c r="D191" s="118" t="n"/>
      <c r="E191" s="115">
        <f>IF(C191="","",IFERROR(C191/MOTOR!$B$14,0))</f>
        <v/>
      </c>
      <c r="F191" s="116">
        <f>IF(C191="","",IFERROR((C191-MOTOR!$B$8)/MOTOR!$B$11,0))</f>
        <v/>
      </c>
      <c r="G191" s="117">
        <f>IF(C191="","",IF(E191&lt;AYARLAR!$C$11,"AŞIRI DÜŞÜK",IF(E191&lt;AYARLAR!$C$12,"SINIRDA","GÜVENLİ")))</f>
        <v/>
      </c>
      <c r="H191" s="118" t="n"/>
    </row>
    <row r="192" ht="15" customHeight="1" s="64">
      <c r="A192" s="112" t="n">
        <v>187</v>
      </c>
      <c r="B192" s="118" t="n"/>
      <c r="C192" s="118" t="n"/>
      <c r="D192" s="118" t="n"/>
      <c r="E192" s="115">
        <f>IF(C192="","",IFERROR(C192/MOTOR!$B$14,0))</f>
        <v/>
      </c>
      <c r="F192" s="116">
        <f>IF(C192="","",IFERROR((C192-MOTOR!$B$8)/MOTOR!$B$11,0))</f>
        <v/>
      </c>
      <c r="G192" s="117">
        <f>IF(C192="","",IF(E192&lt;AYARLAR!$C$11,"AŞIRI DÜŞÜK",IF(E192&lt;AYARLAR!$C$12,"SINIRDA","GÜVENLİ")))</f>
        <v/>
      </c>
      <c r="H192" s="118" t="n"/>
    </row>
    <row r="193" ht="15" customHeight="1" s="64">
      <c r="A193" s="112" t="n">
        <v>188</v>
      </c>
      <c r="B193" s="118" t="n"/>
      <c r="C193" s="118" t="n"/>
      <c r="D193" s="118" t="n"/>
      <c r="E193" s="115">
        <f>IF(C193="","",IFERROR(C193/MOTOR!$B$14,0))</f>
        <v/>
      </c>
      <c r="F193" s="116">
        <f>IF(C193="","",IFERROR((C193-MOTOR!$B$8)/MOTOR!$B$11,0))</f>
        <v/>
      </c>
      <c r="G193" s="117">
        <f>IF(C193="","",IF(E193&lt;AYARLAR!$C$11,"AŞIRI DÜŞÜK",IF(E193&lt;AYARLAR!$C$12,"SINIRDA","GÜVENLİ")))</f>
        <v/>
      </c>
      <c r="H193" s="118" t="n"/>
    </row>
    <row r="194" ht="15" customHeight="1" s="64">
      <c r="A194" s="112" t="n">
        <v>189</v>
      </c>
      <c r="B194" s="118" t="n"/>
      <c r="C194" s="118" t="n"/>
      <c r="D194" s="118" t="n"/>
      <c r="E194" s="115">
        <f>IF(C194="","",IFERROR(C194/MOTOR!$B$14,0))</f>
        <v/>
      </c>
      <c r="F194" s="116">
        <f>IF(C194="","",IFERROR((C194-MOTOR!$B$8)/MOTOR!$B$11,0))</f>
        <v/>
      </c>
      <c r="G194" s="117">
        <f>IF(C194="","",IF(E194&lt;AYARLAR!$C$11,"AŞIRI DÜŞÜK",IF(E194&lt;AYARLAR!$C$12,"SINIRDA","GÜVENLİ")))</f>
        <v/>
      </c>
      <c r="H194" s="118" t="n"/>
    </row>
    <row r="195" ht="15" customHeight="1" s="64">
      <c r="A195" s="112" t="n">
        <v>190</v>
      </c>
      <c r="B195" s="118" t="n"/>
      <c r="C195" s="118" t="n"/>
      <c r="D195" s="118" t="n"/>
      <c r="E195" s="115">
        <f>IF(C195="","",IFERROR(C195/MOTOR!$B$14,0))</f>
        <v/>
      </c>
      <c r="F195" s="116">
        <f>IF(C195="","",IFERROR((C195-MOTOR!$B$8)/MOTOR!$B$11,0))</f>
        <v/>
      </c>
      <c r="G195" s="117">
        <f>IF(C195="","",IF(E195&lt;AYARLAR!$C$11,"AŞIRI DÜŞÜK",IF(E195&lt;AYARLAR!$C$12,"SINIRDA","GÜVENLİ")))</f>
        <v/>
      </c>
      <c r="H195" s="118" t="n"/>
    </row>
    <row r="196" ht="15" customHeight="1" s="64">
      <c r="A196" s="112" t="n">
        <v>191</v>
      </c>
      <c r="B196" s="118" t="n"/>
      <c r="C196" s="118" t="n"/>
      <c r="D196" s="118" t="n"/>
      <c r="E196" s="115">
        <f>IF(C196="","",IFERROR(C196/MOTOR!$B$14,0))</f>
        <v/>
      </c>
      <c r="F196" s="116">
        <f>IF(C196="","",IFERROR((C196-MOTOR!$B$8)/MOTOR!$B$11,0))</f>
        <v/>
      </c>
      <c r="G196" s="117">
        <f>IF(C196="","",IF(E196&lt;AYARLAR!$C$11,"AŞIRI DÜŞÜK",IF(E196&lt;AYARLAR!$C$12,"SINIRDA","GÜVENLİ")))</f>
        <v/>
      </c>
      <c r="H196" s="118" t="n"/>
    </row>
    <row r="197" ht="15" customHeight="1" s="64">
      <c r="A197" s="112" t="n">
        <v>192</v>
      </c>
      <c r="B197" s="118" t="n"/>
      <c r="C197" s="118" t="n"/>
      <c r="D197" s="118" t="n"/>
      <c r="E197" s="115">
        <f>IF(C197="","",IFERROR(C197/MOTOR!$B$14,0))</f>
        <v/>
      </c>
      <c r="F197" s="116">
        <f>IF(C197="","",IFERROR((C197-MOTOR!$B$8)/MOTOR!$B$11,0))</f>
        <v/>
      </c>
      <c r="G197" s="117">
        <f>IF(C197="","",IF(E197&lt;AYARLAR!$C$11,"AŞIRI DÜŞÜK",IF(E197&lt;AYARLAR!$C$12,"SINIRDA","GÜVENLİ")))</f>
        <v/>
      </c>
      <c r="H197" s="118" t="n"/>
    </row>
    <row r="198" ht="15" customHeight="1" s="64">
      <c r="A198" s="112" t="n">
        <v>193</v>
      </c>
      <c r="B198" s="118" t="n"/>
      <c r="C198" s="118" t="n"/>
      <c r="D198" s="118" t="n"/>
      <c r="E198" s="115">
        <f>IF(C198="","",IFERROR(C198/MOTOR!$B$14,0))</f>
        <v/>
      </c>
      <c r="F198" s="116">
        <f>IF(C198="","",IFERROR((C198-MOTOR!$B$8)/MOTOR!$B$11,0))</f>
        <v/>
      </c>
      <c r="G198" s="117">
        <f>IF(C198="","",IF(E198&lt;AYARLAR!$C$11,"AŞIRI DÜŞÜK",IF(E198&lt;AYARLAR!$C$12,"SINIRDA","GÜVENLİ")))</f>
        <v/>
      </c>
      <c r="H198" s="118" t="n"/>
    </row>
    <row r="199" ht="15" customHeight="1" s="64">
      <c r="A199" s="112" t="n">
        <v>194</v>
      </c>
      <c r="B199" s="118" t="n"/>
      <c r="C199" s="118" t="n"/>
      <c r="D199" s="118" t="n"/>
      <c r="E199" s="115">
        <f>IF(C199="","",IFERROR(C199/MOTOR!$B$14,0))</f>
        <v/>
      </c>
      <c r="F199" s="116">
        <f>IF(C199="","",IFERROR((C199-MOTOR!$B$8)/MOTOR!$B$11,0))</f>
        <v/>
      </c>
      <c r="G199" s="117">
        <f>IF(C199="","",IF(E199&lt;AYARLAR!$C$11,"AŞIRI DÜŞÜK",IF(E199&lt;AYARLAR!$C$12,"SINIRDA","GÜVENLİ")))</f>
        <v/>
      </c>
      <c r="H199" s="118" t="n"/>
    </row>
    <row r="200" ht="15" customHeight="1" s="64">
      <c r="A200" s="112" t="n">
        <v>195</v>
      </c>
      <c r="B200" s="118" t="n"/>
      <c r="C200" s="118" t="n"/>
      <c r="D200" s="118" t="n"/>
      <c r="E200" s="115">
        <f>IF(C200="","",IFERROR(C200/MOTOR!$B$14,0))</f>
        <v/>
      </c>
      <c r="F200" s="116">
        <f>IF(C200="","",IFERROR((C200-MOTOR!$B$8)/MOTOR!$B$11,0))</f>
        <v/>
      </c>
      <c r="G200" s="117">
        <f>IF(C200="","",IF(E200&lt;AYARLAR!$C$11,"AŞIRI DÜŞÜK",IF(E200&lt;AYARLAR!$C$12,"SINIRDA","GÜVENLİ")))</f>
        <v/>
      </c>
      <c r="H200" s="118" t="n"/>
    </row>
    <row r="201" ht="15" customHeight="1" s="64">
      <c r="A201" s="112" t="n">
        <v>196</v>
      </c>
      <c r="B201" s="118" t="n"/>
      <c r="C201" s="118" t="n"/>
      <c r="D201" s="118" t="n"/>
      <c r="E201" s="115">
        <f>IF(C201="","",IFERROR(C201/MOTOR!$B$14,0))</f>
        <v/>
      </c>
      <c r="F201" s="116">
        <f>IF(C201="","",IFERROR((C201-MOTOR!$B$8)/MOTOR!$B$11,0))</f>
        <v/>
      </c>
      <c r="G201" s="117">
        <f>IF(C201="","",IF(E201&lt;AYARLAR!$C$11,"AŞIRI DÜŞÜK",IF(E201&lt;AYARLAR!$C$12,"SINIRDA","GÜVENLİ")))</f>
        <v/>
      </c>
      <c r="H201" s="118" t="n"/>
    </row>
    <row r="202" ht="15" customHeight="1" s="64">
      <c r="A202" s="112" t="n">
        <v>197</v>
      </c>
      <c r="B202" s="118" t="n"/>
      <c r="C202" s="118" t="n"/>
      <c r="D202" s="118" t="n"/>
      <c r="E202" s="115">
        <f>IF(C202="","",IFERROR(C202/MOTOR!$B$14,0))</f>
        <v/>
      </c>
      <c r="F202" s="116">
        <f>IF(C202="","",IFERROR((C202-MOTOR!$B$8)/MOTOR!$B$11,0))</f>
        <v/>
      </c>
      <c r="G202" s="117">
        <f>IF(C202="","",IF(E202&lt;AYARLAR!$C$11,"AŞIRI DÜŞÜK",IF(E202&lt;AYARLAR!$C$12,"SINIRDA","GÜVENLİ")))</f>
        <v/>
      </c>
      <c r="H202" s="118" t="n"/>
    </row>
    <row r="203" ht="15" customHeight="1" s="64">
      <c r="A203" s="112" t="n">
        <v>198</v>
      </c>
      <c r="B203" s="118" t="n"/>
      <c r="C203" s="118" t="n"/>
      <c r="D203" s="118" t="n"/>
      <c r="E203" s="115">
        <f>IF(C203="","",IFERROR(C203/MOTOR!$B$14,0))</f>
        <v/>
      </c>
      <c r="F203" s="116">
        <f>IF(C203="","",IFERROR((C203-MOTOR!$B$8)/MOTOR!$B$11,0))</f>
        <v/>
      </c>
      <c r="G203" s="117">
        <f>IF(C203="","",IF(E203&lt;AYARLAR!$C$11,"AŞIRI DÜŞÜK",IF(E203&lt;AYARLAR!$C$12,"SINIRDA","GÜVENLİ")))</f>
        <v/>
      </c>
      <c r="H203" s="118" t="n"/>
    </row>
    <row r="204" ht="15" customHeight="1" s="64">
      <c r="A204" s="112" t="n">
        <v>199</v>
      </c>
      <c r="B204" s="118" t="n"/>
      <c r="C204" s="118" t="n"/>
      <c r="D204" s="118" t="n"/>
      <c r="E204" s="115">
        <f>IF(C204="","",IFERROR(C204/MOTOR!$B$14,0))</f>
        <v/>
      </c>
      <c r="F204" s="116">
        <f>IF(C204="","",IFERROR((C204-MOTOR!$B$8)/MOTOR!$B$11,0))</f>
        <v/>
      </c>
      <c r="G204" s="117">
        <f>IF(C204="","",IF(E204&lt;AYARLAR!$C$11,"AŞIRI DÜŞÜK",IF(E204&lt;AYARLAR!$C$12,"SINIRDA","GÜVENLİ")))</f>
        <v/>
      </c>
      <c r="H204" s="118" t="n"/>
    </row>
    <row r="205" ht="15" customHeight="1" s="64">
      <c r="A205" s="112" t="n">
        <v>200</v>
      </c>
      <c r="B205" s="118" t="n"/>
      <c r="C205" s="118" t="n"/>
      <c r="D205" s="118" t="n"/>
      <c r="E205" s="115">
        <f>IF(C205="","",IFERROR(C205/MOTOR!$B$14,0))</f>
        <v/>
      </c>
      <c r="F205" s="116">
        <f>IF(C205="","",IFERROR((C205-MOTOR!$B$8)/MOTOR!$B$11,0))</f>
        <v/>
      </c>
      <c r="G205" s="117">
        <f>IF(C205="","",IF(E205&lt;AYARLAR!$C$11,"AŞIRI DÜŞÜK",IF(E205&lt;AYARLAR!$C$12,"SINIRDA","GÜVENLİ")))</f>
        <v/>
      </c>
      <c r="H205" s="118" t="n"/>
    </row>
    <row r="206" ht="15" customHeight="1" s="64">
      <c r="A206" s="112" t="n">
        <v>201</v>
      </c>
      <c r="B206" s="118" t="n"/>
      <c r="C206" s="118" t="n"/>
      <c r="D206" s="118" t="n"/>
      <c r="E206" s="115">
        <f>IF(C206="","",IFERROR(C206/MOTOR!$B$14,0))</f>
        <v/>
      </c>
      <c r="F206" s="116">
        <f>IF(C206="","",IFERROR((C206-MOTOR!$B$8)/MOTOR!$B$11,0))</f>
        <v/>
      </c>
      <c r="G206" s="117">
        <f>IF(C206="","",IF(E206&lt;AYARLAR!$C$11,"AŞIRI DÜŞÜK",IF(E206&lt;AYARLAR!$C$12,"SINIRDA","GÜVENLİ")))</f>
        <v/>
      </c>
      <c r="H206" s="118" t="n"/>
    </row>
    <row r="207" ht="15" customHeight="1" s="64">
      <c r="A207" s="112" t="n">
        <v>202</v>
      </c>
      <c r="B207" s="118" t="n"/>
      <c r="C207" s="118" t="n"/>
      <c r="D207" s="118" t="n"/>
      <c r="E207" s="115">
        <f>IF(C207="","",IFERROR(C207/MOTOR!$B$14,0))</f>
        <v/>
      </c>
      <c r="F207" s="116">
        <f>IF(C207="","",IFERROR((C207-MOTOR!$B$8)/MOTOR!$B$11,0))</f>
        <v/>
      </c>
      <c r="G207" s="117">
        <f>IF(C207="","",IF(E207&lt;AYARLAR!$C$11,"AŞIRI DÜŞÜK",IF(E207&lt;AYARLAR!$C$12,"SINIRDA","GÜVENLİ")))</f>
        <v/>
      </c>
      <c r="H207" s="118" t="n"/>
    </row>
    <row r="208" ht="15" customHeight="1" s="64">
      <c r="A208" s="112" t="n">
        <v>203</v>
      </c>
      <c r="B208" s="118" t="n"/>
      <c r="C208" s="118" t="n"/>
      <c r="D208" s="118" t="n"/>
      <c r="E208" s="115">
        <f>IF(C208="","",IFERROR(C208/MOTOR!$B$14,0))</f>
        <v/>
      </c>
      <c r="F208" s="116">
        <f>IF(C208="","",IFERROR((C208-MOTOR!$B$8)/MOTOR!$B$11,0))</f>
        <v/>
      </c>
      <c r="G208" s="117">
        <f>IF(C208="","",IF(E208&lt;AYARLAR!$C$11,"AŞIRI DÜŞÜK",IF(E208&lt;AYARLAR!$C$12,"SINIRDA","GÜVENLİ")))</f>
        <v/>
      </c>
      <c r="H208" s="118" t="n"/>
    </row>
    <row r="209" ht="15" customHeight="1" s="64">
      <c r="A209" s="112" t="n">
        <v>204</v>
      </c>
      <c r="B209" s="118" t="n"/>
      <c r="C209" s="118" t="n"/>
      <c r="D209" s="118" t="n"/>
      <c r="E209" s="115">
        <f>IF(C209="","",IFERROR(C209/MOTOR!$B$14,0))</f>
        <v/>
      </c>
      <c r="F209" s="116">
        <f>IF(C209="","",IFERROR((C209-MOTOR!$B$8)/MOTOR!$B$11,0))</f>
        <v/>
      </c>
      <c r="G209" s="117">
        <f>IF(C209="","",IF(E209&lt;AYARLAR!$C$11,"AŞIRI DÜŞÜK",IF(E209&lt;AYARLAR!$C$12,"SINIRDA","GÜVENLİ")))</f>
        <v/>
      </c>
      <c r="H209" s="118" t="n"/>
    </row>
    <row r="210" ht="15" customHeight="1" s="64">
      <c r="A210" s="112" t="n">
        <v>205</v>
      </c>
      <c r="B210" s="118" t="n"/>
      <c r="C210" s="118" t="n"/>
      <c r="D210" s="118" t="n"/>
      <c r="E210" s="115">
        <f>IF(C210="","",IFERROR(C210/MOTOR!$B$14,0))</f>
        <v/>
      </c>
      <c r="F210" s="116">
        <f>IF(C210="","",IFERROR((C210-MOTOR!$B$8)/MOTOR!$B$11,0))</f>
        <v/>
      </c>
      <c r="G210" s="117">
        <f>IF(C210="","",IF(E210&lt;AYARLAR!$C$11,"AŞIRI DÜŞÜK",IF(E210&lt;AYARLAR!$C$12,"SINIRDA","GÜVENLİ")))</f>
        <v/>
      </c>
      <c r="H210" s="118" t="n"/>
    </row>
    <row r="211" ht="15" customHeight="1" s="64">
      <c r="A211" s="112" t="n">
        <v>206</v>
      </c>
      <c r="B211" s="118" t="n"/>
      <c r="C211" s="118" t="n"/>
      <c r="D211" s="118" t="n"/>
      <c r="E211" s="115">
        <f>IF(C211="","",IFERROR(C211/MOTOR!$B$14,0))</f>
        <v/>
      </c>
      <c r="F211" s="116">
        <f>IF(C211="","",IFERROR((C211-MOTOR!$B$8)/MOTOR!$B$11,0))</f>
        <v/>
      </c>
      <c r="G211" s="117">
        <f>IF(C211="","",IF(E211&lt;AYARLAR!$C$11,"AŞIRI DÜŞÜK",IF(E211&lt;AYARLAR!$C$12,"SINIRDA","GÜVENLİ")))</f>
        <v/>
      </c>
      <c r="H211" s="118" t="n"/>
    </row>
    <row r="212" ht="15" customHeight="1" s="64">
      <c r="A212" s="112" t="n">
        <v>207</v>
      </c>
      <c r="B212" s="118" t="n"/>
      <c r="C212" s="118" t="n"/>
      <c r="D212" s="118" t="n"/>
      <c r="E212" s="115">
        <f>IF(C212="","",IFERROR(C212/MOTOR!$B$14,0))</f>
        <v/>
      </c>
      <c r="F212" s="116">
        <f>IF(C212="","",IFERROR((C212-MOTOR!$B$8)/MOTOR!$B$11,0))</f>
        <v/>
      </c>
      <c r="G212" s="117">
        <f>IF(C212="","",IF(E212&lt;AYARLAR!$C$11,"AŞIRI DÜŞÜK",IF(E212&lt;AYARLAR!$C$12,"SINIRDA","GÜVENLİ")))</f>
        <v/>
      </c>
      <c r="H212" s="118" t="n"/>
    </row>
    <row r="213" ht="15" customHeight="1" s="64">
      <c r="A213" s="112" t="n">
        <v>208</v>
      </c>
      <c r="B213" s="118" t="n"/>
      <c r="C213" s="118" t="n"/>
      <c r="D213" s="118" t="n"/>
      <c r="E213" s="115">
        <f>IF(C213="","",IFERROR(C213/MOTOR!$B$14,0))</f>
        <v/>
      </c>
      <c r="F213" s="116">
        <f>IF(C213="","",IFERROR((C213-MOTOR!$B$8)/MOTOR!$B$11,0))</f>
        <v/>
      </c>
      <c r="G213" s="117">
        <f>IF(C213="","",IF(E213&lt;AYARLAR!$C$11,"AŞIRI DÜŞÜK",IF(E213&lt;AYARLAR!$C$12,"SINIRDA","GÜVENLİ")))</f>
        <v/>
      </c>
      <c r="H213" s="118" t="n"/>
    </row>
    <row r="214" ht="15" customHeight="1" s="64">
      <c r="A214" s="112" t="n">
        <v>209</v>
      </c>
      <c r="B214" s="118" t="n"/>
      <c r="C214" s="118" t="n"/>
      <c r="D214" s="118" t="n"/>
      <c r="E214" s="115">
        <f>IF(C214="","",IFERROR(C214/MOTOR!$B$14,0))</f>
        <v/>
      </c>
      <c r="F214" s="116">
        <f>IF(C214="","",IFERROR((C214-MOTOR!$B$8)/MOTOR!$B$11,0))</f>
        <v/>
      </c>
      <c r="G214" s="117">
        <f>IF(C214="","",IF(E214&lt;AYARLAR!$C$11,"AŞIRI DÜŞÜK",IF(E214&lt;AYARLAR!$C$12,"SINIRDA","GÜVENLİ")))</f>
        <v/>
      </c>
      <c r="H214" s="118" t="n"/>
    </row>
    <row r="215" ht="15" customHeight="1" s="64">
      <c r="A215" s="112" t="n">
        <v>210</v>
      </c>
      <c r="B215" s="118" t="n"/>
      <c r="C215" s="118" t="n"/>
      <c r="D215" s="118" t="n"/>
      <c r="E215" s="115">
        <f>IF(C215="","",IFERROR(C215/MOTOR!$B$14,0))</f>
        <v/>
      </c>
      <c r="F215" s="116">
        <f>IF(C215="","",IFERROR((C215-MOTOR!$B$8)/MOTOR!$B$11,0))</f>
        <v/>
      </c>
      <c r="G215" s="117">
        <f>IF(C215="","",IF(E215&lt;AYARLAR!$C$11,"AŞIRI DÜŞÜK",IF(E215&lt;AYARLAR!$C$12,"SINIRDA","GÜVENLİ")))</f>
        <v/>
      </c>
      <c r="H215" s="118" t="n"/>
    </row>
    <row r="216" ht="15" customHeight="1" s="64">
      <c r="A216" s="112" t="n">
        <v>211</v>
      </c>
      <c r="B216" s="118" t="n"/>
      <c r="C216" s="118" t="n"/>
      <c r="D216" s="118" t="n"/>
      <c r="E216" s="115">
        <f>IF(C216="","",IFERROR(C216/MOTOR!$B$14,0))</f>
        <v/>
      </c>
      <c r="F216" s="116">
        <f>IF(C216="","",IFERROR((C216-MOTOR!$B$8)/MOTOR!$B$11,0))</f>
        <v/>
      </c>
      <c r="G216" s="117">
        <f>IF(C216="","",IF(E216&lt;AYARLAR!$C$11,"AŞIRI DÜŞÜK",IF(E216&lt;AYARLAR!$C$12,"SINIRDA","GÜVENLİ")))</f>
        <v/>
      </c>
      <c r="H216" s="118" t="n"/>
    </row>
    <row r="217" ht="15" customHeight="1" s="64">
      <c r="A217" s="112" t="n">
        <v>212</v>
      </c>
      <c r="B217" s="118" t="n"/>
      <c r="C217" s="118" t="n"/>
      <c r="D217" s="118" t="n"/>
      <c r="E217" s="115">
        <f>IF(C217="","",IFERROR(C217/MOTOR!$B$14,0))</f>
        <v/>
      </c>
      <c r="F217" s="116">
        <f>IF(C217="","",IFERROR((C217-MOTOR!$B$8)/MOTOR!$B$11,0))</f>
        <v/>
      </c>
      <c r="G217" s="117">
        <f>IF(C217="","",IF(E217&lt;AYARLAR!$C$11,"AŞIRI DÜŞÜK",IF(E217&lt;AYARLAR!$C$12,"SINIRDA","GÜVENLİ")))</f>
        <v/>
      </c>
      <c r="H217" s="118" t="n"/>
    </row>
    <row r="218" ht="15" customHeight="1" s="64">
      <c r="A218" s="112" t="n">
        <v>213</v>
      </c>
      <c r="B218" s="118" t="n"/>
      <c r="C218" s="118" t="n"/>
      <c r="D218" s="118" t="n"/>
      <c r="E218" s="115">
        <f>IF(C218="","",IFERROR(C218/MOTOR!$B$14,0))</f>
        <v/>
      </c>
      <c r="F218" s="116">
        <f>IF(C218="","",IFERROR((C218-MOTOR!$B$8)/MOTOR!$B$11,0))</f>
        <v/>
      </c>
      <c r="G218" s="117">
        <f>IF(C218="","",IF(E218&lt;AYARLAR!$C$11,"AŞIRI DÜŞÜK",IF(E218&lt;AYARLAR!$C$12,"SINIRDA","GÜVENLİ")))</f>
        <v/>
      </c>
      <c r="H218" s="118" t="n"/>
    </row>
    <row r="219" ht="15" customHeight="1" s="64">
      <c r="A219" s="112" t="n">
        <v>214</v>
      </c>
      <c r="B219" s="118" t="n"/>
      <c r="C219" s="118" t="n"/>
      <c r="D219" s="118" t="n"/>
      <c r="E219" s="115">
        <f>IF(C219="","",IFERROR(C219/MOTOR!$B$14,0))</f>
        <v/>
      </c>
      <c r="F219" s="116">
        <f>IF(C219="","",IFERROR((C219-MOTOR!$B$8)/MOTOR!$B$11,0))</f>
        <v/>
      </c>
      <c r="G219" s="117">
        <f>IF(C219="","",IF(E219&lt;AYARLAR!$C$11,"AŞIRI DÜŞÜK",IF(E219&lt;AYARLAR!$C$12,"SINIRDA","GÜVENLİ")))</f>
        <v/>
      </c>
      <c r="H219" s="118" t="n"/>
    </row>
    <row r="220" ht="15" customHeight="1" s="64">
      <c r="A220" s="112" t="n">
        <v>215</v>
      </c>
      <c r="B220" s="118" t="n"/>
      <c r="C220" s="118" t="n"/>
      <c r="D220" s="118" t="n"/>
      <c r="E220" s="115">
        <f>IF(C220="","",IFERROR(C220/MOTOR!$B$14,0))</f>
        <v/>
      </c>
      <c r="F220" s="116">
        <f>IF(C220="","",IFERROR((C220-MOTOR!$B$8)/MOTOR!$B$11,0))</f>
        <v/>
      </c>
      <c r="G220" s="117">
        <f>IF(C220="","",IF(E220&lt;AYARLAR!$C$11,"AŞIRI DÜŞÜK",IF(E220&lt;AYARLAR!$C$12,"SINIRDA","GÜVENLİ")))</f>
        <v/>
      </c>
      <c r="H220" s="118" t="n"/>
    </row>
    <row r="221" ht="15" customHeight="1" s="64">
      <c r="A221" s="112" t="n">
        <v>216</v>
      </c>
      <c r="B221" s="118" t="n"/>
      <c r="C221" s="118" t="n"/>
      <c r="D221" s="118" t="n"/>
      <c r="E221" s="115">
        <f>IF(C221="","",IFERROR(C221/MOTOR!$B$14,0))</f>
        <v/>
      </c>
      <c r="F221" s="116">
        <f>IF(C221="","",IFERROR((C221-MOTOR!$B$8)/MOTOR!$B$11,0))</f>
        <v/>
      </c>
      <c r="G221" s="117">
        <f>IF(C221="","",IF(E221&lt;AYARLAR!$C$11,"AŞIRI DÜŞÜK",IF(E221&lt;AYARLAR!$C$12,"SINIRDA","GÜVENLİ")))</f>
        <v/>
      </c>
      <c r="H221" s="118" t="n"/>
    </row>
    <row r="222" ht="15" customHeight="1" s="64">
      <c r="A222" s="112" t="n">
        <v>217</v>
      </c>
      <c r="B222" s="118" t="n"/>
      <c r="C222" s="118" t="n"/>
      <c r="D222" s="118" t="n"/>
      <c r="E222" s="115">
        <f>IF(C222="","",IFERROR(C222/MOTOR!$B$14,0))</f>
        <v/>
      </c>
      <c r="F222" s="116">
        <f>IF(C222="","",IFERROR((C222-MOTOR!$B$8)/MOTOR!$B$11,0))</f>
        <v/>
      </c>
      <c r="G222" s="117">
        <f>IF(C222="","",IF(E222&lt;AYARLAR!$C$11,"AŞIRI DÜŞÜK",IF(E222&lt;AYARLAR!$C$12,"SINIRDA","GÜVENLİ")))</f>
        <v/>
      </c>
      <c r="H222" s="118" t="n"/>
    </row>
    <row r="223" ht="15" customHeight="1" s="64">
      <c r="A223" s="112" t="n">
        <v>218</v>
      </c>
      <c r="B223" s="118" t="n"/>
      <c r="C223" s="118" t="n"/>
      <c r="D223" s="118" t="n"/>
      <c r="E223" s="115">
        <f>IF(C223="","",IFERROR(C223/MOTOR!$B$14,0))</f>
        <v/>
      </c>
      <c r="F223" s="116">
        <f>IF(C223="","",IFERROR((C223-MOTOR!$B$8)/MOTOR!$B$11,0))</f>
        <v/>
      </c>
      <c r="G223" s="117">
        <f>IF(C223="","",IF(E223&lt;AYARLAR!$C$11,"AŞIRI DÜŞÜK",IF(E223&lt;AYARLAR!$C$12,"SINIRDA","GÜVENLİ")))</f>
        <v/>
      </c>
      <c r="H223" s="118" t="n"/>
    </row>
    <row r="224" ht="15" customHeight="1" s="64">
      <c r="A224" s="112" t="n">
        <v>219</v>
      </c>
      <c r="B224" s="118" t="n"/>
      <c r="C224" s="118" t="n"/>
      <c r="D224" s="118" t="n"/>
      <c r="E224" s="115">
        <f>IF(C224="","",IFERROR(C224/MOTOR!$B$14,0))</f>
        <v/>
      </c>
      <c r="F224" s="116">
        <f>IF(C224="","",IFERROR((C224-MOTOR!$B$8)/MOTOR!$B$11,0))</f>
        <v/>
      </c>
      <c r="G224" s="117">
        <f>IF(C224="","",IF(E224&lt;AYARLAR!$C$11,"AŞIRI DÜŞÜK",IF(E224&lt;AYARLAR!$C$12,"SINIRDA","GÜVENLİ")))</f>
        <v/>
      </c>
      <c r="H224" s="118" t="n"/>
    </row>
    <row r="225" ht="15" customHeight="1" s="64">
      <c r="A225" s="112" t="n">
        <v>220</v>
      </c>
      <c r="B225" s="118" t="n"/>
      <c r="C225" s="118" t="n"/>
      <c r="D225" s="118" t="n"/>
      <c r="E225" s="115">
        <f>IF(C225="","",IFERROR(C225/MOTOR!$B$14,0))</f>
        <v/>
      </c>
      <c r="F225" s="116">
        <f>IF(C225="","",IFERROR((C225-MOTOR!$B$8)/MOTOR!$B$11,0))</f>
        <v/>
      </c>
      <c r="G225" s="117">
        <f>IF(C225="","",IF(E225&lt;AYARLAR!$C$11,"AŞIRI DÜŞÜK",IF(E225&lt;AYARLAR!$C$12,"SINIRDA","GÜVENLİ")))</f>
        <v/>
      </c>
      <c r="H225" s="118" t="n"/>
    </row>
    <row r="226" ht="15" customHeight="1" s="64">
      <c r="A226" s="112" t="n">
        <v>221</v>
      </c>
      <c r="B226" s="118" t="n"/>
      <c r="C226" s="118" t="n"/>
      <c r="D226" s="118" t="n"/>
      <c r="E226" s="115">
        <f>IF(C226="","",IFERROR(C226/MOTOR!$B$14,0))</f>
        <v/>
      </c>
      <c r="F226" s="116">
        <f>IF(C226="","",IFERROR((C226-MOTOR!$B$8)/MOTOR!$B$11,0))</f>
        <v/>
      </c>
      <c r="G226" s="117">
        <f>IF(C226="","",IF(E226&lt;AYARLAR!$C$11,"AŞIRI DÜŞÜK",IF(E226&lt;AYARLAR!$C$12,"SINIRDA","GÜVENLİ")))</f>
        <v/>
      </c>
      <c r="H226" s="118" t="n"/>
    </row>
    <row r="227" ht="15" customHeight="1" s="64">
      <c r="A227" s="112" t="n">
        <v>222</v>
      </c>
      <c r="B227" s="118" t="n"/>
      <c r="C227" s="118" t="n"/>
      <c r="D227" s="118" t="n"/>
      <c r="E227" s="115">
        <f>IF(C227="","",IFERROR(C227/MOTOR!$B$14,0))</f>
        <v/>
      </c>
      <c r="F227" s="116">
        <f>IF(C227="","",IFERROR((C227-MOTOR!$B$8)/MOTOR!$B$11,0))</f>
        <v/>
      </c>
      <c r="G227" s="117">
        <f>IF(C227="","",IF(E227&lt;AYARLAR!$C$11,"AŞIRI DÜŞÜK",IF(E227&lt;AYARLAR!$C$12,"SINIRDA","GÜVENLİ")))</f>
        <v/>
      </c>
      <c r="H227" s="118" t="n"/>
    </row>
    <row r="228" ht="15" customHeight="1" s="64">
      <c r="A228" s="112" t="n">
        <v>223</v>
      </c>
      <c r="B228" s="118" t="n"/>
      <c r="C228" s="118" t="n"/>
      <c r="D228" s="118" t="n"/>
      <c r="E228" s="115">
        <f>IF(C228="","",IFERROR(C228/MOTOR!$B$14,0))</f>
        <v/>
      </c>
      <c r="F228" s="116">
        <f>IF(C228="","",IFERROR((C228-MOTOR!$B$8)/MOTOR!$B$11,0))</f>
        <v/>
      </c>
      <c r="G228" s="117">
        <f>IF(C228="","",IF(E228&lt;AYARLAR!$C$11,"AŞIRI DÜŞÜK",IF(E228&lt;AYARLAR!$C$12,"SINIRDA","GÜVENLİ")))</f>
        <v/>
      </c>
      <c r="H228" s="118" t="n"/>
    </row>
    <row r="229" ht="15" customHeight="1" s="64">
      <c r="A229" s="112" t="n">
        <v>224</v>
      </c>
      <c r="B229" s="118" t="n"/>
      <c r="C229" s="118" t="n"/>
      <c r="D229" s="118" t="n"/>
      <c r="E229" s="115">
        <f>IF(C229="","",IFERROR(C229/MOTOR!$B$14,0))</f>
        <v/>
      </c>
      <c r="F229" s="116">
        <f>IF(C229="","",IFERROR((C229-MOTOR!$B$8)/MOTOR!$B$11,0))</f>
        <v/>
      </c>
      <c r="G229" s="117">
        <f>IF(C229="","",IF(E229&lt;AYARLAR!$C$11,"AŞIRI DÜŞÜK",IF(E229&lt;AYARLAR!$C$12,"SINIRDA","GÜVENLİ")))</f>
        <v/>
      </c>
      <c r="H229" s="118" t="n"/>
    </row>
    <row r="230" ht="15" customHeight="1" s="64">
      <c r="A230" s="112" t="n">
        <v>225</v>
      </c>
      <c r="B230" s="118" t="n"/>
      <c r="C230" s="118" t="n"/>
      <c r="D230" s="118" t="n"/>
      <c r="E230" s="115">
        <f>IF(C230="","",IFERROR(C230/MOTOR!$B$14,0))</f>
        <v/>
      </c>
      <c r="F230" s="116">
        <f>IF(C230="","",IFERROR((C230-MOTOR!$B$8)/MOTOR!$B$11,0))</f>
        <v/>
      </c>
      <c r="G230" s="117">
        <f>IF(C230="","",IF(E230&lt;AYARLAR!$C$11,"AŞIRI DÜŞÜK",IF(E230&lt;AYARLAR!$C$12,"SINIRDA","GÜVENLİ")))</f>
        <v/>
      </c>
      <c r="H230" s="118" t="n"/>
    </row>
    <row r="231" ht="15" customHeight="1" s="64">
      <c r="A231" s="112" t="n">
        <v>226</v>
      </c>
      <c r="B231" s="118" t="n"/>
      <c r="C231" s="118" t="n"/>
      <c r="D231" s="118" t="n"/>
      <c r="E231" s="115">
        <f>IF(C231="","",IFERROR(C231/MOTOR!$B$14,0))</f>
        <v/>
      </c>
      <c r="F231" s="116">
        <f>IF(C231="","",IFERROR((C231-MOTOR!$B$8)/MOTOR!$B$11,0))</f>
        <v/>
      </c>
      <c r="G231" s="117">
        <f>IF(C231="","",IF(E231&lt;AYARLAR!$C$11,"AŞIRI DÜŞÜK",IF(E231&lt;AYARLAR!$C$12,"SINIRDA","GÜVENLİ")))</f>
        <v/>
      </c>
      <c r="H231" s="118" t="n"/>
    </row>
    <row r="232" ht="15" customHeight="1" s="64">
      <c r="A232" s="112" t="n">
        <v>227</v>
      </c>
      <c r="B232" s="118" t="n"/>
      <c r="C232" s="118" t="n"/>
      <c r="D232" s="118" t="n"/>
      <c r="E232" s="115">
        <f>IF(C232="","",IFERROR(C232/MOTOR!$B$14,0))</f>
        <v/>
      </c>
      <c r="F232" s="116">
        <f>IF(C232="","",IFERROR((C232-MOTOR!$B$8)/MOTOR!$B$11,0))</f>
        <v/>
      </c>
      <c r="G232" s="117">
        <f>IF(C232="","",IF(E232&lt;AYARLAR!$C$11,"AŞIRI DÜŞÜK",IF(E232&lt;AYARLAR!$C$12,"SINIRDA","GÜVENLİ")))</f>
        <v/>
      </c>
      <c r="H232" s="118" t="n"/>
    </row>
    <row r="233" ht="15" customHeight="1" s="64">
      <c r="A233" s="112" t="n">
        <v>228</v>
      </c>
      <c r="B233" s="118" t="n"/>
      <c r="C233" s="118" t="n"/>
      <c r="D233" s="118" t="n"/>
      <c r="E233" s="115">
        <f>IF(C233="","",IFERROR(C233/MOTOR!$B$14,0))</f>
        <v/>
      </c>
      <c r="F233" s="116">
        <f>IF(C233="","",IFERROR((C233-MOTOR!$B$8)/MOTOR!$B$11,0))</f>
        <v/>
      </c>
      <c r="G233" s="117">
        <f>IF(C233="","",IF(E233&lt;AYARLAR!$C$11,"AŞIRI DÜŞÜK",IF(E233&lt;AYARLAR!$C$12,"SINIRDA","GÜVENLİ")))</f>
        <v/>
      </c>
      <c r="H233" s="118" t="n"/>
    </row>
    <row r="234" ht="15" customHeight="1" s="64">
      <c r="A234" s="112" t="n">
        <v>229</v>
      </c>
      <c r="B234" s="118" t="n"/>
      <c r="C234" s="118" t="n"/>
      <c r="D234" s="118" t="n"/>
      <c r="E234" s="115">
        <f>IF(C234="","",IFERROR(C234/MOTOR!$B$14,0))</f>
        <v/>
      </c>
      <c r="F234" s="116">
        <f>IF(C234="","",IFERROR((C234-MOTOR!$B$8)/MOTOR!$B$11,0))</f>
        <v/>
      </c>
      <c r="G234" s="117">
        <f>IF(C234="","",IF(E234&lt;AYARLAR!$C$11,"AŞIRI DÜŞÜK",IF(E234&lt;AYARLAR!$C$12,"SINIRDA","GÜVENLİ")))</f>
        <v/>
      </c>
      <c r="H234" s="118" t="n"/>
    </row>
    <row r="235" ht="15" customHeight="1" s="64">
      <c r="A235" s="112" t="n">
        <v>230</v>
      </c>
      <c r="B235" s="118" t="n"/>
      <c r="C235" s="118" t="n"/>
      <c r="D235" s="118" t="n"/>
      <c r="E235" s="115">
        <f>IF(C235="","",IFERROR(C235/MOTOR!$B$14,0))</f>
        <v/>
      </c>
      <c r="F235" s="116">
        <f>IF(C235="","",IFERROR((C235-MOTOR!$B$8)/MOTOR!$B$11,0))</f>
        <v/>
      </c>
      <c r="G235" s="117">
        <f>IF(C235="","",IF(E235&lt;AYARLAR!$C$11,"AŞIRI DÜŞÜK",IF(E235&lt;AYARLAR!$C$12,"SINIRDA","GÜVENLİ")))</f>
        <v/>
      </c>
      <c r="H235" s="118" t="n"/>
    </row>
    <row r="236" ht="15" customHeight="1" s="64">
      <c r="A236" s="112" t="n">
        <v>231</v>
      </c>
      <c r="B236" s="118" t="n"/>
      <c r="C236" s="118" t="n"/>
      <c r="D236" s="118" t="n"/>
      <c r="E236" s="115">
        <f>IF(C236="","",IFERROR(C236/MOTOR!$B$14,0))</f>
        <v/>
      </c>
      <c r="F236" s="116">
        <f>IF(C236="","",IFERROR((C236-MOTOR!$B$8)/MOTOR!$B$11,0))</f>
        <v/>
      </c>
      <c r="G236" s="117">
        <f>IF(C236="","",IF(E236&lt;AYARLAR!$C$11,"AŞIRI DÜŞÜK",IF(E236&lt;AYARLAR!$C$12,"SINIRDA","GÜVENLİ")))</f>
        <v/>
      </c>
      <c r="H236" s="118" t="n"/>
    </row>
    <row r="237" ht="15" customHeight="1" s="64">
      <c r="A237" s="112" t="n">
        <v>232</v>
      </c>
      <c r="B237" s="118" t="n"/>
      <c r="C237" s="118" t="n"/>
      <c r="D237" s="118" t="n"/>
      <c r="E237" s="115">
        <f>IF(C237="","",IFERROR(C237/MOTOR!$B$14,0))</f>
        <v/>
      </c>
      <c r="F237" s="116">
        <f>IF(C237="","",IFERROR((C237-MOTOR!$B$8)/MOTOR!$B$11,0))</f>
        <v/>
      </c>
      <c r="G237" s="117">
        <f>IF(C237="","",IF(E237&lt;AYARLAR!$C$11,"AŞIRI DÜŞÜK",IF(E237&lt;AYARLAR!$C$12,"SINIRDA","GÜVENLİ")))</f>
        <v/>
      </c>
      <c r="H237" s="118" t="n"/>
    </row>
    <row r="238" ht="15" customHeight="1" s="64">
      <c r="A238" s="112" t="n">
        <v>233</v>
      </c>
      <c r="B238" s="118" t="n"/>
      <c r="C238" s="118" t="n"/>
      <c r="D238" s="118" t="n"/>
      <c r="E238" s="115">
        <f>IF(C238="","",IFERROR(C238/MOTOR!$B$14,0))</f>
        <v/>
      </c>
      <c r="F238" s="116">
        <f>IF(C238="","",IFERROR((C238-MOTOR!$B$8)/MOTOR!$B$11,0))</f>
        <v/>
      </c>
      <c r="G238" s="117">
        <f>IF(C238="","",IF(E238&lt;AYARLAR!$C$11,"AŞIRI DÜŞÜK",IF(E238&lt;AYARLAR!$C$12,"SINIRDA","GÜVENLİ")))</f>
        <v/>
      </c>
      <c r="H238" s="118" t="n"/>
    </row>
    <row r="239" ht="15" customHeight="1" s="64">
      <c r="A239" s="112" t="n">
        <v>234</v>
      </c>
      <c r="B239" s="118" t="n"/>
      <c r="C239" s="118" t="n"/>
      <c r="D239" s="118" t="n"/>
      <c r="E239" s="115">
        <f>IF(C239="","",IFERROR(C239/MOTOR!$B$14,0))</f>
        <v/>
      </c>
      <c r="F239" s="116">
        <f>IF(C239="","",IFERROR((C239-MOTOR!$B$8)/MOTOR!$B$11,0))</f>
        <v/>
      </c>
      <c r="G239" s="117">
        <f>IF(C239="","",IF(E239&lt;AYARLAR!$C$11,"AŞIRI DÜŞÜK",IF(E239&lt;AYARLAR!$C$12,"SINIRDA","GÜVENLİ")))</f>
        <v/>
      </c>
      <c r="H239" s="118" t="n"/>
    </row>
    <row r="240" ht="15" customHeight="1" s="64">
      <c r="A240" s="112" t="n">
        <v>235</v>
      </c>
      <c r="B240" s="118" t="n"/>
      <c r="C240" s="118" t="n"/>
      <c r="D240" s="118" t="n"/>
      <c r="E240" s="115">
        <f>IF(C240="","",IFERROR(C240/MOTOR!$B$14,0))</f>
        <v/>
      </c>
      <c r="F240" s="116">
        <f>IF(C240="","",IFERROR((C240-MOTOR!$B$8)/MOTOR!$B$11,0))</f>
        <v/>
      </c>
      <c r="G240" s="117">
        <f>IF(C240="","",IF(E240&lt;AYARLAR!$C$11,"AŞIRI DÜŞÜK",IF(E240&lt;AYARLAR!$C$12,"SINIRDA","GÜVENLİ")))</f>
        <v/>
      </c>
      <c r="H240" s="118" t="n"/>
    </row>
    <row r="241" ht="15" customHeight="1" s="64">
      <c r="A241" s="112" t="n">
        <v>236</v>
      </c>
      <c r="B241" s="118" t="n"/>
      <c r="C241" s="118" t="n"/>
      <c r="D241" s="118" t="n"/>
      <c r="E241" s="115">
        <f>IF(C241="","",IFERROR(C241/MOTOR!$B$14,0))</f>
        <v/>
      </c>
      <c r="F241" s="116">
        <f>IF(C241="","",IFERROR((C241-MOTOR!$B$8)/MOTOR!$B$11,0))</f>
        <v/>
      </c>
      <c r="G241" s="117">
        <f>IF(C241="","",IF(E241&lt;AYARLAR!$C$11,"AŞIRI DÜŞÜK",IF(E241&lt;AYARLAR!$C$12,"SINIRDA","GÜVENLİ")))</f>
        <v/>
      </c>
      <c r="H241" s="118" t="n"/>
    </row>
    <row r="242" ht="15" customHeight="1" s="64">
      <c r="A242" s="112" t="n">
        <v>237</v>
      </c>
      <c r="B242" s="118" t="n"/>
      <c r="C242" s="118" t="n"/>
      <c r="D242" s="118" t="n"/>
      <c r="E242" s="115">
        <f>IF(C242="","",IFERROR(C242/MOTOR!$B$14,0))</f>
        <v/>
      </c>
      <c r="F242" s="116">
        <f>IF(C242="","",IFERROR((C242-MOTOR!$B$8)/MOTOR!$B$11,0))</f>
        <v/>
      </c>
      <c r="G242" s="117">
        <f>IF(C242="","",IF(E242&lt;AYARLAR!$C$11,"AŞIRI DÜŞÜK",IF(E242&lt;AYARLAR!$C$12,"SINIRDA","GÜVENLİ")))</f>
        <v/>
      </c>
      <c r="H242" s="118" t="n"/>
    </row>
    <row r="243" ht="15" customHeight="1" s="64">
      <c r="A243" s="112" t="n">
        <v>238</v>
      </c>
      <c r="B243" s="118" t="n"/>
      <c r="C243" s="118" t="n"/>
      <c r="D243" s="118" t="n"/>
      <c r="E243" s="115">
        <f>IF(C243="","",IFERROR(C243/MOTOR!$B$14,0))</f>
        <v/>
      </c>
      <c r="F243" s="116">
        <f>IF(C243="","",IFERROR((C243-MOTOR!$B$8)/MOTOR!$B$11,0))</f>
        <v/>
      </c>
      <c r="G243" s="117">
        <f>IF(C243="","",IF(E243&lt;AYARLAR!$C$11,"AŞIRI DÜŞÜK",IF(E243&lt;AYARLAR!$C$12,"SINIRDA","GÜVENLİ")))</f>
        <v/>
      </c>
      <c r="H243" s="118" t="n"/>
    </row>
    <row r="244" ht="15" customHeight="1" s="64">
      <c r="A244" s="112" t="n">
        <v>239</v>
      </c>
      <c r="B244" s="118" t="n"/>
      <c r="C244" s="118" t="n"/>
      <c r="D244" s="118" t="n"/>
      <c r="E244" s="115">
        <f>IF(C244="","",IFERROR(C244/MOTOR!$B$14,0))</f>
        <v/>
      </c>
      <c r="F244" s="116">
        <f>IF(C244="","",IFERROR((C244-MOTOR!$B$8)/MOTOR!$B$11,0))</f>
        <v/>
      </c>
      <c r="G244" s="117">
        <f>IF(C244="","",IF(E244&lt;AYARLAR!$C$11,"AŞIRI DÜŞÜK",IF(E244&lt;AYARLAR!$C$12,"SINIRDA","GÜVENLİ")))</f>
        <v/>
      </c>
      <c r="H244" s="118" t="n"/>
    </row>
    <row r="245" ht="15" customHeight="1" s="64">
      <c r="A245" s="112" t="n">
        <v>240</v>
      </c>
      <c r="B245" s="118" t="n"/>
      <c r="C245" s="118" t="n"/>
      <c r="D245" s="118" t="n"/>
      <c r="E245" s="115">
        <f>IF(C245="","",IFERROR(C245/MOTOR!$B$14,0))</f>
        <v/>
      </c>
      <c r="F245" s="116">
        <f>IF(C245="","",IFERROR((C245-MOTOR!$B$8)/MOTOR!$B$11,0))</f>
        <v/>
      </c>
      <c r="G245" s="117">
        <f>IF(C245="","",IF(E245&lt;AYARLAR!$C$11,"AŞIRI DÜŞÜK",IF(E245&lt;AYARLAR!$C$12,"SINIRDA","GÜVENLİ")))</f>
        <v/>
      </c>
      <c r="H245" s="118" t="n"/>
    </row>
    <row r="246" ht="15" customHeight="1" s="64">
      <c r="A246" s="112" t="n">
        <v>241</v>
      </c>
      <c r="B246" s="118" t="n"/>
      <c r="C246" s="118" t="n"/>
      <c r="D246" s="118" t="n"/>
      <c r="E246" s="115">
        <f>IF(C246="","",IFERROR(C246/MOTOR!$B$14,0))</f>
        <v/>
      </c>
      <c r="F246" s="116">
        <f>IF(C246="","",IFERROR((C246-MOTOR!$B$8)/MOTOR!$B$11,0))</f>
        <v/>
      </c>
      <c r="G246" s="117">
        <f>IF(C246="","",IF(E246&lt;AYARLAR!$C$11,"AŞIRI DÜŞÜK",IF(E246&lt;AYARLAR!$C$12,"SINIRDA","GÜVENLİ")))</f>
        <v/>
      </c>
      <c r="H246" s="118" t="n"/>
    </row>
    <row r="247" ht="15" customHeight="1" s="64">
      <c r="A247" s="112" t="n">
        <v>242</v>
      </c>
      <c r="B247" s="118" t="n"/>
      <c r="C247" s="118" t="n"/>
      <c r="D247" s="118" t="n"/>
      <c r="E247" s="115">
        <f>IF(C247="","",IFERROR(C247/MOTOR!$B$14,0))</f>
        <v/>
      </c>
      <c r="F247" s="116">
        <f>IF(C247="","",IFERROR((C247-MOTOR!$B$8)/MOTOR!$B$11,0))</f>
        <v/>
      </c>
      <c r="G247" s="117">
        <f>IF(C247="","",IF(E247&lt;AYARLAR!$C$11,"AŞIRI DÜŞÜK",IF(E247&lt;AYARLAR!$C$12,"SINIRDA","GÜVENLİ")))</f>
        <v/>
      </c>
      <c r="H247" s="118" t="n"/>
    </row>
    <row r="248" ht="15" customHeight="1" s="64">
      <c r="A248" s="112" t="n">
        <v>243</v>
      </c>
      <c r="B248" s="118" t="n"/>
      <c r="C248" s="118" t="n"/>
      <c r="D248" s="118" t="n"/>
      <c r="E248" s="115">
        <f>IF(C248="","",IFERROR(C248/MOTOR!$B$14,0))</f>
        <v/>
      </c>
      <c r="F248" s="116">
        <f>IF(C248="","",IFERROR((C248-MOTOR!$B$8)/MOTOR!$B$11,0))</f>
        <v/>
      </c>
      <c r="G248" s="117">
        <f>IF(C248="","",IF(E248&lt;AYARLAR!$C$11,"AŞIRI DÜŞÜK",IF(E248&lt;AYARLAR!$C$12,"SINIRDA","GÜVENLİ")))</f>
        <v/>
      </c>
      <c r="H248" s="118" t="n"/>
    </row>
    <row r="249" ht="15" customHeight="1" s="64">
      <c r="A249" s="112" t="n">
        <v>244</v>
      </c>
      <c r="B249" s="118" t="n"/>
      <c r="C249" s="118" t="n"/>
      <c r="D249" s="118" t="n"/>
      <c r="E249" s="115">
        <f>IF(C249="","",IFERROR(C249/MOTOR!$B$14,0))</f>
        <v/>
      </c>
      <c r="F249" s="116">
        <f>IF(C249="","",IFERROR((C249-MOTOR!$B$8)/MOTOR!$B$11,0))</f>
        <v/>
      </c>
      <c r="G249" s="117">
        <f>IF(C249="","",IF(E249&lt;AYARLAR!$C$11,"AŞIRI DÜŞÜK",IF(E249&lt;AYARLAR!$C$12,"SINIRDA","GÜVENLİ")))</f>
        <v/>
      </c>
      <c r="H249" s="118" t="n"/>
    </row>
    <row r="250" ht="15" customHeight="1" s="64">
      <c r="A250" s="112" t="n">
        <v>245</v>
      </c>
      <c r="B250" s="118" t="n"/>
      <c r="C250" s="118" t="n"/>
      <c r="D250" s="118" t="n"/>
      <c r="E250" s="115">
        <f>IF(C250="","",IFERROR(C250/MOTOR!$B$14,0))</f>
        <v/>
      </c>
      <c r="F250" s="116">
        <f>IF(C250="","",IFERROR((C250-MOTOR!$B$8)/MOTOR!$B$11,0))</f>
        <v/>
      </c>
      <c r="G250" s="117">
        <f>IF(C250="","",IF(E250&lt;AYARLAR!$C$11,"AŞIRI DÜŞÜK",IF(E250&lt;AYARLAR!$C$12,"SINIRDA","GÜVENLİ")))</f>
        <v/>
      </c>
      <c r="H250" s="118" t="n"/>
    </row>
    <row r="251" ht="15" customHeight="1" s="64">
      <c r="A251" s="112" t="n">
        <v>246</v>
      </c>
      <c r="B251" s="118" t="n"/>
      <c r="C251" s="118" t="n"/>
      <c r="D251" s="118" t="n"/>
      <c r="E251" s="115">
        <f>IF(C251="","",IFERROR(C251/MOTOR!$B$14,0))</f>
        <v/>
      </c>
      <c r="F251" s="116">
        <f>IF(C251="","",IFERROR((C251-MOTOR!$B$8)/MOTOR!$B$11,0))</f>
        <v/>
      </c>
      <c r="G251" s="117">
        <f>IF(C251="","",IF(E251&lt;AYARLAR!$C$11,"AŞIRI DÜŞÜK",IF(E251&lt;AYARLAR!$C$12,"SINIRDA","GÜVENLİ")))</f>
        <v/>
      </c>
      <c r="H251" s="118" t="n"/>
    </row>
    <row r="252" ht="15" customHeight="1" s="64">
      <c r="A252" s="112" t="n">
        <v>247</v>
      </c>
      <c r="B252" s="118" t="n"/>
      <c r="C252" s="118" t="n"/>
      <c r="D252" s="118" t="n"/>
      <c r="E252" s="115">
        <f>IF(C252="","",IFERROR(C252/MOTOR!$B$14,0))</f>
        <v/>
      </c>
      <c r="F252" s="116">
        <f>IF(C252="","",IFERROR((C252-MOTOR!$B$8)/MOTOR!$B$11,0))</f>
        <v/>
      </c>
      <c r="G252" s="117">
        <f>IF(C252="","",IF(E252&lt;AYARLAR!$C$11,"AŞIRI DÜŞÜK",IF(E252&lt;AYARLAR!$C$12,"SINIRDA","GÜVENLİ")))</f>
        <v/>
      </c>
      <c r="H252" s="118" t="n"/>
    </row>
    <row r="253" ht="15" customHeight="1" s="64">
      <c r="A253" s="112" t="n">
        <v>248</v>
      </c>
      <c r="B253" s="118" t="n"/>
      <c r="C253" s="118" t="n"/>
      <c r="D253" s="118" t="n"/>
      <c r="E253" s="115">
        <f>IF(C253="","",IFERROR(C253/MOTOR!$B$14,0))</f>
        <v/>
      </c>
      <c r="F253" s="116">
        <f>IF(C253="","",IFERROR((C253-MOTOR!$B$8)/MOTOR!$B$11,0))</f>
        <v/>
      </c>
      <c r="G253" s="117">
        <f>IF(C253="","",IF(E253&lt;AYARLAR!$C$11,"AŞIRI DÜŞÜK",IF(E253&lt;AYARLAR!$C$12,"SINIRDA","GÜVENLİ")))</f>
        <v/>
      </c>
      <c r="H253" s="118" t="n"/>
    </row>
    <row r="254" ht="15" customHeight="1" s="64">
      <c r="A254" s="112" t="n">
        <v>249</v>
      </c>
      <c r="B254" s="118" t="n"/>
      <c r="C254" s="118" t="n"/>
      <c r="D254" s="118" t="n"/>
      <c r="E254" s="115">
        <f>IF(C254="","",IFERROR(C254/MOTOR!$B$14,0))</f>
        <v/>
      </c>
      <c r="F254" s="116">
        <f>IF(C254="","",IFERROR((C254-MOTOR!$B$8)/MOTOR!$B$11,0))</f>
        <v/>
      </c>
      <c r="G254" s="117">
        <f>IF(C254="","",IF(E254&lt;AYARLAR!$C$11,"AŞIRI DÜŞÜK",IF(E254&lt;AYARLAR!$C$12,"SINIRDA","GÜVENLİ")))</f>
        <v/>
      </c>
      <c r="H254" s="118" t="n"/>
    </row>
    <row r="255" ht="15" customHeight="1" s="64">
      <c r="A255" s="112" t="n">
        <v>250</v>
      </c>
      <c r="B255" s="118" t="n"/>
      <c r="C255" s="118" t="n"/>
      <c r="D255" s="118" t="n"/>
      <c r="E255" s="115">
        <f>IF(C255="","",IFERROR(C255/MOTOR!$B$14,0))</f>
        <v/>
      </c>
      <c r="F255" s="116">
        <f>IF(C255="","",IFERROR((C255-MOTOR!$B$8)/MOTOR!$B$11,0))</f>
        <v/>
      </c>
      <c r="G255" s="117">
        <f>IF(C255="","",IF(E255&lt;AYARLAR!$C$11,"AŞIRI DÜŞÜK",IF(E255&lt;AYARLAR!$C$12,"SINIRDA","GÜVENLİ")))</f>
        <v/>
      </c>
      <c r="H255" s="118" t="n"/>
    </row>
    <row r="256" ht="15" customHeight="1" s="64">
      <c r="A256" s="112" t="n">
        <v>251</v>
      </c>
      <c r="B256" s="118" t="n"/>
      <c r="C256" s="118" t="n"/>
      <c r="D256" s="118" t="n"/>
      <c r="E256" s="115">
        <f>IF(C256="","",IFERROR(C256/MOTOR!$B$14,0))</f>
        <v/>
      </c>
      <c r="F256" s="116">
        <f>IF(C256="","",IFERROR((C256-MOTOR!$B$8)/MOTOR!$B$11,0))</f>
        <v/>
      </c>
      <c r="G256" s="117">
        <f>IF(C256="","",IF(E256&lt;AYARLAR!$C$11,"AŞIRI DÜŞÜK",IF(E256&lt;AYARLAR!$C$12,"SINIRDA","GÜVENLİ")))</f>
        <v/>
      </c>
      <c r="H256" s="118" t="n"/>
    </row>
    <row r="257" ht="15" customHeight="1" s="64">
      <c r="A257" s="112" t="n">
        <v>252</v>
      </c>
      <c r="B257" s="118" t="n"/>
      <c r="C257" s="118" t="n"/>
      <c r="D257" s="118" t="n"/>
      <c r="E257" s="115">
        <f>IF(C257="","",IFERROR(C257/MOTOR!$B$14,0))</f>
        <v/>
      </c>
      <c r="F257" s="116">
        <f>IF(C257="","",IFERROR((C257-MOTOR!$B$8)/MOTOR!$B$11,0))</f>
        <v/>
      </c>
      <c r="G257" s="117">
        <f>IF(C257="","",IF(E257&lt;AYARLAR!$C$11,"AŞIRI DÜŞÜK",IF(E257&lt;AYARLAR!$C$12,"SINIRDA","GÜVENLİ")))</f>
        <v/>
      </c>
      <c r="H257" s="118" t="n"/>
    </row>
    <row r="258" ht="15" customHeight="1" s="64">
      <c r="A258" s="112" t="n">
        <v>253</v>
      </c>
      <c r="B258" s="118" t="n"/>
      <c r="C258" s="118" t="n"/>
      <c r="D258" s="118" t="n"/>
      <c r="E258" s="115">
        <f>IF(C258="","",IFERROR(C258/MOTOR!$B$14,0))</f>
        <v/>
      </c>
      <c r="F258" s="116">
        <f>IF(C258="","",IFERROR((C258-MOTOR!$B$8)/MOTOR!$B$11,0))</f>
        <v/>
      </c>
      <c r="G258" s="117">
        <f>IF(C258="","",IF(E258&lt;AYARLAR!$C$11,"AŞIRI DÜŞÜK",IF(E258&lt;AYARLAR!$C$12,"SINIRDA","GÜVENLİ")))</f>
        <v/>
      </c>
      <c r="H258" s="118" t="n"/>
    </row>
    <row r="259" ht="15" customHeight="1" s="64">
      <c r="A259" s="112" t="n">
        <v>254</v>
      </c>
      <c r="B259" s="118" t="n"/>
      <c r="C259" s="118" t="n"/>
      <c r="D259" s="118" t="n"/>
      <c r="E259" s="115">
        <f>IF(C259="","",IFERROR(C259/MOTOR!$B$14,0))</f>
        <v/>
      </c>
      <c r="F259" s="116">
        <f>IF(C259="","",IFERROR((C259-MOTOR!$B$8)/MOTOR!$B$11,0))</f>
        <v/>
      </c>
      <c r="G259" s="117">
        <f>IF(C259="","",IF(E259&lt;AYARLAR!$C$11,"AŞIRI DÜŞÜK",IF(E259&lt;AYARLAR!$C$12,"SINIRDA","GÜVENLİ")))</f>
        <v/>
      </c>
      <c r="H259" s="118" t="n"/>
    </row>
    <row r="260" ht="15" customHeight="1" s="64">
      <c r="A260" s="112" t="n">
        <v>255</v>
      </c>
      <c r="B260" s="118" t="n"/>
      <c r="C260" s="118" t="n"/>
      <c r="D260" s="118" t="n"/>
      <c r="E260" s="115">
        <f>IF(C260="","",IFERROR(C260/MOTOR!$B$14,0))</f>
        <v/>
      </c>
      <c r="F260" s="116">
        <f>IF(C260="","",IFERROR((C260-MOTOR!$B$8)/MOTOR!$B$11,0))</f>
        <v/>
      </c>
      <c r="G260" s="117">
        <f>IF(C260="","",IF(E260&lt;AYARLAR!$C$11,"AŞIRI DÜŞÜK",IF(E260&lt;AYARLAR!$C$12,"SINIRDA","GÜVENLİ")))</f>
        <v/>
      </c>
      <c r="H260" s="118" t="n"/>
    </row>
    <row r="261" ht="15" customHeight="1" s="64">
      <c r="A261" s="112" t="n">
        <v>256</v>
      </c>
      <c r="B261" s="118" t="n"/>
      <c r="C261" s="118" t="n"/>
      <c r="D261" s="118" t="n"/>
      <c r="E261" s="115">
        <f>IF(C261="","",IFERROR(C261/MOTOR!$B$14,0))</f>
        <v/>
      </c>
      <c r="F261" s="116">
        <f>IF(C261="","",IFERROR((C261-MOTOR!$B$8)/MOTOR!$B$11,0))</f>
        <v/>
      </c>
      <c r="G261" s="117">
        <f>IF(C261="","",IF(E261&lt;AYARLAR!$C$11,"AŞIRI DÜŞÜK",IF(E261&lt;AYARLAR!$C$12,"SINIRDA","GÜVENLİ")))</f>
        <v/>
      </c>
      <c r="H261" s="118" t="n"/>
    </row>
    <row r="262" ht="15" customHeight="1" s="64">
      <c r="A262" s="112" t="n">
        <v>257</v>
      </c>
      <c r="B262" s="118" t="n"/>
      <c r="C262" s="118" t="n"/>
      <c r="D262" s="118" t="n"/>
      <c r="E262" s="115">
        <f>IF(C262="","",IFERROR(C262/MOTOR!$B$14,0))</f>
        <v/>
      </c>
      <c r="F262" s="116">
        <f>IF(C262="","",IFERROR((C262-MOTOR!$B$8)/MOTOR!$B$11,0))</f>
        <v/>
      </c>
      <c r="G262" s="117">
        <f>IF(C262="","",IF(E262&lt;AYARLAR!$C$11,"AŞIRI DÜŞÜK",IF(E262&lt;AYARLAR!$C$12,"SINIRDA","GÜVENLİ")))</f>
        <v/>
      </c>
      <c r="H262" s="118" t="n"/>
    </row>
    <row r="263" ht="15" customHeight="1" s="64">
      <c r="A263" s="112" t="n">
        <v>258</v>
      </c>
      <c r="B263" s="118" t="n"/>
      <c r="C263" s="118" t="n"/>
      <c r="D263" s="118" t="n"/>
      <c r="E263" s="115">
        <f>IF(C263="","",IFERROR(C263/MOTOR!$B$14,0))</f>
        <v/>
      </c>
      <c r="F263" s="116">
        <f>IF(C263="","",IFERROR((C263-MOTOR!$B$8)/MOTOR!$B$11,0))</f>
        <v/>
      </c>
      <c r="G263" s="117">
        <f>IF(C263="","",IF(E263&lt;AYARLAR!$C$11,"AŞIRI DÜŞÜK",IF(E263&lt;AYARLAR!$C$12,"SINIRDA","GÜVENLİ")))</f>
        <v/>
      </c>
      <c r="H263" s="118" t="n"/>
    </row>
    <row r="264" ht="15" customHeight="1" s="64">
      <c r="A264" s="112" t="n">
        <v>259</v>
      </c>
      <c r="B264" s="118" t="n"/>
      <c r="C264" s="118" t="n"/>
      <c r="D264" s="118" t="n"/>
      <c r="E264" s="115">
        <f>IF(C264="","",IFERROR(C264/MOTOR!$B$14,0))</f>
        <v/>
      </c>
      <c r="F264" s="116">
        <f>IF(C264="","",IFERROR((C264-MOTOR!$B$8)/MOTOR!$B$11,0))</f>
        <v/>
      </c>
      <c r="G264" s="117">
        <f>IF(C264="","",IF(E264&lt;AYARLAR!$C$11,"AŞIRI DÜŞÜK",IF(E264&lt;AYARLAR!$C$12,"SINIRDA","GÜVENLİ")))</f>
        <v/>
      </c>
      <c r="H264" s="118" t="n"/>
    </row>
    <row r="265" ht="15" customHeight="1" s="64">
      <c r="A265" s="112" t="n">
        <v>260</v>
      </c>
      <c r="B265" s="118" t="n"/>
      <c r="C265" s="118" t="n"/>
      <c r="D265" s="118" t="n"/>
      <c r="E265" s="115">
        <f>IF(C265="","",IFERROR(C265/MOTOR!$B$14,0))</f>
        <v/>
      </c>
      <c r="F265" s="116">
        <f>IF(C265="","",IFERROR((C265-MOTOR!$B$8)/MOTOR!$B$11,0))</f>
        <v/>
      </c>
      <c r="G265" s="117">
        <f>IF(C265="","",IF(E265&lt;AYARLAR!$C$11,"AŞIRI DÜŞÜK",IF(E265&lt;AYARLAR!$C$12,"SINIRDA","GÜVENLİ")))</f>
        <v/>
      </c>
      <c r="H265" s="118" t="n"/>
    </row>
    <row r="266" ht="15" customHeight="1" s="64">
      <c r="A266" s="112" t="n">
        <v>261</v>
      </c>
      <c r="B266" s="118" t="n"/>
      <c r="C266" s="118" t="n"/>
      <c r="D266" s="118" t="n"/>
      <c r="E266" s="115">
        <f>IF(C266="","",IFERROR(C266/MOTOR!$B$14,0))</f>
        <v/>
      </c>
      <c r="F266" s="116">
        <f>IF(C266="","",IFERROR((C266-MOTOR!$B$8)/MOTOR!$B$11,0))</f>
        <v/>
      </c>
      <c r="G266" s="117">
        <f>IF(C266="","",IF(E266&lt;AYARLAR!$C$11,"AŞIRI DÜŞÜK",IF(E266&lt;AYARLAR!$C$12,"SINIRDA","GÜVENLİ")))</f>
        <v/>
      </c>
      <c r="H266" s="118" t="n"/>
    </row>
    <row r="267" ht="15" customHeight="1" s="64">
      <c r="A267" s="112" t="n">
        <v>262</v>
      </c>
      <c r="B267" s="118" t="n"/>
      <c r="C267" s="118" t="n"/>
      <c r="D267" s="118" t="n"/>
      <c r="E267" s="115">
        <f>IF(C267="","",IFERROR(C267/MOTOR!$B$14,0))</f>
        <v/>
      </c>
      <c r="F267" s="116">
        <f>IF(C267="","",IFERROR((C267-MOTOR!$B$8)/MOTOR!$B$11,0))</f>
        <v/>
      </c>
      <c r="G267" s="117">
        <f>IF(C267="","",IF(E267&lt;AYARLAR!$C$11,"AŞIRI DÜŞÜK",IF(E267&lt;AYARLAR!$C$12,"SINIRDA","GÜVENLİ")))</f>
        <v/>
      </c>
      <c r="H267" s="118" t="n"/>
    </row>
    <row r="268" ht="15" customHeight="1" s="64">
      <c r="A268" s="112" t="n">
        <v>263</v>
      </c>
      <c r="B268" s="118" t="n"/>
      <c r="C268" s="118" t="n"/>
      <c r="D268" s="118" t="n"/>
      <c r="E268" s="115">
        <f>IF(C268="","",IFERROR(C268/MOTOR!$B$14,0))</f>
        <v/>
      </c>
      <c r="F268" s="116">
        <f>IF(C268="","",IFERROR((C268-MOTOR!$B$8)/MOTOR!$B$11,0))</f>
        <v/>
      </c>
      <c r="G268" s="117">
        <f>IF(C268="","",IF(E268&lt;AYARLAR!$C$11,"AŞIRI DÜŞÜK",IF(E268&lt;AYARLAR!$C$12,"SINIRDA","GÜVENLİ")))</f>
        <v/>
      </c>
      <c r="H268" s="118" t="n"/>
    </row>
    <row r="269" ht="15" customHeight="1" s="64">
      <c r="A269" s="112" t="n">
        <v>264</v>
      </c>
      <c r="B269" s="118" t="n"/>
      <c r="C269" s="118" t="n"/>
      <c r="D269" s="118" t="n"/>
      <c r="E269" s="115">
        <f>IF(C269="","",IFERROR(C269/MOTOR!$B$14,0))</f>
        <v/>
      </c>
      <c r="F269" s="116">
        <f>IF(C269="","",IFERROR((C269-MOTOR!$B$8)/MOTOR!$B$11,0))</f>
        <v/>
      </c>
      <c r="G269" s="117">
        <f>IF(C269="","",IF(E269&lt;AYARLAR!$C$11,"AŞIRI DÜŞÜK",IF(E269&lt;AYARLAR!$C$12,"SINIRDA","GÜVENLİ")))</f>
        <v/>
      </c>
      <c r="H269" s="118" t="n"/>
    </row>
    <row r="270" ht="15" customHeight="1" s="64">
      <c r="A270" s="112" t="n">
        <v>265</v>
      </c>
      <c r="B270" s="118" t="n"/>
      <c r="C270" s="118" t="n"/>
      <c r="D270" s="118" t="n"/>
      <c r="E270" s="115">
        <f>IF(C270="","",IFERROR(C270/MOTOR!$B$14,0))</f>
        <v/>
      </c>
      <c r="F270" s="116">
        <f>IF(C270="","",IFERROR((C270-MOTOR!$B$8)/MOTOR!$B$11,0))</f>
        <v/>
      </c>
      <c r="G270" s="117">
        <f>IF(C270="","",IF(E270&lt;AYARLAR!$C$11,"AŞIRI DÜŞÜK",IF(E270&lt;AYARLAR!$C$12,"SINIRDA","GÜVENLİ")))</f>
        <v/>
      </c>
      <c r="H270" s="118" t="n"/>
    </row>
    <row r="271" ht="15" customHeight="1" s="64">
      <c r="A271" s="112" t="n">
        <v>266</v>
      </c>
      <c r="B271" s="118" t="n"/>
      <c r="C271" s="118" t="n"/>
      <c r="D271" s="118" t="n"/>
      <c r="E271" s="115">
        <f>IF(C271="","",IFERROR(C271/MOTOR!$B$14,0))</f>
        <v/>
      </c>
      <c r="F271" s="116">
        <f>IF(C271="","",IFERROR((C271-MOTOR!$B$8)/MOTOR!$B$11,0))</f>
        <v/>
      </c>
      <c r="G271" s="117">
        <f>IF(C271="","",IF(E271&lt;AYARLAR!$C$11,"AŞIRI DÜŞÜK",IF(E271&lt;AYARLAR!$C$12,"SINIRDA","GÜVENLİ")))</f>
        <v/>
      </c>
      <c r="H271" s="118" t="n"/>
    </row>
    <row r="272" ht="15" customHeight="1" s="64">
      <c r="A272" s="112" t="n">
        <v>267</v>
      </c>
      <c r="B272" s="118" t="n"/>
      <c r="C272" s="118" t="n"/>
      <c r="D272" s="118" t="n"/>
      <c r="E272" s="115">
        <f>IF(C272="","",IFERROR(C272/MOTOR!$B$14,0))</f>
        <v/>
      </c>
      <c r="F272" s="116">
        <f>IF(C272="","",IFERROR((C272-MOTOR!$B$8)/MOTOR!$B$11,0))</f>
        <v/>
      </c>
      <c r="G272" s="117">
        <f>IF(C272="","",IF(E272&lt;AYARLAR!$C$11,"AŞIRI DÜŞÜK",IF(E272&lt;AYARLAR!$C$12,"SINIRDA","GÜVENLİ")))</f>
        <v/>
      </c>
      <c r="H272" s="118" t="n"/>
    </row>
    <row r="273" ht="15" customHeight="1" s="64">
      <c r="A273" s="112" t="n">
        <v>268</v>
      </c>
      <c r="B273" s="118" t="n"/>
      <c r="C273" s="118" t="n"/>
      <c r="D273" s="118" t="n"/>
      <c r="E273" s="115">
        <f>IF(C273="","",IFERROR(C273/MOTOR!$B$14,0))</f>
        <v/>
      </c>
      <c r="F273" s="116">
        <f>IF(C273="","",IFERROR((C273-MOTOR!$B$8)/MOTOR!$B$11,0))</f>
        <v/>
      </c>
      <c r="G273" s="117">
        <f>IF(C273="","",IF(E273&lt;AYARLAR!$C$11,"AŞIRI DÜŞÜK",IF(E273&lt;AYARLAR!$C$12,"SINIRDA","GÜVENLİ")))</f>
        <v/>
      </c>
      <c r="H273" s="118" t="n"/>
    </row>
    <row r="274" ht="15" customHeight="1" s="64">
      <c r="A274" s="112" t="n">
        <v>269</v>
      </c>
      <c r="B274" s="118" t="n"/>
      <c r="C274" s="118" t="n"/>
      <c r="D274" s="118" t="n"/>
      <c r="E274" s="115">
        <f>IF(C274="","",IFERROR(C274/MOTOR!$B$14,0))</f>
        <v/>
      </c>
      <c r="F274" s="116">
        <f>IF(C274="","",IFERROR((C274-MOTOR!$B$8)/MOTOR!$B$11,0))</f>
        <v/>
      </c>
      <c r="G274" s="117">
        <f>IF(C274="","",IF(E274&lt;AYARLAR!$C$11,"AŞIRI DÜŞÜK",IF(E274&lt;AYARLAR!$C$12,"SINIRDA","GÜVENLİ")))</f>
        <v/>
      </c>
      <c r="H274" s="118" t="n"/>
    </row>
    <row r="275" ht="15" customHeight="1" s="64">
      <c r="A275" s="112" t="n">
        <v>270</v>
      </c>
      <c r="B275" s="118" t="n"/>
      <c r="C275" s="118" t="n"/>
      <c r="D275" s="118" t="n"/>
      <c r="E275" s="115">
        <f>IF(C275="","",IFERROR(C275/MOTOR!$B$14,0))</f>
        <v/>
      </c>
      <c r="F275" s="116">
        <f>IF(C275="","",IFERROR((C275-MOTOR!$B$8)/MOTOR!$B$11,0))</f>
        <v/>
      </c>
      <c r="G275" s="117">
        <f>IF(C275="","",IF(E275&lt;AYARLAR!$C$11,"AŞIRI DÜŞÜK",IF(E275&lt;AYARLAR!$C$12,"SINIRDA","GÜVENLİ")))</f>
        <v/>
      </c>
      <c r="H275" s="118" t="n"/>
    </row>
    <row r="276" ht="15" customHeight="1" s="64">
      <c r="A276" s="112" t="n">
        <v>271</v>
      </c>
      <c r="B276" s="118" t="n"/>
      <c r="C276" s="118" t="n"/>
      <c r="D276" s="118" t="n"/>
      <c r="E276" s="115">
        <f>IF(C276="","",IFERROR(C276/MOTOR!$B$14,0))</f>
        <v/>
      </c>
      <c r="F276" s="116">
        <f>IF(C276="","",IFERROR((C276-MOTOR!$B$8)/MOTOR!$B$11,0))</f>
        <v/>
      </c>
      <c r="G276" s="117">
        <f>IF(C276="","",IF(E276&lt;AYARLAR!$C$11,"AŞIRI DÜŞÜK",IF(E276&lt;AYARLAR!$C$12,"SINIRDA","GÜVENLİ")))</f>
        <v/>
      </c>
      <c r="H276" s="118" t="n"/>
    </row>
    <row r="277" ht="15" customHeight="1" s="64">
      <c r="A277" s="112" t="n">
        <v>272</v>
      </c>
      <c r="B277" s="118" t="n"/>
      <c r="C277" s="118" t="n"/>
      <c r="D277" s="118" t="n"/>
      <c r="E277" s="115">
        <f>IF(C277="","",IFERROR(C277/MOTOR!$B$14,0))</f>
        <v/>
      </c>
      <c r="F277" s="116">
        <f>IF(C277="","",IFERROR((C277-MOTOR!$B$8)/MOTOR!$B$11,0))</f>
        <v/>
      </c>
      <c r="G277" s="117">
        <f>IF(C277="","",IF(E277&lt;AYARLAR!$C$11,"AŞIRI DÜŞÜK",IF(E277&lt;AYARLAR!$C$12,"SINIRDA","GÜVENLİ")))</f>
        <v/>
      </c>
      <c r="H277" s="118" t="n"/>
    </row>
    <row r="278" ht="15" customHeight="1" s="64">
      <c r="A278" s="112" t="n">
        <v>273</v>
      </c>
      <c r="B278" s="118" t="n"/>
      <c r="C278" s="118" t="n"/>
      <c r="D278" s="118" t="n"/>
      <c r="E278" s="115">
        <f>IF(C278="","",IFERROR(C278/MOTOR!$B$14,0))</f>
        <v/>
      </c>
      <c r="F278" s="116">
        <f>IF(C278="","",IFERROR((C278-MOTOR!$B$8)/MOTOR!$B$11,0))</f>
        <v/>
      </c>
      <c r="G278" s="117">
        <f>IF(C278="","",IF(E278&lt;AYARLAR!$C$11,"AŞIRI DÜŞÜK",IF(E278&lt;AYARLAR!$C$12,"SINIRDA","GÜVENLİ")))</f>
        <v/>
      </c>
      <c r="H278" s="118" t="n"/>
    </row>
    <row r="279" ht="15" customHeight="1" s="64">
      <c r="A279" s="112" t="n">
        <v>274</v>
      </c>
      <c r="B279" s="118" t="n"/>
      <c r="C279" s="118" t="n"/>
      <c r="D279" s="118" t="n"/>
      <c r="E279" s="115">
        <f>IF(C279="","",IFERROR(C279/MOTOR!$B$14,0))</f>
        <v/>
      </c>
      <c r="F279" s="116">
        <f>IF(C279="","",IFERROR((C279-MOTOR!$B$8)/MOTOR!$B$11,0))</f>
        <v/>
      </c>
      <c r="G279" s="117">
        <f>IF(C279="","",IF(E279&lt;AYARLAR!$C$11,"AŞIRI DÜŞÜK",IF(E279&lt;AYARLAR!$C$12,"SINIRDA","GÜVENLİ")))</f>
        <v/>
      </c>
      <c r="H279" s="118" t="n"/>
    </row>
    <row r="280" ht="15" customHeight="1" s="64">
      <c r="A280" s="112" t="n">
        <v>275</v>
      </c>
      <c r="B280" s="118" t="n"/>
      <c r="C280" s="118" t="n"/>
      <c r="D280" s="118" t="n"/>
      <c r="E280" s="115">
        <f>IF(C280="","",IFERROR(C280/MOTOR!$B$14,0))</f>
        <v/>
      </c>
      <c r="F280" s="116">
        <f>IF(C280="","",IFERROR((C280-MOTOR!$B$8)/MOTOR!$B$11,0))</f>
        <v/>
      </c>
      <c r="G280" s="117">
        <f>IF(C280="","",IF(E280&lt;AYARLAR!$C$11,"AŞIRI DÜŞÜK",IF(E280&lt;AYARLAR!$C$12,"SINIRDA","GÜVENLİ")))</f>
        <v/>
      </c>
      <c r="H280" s="118" t="n"/>
    </row>
    <row r="281" ht="15" customHeight="1" s="64">
      <c r="A281" s="112" t="n">
        <v>276</v>
      </c>
      <c r="B281" s="118" t="n"/>
      <c r="C281" s="118" t="n"/>
      <c r="D281" s="118" t="n"/>
      <c r="E281" s="115">
        <f>IF(C281="","",IFERROR(C281/MOTOR!$B$14,0))</f>
        <v/>
      </c>
      <c r="F281" s="116">
        <f>IF(C281="","",IFERROR((C281-MOTOR!$B$8)/MOTOR!$B$11,0))</f>
        <v/>
      </c>
      <c r="G281" s="117">
        <f>IF(C281="","",IF(E281&lt;AYARLAR!$C$11,"AŞIRI DÜŞÜK",IF(E281&lt;AYARLAR!$C$12,"SINIRDA","GÜVENLİ")))</f>
        <v/>
      </c>
      <c r="H281" s="118" t="n"/>
    </row>
    <row r="282" ht="15" customHeight="1" s="64">
      <c r="A282" s="112" t="n">
        <v>277</v>
      </c>
      <c r="B282" s="118" t="n"/>
      <c r="C282" s="118" t="n"/>
      <c r="D282" s="118" t="n"/>
      <c r="E282" s="115">
        <f>IF(C282="","",IFERROR(C282/MOTOR!$B$14,0))</f>
        <v/>
      </c>
      <c r="F282" s="116">
        <f>IF(C282="","",IFERROR((C282-MOTOR!$B$8)/MOTOR!$B$11,0))</f>
        <v/>
      </c>
      <c r="G282" s="117">
        <f>IF(C282="","",IF(E282&lt;AYARLAR!$C$11,"AŞIRI DÜŞÜK",IF(E282&lt;AYARLAR!$C$12,"SINIRDA","GÜVENLİ")))</f>
        <v/>
      </c>
      <c r="H282" s="118" t="n"/>
    </row>
    <row r="283" ht="15" customHeight="1" s="64">
      <c r="A283" s="112" t="n">
        <v>278</v>
      </c>
      <c r="B283" s="118" t="n"/>
      <c r="C283" s="118" t="n"/>
      <c r="D283" s="118" t="n"/>
      <c r="E283" s="115">
        <f>IF(C283="","",IFERROR(C283/MOTOR!$B$14,0))</f>
        <v/>
      </c>
      <c r="F283" s="116">
        <f>IF(C283="","",IFERROR((C283-MOTOR!$B$8)/MOTOR!$B$11,0))</f>
        <v/>
      </c>
      <c r="G283" s="117">
        <f>IF(C283="","",IF(E283&lt;AYARLAR!$C$11,"AŞIRI DÜŞÜK",IF(E283&lt;AYARLAR!$C$12,"SINIRDA","GÜVENLİ")))</f>
        <v/>
      </c>
      <c r="H283" s="118" t="n"/>
    </row>
    <row r="284" ht="15" customHeight="1" s="64">
      <c r="A284" s="112" t="n">
        <v>279</v>
      </c>
      <c r="B284" s="118" t="n"/>
      <c r="C284" s="118" t="n"/>
      <c r="D284" s="118" t="n"/>
      <c r="E284" s="115">
        <f>IF(C284="","",IFERROR(C284/MOTOR!$B$14,0))</f>
        <v/>
      </c>
      <c r="F284" s="116">
        <f>IF(C284="","",IFERROR((C284-MOTOR!$B$8)/MOTOR!$B$11,0))</f>
        <v/>
      </c>
      <c r="G284" s="117">
        <f>IF(C284="","",IF(E284&lt;AYARLAR!$C$11,"AŞIRI DÜŞÜK",IF(E284&lt;AYARLAR!$C$12,"SINIRDA","GÜVENLİ")))</f>
        <v/>
      </c>
      <c r="H284" s="118" t="n"/>
    </row>
    <row r="285" ht="15" customHeight="1" s="64">
      <c r="A285" s="112" t="n">
        <v>280</v>
      </c>
      <c r="B285" s="118" t="n"/>
      <c r="C285" s="118" t="n"/>
      <c r="D285" s="118" t="n"/>
      <c r="E285" s="115">
        <f>IF(C285="","",IFERROR(C285/MOTOR!$B$14,0))</f>
        <v/>
      </c>
      <c r="F285" s="116">
        <f>IF(C285="","",IFERROR((C285-MOTOR!$B$8)/MOTOR!$B$11,0))</f>
        <v/>
      </c>
      <c r="G285" s="117">
        <f>IF(C285="","",IF(E285&lt;AYARLAR!$C$11,"AŞIRI DÜŞÜK",IF(E285&lt;AYARLAR!$C$12,"SINIRDA","GÜVENLİ")))</f>
        <v/>
      </c>
      <c r="H285" s="118" t="n"/>
    </row>
    <row r="286" ht="15" customHeight="1" s="64">
      <c r="A286" s="112" t="n">
        <v>281</v>
      </c>
      <c r="B286" s="118" t="n"/>
      <c r="C286" s="118" t="n"/>
      <c r="D286" s="118" t="n"/>
      <c r="E286" s="115">
        <f>IF(C286="","",IFERROR(C286/MOTOR!$B$14,0))</f>
        <v/>
      </c>
      <c r="F286" s="116">
        <f>IF(C286="","",IFERROR((C286-MOTOR!$B$8)/MOTOR!$B$11,0))</f>
        <v/>
      </c>
      <c r="G286" s="117">
        <f>IF(C286="","",IF(E286&lt;AYARLAR!$C$11,"AŞIRI DÜŞÜK",IF(E286&lt;AYARLAR!$C$12,"SINIRDA","GÜVENLİ")))</f>
        <v/>
      </c>
      <c r="H286" s="118" t="n"/>
    </row>
    <row r="287" ht="15" customHeight="1" s="64">
      <c r="A287" s="112" t="n">
        <v>282</v>
      </c>
      <c r="B287" s="118" t="n"/>
      <c r="C287" s="118" t="n"/>
      <c r="D287" s="118" t="n"/>
      <c r="E287" s="115">
        <f>IF(C287="","",IFERROR(C287/MOTOR!$B$14,0))</f>
        <v/>
      </c>
      <c r="F287" s="116">
        <f>IF(C287="","",IFERROR((C287-MOTOR!$B$8)/MOTOR!$B$11,0))</f>
        <v/>
      </c>
      <c r="G287" s="117">
        <f>IF(C287="","",IF(E287&lt;AYARLAR!$C$11,"AŞIRI DÜŞÜK",IF(E287&lt;AYARLAR!$C$12,"SINIRDA","GÜVENLİ")))</f>
        <v/>
      </c>
      <c r="H287" s="118" t="n"/>
    </row>
    <row r="288" ht="15" customHeight="1" s="64">
      <c r="A288" s="112" t="n">
        <v>283</v>
      </c>
      <c r="B288" s="118" t="n"/>
      <c r="C288" s="118" t="n"/>
      <c r="D288" s="118" t="n"/>
      <c r="E288" s="115">
        <f>IF(C288="","",IFERROR(C288/MOTOR!$B$14,0))</f>
        <v/>
      </c>
      <c r="F288" s="116">
        <f>IF(C288="","",IFERROR((C288-MOTOR!$B$8)/MOTOR!$B$11,0))</f>
        <v/>
      </c>
      <c r="G288" s="117">
        <f>IF(C288="","",IF(E288&lt;AYARLAR!$C$11,"AŞIRI DÜŞÜK",IF(E288&lt;AYARLAR!$C$12,"SINIRDA","GÜVENLİ")))</f>
        <v/>
      </c>
      <c r="H288" s="118" t="n"/>
    </row>
    <row r="289" ht="15" customHeight="1" s="64">
      <c r="A289" s="112" t="n">
        <v>284</v>
      </c>
      <c r="B289" s="118" t="n"/>
      <c r="C289" s="118" t="n"/>
      <c r="D289" s="118" t="n"/>
      <c r="E289" s="115">
        <f>IF(C289="","",IFERROR(C289/MOTOR!$B$14,0))</f>
        <v/>
      </c>
      <c r="F289" s="116">
        <f>IF(C289="","",IFERROR((C289-MOTOR!$B$8)/MOTOR!$B$11,0))</f>
        <v/>
      </c>
      <c r="G289" s="117">
        <f>IF(C289="","",IF(E289&lt;AYARLAR!$C$11,"AŞIRI DÜŞÜK",IF(E289&lt;AYARLAR!$C$12,"SINIRDA","GÜVENLİ")))</f>
        <v/>
      </c>
      <c r="H289" s="118" t="n"/>
    </row>
    <row r="290" ht="15" customHeight="1" s="64">
      <c r="A290" s="112" t="n">
        <v>285</v>
      </c>
      <c r="B290" s="118" t="n"/>
      <c r="C290" s="118" t="n"/>
      <c r="D290" s="118" t="n"/>
      <c r="E290" s="115">
        <f>IF(C290="","",IFERROR(C290/MOTOR!$B$14,0))</f>
        <v/>
      </c>
      <c r="F290" s="116">
        <f>IF(C290="","",IFERROR((C290-MOTOR!$B$8)/MOTOR!$B$11,0))</f>
        <v/>
      </c>
      <c r="G290" s="117">
        <f>IF(C290="","",IF(E290&lt;AYARLAR!$C$11,"AŞIRI DÜŞÜK",IF(E290&lt;AYARLAR!$C$12,"SINIRDA","GÜVENLİ")))</f>
        <v/>
      </c>
      <c r="H290" s="118" t="n"/>
    </row>
    <row r="291" ht="15" customHeight="1" s="64">
      <c r="A291" s="112" t="n">
        <v>286</v>
      </c>
      <c r="B291" s="118" t="n"/>
      <c r="C291" s="118" t="n"/>
      <c r="D291" s="118" t="n"/>
      <c r="E291" s="115">
        <f>IF(C291="","",IFERROR(C291/MOTOR!$B$14,0))</f>
        <v/>
      </c>
      <c r="F291" s="116">
        <f>IF(C291="","",IFERROR((C291-MOTOR!$B$8)/MOTOR!$B$11,0))</f>
        <v/>
      </c>
      <c r="G291" s="117">
        <f>IF(C291="","",IF(E291&lt;AYARLAR!$C$11,"AŞIRI DÜŞÜK",IF(E291&lt;AYARLAR!$C$12,"SINIRDA","GÜVENLİ")))</f>
        <v/>
      </c>
      <c r="H291" s="118" t="n"/>
    </row>
    <row r="292" ht="15" customHeight="1" s="64">
      <c r="A292" s="112" t="n">
        <v>287</v>
      </c>
      <c r="B292" s="118" t="n"/>
      <c r="C292" s="118" t="n"/>
      <c r="D292" s="118" t="n"/>
      <c r="E292" s="115">
        <f>IF(C292="","",IFERROR(C292/MOTOR!$B$14,0))</f>
        <v/>
      </c>
      <c r="F292" s="116">
        <f>IF(C292="","",IFERROR((C292-MOTOR!$B$8)/MOTOR!$B$11,0))</f>
        <v/>
      </c>
      <c r="G292" s="117">
        <f>IF(C292="","",IF(E292&lt;AYARLAR!$C$11,"AŞIRI DÜŞÜK",IF(E292&lt;AYARLAR!$C$12,"SINIRDA","GÜVENLİ")))</f>
        <v/>
      </c>
      <c r="H292" s="118" t="n"/>
    </row>
    <row r="293" ht="15" customHeight="1" s="64">
      <c r="A293" s="112" t="n">
        <v>288</v>
      </c>
      <c r="B293" s="118" t="n"/>
      <c r="C293" s="118" t="n"/>
      <c r="D293" s="118" t="n"/>
      <c r="E293" s="115">
        <f>IF(C293="","",IFERROR(C293/MOTOR!$B$14,0))</f>
        <v/>
      </c>
      <c r="F293" s="116">
        <f>IF(C293="","",IFERROR((C293-MOTOR!$B$8)/MOTOR!$B$11,0))</f>
        <v/>
      </c>
      <c r="G293" s="117">
        <f>IF(C293="","",IF(E293&lt;AYARLAR!$C$11,"AŞIRI DÜŞÜK",IF(E293&lt;AYARLAR!$C$12,"SINIRDA","GÜVENLİ")))</f>
        <v/>
      </c>
      <c r="H293" s="118" t="n"/>
    </row>
    <row r="294" ht="15" customHeight="1" s="64">
      <c r="A294" s="112" t="n">
        <v>289</v>
      </c>
      <c r="B294" s="118" t="n"/>
      <c r="C294" s="118" t="n"/>
      <c r="D294" s="118" t="n"/>
      <c r="E294" s="115">
        <f>IF(C294="","",IFERROR(C294/MOTOR!$B$14,0))</f>
        <v/>
      </c>
      <c r="F294" s="116">
        <f>IF(C294="","",IFERROR((C294-MOTOR!$B$8)/MOTOR!$B$11,0))</f>
        <v/>
      </c>
      <c r="G294" s="117">
        <f>IF(C294="","",IF(E294&lt;AYARLAR!$C$11,"AŞIRI DÜŞÜK",IF(E294&lt;AYARLAR!$C$12,"SINIRDA","GÜVENLİ")))</f>
        <v/>
      </c>
      <c r="H294" s="118" t="n"/>
    </row>
    <row r="295" ht="15" customHeight="1" s="64">
      <c r="A295" s="112" t="n">
        <v>290</v>
      </c>
      <c r="B295" s="118" t="n"/>
      <c r="C295" s="118" t="n"/>
      <c r="D295" s="118" t="n"/>
      <c r="E295" s="115">
        <f>IF(C295="","",IFERROR(C295/MOTOR!$B$14,0))</f>
        <v/>
      </c>
      <c r="F295" s="116">
        <f>IF(C295="","",IFERROR((C295-MOTOR!$B$8)/MOTOR!$B$11,0))</f>
        <v/>
      </c>
      <c r="G295" s="117">
        <f>IF(C295="","",IF(E295&lt;AYARLAR!$C$11,"AŞIRI DÜŞÜK",IF(E295&lt;AYARLAR!$C$12,"SINIRDA","GÜVENLİ")))</f>
        <v/>
      </c>
      <c r="H295" s="118" t="n"/>
    </row>
    <row r="296" ht="15" customHeight="1" s="64">
      <c r="A296" s="112" t="n">
        <v>291</v>
      </c>
      <c r="B296" s="118" t="n"/>
      <c r="C296" s="118" t="n"/>
      <c r="D296" s="118" t="n"/>
      <c r="E296" s="115">
        <f>IF(C296="","",IFERROR(C296/MOTOR!$B$14,0))</f>
        <v/>
      </c>
      <c r="F296" s="116">
        <f>IF(C296="","",IFERROR((C296-MOTOR!$B$8)/MOTOR!$B$11,0))</f>
        <v/>
      </c>
      <c r="G296" s="117">
        <f>IF(C296="","",IF(E296&lt;AYARLAR!$C$11,"AŞIRI DÜŞÜK",IF(E296&lt;AYARLAR!$C$12,"SINIRDA","GÜVENLİ")))</f>
        <v/>
      </c>
      <c r="H296" s="118" t="n"/>
    </row>
    <row r="297" ht="15" customHeight="1" s="64">
      <c r="A297" s="112" t="n">
        <v>292</v>
      </c>
      <c r="B297" s="118" t="n"/>
      <c r="C297" s="118" t="n"/>
      <c r="D297" s="118" t="n"/>
      <c r="E297" s="115">
        <f>IF(C297="","",IFERROR(C297/MOTOR!$B$14,0))</f>
        <v/>
      </c>
      <c r="F297" s="116">
        <f>IF(C297="","",IFERROR((C297-MOTOR!$B$8)/MOTOR!$B$11,0))</f>
        <v/>
      </c>
      <c r="G297" s="117">
        <f>IF(C297="","",IF(E297&lt;AYARLAR!$C$11,"AŞIRI DÜŞÜK",IF(E297&lt;AYARLAR!$C$12,"SINIRDA","GÜVENLİ")))</f>
        <v/>
      </c>
      <c r="H297" s="118" t="n"/>
    </row>
    <row r="298" ht="15" customHeight="1" s="64">
      <c r="A298" s="112" t="n">
        <v>293</v>
      </c>
      <c r="B298" s="118" t="n"/>
      <c r="C298" s="118" t="n"/>
      <c r="D298" s="118" t="n"/>
      <c r="E298" s="115">
        <f>IF(C298="","",IFERROR(C298/MOTOR!$B$14,0))</f>
        <v/>
      </c>
      <c r="F298" s="116">
        <f>IF(C298="","",IFERROR((C298-MOTOR!$B$8)/MOTOR!$B$11,0))</f>
        <v/>
      </c>
      <c r="G298" s="117">
        <f>IF(C298="","",IF(E298&lt;AYARLAR!$C$11,"AŞIRI DÜŞÜK",IF(E298&lt;AYARLAR!$C$12,"SINIRDA","GÜVENLİ")))</f>
        <v/>
      </c>
      <c r="H298" s="118" t="n"/>
    </row>
    <row r="299" ht="15" customHeight="1" s="64">
      <c r="A299" s="112" t="n">
        <v>294</v>
      </c>
      <c r="B299" s="118" t="n"/>
      <c r="C299" s="118" t="n"/>
      <c r="D299" s="118" t="n"/>
      <c r="E299" s="115">
        <f>IF(C299="","",IFERROR(C299/MOTOR!$B$14,0))</f>
        <v/>
      </c>
      <c r="F299" s="116">
        <f>IF(C299="","",IFERROR((C299-MOTOR!$B$8)/MOTOR!$B$11,0))</f>
        <v/>
      </c>
      <c r="G299" s="117">
        <f>IF(C299="","",IF(E299&lt;AYARLAR!$C$11,"AŞIRI DÜŞÜK",IF(E299&lt;AYARLAR!$C$12,"SINIRDA","GÜVENLİ")))</f>
        <v/>
      </c>
      <c r="H299" s="118" t="n"/>
    </row>
    <row r="300" ht="15" customHeight="1" s="64">
      <c r="A300" s="112" t="n">
        <v>295</v>
      </c>
      <c r="B300" s="118" t="n"/>
      <c r="C300" s="118" t="n"/>
      <c r="D300" s="118" t="n"/>
      <c r="E300" s="115">
        <f>IF(C300="","",IFERROR(C300/MOTOR!$B$14,0))</f>
        <v/>
      </c>
      <c r="F300" s="116">
        <f>IF(C300="","",IFERROR((C300-MOTOR!$B$8)/MOTOR!$B$11,0))</f>
        <v/>
      </c>
      <c r="G300" s="117">
        <f>IF(C300="","",IF(E300&lt;AYARLAR!$C$11,"AŞIRI DÜŞÜK",IF(E300&lt;AYARLAR!$C$12,"SINIRDA","GÜVENLİ")))</f>
        <v/>
      </c>
      <c r="H300" s="118" t="n"/>
    </row>
    <row r="301" ht="15" customHeight="1" s="64">
      <c r="A301" s="112" t="n">
        <v>296</v>
      </c>
      <c r="B301" s="118" t="n"/>
      <c r="C301" s="118" t="n"/>
      <c r="D301" s="118" t="n"/>
      <c r="E301" s="115">
        <f>IF(C301="","",IFERROR(C301/MOTOR!$B$14,0))</f>
        <v/>
      </c>
      <c r="F301" s="116">
        <f>IF(C301="","",IFERROR((C301-MOTOR!$B$8)/MOTOR!$B$11,0))</f>
        <v/>
      </c>
      <c r="G301" s="117">
        <f>IF(C301="","",IF(E301&lt;AYARLAR!$C$11,"AŞIRI DÜŞÜK",IF(E301&lt;AYARLAR!$C$12,"SINIRDA","GÜVENLİ")))</f>
        <v/>
      </c>
      <c r="H301" s="118" t="n"/>
    </row>
    <row r="302" ht="15" customHeight="1" s="64">
      <c r="A302" s="112" t="n">
        <v>297</v>
      </c>
      <c r="B302" s="118" t="n"/>
      <c r="C302" s="118" t="n"/>
      <c r="D302" s="118" t="n"/>
      <c r="E302" s="115">
        <f>IF(C302="","",IFERROR(C302/MOTOR!$B$14,0))</f>
        <v/>
      </c>
      <c r="F302" s="116">
        <f>IF(C302="","",IFERROR((C302-MOTOR!$B$8)/MOTOR!$B$11,0))</f>
        <v/>
      </c>
      <c r="G302" s="117">
        <f>IF(C302="","",IF(E302&lt;AYARLAR!$C$11,"AŞIRI DÜŞÜK",IF(E302&lt;AYARLAR!$C$12,"SINIRDA","GÜVENLİ")))</f>
        <v/>
      </c>
      <c r="H302" s="118" t="n"/>
    </row>
    <row r="303" ht="15" customHeight="1" s="64">
      <c r="A303" s="112" t="n">
        <v>298</v>
      </c>
      <c r="B303" s="118" t="n"/>
      <c r="C303" s="118" t="n"/>
      <c r="D303" s="118" t="n"/>
      <c r="E303" s="115">
        <f>IF(C303="","",IFERROR(C303/MOTOR!$B$14,0))</f>
        <v/>
      </c>
      <c r="F303" s="116">
        <f>IF(C303="","",IFERROR((C303-MOTOR!$B$8)/MOTOR!$B$11,0))</f>
        <v/>
      </c>
      <c r="G303" s="117">
        <f>IF(C303="","",IF(E303&lt;AYARLAR!$C$11,"AŞIRI DÜŞÜK",IF(E303&lt;AYARLAR!$C$12,"SINIRDA","GÜVENLİ")))</f>
        <v/>
      </c>
      <c r="H303" s="118" t="n"/>
    </row>
    <row r="304" ht="15" customHeight="1" s="64">
      <c r="A304" s="112" t="n">
        <v>299</v>
      </c>
      <c r="B304" s="118" t="n"/>
      <c r="C304" s="118" t="n"/>
      <c r="D304" s="118" t="n"/>
      <c r="E304" s="115">
        <f>IF(C304="","",IFERROR(C304/MOTOR!$B$14,0))</f>
        <v/>
      </c>
      <c r="F304" s="116">
        <f>IF(C304="","",IFERROR((C304-MOTOR!$B$8)/MOTOR!$B$11,0))</f>
        <v/>
      </c>
      <c r="G304" s="117">
        <f>IF(C304="","",IF(E304&lt;AYARLAR!$C$11,"AŞIRI DÜŞÜK",IF(E304&lt;AYARLAR!$C$12,"SINIRDA","GÜVENLİ")))</f>
        <v/>
      </c>
      <c r="H304" s="118" t="n"/>
    </row>
    <row r="305" ht="15" customHeight="1" s="64">
      <c r="A305" s="112" t="n">
        <v>300</v>
      </c>
      <c r="B305" s="118" t="n"/>
      <c r="C305" s="118" t="n"/>
      <c r="D305" s="118" t="n"/>
      <c r="E305" s="115">
        <f>IF(C305="","",IFERROR(C305/MOTOR!$B$14,0))</f>
        <v/>
      </c>
      <c r="F305" s="116">
        <f>IF(C305="","",IFERROR((C305-MOTOR!$B$8)/MOTOR!$B$11,0))</f>
        <v/>
      </c>
      <c r="G305" s="117">
        <f>IF(C305="","",IF(E305&lt;AYARLAR!$C$11,"AŞIRI DÜŞÜK",IF(E305&lt;AYARLAR!$C$12,"SINIRDA","GÜVENLİ")))</f>
        <v/>
      </c>
      <c r="H305" s="118" t="n"/>
    </row>
    <row r="306" ht="15" customHeight="1" s="64">
      <c r="A306" s="112" t="n">
        <v>301</v>
      </c>
      <c r="B306" s="118" t="n"/>
      <c r="C306" s="118" t="n"/>
      <c r="D306" s="118" t="n"/>
      <c r="E306" s="115">
        <f>IF(C306="","",IFERROR(C306/MOTOR!$B$14,0))</f>
        <v/>
      </c>
      <c r="F306" s="116">
        <f>IF(C306="","",IFERROR((C306-MOTOR!$B$8)/MOTOR!$B$11,0))</f>
        <v/>
      </c>
      <c r="G306" s="117">
        <f>IF(C306="","",IF(E306&lt;AYARLAR!$C$11,"AŞIRI DÜŞÜK",IF(E306&lt;AYARLAR!$C$12,"SINIRDA","GÜVENLİ")))</f>
        <v/>
      </c>
      <c r="H306" s="118" t="n"/>
    </row>
    <row r="307" ht="15" customHeight="1" s="64">
      <c r="A307" s="112" t="n">
        <v>302</v>
      </c>
      <c r="B307" s="118" t="n"/>
      <c r="C307" s="118" t="n"/>
      <c r="D307" s="118" t="n"/>
      <c r="E307" s="115">
        <f>IF(C307="","",IFERROR(C307/MOTOR!$B$14,0))</f>
        <v/>
      </c>
      <c r="F307" s="116">
        <f>IF(C307="","",IFERROR((C307-MOTOR!$B$8)/MOTOR!$B$11,0))</f>
        <v/>
      </c>
      <c r="G307" s="117">
        <f>IF(C307="","",IF(E307&lt;AYARLAR!$C$11,"AŞIRI DÜŞÜK",IF(E307&lt;AYARLAR!$C$12,"SINIRDA","GÜVENLİ")))</f>
        <v/>
      </c>
      <c r="H307" s="118" t="n"/>
    </row>
    <row r="308" ht="15" customHeight="1" s="64">
      <c r="A308" s="112" t="n">
        <v>303</v>
      </c>
      <c r="B308" s="118" t="n"/>
      <c r="C308" s="118" t="n"/>
      <c r="D308" s="118" t="n"/>
      <c r="E308" s="115">
        <f>IF(C308="","",IFERROR(C308/MOTOR!$B$14,0))</f>
        <v/>
      </c>
      <c r="F308" s="116">
        <f>IF(C308="","",IFERROR((C308-MOTOR!$B$8)/MOTOR!$B$11,0))</f>
        <v/>
      </c>
      <c r="G308" s="117">
        <f>IF(C308="","",IF(E308&lt;AYARLAR!$C$11,"AŞIRI DÜŞÜK",IF(E308&lt;AYARLAR!$C$12,"SINIRDA","GÜVENLİ")))</f>
        <v/>
      </c>
      <c r="H308" s="118" t="n"/>
    </row>
    <row r="309" ht="15" customHeight="1" s="64">
      <c r="A309" s="112" t="n">
        <v>304</v>
      </c>
      <c r="B309" s="118" t="n"/>
      <c r="C309" s="118" t="n"/>
      <c r="D309" s="118" t="n"/>
      <c r="E309" s="115">
        <f>IF(C309="","",IFERROR(C309/MOTOR!$B$14,0))</f>
        <v/>
      </c>
      <c r="F309" s="116">
        <f>IF(C309="","",IFERROR((C309-MOTOR!$B$8)/MOTOR!$B$11,0))</f>
        <v/>
      </c>
      <c r="G309" s="117">
        <f>IF(C309="","",IF(E309&lt;AYARLAR!$C$11,"AŞIRI DÜŞÜK",IF(E309&lt;AYARLAR!$C$12,"SINIRDA","GÜVENLİ")))</f>
        <v/>
      </c>
      <c r="H309" s="118" t="n"/>
    </row>
    <row r="310" ht="15" customHeight="1" s="64">
      <c r="A310" s="112" t="n">
        <v>305</v>
      </c>
      <c r="B310" s="118" t="n"/>
      <c r="C310" s="118" t="n"/>
      <c r="D310" s="118" t="n"/>
      <c r="E310" s="115">
        <f>IF(C310="","",IFERROR(C310/MOTOR!$B$14,0))</f>
        <v/>
      </c>
      <c r="F310" s="116">
        <f>IF(C310="","",IFERROR((C310-MOTOR!$B$8)/MOTOR!$B$11,0))</f>
        <v/>
      </c>
      <c r="G310" s="117">
        <f>IF(C310="","",IF(E310&lt;AYARLAR!$C$11,"AŞIRI DÜŞÜK",IF(E310&lt;AYARLAR!$C$12,"SINIRDA","GÜVENLİ")))</f>
        <v/>
      </c>
      <c r="H310" s="118" t="n"/>
    </row>
    <row r="311" ht="15" customHeight="1" s="64">
      <c r="A311" s="112" t="n">
        <v>306</v>
      </c>
      <c r="B311" s="118" t="n"/>
      <c r="C311" s="118" t="n"/>
      <c r="D311" s="118" t="n"/>
      <c r="E311" s="115">
        <f>IF(C311="","",IFERROR(C311/MOTOR!$B$14,0))</f>
        <v/>
      </c>
      <c r="F311" s="116">
        <f>IF(C311="","",IFERROR((C311-MOTOR!$B$8)/MOTOR!$B$11,0))</f>
        <v/>
      </c>
      <c r="G311" s="117">
        <f>IF(C311="","",IF(E311&lt;AYARLAR!$C$11,"AŞIRI DÜŞÜK",IF(E311&lt;AYARLAR!$C$12,"SINIRDA","GÜVENLİ")))</f>
        <v/>
      </c>
      <c r="H311" s="118" t="n"/>
    </row>
    <row r="312" ht="15" customHeight="1" s="64">
      <c r="A312" s="112" t="n">
        <v>307</v>
      </c>
      <c r="B312" s="118" t="n"/>
      <c r="C312" s="118" t="n"/>
      <c r="D312" s="118" t="n"/>
      <c r="E312" s="115">
        <f>IF(C312="","",IFERROR(C312/MOTOR!$B$14,0))</f>
        <v/>
      </c>
      <c r="F312" s="116">
        <f>IF(C312="","",IFERROR((C312-MOTOR!$B$8)/MOTOR!$B$11,0))</f>
        <v/>
      </c>
      <c r="G312" s="117">
        <f>IF(C312="","",IF(E312&lt;AYARLAR!$C$11,"AŞIRI DÜŞÜK",IF(E312&lt;AYARLAR!$C$12,"SINIRDA","GÜVENLİ")))</f>
        <v/>
      </c>
      <c r="H312" s="118" t="n"/>
    </row>
    <row r="313" ht="15" customHeight="1" s="64">
      <c r="A313" s="112" t="n">
        <v>308</v>
      </c>
      <c r="B313" s="118" t="n"/>
      <c r="C313" s="118" t="n"/>
      <c r="D313" s="118" t="n"/>
      <c r="E313" s="115">
        <f>IF(C313="","",IFERROR(C313/MOTOR!$B$14,0))</f>
        <v/>
      </c>
      <c r="F313" s="116">
        <f>IF(C313="","",IFERROR((C313-MOTOR!$B$8)/MOTOR!$B$11,0))</f>
        <v/>
      </c>
      <c r="G313" s="117">
        <f>IF(C313="","",IF(E313&lt;AYARLAR!$C$11,"AŞIRI DÜŞÜK",IF(E313&lt;AYARLAR!$C$12,"SINIRDA","GÜVENLİ")))</f>
        <v/>
      </c>
      <c r="H313" s="118" t="n"/>
    </row>
    <row r="314" ht="15" customHeight="1" s="64">
      <c r="A314" s="112" t="n">
        <v>309</v>
      </c>
      <c r="B314" s="118" t="n"/>
      <c r="C314" s="118" t="n"/>
      <c r="D314" s="118" t="n"/>
      <c r="E314" s="115">
        <f>IF(C314="","",IFERROR(C314/MOTOR!$B$14,0))</f>
        <v/>
      </c>
      <c r="F314" s="116">
        <f>IF(C314="","",IFERROR((C314-MOTOR!$B$8)/MOTOR!$B$11,0))</f>
        <v/>
      </c>
      <c r="G314" s="117">
        <f>IF(C314="","",IF(E314&lt;AYARLAR!$C$11,"AŞIRI DÜŞÜK",IF(E314&lt;AYARLAR!$C$12,"SINIRDA","GÜVENLİ")))</f>
        <v/>
      </c>
      <c r="H314" s="118" t="n"/>
    </row>
    <row r="315" ht="15" customHeight="1" s="64">
      <c r="A315" s="112" t="n">
        <v>310</v>
      </c>
      <c r="B315" s="118" t="n"/>
      <c r="C315" s="118" t="n"/>
      <c r="D315" s="118" t="n"/>
      <c r="E315" s="115">
        <f>IF(C315="","",IFERROR(C315/MOTOR!$B$14,0))</f>
        <v/>
      </c>
      <c r="F315" s="116">
        <f>IF(C315="","",IFERROR((C315-MOTOR!$B$8)/MOTOR!$B$11,0))</f>
        <v/>
      </c>
      <c r="G315" s="117">
        <f>IF(C315="","",IF(E315&lt;AYARLAR!$C$11,"AŞIRI DÜŞÜK",IF(E315&lt;AYARLAR!$C$12,"SINIRDA","GÜVENLİ")))</f>
        <v/>
      </c>
      <c r="H315" s="118" t="n"/>
    </row>
    <row r="316" ht="15" customHeight="1" s="64">
      <c r="A316" s="112" t="n">
        <v>311</v>
      </c>
      <c r="B316" s="118" t="n"/>
      <c r="C316" s="118" t="n"/>
      <c r="D316" s="118" t="n"/>
      <c r="E316" s="115">
        <f>IF(C316="","",IFERROR(C316/MOTOR!$B$14,0))</f>
        <v/>
      </c>
      <c r="F316" s="116">
        <f>IF(C316="","",IFERROR((C316-MOTOR!$B$8)/MOTOR!$B$11,0))</f>
        <v/>
      </c>
      <c r="G316" s="117">
        <f>IF(C316="","",IF(E316&lt;AYARLAR!$C$11,"AŞIRI DÜŞÜK",IF(E316&lt;AYARLAR!$C$12,"SINIRDA","GÜVENLİ")))</f>
        <v/>
      </c>
      <c r="H316" s="118" t="n"/>
    </row>
    <row r="317" ht="15" customHeight="1" s="64">
      <c r="A317" s="112" t="n">
        <v>312</v>
      </c>
      <c r="B317" s="118" t="n"/>
      <c r="C317" s="118" t="n"/>
      <c r="D317" s="118" t="n"/>
      <c r="E317" s="115">
        <f>IF(C317="","",IFERROR(C317/MOTOR!$B$14,0))</f>
        <v/>
      </c>
      <c r="F317" s="116">
        <f>IF(C317="","",IFERROR((C317-MOTOR!$B$8)/MOTOR!$B$11,0))</f>
        <v/>
      </c>
      <c r="G317" s="117">
        <f>IF(C317="","",IF(E317&lt;AYARLAR!$C$11,"AŞIRI DÜŞÜK",IF(E317&lt;AYARLAR!$C$12,"SINIRDA","GÜVENLİ")))</f>
        <v/>
      </c>
      <c r="H317" s="118" t="n"/>
    </row>
    <row r="318" ht="15" customHeight="1" s="64">
      <c r="A318" s="112" t="n">
        <v>313</v>
      </c>
      <c r="B318" s="118" t="n"/>
      <c r="C318" s="118" t="n"/>
      <c r="D318" s="118" t="n"/>
      <c r="E318" s="115">
        <f>IF(C318="","",IFERROR(C318/MOTOR!$B$14,0))</f>
        <v/>
      </c>
      <c r="F318" s="116">
        <f>IF(C318="","",IFERROR((C318-MOTOR!$B$8)/MOTOR!$B$11,0))</f>
        <v/>
      </c>
      <c r="G318" s="117">
        <f>IF(C318="","",IF(E318&lt;AYARLAR!$C$11,"AŞIRI DÜŞÜK",IF(E318&lt;AYARLAR!$C$12,"SINIRDA","GÜVENLİ")))</f>
        <v/>
      </c>
      <c r="H318" s="118" t="n"/>
    </row>
    <row r="319" ht="15" customHeight="1" s="64">
      <c r="A319" s="112" t="n">
        <v>314</v>
      </c>
      <c r="B319" s="118" t="n"/>
      <c r="C319" s="118" t="n"/>
      <c r="D319" s="118" t="n"/>
      <c r="E319" s="115">
        <f>IF(C319="","",IFERROR(C319/MOTOR!$B$14,0))</f>
        <v/>
      </c>
      <c r="F319" s="116">
        <f>IF(C319="","",IFERROR((C319-MOTOR!$B$8)/MOTOR!$B$11,0))</f>
        <v/>
      </c>
      <c r="G319" s="117">
        <f>IF(C319="","",IF(E319&lt;AYARLAR!$C$11,"AŞIRI DÜŞÜK",IF(E319&lt;AYARLAR!$C$12,"SINIRDA","GÜVENLİ")))</f>
        <v/>
      </c>
      <c r="H319" s="118" t="n"/>
    </row>
    <row r="320" ht="15" customHeight="1" s="64">
      <c r="A320" s="112" t="n">
        <v>315</v>
      </c>
      <c r="B320" s="118" t="n"/>
      <c r="C320" s="118" t="n"/>
      <c r="D320" s="118" t="n"/>
      <c r="E320" s="115">
        <f>IF(C320="","",IFERROR(C320/MOTOR!$B$14,0))</f>
        <v/>
      </c>
      <c r="F320" s="116">
        <f>IF(C320="","",IFERROR((C320-MOTOR!$B$8)/MOTOR!$B$11,0))</f>
        <v/>
      </c>
      <c r="G320" s="117">
        <f>IF(C320="","",IF(E320&lt;AYARLAR!$C$11,"AŞIRI DÜŞÜK",IF(E320&lt;AYARLAR!$C$12,"SINIRDA","GÜVENLİ")))</f>
        <v/>
      </c>
      <c r="H320" s="118" t="n"/>
    </row>
    <row r="321" ht="15" customHeight="1" s="64">
      <c r="A321" s="112" t="n">
        <v>316</v>
      </c>
      <c r="B321" s="118" t="n"/>
      <c r="C321" s="118" t="n"/>
      <c r="D321" s="118" t="n"/>
      <c r="E321" s="115">
        <f>IF(C321="","",IFERROR(C321/MOTOR!$B$14,0))</f>
        <v/>
      </c>
      <c r="F321" s="116">
        <f>IF(C321="","",IFERROR((C321-MOTOR!$B$8)/MOTOR!$B$11,0))</f>
        <v/>
      </c>
      <c r="G321" s="117">
        <f>IF(C321="","",IF(E321&lt;AYARLAR!$C$11,"AŞIRI DÜŞÜK",IF(E321&lt;AYARLAR!$C$12,"SINIRDA","GÜVENLİ")))</f>
        <v/>
      </c>
      <c r="H321" s="118" t="n"/>
    </row>
    <row r="322" ht="15" customHeight="1" s="64">
      <c r="A322" s="112" t="n">
        <v>317</v>
      </c>
      <c r="B322" s="118" t="n"/>
      <c r="C322" s="118" t="n"/>
      <c r="D322" s="118" t="n"/>
      <c r="E322" s="115">
        <f>IF(C322="","",IFERROR(C322/MOTOR!$B$14,0))</f>
        <v/>
      </c>
      <c r="F322" s="116">
        <f>IF(C322="","",IFERROR((C322-MOTOR!$B$8)/MOTOR!$B$11,0))</f>
        <v/>
      </c>
      <c r="G322" s="117">
        <f>IF(C322="","",IF(E322&lt;AYARLAR!$C$11,"AŞIRI DÜŞÜK",IF(E322&lt;AYARLAR!$C$12,"SINIRDA","GÜVENLİ")))</f>
        <v/>
      </c>
      <c r="H322" s="118" t="n"/>
    </row>
    <row r="323" ht="15" customHeight="1" s="64">
      <c r="A323" s="112" t="n">
        <v>318</v>
      </c>
      <c r="B323" s="118" t="n"/>
      <c r="C323" s="118" t="n"/>
      <c r="D323" s="118" t="n"/>
      <c r="E323" s="115">
        <f>IF(C323="","",IFERROR(C323/MOTOR!$B$14,0))</f>
        <v/>
      </c>
      <c r="F323" s="116">
        <f>IF(C323="","",IFERROR((C323-MOTOR!$B$8)/MOTOR!$B$11,0))</f>
        <v/>
      </c>
      <c r="G323" s="117">
        <f>IF(C323="","",IF(E323&lt;AYARLAR!$C$11,"AŞIRI DÜŞÜK",IF(E323&lt;AYARLAR!$C$12,"SINIRDA","GÜVENLİ")))</f>
        <v/>
      </c>
      <c r="H323" s="118" t="n"/>
    </row>
    <row r="324" ht="15" customHeight="1" s="64">
      <c r="A324" s="112" t="n">
        <v>319</v>
      </c>
      <c r="B324" s="118" t="n"/>
      <c r="C324" s="118" t="n"/>
      <c r="D324" s="118" t="n"/>
      <c r="E324" s="115">
        <f>IF(C324="","",IFERROR(C324/MOTOR!$B$14,0))</f>
        <v/>
      </c>
      <c r="F324" s="116">
        <f>IF(C324="","",IFERROR((C324-MOTOR!$B$8)/MOTOR!$B$11,0))</f>
        <v/>
      </c>
      <c r="G324" s="117">
        <f>IF(C324="","",IF(E324&lt;AYARLAR!$C$11,"AŞIRI DÜŞÜK",IF(E324&lt;AYARLAR!$C$12,"SINIRDA","GÜVENLİ")))</f>
        <v/>
      </c>
      <c r="H324" s="118" t="n"/>
    </row>
    <row r="325" ht="15" customHeight="1" s="64">
      <c r="A325" s="112" t="n">
        <v>320</v>
      </c>
      <c r="B325" s="118" t="n"/>
      <c r="C325" s="118" t="n"/>
      <c r="D325" s="118" t="n"/>
      <c r="E325" s="115">
        <f>IF(C325="","",IFERROR(C325/MOTOR!$B$14,0))</f>
        <v/>
      </c>
      <c r="F325" s="116">
        <f>IF(C325="","",IFERROR((C325-MOTOR!$B$8)/MOTOR!$B$11,0))</f>
        <v/>
      </c>
      <c r="G325" s="117">
        <f>IF(C325="","",IF(E325&lt;AYARLAR!$C$11,"AŞIRI DÜŞÜK",IF(E325&lt;AYARLAR!$C$12,"SINIRDA","GÜVENLİ")))</f>
        <v/>
      </c>
      <c r="H325" s="118" t="n"/>
    </row>
    <row r="326" ht="15" customHeight="1" s="64">
      <c r="A326" s="112" t="n">
        <v>321</v>
      </c>
      <c r="B326" s="118" t="n"/>
      <c r="C326" s="118" t="n"/>
      <c r="D326" s="118" t="n"/>
      <c r="E326" s="115">
        <f>IF(C326="","",IFERROR(C326/MOTOR!$B$14,0))</f>
        <v/>
      </c>
      <c r="F326" s="116">
        <f>IF(C326="","",IFERROR((C326-MOTOR!$B$8)/MOTOR!$B$11,0))</f>
        <v/>
      </c>
      <c r="G326" s="117">
        <f>IF(C326="","",IF(E326&lt;AYARLAR!$C$11,"AŞIRI DÜŞÜK",IF(E326&lt;AYARLAR!$C$12,"SINIRDA","GÜVENLİ")))</f>
        <v/>
      </c>
      <c r="H326" s="118" t="n"/>
    </row>
    <row r="327" ht="15" customHeight="1" s="64">
      <c r="A327" s="112" t="n">
        <v>322</v>
      </c>
      <c r="B327" s="118" t="n"/>
      <c r="C327" s="118" t="n"/>
      <c r="D327" s="118" t="n"/>
      <c r="E327" s="115">
        <f>IF(C327="","",IFERROR(C327/MOTOR!$B$14,0))</f>
        <v/>
      </c>
      <c r="F327" s="116">
        <f>IF(C327="","",IFERROR((C327-MOTOR!$B$8)/MOTOR!$B$11,0))</f>
        <v/>
      </c>
      <c r="G327" s="117">
        <f>IF(C327="","",IF(E327&lt;AYARLAR!$C$11,"AŞIRI DÜŞÜK",IF(E327&lt;AYARLAR!$C$12,"SINIRDA","GÜVENLİ")))</f>
        <v/>
      </c>
      <c r="H327" s="118" t="n"/>
    </row>
    <row r="328" ht="15" customHeight="1" s="64">
      <c r="A328" s="112" t="n">
        <v>323</v>
      </c>
      <c r="B328" s="118" t="n"/>
      <c r="C328" s="118" t="n"/>
      <c r="D328" s="118" t="n"/>
      <c r="E328" s="115">
        <f>IF(C328="","",IFERROR(C328/MOTOR!$B$14,0))</f>
        <v/>
      </c>
      <c r="F328" s="116">
        <f>IF(C328="","",IFERROR((C328-MOTOR!$B$8)/MOTOR!$B$11,0))</f>
        <v/>
      </c>
      <c r="G328" s="117">
        <f>IF(C328="","",IF(E328&lt;AYARLAR!$C$11,"AŞIRI DÜŞÜK",IF(E328&lt;AYARLAR!$C$12,"SINIRDA","GÜVENLİ")))</f>
        <v/>
      </c>
      <c r="H328" s="118" t="n"/>
    </row>
    <row r="329" ht="15" customHeight="1" s="64">
      <c r="A329" s="112" t="n">
        <v>324</v>
      </c>
      <c r="B329" s="118" t="n"/>
      <c r="C329" s="118" t="n"/>
      <c r="D329" s="118" t="n"/>
      <c r="E329" s="115">
        <f>IF(C329="","",IFERROR(C329/MOTOR!$B$14,0))</f>
        <v/>
      </c>
      <c r="F329" s="116">
        <f>IF(C329="","",IFERROR((C329-MOTOR!$B$8)/MOTOR!$B$11,0))</f>
        <v/>
      </c>
      <c r="G329" s="117">
        <f>IF(C329="","",IF(E329&lt;AYARLAR!$C$11,"AŞIRI DÜŞÜK",IF(E329&lt;AYARLAR!$C$12,"SINIRDA","GÜVENLİ")))</f>
        <v/>
      </c>
      <c r="H329" s="118" t="n"/>
    </row>
    <row r="330" ht="15" customHeight="1" s="64">
      <c r="A330" s="112" t="n">
        <v>325</v>
      </c>
      <c r="B330" s="118" t="n"/>
      <c r="C330" s="118" t="n"/>
      <c r="D330" s="118" t="n"/>
      <c r="E330" s="115">
        <f>IF(C330="","",IFERROR(C330/MOTOR!$B$14,0))</f>
        <v/>
      </c>
      <c r="F330" s="116">
        <f>IF(C330="","",IFERROR((C330-MOTOR!$B$8)/MOTOR!$B$11,0))</f>
        <v/>
      </c>
      <c r="G330" s="117">
        <f>IF(C330="","",IF(E330&lt;AYARLAR!$C$11,"AŞIRI DÜŞÜK",IF(E330&lt;AYARLAR!$C$12,"SINIRDA","GÜVENLİ")))</f>
        <v/>
      </c>
      <c r="H330" s="118" t="n"/>
    </row>
    <row r="331" ht="15" customHeight="1" s="64">
      <c r="A331" s="112" t="n">
        <v>326</v>
      </c>
      <c r="B331" s="118" t="n"/>
      <c r="C331" s="118" t="n"/>
      <c r="D331" s="118" t="n"/>
      <c r="E331" s="115">
        <f>IF(C331="","",IFERROR(C331/MOTOR!$B$14,0))</f>
        <v/>
      </c>
      <c r="F331" s="116">
        <f>IF(C331="","",IFERROR((C331-MOTOR!$B$8)/MOTOR!$B$11,0))</f>
        <v/>
      </c>
      <c r="G331" s="117">
        <f>IF(C331="","",IF(E331&lt;AYARLAR!$C$11,"AŞIRI DÜŞÜK",IF(E331&lt;AYARLAR!$C$12,"SINIRDA","GÜVENLİ")))</f>
        <v/>
      </c>
      <c r="H331" s="118" t="n"/>
    </row>
    <row r="332" ht="15" customHeight="1" s="64">
      <c r="A332" s="112" t="n">
        <v>327</v>
      </c>
      <c r="B332" s="118" t="n"/>
      <c r="C332" s="118" t="n"/>
      <c r="D332" s="118" t="n"/>
      <c r="E332" s="115">
        <f>IF(C332="","",IFERROR(C332/MOTOR!$B$14,0))</f>
        <v/>
      </c>
      <c r="F332" s="116">
        <f>IF(C332="","",IFERROR((C332-MOTOR!$B$8)/MOTOR!$B$11,0))</f>
        <v/>
      </c>
      <c r="G332" s="117">
        <f>IF(C332="","",IF(E332&lt;AYARLAR!$C$11,"AŞIRI DÜŞÜK",IF(E332&lt;AYARLAR!$C$12,"SINIRDA","GÜVENLİ")))</f>
        <v/>
      </c>
      <c r="H332" s="118" t="n"/>
    </row>
    <row r="333" ht="15" customHeight="1" s="64">
      <c r="A333" s="112" t="n">
        <v>328</v>
      </c>
      <c r="B333" s="118" t="n"/>
      <c r="C333" s="118" t="n"/>
      <c r="D333" s="118" t="n"/>
      <c r="E333" s="115">
        <f>IF(C333="","",IFERROR(C333/MOTOR!$B$14,0))</f>
        <v/>
      </c>
      <c r="F333" s="116">
        <f>IF(C333="","",IFERROR((C333-MOTOR!$B$8)/MOTOR!$B$11,0))</f>
        <v/>
      </c>
      <c r="G333" s="117">
        <f>IF(C333="","",IF(E333&lt;AYARLAR!$C$11,"AŞIRI DÜŞÜK",IF(E333&lt;AYARLAR!$C$12,"SINIRDA","GÜVENLİ")))</f>
        <v/>
      </c>
      <c r="H333" s="118" t="n"/>
    </row>
    <row r="334" ht="15" customHeight="1" s="64">
      <c r="A334" s="112" t="n">
        <v>329</v>
      </c>
      <c r="B334" s="118" t="n"/>
      <c r="C334" s="118" t="n"/>
      <c r="D334" s="118" t="n"/>
      <c r="E334" s="115">
        <f>IF(C334="","",IFERROR(C334/MOTOR!$B$14,0))</f>
        <v/>
      </c>
      <c r="F334" s="116">
        <f>IF(C334="","",IFERROR((C334-MOTOR!$B$8)/MOTOR!$B$11,0))</f>
        <v/>
      </c>
      <c r="G334" s="117">
        <f>IF(C334="","",IF(E334&lt;AYARLAR!$C$11,"AŞIRI DÜŞÜK",IF(E334&lt;AYARLAR!$C$12,"SINIRDA","GÜVENLİ")))</f>
        <v/>
      </c>
      <c r="H334" s="118" t="n"/>
    </row>
    <row r="335" ht="15" customHeight="1" s="64">
      <c r="A335" s="112" t="n">
        <v>330</v>
      </c>
      <c r="B335" s="118" t="n"/>
      <c r="C335" s="118" t="n"/>
      <c r="D335" s="118" t="n"/>
      <c r="E335" s="115">
        <f>IF(C335="","",IFERROR(C335/MOTOR!$B$14,0))</f>
        <v/>
      </c>
      <c r="F335" s="116">
        <f>IF(C335="","",IFERROR((C335-MOTOR!$B$8)/MOTOR!$B$11,0))</f>
        <v/>
      </c>
      <c r="G335" s="117">
        <f>IF(C335="","",IF(E335&lt;AYARLAR!$C$11,"AŞIRI DÜŞÜK",IF(E335&lt;AYARLAR!$C$12,"SINIRDA","GÜVENLİ")))</f>
        <v/>
      </c>
      <c r="H335" s="118" t="n"/>
    </row>
    <row r="336" ht="15" customHeight="1" s="64">
      <c r="A336" s="112" t="n">
        <v>331</v>
      </c>
      <c r="B336" s="118" t="n"/>
      <c r="C336" s="118" t="n"/>
      <c r="D336" s="118" t="n"/>
      <c r="E336" s="115">
        <f>IF(C336="","",IFERROR(C336/MOTOR!$B$14,0))</f>
        <v/>
      </c>
      <c r="F336" s="116">
        <f>IF(C336="","",IFERROR((C336-MOTOR!$B$8)/MOTOR!$B$11,0))</f>
        <v/>
      </c>
      <c r="G336" s="117">
        <f>IF(C336="","",IF(E336&lt;AYARLAR!$C$11,"AŞIRI DÜŞÜK",IF(E336&lt;AYARLAR!$C$12,"SINIRDA","GÜVENLİ")))</f>
        <v/>
      </c>
      <c r="H336" s="118" t="n"/>
    </row>
    <row r="337" ht="15" customHeight="1" s="64">
      <c r="A337" s="112" t="n">
        <v>332</v>
      </c>
      <c r="B337" s="118" t="n"/>
      <c r="C337" s="118" t="n"/>
      <c r="D337" s="118" t="n"/>
      <c r="E337" s="115">
        <f>IF(C337="","",IFERROR(C337/MOTOR!$B$14,0))</f>
        <v/>
      </c>
      <c r="F337" s="116">
        <f>IF(C337="","",IFERROR((C337-MOTOR!$B$8)/MOTOR!$B$11,0))</f>
        <v/>
      </c>
      <c r="G337" s="117">
        <f>IF(C337="","",IF(E337&lt;AYARLAR!$C$11,"AŞIRI DÜŞÜK",IF(E337&lt;AYARLAR!$C$12,"SINIRDA","GÜVENLİ")))</f>
        <v/>
      </c>
      <c r="H337" s="118" t="n"/>
    </row>
    <row r="338" ht="15" customHeight="1" s="64">
      <c r="A338" s="112" t="n">
        <v>333</v>
      </c>
      <c r="B338" s="118" t="n"/>
      <c r="C338" s="118" t="n"/>
      <c r="D338" s="118" t="n"/>
      <c r="E338" s="115">
        <f>IF(C338="","",IFERROR(C338/MOTOR!$B$14,0))</f>
        <v/>
      </c>
      <c r="F338" s="116">
        <f>IF(C338="","",IFERROR((C338-MOTOR!$B$8)/MOTOR!$B$11,0))</f>
        <v/>
      </c>
      <c r="G338" s="117">
        <f>IF(C338="","",IF(E338&lt;AYARLAR!$C$11,"AŞIRI DÜŞÜK",IF(E338&lt;AYARLAR!$C$12,"SINIRDA","GÜVENLİ")))</f>
        <v/>
      </c>
      <c r="H338" s="118" t="n"/>
    </row>
    <row r="339" ht="15" customHeight="1" s="64">
      <c r="A339" s="112" t="n">
        <v>334</v>
      </c>
      <c r="B339" s="118" t="n"/>
      <c r="C339" s="118" t="n"/>
      <c r="D339" s="118" t="n"/>
      <c r="E339" s="115">
        <f>IF(C339="","",IFERROR(C339/MOTOR!$B$14,0))</f>
        <v/>
      </c>
      <c r="F339" s="116">
        <f>IF(C339="","",IFERROR((C339-MOTOR!$B$8)/MOTOR!$B$11,0))</f>
        <v/>
      </c>
      <c r="G339" s="117">
        <f>IF(C339="","",IF(E339&lt;AYARLAR!$C$11,"AŞIRI DÜŞÜK",IF(E339&lt;AYARLAR!$C$12,"SINIRDA","GÜVENLİ")))</f>
        <v/>
      </c>
      <c r="H339" s="118" t="n"/>
    </row>
    <row r="340" ht="15" customHeight="1" s="64">
      <c r="A340" s="112" t="n">
        <v>335</v>
      </c>
      <c r="B340" s="118" t="n"/>
      <c r="C340" s="118" t="n"/>
      <c r="D340" s="118" t="n"/>
      <c r="E340" s="115">
        <f>IF(C340="","",IFERROR(C340/MOTOR!$B$14,0))</f>
        <v/>
      </c>
      <c r="F340" s="116">
        <f>IF(C340="","",IFERROR((C340-MOTOR!$B$8)/MOTOR!$B$11,0))</f>
        <v/>
      </c>
      <c r="G340" s="117">
        <f>IF(C340="","",IF(E340&lt;AYARLAR!$C$11,"AŞIRI DÜŞÜK",IF(E340&lt;AYARLAR!$C$12,"SINIRDA","GÜVENLİ")))</f>
        <v/>
      </c>
      <c r="H340" s="118" t="n"/>
    </row>
    <row r="341" ht="15" customHeight="1" s="64">
      <c r="A341" s="112" t="n">
        <v>336</v>
      </c>
      <c r="B341" s="118" t="n"/>
      <c r="C341" s="118" t="n"/>
      <c r="D341" s="118" t="n"/>
      <c r="E341" s="115">
        <f>IF(C341="","",IFERROR(C341/MOTOR!$B$14,0))</f>
        <v/>
      </c>
      <c r="F341" s="116">
        <f>IF(C341="","",IFERROR((C341-MOTOR!$B$8)/MOTOR!$B$11,0))</f>
        <v/>
      </c>
      <c r="G341" s="117">
        <f>IF(C341="","",IF(E341&lt;AYARLAR!$C$11,"AŞIRI DÜŞÜK",IF(E341&lt;AYARLAR!$C$12,"SINIRDA","GÜVENLİ")))</f>
        <v/>
      </c>
      <c r="H341" s="118" t="n"/>
    </row>
    <row r="342" ht="15" customHeight="1" s="64">
      <c r="A342" s="112" t="n">
        <v>337</v>
      </c>
      <c r="B342" s="118" t="n"/>
      <c r="C342" s="118" t="n"/>
      <c r="D342" s="118" t="n"/>
      <c r="E342" s="115">
        <f>IF(C342="","",IFERROR(C342/MOTOR!$B$14,0))</f>
        <v/>
      </c>
      <c r="F342" s="116">
        <f>IF(C342="","",IFERROR((C342-MOTOR!$B$8)/MOTOR!$B$11,0))</f>
        <v/>
      </c>
      <c r="G342" s="117">
        <f>IF(C342="","",IF(E342&lt;AYARLAR!$C$11,"AŞIRI DÜŞÜK",IF(E342&lt;AYARLAR!$C$12,"SINIRDA","GÜVENLİ")))</f>
        <v/>
      </c>
      <c r="H342" s="118" t="n"/>
    </row>
    <row r="343" ht="15" customHeight="1" s="64">
      <c r="A343" s="112" t="n">
        <v>338</v>
      </c>
      <c r="B343" s="118" t="n"/>
      <c r="C343" s="118" t="n"/>
      <c r="D343" s="118" t="n"/>
      <c r="E343" s="115">
        <f>IF(C343="","",IFERROR(C343/MOTOR!$B$14,0))</f>
        <v/>
      </c>
      <c r="F343" s="116">
        <f>IF(C343="","",IFERROR((C343-MOTOR!$B$8)/MOTOR!$B$11,0))</f>
        <v/>
      </c>
      <c r="G343" s="117">
        <f>IF(C343="","",IF(E343&lt;AYARLAR!$C$11,"AŞIRI DÜŞÜK",IF(E343&lt;AYARLAR!$C$12,"SINIRDA","GÜVENLİ")))</f>
        <v/>
      </c>
      <c r="H343" s="118" t="n"/>
    </row>
    <row r="344" ht="15" customHeight="1" s="64">
      <c r="A344" s="112" t="n">
        <v>339</v>
      </c>
      <c r="B344" s="118" t="n"/>
      <c r="C344" s="118" t="n"/>
      <c r="D344" s="118" t="n"/>
      <c r="E344" s="115">
        <f>IF(C344="","",IFERROR(C344/MOTOR!$B$14,0))</f>
        <v/>
      </c>
      <c r="F344" s="116">
        <f>IF(C344="","",IFERROR((C344-MOTOR!$B$8)/MOTOR!$B$11,0))</f>
        <v/>
      </c>
      <c r="G344" s="117">
        <f>IF(C344="","",IF(E344&lt;AYARLAR!$C$11,"AŞIRI DÜŞÜK",IF(E344&lt;AYARLAR!$C$12,"SINIRDA","GÜVENLİ")))</f>
        <v/>
      </c>
      <c r="H344" s="118" t="n"/>
    </row>
    <row r="345" ht="15" customHeight="1" s="64">
      <c r="A345" s="112" t="n">
        <v>340</v>
      </c>
      <c r="B345" s="118" t="n"/>
      <c r="C345" s="118" t="n"/>
      <c r="D345" s="118" t="n"/>
      <c r="E345" s="115">
        <f>IF(C345="","",IFERROR(C345/MOTOR!$B$14,0))</f>
        <v/>
      </c>
      <c r="F345" s="116">
        <f>IF(C345="","",IFERROR((C345-MOTOR!$B$8)/MOTOR!$B$11,0))</f>
        <v/>
      </c>
      <c r="G345" s="117">
        <f>IF(C345="","",IF(E345&lt;AYARLAR!$C$11,"AŞIRI DÜŞÜK",IF(E345&lt;AYARLAR!$C$12,"SINIRDA","GÜVENLİ")))</f>
        <v/>
      </c>
      <c r="H345" s="118" t="n"/>
    </row>
    <row r="346" ht="15" customHeight="1" s="64">
      <c r="A346" s="112" t="n">
        <v>341</v>
      </c>
      <c r="B346" s="118" t="n"/>
      <c r="C346" s="118" t="n"/>
      <c r="D346" s="118" t="n"/>
      <c r="E346" s="115">
        <f>IF(C346="","",IFERROR(C346/MOTOR!$B$14,0))</f>
        <v/>
      </c>
      <c r="F346" s="116">
        <f>IF(C346="","",IFERROR((C346-MOTOR!$B$8)/MOTOR!$B$11,0))</f>
        <v/>
      </c>
      <c r="G346" s="117">
        <f>IF(C346="","",IF(E346&lt;AYARLAR!$C$11,"AŞIRI DÜŞÜK",IF(E346&lt;AYARLAR!$C$12,"SINIRDA","GÜVENLİ")))</f>
        <v/>
      </c>
      <c r="H346" s="118" t="n"/>
    </row>
    <row r="347" ht="15" customHeight="1" s="64">
      <c r="A347" s="112" t="n">
        <v>342</v>
      </c>
      <c r="B347" s="118" t="n"/>
      <c r="C347" s="118" t="n"/>
      <c r="D347" s="118" t="n"/>
      <c r="E347" s="115">
        <f>IF(C347="","",IFERROR(C347/MOTOR!$B$14,0))</f>
        <v/>
      </c>
      <c r="F347" s="116">
        <f>IF(C347="","",IFERROR((C347-MOTOR!$B$8)/MOTOR!$B$11,0))</f>
        <v/>
      </c>
      <c r="G347" s="117">
        <f>IF(C347="","",IF(E347&lt;AYARLAR!$C$11,"AŞIRI DÜŞÜK",IF(E347&lt;AYARLAR!$C$12,"SINIRDA","GÜVENLİ")))</f>
        <v/>
      </c>
      <c r="H347" s="118" t="n"/>
    </row>
    <row r="348" ht="15" customHeight="1" s="64">
      <c r="A348" s="112" t="n">
        <v>343</v>
      </c>
      <c r="B348" s="118" t="n"/>
      <c r="C348" s="118" t="n"/>
      <c r="D348" s="118" t="n"/>
      <c r="E348" s="115">
        <f>IF(C348="","",IFERROR(C348/MOTOR!$B$14,0))</f>
        <v/>
      </c>
      <c r="F348" s="116">
        <f>IF(C348="","",IFERROR((C348-MOTOR!$B$8)/MOTOR!$B$11,0))</f>
        <v/>
      </c>
      <c r="G348" s="117">
        <f>IF(C348="","",IF(E348&lt;AYARLAR!$C$11,"AŞIRI DÜŞÜK",IF(E348&lt;AYARLAR!$C$12,"SINIRDA","GÜVENLİ")))</f>
        <v/>
      </c>
      <c r="H348" s="118" t="n"/>
    </row>
    <row r="349" ht="15" customHeight="1" s="64">
      <c r="A349" s="112" t="n">
        <v>344</v>
      </c>
      <c r="B349" s="118" t="n"/>
      <c r="C349" s="118" t="n"/>
      <c r="D349" s="118" t="n"/>
      <c r="E349" s="115">
        <f>IF(C349="","",IFERROR(C349/MOTOR!$B$14,0))</f>
        <v/>
      </c>
      <c r="F349" s="116">
        <f>IF(C349="","",IFERROR((C349-MOTOR!$B$8)/MOTOR!$B$11,0))</f>
        <v/>
      </c>
      <c r="G349" s="117">
        <f>IF(C349="","",IF(E349&lt;AYARLAR!$C$11,"AŞIRI DÜŞÜK",IF(E349&lt;AYARLAR!$C$12,"SINIRDA","GÜVENLİ")))</f>
        <v/>
      </c>
      <c r="H349" s="118" t="n"/>
    </row>
    <row r="350" ht="15" customHeight="1" s="64">
      <c r="A350" s="112" t="n">
        <v>345</v>
      </c>
      <c r="B350" s="118" t="n"/>
      <c r="C350" s="118" t="n"/>
      <c r="D350" s="118" t="n"/>
      <c r="E350" s="115">
        <f>IF(C350="","",IFERROR(C350/MOTOR!$B$14,0))</f>
        <v/>
      </c>
      <c r="F350" s="116">
        <f>IF(C350="","",IFERROR((C350-MOTOR!$B$8)/MOTOR!$B$11,0))</f>
        <v/>
      </c>
      <c r="G350" s="117">
        <f>IF(C350="","",IF(E350&lt;AYARLAR!$C$11,"AŞIRI DÜŞÜK",IF(E350&lt;AYARLAR!$C$12,"SINIRDA","GÜVENLİ")))</f>
        <v/>
      </c>
      <c r="H350" s="118" t="n"/>
    </row>
    <row r="351" ht="15" customHeight="1" s="64">
      <c r="A351" s="112" t="n">
        <v>346</v>
      </c>
      <c r="B351" s="118" t="n"/>
      <c r="C351" s="118" t="n"/>
      <c r="D351" s="118" t="n"/>
      <c r="E351" s="115">
        <f>IF(C351="","",IFERROR(C351/MOTOR!$B$14,0))</f>
        <v/>
      </c>
      <c r="F351" s="116">
        <f>IF(C351="","",IFERROR((C351-MOTOR!$B$8)/MOTOR!$B$11,0))</f>
        <v/>
      </c>
      <c r="G351" s="117">
        <f>IF(C351="","",IF(E351&lt;AYARLAR!$C$11,"AŞIRI DÜŞÜK",IF(E351&lt;AYARLAR!$C$12,"SINIRDA","GÜVENLİ")))</f>
        <v/>
      </c>
      <c r="H351" s="118" t="n"/>
    </row>
    <row r="352" ht="15" customHeight="1" s="64">
      <c r="A352" s="112" t="n">
        <v>347</v>
      </c>
      <c r="B352" s="118" t="n"/>
      <c r="C352" s="118" t="n"/>
      <c r="D352" s="118" t="n"/>
      <c r="E352" s="115">
        <f>IF(C352="","",IFERROR(C352/MOTOR!$B$14,0))</f>
        <v/>
      </c>
      <c r="F352" s="116">
        <f>IF(C352="","",IFERROR((C352-MOTOR!$B$8)/MOTOR!$B$11,0))</f>
        <v/>
      </c>
      <c r="G352" s="117">
        <f>IF(C352="","",IF(E352&lt;AYARLAR!$C$11,"AŞIRI DÜŞÜK",IF(E352&lt;AYARLAR!$C$12,"SINIRDA","GÜVENLİ")))</f>
        <v/>
      </c>
      <c r="H352" s="118" t="n"/>
    </row>
    <row r="353" ht="15" customHeight="1" s="64">
      <c r="A353" s="112" t="n">
        <v>348</v>
      </c>
      <c r="B353" s="118" t="n"/>
      <c r="C353" s="118" t="n"/>
      <c r="D353" s="118" t="n"/>
      <c r="E353" s="115">
        <f>IF(C353="","",IFERROR(C353/MOTOR!$B$14,0))</f>
        <v/>
      </c>
      <c r="F353" s="116">
        <f>IF(C353="","",IFERROR((C353-MOTOR!$B$8)/MOTOR!$B$11,0))</f>
        <v/>
      </c>
      <c r="G353" s="117">
        <f>IF(C353="","",IF(E353&lt;AYARLAR!$C$11,"AŞIRI DÜŞÜK",IF(E353&lt;AYARLAR!$C$12,"SINIRDA","GÜVENLİ")))</f>
        <v/>
      </c>
      <c r="H353" s="118" t="n"/>
    </row>
    <row r="354" ht="15" customHeight="1" s="64">
      <c r="A354" s="112" t="n">
        <v>349</v>
      </c>
      <c r="B354" s="118" t="n"/>
      <c r="C354" s="118" t="n"/>
      <c r="D354" s="118" t="n"/>
      <c r="E354" s="115">
        <f>IF(C354="","",IFERROR(C354/MOTOR!$B$14,0))</f>
        <v/>
      </c>
      <c r="F354" s="116">
        <f>IF(C354="","",IFERROR((C354-MOTOR!$B$8)/MOTOR!$B$11,0))</f>
        <v/>
      </c>
      <c r="G354" s="117">
        <f>IF(C354="","",IF(E354&lt;AYARLAR!$C$11,"AŞIRI DÜŞÜK",IF(E354&lt;AYARLAR!$C$12,"SINIRDA","GÜVENLİ")))</f>
        <v/>
      </c>
      <c r="H354" s="118" t="n"/>
    </row>
    <row r="355" ht="15" customHeight="1" s="64">
      <c r="A355" s="112" t="n">
        <v>350</v>
      </c>
      <c r="B355" s="118" t="n"/>
      <c r="C355" s="118" t="n"/>
      <c r="D355" s="118" t="n"/>
      <c r="E355" s="115">
        <f>IF(C355="","",IFERROR(C355/MOTOR!$B$14,0))</f>
        <v/>
      </c>
      <c r="F355" s="116">
        <f>IF(C355="","",IFERROR((C355-MOTOR!$B$8)/MOTOR!$B$11,0))</f>
        <v/>
      </c>
      <c r="G355" s="117">
        <f>IF(C355="","",IF(E355&lt;AYARLAR!$C$11,"AŞIRI DÜŞÜK",IF(E355&lt;AYARLAR!$C$12,"SINIRDA","GÜVENLİ")))</f>
        <v/>
      </c>
      <c r="H355" s="118" t="n"/>
    </row>
    <row r="356" ht="15" customHeight="1" s="64">
      <c r="A356" s="112" t="n">
        <v>351</v>
      </c>
      <c r="B356" s="118" t="n"/>
      <c r="C356" s="118" t="n"/>
      <c r="D356" s="118" t="n"/>
      <c r="E356" s="115">
        <f>IF(C356="","",IFERROR(C356/MOTOR!$B$14,0))</f>
        <v/>
      </c>
      <c r="F356" s="116">
        <f>IF(C356="","",IFERROR((C356-MOTOR!$B$8)/MOTOR!$B$11,0))</f>
        <v/>
      </c>
      <c r="G356" s="117">
        <f>IF(C356="","",IF(E356&lt;AYARLAR!$C$11,"AŞIRI DÜŞÜK",IF(E356&lt;AYARLAR!$C$12,"SINIRDA","GÜVENLİ")))</f>
        <v/>
      </c>
      <c r="H356" s="118" t="n"/>
    </row>
    <row r="357" ht="15" customHeight="1" s="64">
      <c r="A357" s="112" t="n">
        <v>352</v>
      </c>
      <c r="B357" s="118" t="n"/>
      <c r="C357" s="118" t="n"/>
      <c r="D357" s="118" t="n"/>
      <c r="E357" s="115">
        <f>IF(C357="","",IFERROR(C357/MOTOR!$B$14,0))</f>
        <v/>
      </c>
      <c r="F357" s="116">
        <f>IF(C357="","",IFERROR((C357-MOTOR!$B$8)/MOTOR!$B$11,0))</f>
        <v/>
      </c>
      <c r="G357" s="117">
        <f>IF(C357="","",IF(E357&lt;AYARLAR!$C$11,"AŞIRI DÜŞÜK",IF(E357&lt;AYARLAR!$C$12,"SINIRDA","GÜVENLİ")))</f>
        <v/>
      </c>
      <c r="H357" s="118" t="n"/>
    </row>
    <row r="358" ht="15" customHeight="1" s="64">
      <c r="A358" s="112" t="n">
        <v>353</v>
      </c>
      <c r="B358" s="118" t="n"/>
      <c r="C358" s="118" t="n"/>
      <c r="D358" s="118" t="n"/>
      <c r="E358" s="115">
        <f>IF(C358="","",IFERROR(C358/MOTOR!$B$14,0))</f>
        <v/>
      </c>
      <c r="F358" s="116">
        <f>IF(C358="","",IFERROR((C358-MOTOR!$B$8)/MOTOR!$B$11,0))</f>
        <v/>
      </c>
      <c r="G358" s="117">
        <f>IF(C358="","",IF(E358&lt;AYARLAR!$C$11,"AŞIRI DÜŞÜK",IF(E358&lt;AYARLAR!$C$12,"SINIRDA","GÜVENLİ")))</f>
        <v/>
      </c>
      <c r="H358" s="118" t="n"/>
    </row>
    <row r="359" ht="15" customHeight="1" s="64">
      <c r="A359" s="112" t="n">
        <v>354</v>
      </c>
      <c r="B359" s="118" t="n"/>
      <c r="C359" s="118" t="n"/>
      <c r="D359" s="118" t="n"/>
      <c r="E359" s="115">
        <f>IF(C359="","",IFERROR(C359/MOTOR!$B$14,0))</f>
        <v/>
      </c>
      <c r="F359" s="116">
        <f>IF(C359="","",IFERROR((C359-MOTOR!$B$8)/MOTOR!$B$11,0))</f>
        <v/>
      </c>
      <c r="G359" s="117">
        <f>IF(C359="","",IF(E359&lt;AYARLAR!$C$11,"AŞIRI DÜŞÜK",IF(E359&lt;AYARLAR!$C$12,"SINIRDA","GÜVENLİ")))</f>
        <v/>
      </c>
      <c r="H359" s="118" t="n"/>
    </row>
    <row r="360" ht="15" customHeight="1" s="64">
      <c r="A360" s="112" t="n">
        <v>355</v>
      </c>
      <c r="B360" s="118" t="n"/>
      <c r="C360" s="118" t="n"/>
      <c r="D360" s="118" t="n"/>
      <c r="E360" s="115">
        <f>IF(C360="","",IFERROR(C360/MOTOR!$B$14,0))</f>
        <v/>
      </c>
      <c r="F360" s="116">
        <f>IF(C360="","",IFERROR((C360-MOTOR!$B$8)/MOTOR!$B$11,0))</f>
        <v/>
      </c>
      <c r="G360" s="117">
        <f>IF(C360="","",IF(E360&lt;AYARLAR!$C$11,"AŞIRI DÜŞÜK",IF(E360&lt;AYARLAR!$C$12,"SINIRDA","GÜVENLİ")))</f>
        <v/>
      </c>
      <c r="H360" s="118" t="n"/>
    </row>
    <row r="361" ht="15" customHeight="1" s="64">
      <c r="A361" s="112" t="n">
        <v>356</v>
      </c>
      <c r="B361" s="118" t="n"/>
      <c r="C361" s="118" t="n"/>
      <c r="D361" s="118" t="n"/>
      <c r="E361" s="115">
        <f>IF(C361="","",IFERROR(C361/MOTOR!$B$14,0))</f>
        <v/>
      </c>
      <c r="F361" s="116">
        <f>IF(C361="","",IFERROR((C361-MOTOR!$B$8)/MOTOR!$B$11,0))</f>
        <v/>
      </c>
      <c r="G361" s="117">
        <f>IF(C361="","",IF(E361&lt;AYARLAR!$C$11,"AŞIRI DÜŞÜK",IF(E361&lt;AYARLAR!$C$12,"SINIRDA","GÜVENLİ")))</f>
        <v/>
      </c>
      <c r="H361" s="118" t="n"/>
    </row>
    <row r="362" ht="15" customHeight="1" s="64">
      <c r="A362" s="112" t="n">
        <v>357</v>
      </c>
      <c r="B362" s="118" t="n"/>
      <c r="C362" s="118" t="n"/>
      <c r="D362" s="118" t="n"/>
      <c r="E362" s="115">
        <f>IF(C362="","",IFERROR(C362/MOTOR!$B$14,0))</f>
        <v/>
      </c>
      <c r="F362" s="116">
        <f>IF(C362="","",IFERROR((C362-MOTOR!$B$8)/MOTOR!$B$11,0))</f>
        <v/>
      </c>
      <c r="G362" s="117">
        <f>IF(C362="","",IF(E362&lt;AYARLAR!$C$11,"AŞIRI DÜŞÜK",IF(E362&lt;AYARLAR!$C$12,"SINIRDA","GÜVENLİ")))</f>
        <v/>
      </c>
      <c r="H362" s="118" t="n"/>
    </row>
    <row r="363" ht="15" customHeight="1" s="64">
      <c r="A363" s="112" t="n">
        <v>358</v>
      </c>
      <c r="B363" s="118" t="n"/>
      <c r="C363" s="118" t="n"/>
      <c r="D363" s="118" t="n"/>
      <c r="E363" s="115">
        <f>IF(C363="","",IFERROR(C363/MOTOR!$B$14,0))</f>
        <v/>
      </c>
      <c r="F363" s="116">
        <f>IF(C363="","",IFERROR((C363-MOTOR!$B$8)/MOTOR!$B$11,0))</f>
        <v/>
      </c>
      <c r="G363" s="117">
        <f>IF(C363="","",IF(E363&lt;AYARLAR!$C$11,"AŞIRI DÜŞÜK",IF(E363&lt;AYARLAR!$C$12,"SINIRDA","GÜVENLİ")))</f>
        <v/>
      </c>
      <c r="H363" s="118" t="n"/>
    </row>
    <row r="364" ht="15" customHeight="1" s="64">
      <c r="A364" s="112" t="n">
        <v>359</v>
      </c>
      <c r="B364" s="118" t="n"/>
      <c r="C364" s="118" t="n"/>
      <c r="D364" s="118" t="n"/>
      <c r="E364" s="115">
        <f>IF(C364="","",IFERROR(C364/MOTOR!$B$14,0))</f>
        <v/>
      </c>
      <c r="F364" s="116">
        <f>IF(C364="","",IFERROR((C364-MOTOR!$B$8)/MOTOR!$B$11,0))</f>
        <v/>
      </c>
      <c r="G364" s="117">
        <f>IF(C364="","",IF(E364&lt;AYARLAR!$C$11,"AŞIRI DÜŞÜK",IF(E364&lt;AYARLAR!$C$12,"SINIRDA","GÜVENLİ")))</f>
        <v/>
      </c>
      <c r="H364" s="118" t="n"/>
    </row>
    <row r="365" ht="15" customHeight="1" s="64">
      <c r="A365" s="112" t="n">
        <v>360</v>
      </c>
      <c r="B365" s="118" t="n"/>
      <c r="C365" s="118" t="n"/>
      <c r="D365" s="118" t="n"/>
      <c r="E365" s="115">
        <f>IF(C365="","",IFERROR(C365/MOTOR!$B$14,0))</f>
        <v/>
      </c>
      <c r="F365" s="116">
        <f>IF(C365="","",IFERROR((C365-MOTOR!$B$8)/MOTOR!$B$11,0))</f>
        <v/>
      </c>
      <c r="G365" s="117">
        <f>IF(C365="","",IF(E365&lt;AYARLAR!$C$11,"AŞIRI DÜŞÜK",IF(E365&lt;AYARLAR!$C$12,"SINIRDA","GÜVENLİ")))</f>
        <v/>
      </c>
      <c r="H365" s="118" t="n"/>
    </row>
    <row r="366" ht="15" customHeight="1" s="64">
      <c r="A366" s="112" t="n">
        <v>361</v>
      </c>
      <c r="B366" s="118" t="n"/>
      <c r="C366" s="118" t="n"/>
      <c r="D366" s="118" t="n"/>
      <c r="E366" s="115">
        <f>IF(C366="","",IFERROR(C366/MOTOR!$B$14,0))</f>
        <v/>
      </c>
      <c r="F366" s="116">
        <f>IF(C366="","",IFERROR((C366-MOTOR!$B$8)/MOTOR!$B$11,0))</f>
        <v/>
      </c>
      <c r="G366" s="117">
        <f>IF(C366="","",IF(E366&lt;AYARLAR!$C$11,"AŞIRI DÜŞÜK",IF(E366&lt;AYARLAR!$C$12,"SINIRDA","GÜVENLİ")))</f>
        <v/>
      </c>
      <c r="H366" s="118" t="n"/>
    </row>
    <row r="367" ht="15" customHeight="1" s="64">
      <c r="A367" s="112" t="n">
        <v>362</v>
      </c>
      <c r="B367" s="118" t="n"/>
      <c r="C367" s="118" t="n"/>
      <c r="D367" s="118" t="n"/>
      <c r="E367" s="115">
        <f>IF(C367="","",IFERROR(C367/MOTOR!$B$14,0))</f>
        <v/>
      </c>
      <c r="F367" s="116">
        <f>IF(C367="","",IFERROR((C367-MOTOR!$B$8)/MOTOR!$B$11,0))</f>
        <v/>
      </c>
      <c r="G367" s="117">
        <f>IF(C367="","",IF(E367&lt;AYARLAR!$C$11,"AŞIRI DÜŞÜK",IF(E367&lt;AYARLAR!$C$12,"SINIRDA","GÜVENLİ")))</f>
        <v/>
      </c>
      <c r="H367" s="118" t="n"/>
    </row>
    <row r="368" ht="15" customHeight="1" s="64">
      <c r="A368" s="112" t="n">
        <v>363</v>
      </c>
      <c r="B368" s="118" t="n"/>
      <c r="C368" s="118" t="n"/>
      <c r="D368" s="118" t="n"/>
      <c r="E368" s="115">
        <f>IF(C368="","",IFERROR(C368/MOTOR!$B$14,0))</f>
        <v/>
      </c>
      <c r="F368" s="116">
        <f>IF(C368="","",IFERROR((C368-MOTOR!$B$8)/MOTOR!$B$11,0))</f>
        <v/>
      </c>
      <c r="G368" s="117">
        <f>IF(C368="","",IF(E368&lt;AYARLAR!$C$11,"AŞIRI DÜŞÜK",IF(E368&lt;AYARLAR!$C$12,"SINIRDA","GÜVENLİ")))</f>
        <v/>
      </c>
      <c r="H368" s="118" t="n"/>
    </row>
    <row r="369" ht="15" customHeight="1" s="64">
      <c r="A369" s="112" t="n">
        <v>364</v>
      </c>
      <c r="B369" s="118" t="n"/>
      <c r="C369" s="118" t="n"/>
      <c r="D369" s="118" t="n"/>
      <c r="E369" s="115">
        <f>IF(C369="","",IFERROR(C369/MOTOR!$B$14,0))</f>
        <v/>
      </c>
      <c r="F369" s="116">
        <f>IF(C369="","",IFERROR((C369-MOTOR!$B$8)/MOTOR!$B$11,0))</f>
        <v/>
      </c>
      <c r="G369" s="117">
        <f>IF(C369="","",IF(E369&lt;AYARLAR!$C$11,"AŞIRI DÜŞÜK",IF(E369&lt;AYARLAR!$C$12,"SINIRDA","GÜVENLİ")))</f>
        <v/>
      </c>
      <c r="H369" s="118" t="n"/>
    </row>
    <row r="370" ht="15" customHeight="1" s="64">
      <c r="A370" s="112" t="n">
        <v>365</v>
      </c>
      <c r="B370" s="118" t="n"/>
      <c r="C370" s="118" t="n"/>
      <c r="D370" s="118" t="n"/>
      <c r="E370" s="115">
        <f>IF(C370="","",IFERROR(C370/MOTOR!$B$14,0))</f>
        <v/>
      </c>
      <c r="F370" s="116">
        <f>IF(C370="","",IFERROR((C370-MOTOR!$B$8)/MOTOR!$B$11,0))</f>
        <v/>
      </c>
      <c r="G370" s="117">
        <f>IF(C370="","",IF(E370&lt;AYARLAR!$C$11,"AŞIRI DÜŞÜK",IF(E370&lt;AYARLAR!$C$12,"SINIRDA","GÜVENLİ")))</f>
        <v/>
      </c>
      <c r="H370" s="118" t="n"/>
    </row>
    <row r="371" ht="15" customHeight="1" s="64">
      <c r="A371" s="112" t="n">
        <v>366</v>
      </c>
      <c r="B371" s="118" t="n"/>
      <c r="C371" s="118" t="n"/>
      <c r="D371" s="118" t="n"/>
      <c r="E371" s="115">
        <f>IF(C371="","",IFERROR(C371/MOTOR!$B$14,0))</f>
        <v/>
      </c>
      <c r="F371" s="116">
        <f>IF(C371="","",IFERROR((C371-MOTOR!$B$8)/MOTOR!$B$11,0))</f>
        <v/>
      </c>
      <c r="G371" s="117">
        <f>IF(C371="","",IF(E371&lt;AYARLAR!$C$11,"AŞIRI DÜŞÜK",IF(E371&lt;AYARLAR!$C$12,"SINIRDA","GÜVENLİ")))</f>
        <v/>
      </c>
      <c r="H371" s="118" t="n"/>
    </row>
    <row r="372" ht="15" customHeight="1" s="64">
      <c r="A372" s="112" t="n">
        <v>367</v>
      </c>
      <c r="B372" s="118" t="n"/>
      <c r="C372" s="118" t="n"/>
      <c r="D372" s="118" t="n"/>
      <c r="E372" s="115">
        <f>IF(C372="","",IFERROR(C372/MOTOR!$B$14,0))</f>
        <v/>
      </c>
      <c r="F372" s="116">
        <f>IF(C372="","",IFERROR((C372-MOTOR!$B$8)/MOTOR!$B$11,0))</f>
        <v/>
      </c>
      <c r="G372" s="117">
        <f>IF(C372="","",IF(E372&lt;AYARLAR!$C$11,"AŞIRI DÜŞÜK",IF(E372&lt;AYARLAR!$C$12,"SINIRDA","GÜVENLİ")))</f>
        <v/>
      </c>
      <c r="H372" s="118" t="n"/>
    </row>
    <row r="373" ht="15" customHeight="1" s="64">
      <c r="A373" s="112" t="n">
        <v>368</v>
      </c>
      <c r="B373" s="118" t="n"/>
      <c r="C373" s="118" t="n"/>
      <c r="D373" s="118" t="n"/>
      <c r="E373" s="115">
        <f>IF(C373="","",IFERROR(C373/MOTOR!$B$14,0))</f>
        <v/>
      </c>
      <c r="F373" s="116">
        <f>IF(C373="","",IFERROR((C373-MOTOR!$B$8)/MOTOR!$B$11,0))</f>
        <v/>
      </c>
      <c r="G373" s="117">
        <f>IF(C373="","",IF(E373&lt;AYARLAR!$C$11,"AŞIRI DÜŞÜK",IF(E373&lt;AYARLAR!$C$12,"SINIRDA","GÜVENLİ")))</f>
        <v/>
      </c>
      <c r="H373" s="118" t="n"/>
    </row>
    <row r="374" ht="15" customHeight="1" s="64">
      <c r="A374" s="112" t="n">
        <v>369</v>
      </c>
      <c r="B374" s="118" t="n"/>
      <c r="C374" s="118" t="n"/>
      <c r="D374" s="118" t="n"/>
      <c r="E374" s="115">
        <f>IF(C374="","",IFERROR(C374/MOTOR!$B$14,0))</f>
        <v/>
      </c>
      <c r="F374" s="116">
        <f>IF(C374="","",IFERROR((C374-MOTOR!$B$8)/MOTOR!$B$11,0))</f>
        <v/>
      </c>
      <c r="G374" s="117">
        <f>IF(C374="","",IF(E374&lt;AYARLAR!$C$11,"AŞIRI DÜŞÜK",IF(E374&lt;AYARLAR!$C$12,"SINIRDA","GÜVENLİ")))</f>
        <v/>
      </c>
      <c r="H374" s="118" t="n"/>
    </row>
    <row r="375" ht="15" customHeight="1" s="64">
      <c r="A375" s="112" t="n">
        <v>370</v>
      </c>
      <c r="B375" s="118" t="n"/>
      <c r="C375" s="118" t="n"/>
      <c r="D375" s="118" t="n"/>
      <c r="E375" s="115">
        <f>IF(C375="","",IFERROR(C375/MOTOR!$B$14,0))</f>
        <v/>
      </c>
      <c r="F375" s="116">
        <f>IF(C375="","",IFERROR((C375-MOTOR!$B$8)/MOTOR!$B$11,0))</f>
        <v/>
      </c>
      <c r="G375" s="117">
        <f>IF(C375="","",IF(E375&lt;AYARLAR!$C$11,"AŞIRI DÜŞÜK",IF(E375&lt;AYARLAR!$C$12,"SINIRDA","GÜVENLİ")))</f>
        <v/>
      </c>
      <c r="H375" s="118" t="n"/>
    </row>
    <row r="376" ht="15" customHeight="1" s="64">
      <c r="A376" s="112" t="n">
        <v>371</v>
      </c>
      <c r="B376" s="118" t="n"/>
      <c r="C376" s="118" t="n"/>
      <c r="D376" s="118" t="n"/>
      <c r="E376" s="115">
        <f>IF(C376="","",IFERROR(C376/MOTOR!$B$14,0))</f>
        <v/>
      </c>
      <c r="F376" s="116">
        <f>IF(C376="","",IFERROR((C376-MOTOR!$B$8)/MOTOR!$B$11,0))</f>
        <v/>
      </c>
      <c r="G376" s="117">
        <f>IF(C376="","",IF(E376&lt;AYARLAR!$C$11,"AŞIRI DÜŞÜK",IF(E376&lt;AYARLAR!$C$12,"SINIRDA","GÜVENLİ")))</f>
        <v/>
      </c>
      <c r="H376" s="118" t="n"/>
    </row>
    <row r="377" ht="15" customHeight="1" s="64">
      <c r="A377" s="112" t="n">
        <v>372</v>
      </c>
      <c r="B377" s="118" t="n"/>
      <c r="C377" s="118" t="n"/>
      <c r="D377" s="118" t="n"/>
      <c r="E377" s="115">
        <f>IF(C377="","",IFERROR(C377/MOTOR!$B$14,0))</f>
        <v/>
      </c>
      <c r="F377" s="116">
        <f>IF(C377="","",IFERROR((C377-MOTOR!$B$8)/MOTOR!$B$11,0))</f>
        <v/>
      </c>
      <c r="G377" s="117">
        <f>IF(C377="","",IF(E377&lt;AYARLAR!$C$11,"AŞIRI DÜŞÜK",IF(E377&lt;AYARLAR!$C$12,"SINIRDA","GÜVENLİ")))</f>
        <v/>
      </c>
      <c r="H377" s="118" t="n"/>
    </row>
    <row r="378" ht="15" customHeight="1" s="64">
      <c r="A378" s="112" t="n">
        <v>373</v>
      </c>
      <c r="B378" s="118" t="n"/>
      <c r="C378" s="118" t="n"/>
      <c r="D378" s="118" t="n"/>
      <c r="E378" s="115">
        <f>IF(C378="","",IFERROR(C378/MOTOR!$B$14,0))</f>
        <v/>
      </c>
      <c r="F378" s="116">
        <f>IF(C378="","",IFERROR((C378-MOTOR!$B$8)/MOTOR!$B$11,0))</f>
        <v/>
      </c>
      <c r="G378" s="117">
        <f>IF(C378="","",IF(E378&lt;AYARLAR!$C$11,"AŞIRI DÜŞÜK",IF(E378&lt;AYARLAR!$C$12,"SINIRDA","GÜVENLİ")))</f>
        <v/>
      </c>
      <c r="H378" s="118" t="n"/>
    </row>
    <row r="379" ht="15" customHeight="1" s="64">
      <c r="A379" s="112" t="n">
        <v>374</v>
      </c>
      <c r="B379" s="118" t="n"/>
      <c r="C379" s="118" t="n"/>
      <c r="D379" s="118" t="n"/>
      <c r="E379" s="115">
        <f>IF(C379="","",IFERROR(C379/MOTOR!$B$14,0))</f>
        <v/>
      </c>
      <c r="F379" s="116">
        <f>IF(C379="","",IFERROR((C379-MOTOR!$B$8)/MOTOR!$B$11,0))</f>
        <v/>
      </c>
      <c r="G379" s="117">
        <f>IF(C379="","",IF(E379&lt;AYARLAR!$C$11,"AŞIRI DÜŞÜK",IF(E379&lt;AYARLAR!$C$12,"SINIRDA","GÜVENLİ")))</f>
        <v/>
      </c>
      <c r="H379" s="118" t="n"/>
    </row>
    <row r="380" ht="15" customHeight="1" s="64">
      <c r="A380" s="112" t="n">
        <v>375</v>
      </c>
      <c r="B380" s="118" t="n"/>
      <c r="C380" s="118" t="n"/>
      <c r="D380" s="118" t="n"/>
      <c r="E380" s="115">
        <f>IF(C380="","",IFERROR(C380/MOTOR!$B$14,0))</f>
        <v/>
      </c>
      <c r="F380" s="116">
        <f>IF(C380="","",IFERROR((C380-MOTOR!$B$8)/MOTOR!$B$11,0))</f>
        <v/>
      </c>
      <c r="G380" s="117">
        <f>IF(C380="","",IF(E380&lt;AYARLAR!$C$11,"AŞIRI DÜŞÜK",IF(E380&lt;AYARLAR!$C$12,"SINIRDA","GÜVENLİ")))</f>
        <v/>
      </c>
      <c r="H380" s="118" t="n"/>
    </row>
    <row r="381" ht="15" customHeight="1" s="64">
      <c r="A381" s="112" t="n">
        <v>376</v>
      </c>
      <c r="B381" s="118" t="n"/>
      <c r="C381" s="118" t="n"/>
      <c r="D381" s="118" t="n"/>
      <c r="E381" s="115">
        <f>IF(C381="","",IFERROR(C381/MOTOR!$B$14,0))</f>
        <v/>
      </c>
      <c r="F381" s="116">
        <f>IF(C381="","",IFERROR((C381-MOTOR!$B$8)/MOTOR!$B$11,0))</f>
        <v/>
      </c>
      <c r="G381" s="117">
        <f>IF(C381="","",IF(E381&lt;AYARLAR!$C$11,"AŞIRI DÜŞÜK",IF(E381&lt;AYARLAR!$C$12,"SINIRDA","GÜVENLİ")))</f>
        <v/>
      </c>
      <c r="H381" s="118" t="n"/>
    </row>
    <row r="382" ht="15" customHeight="1" s="64">
      <c r="A382" s="112" t="n">
        <v>377</v>
      </c>
      <c r="B382" s="118" t="n"/>
      <c r="C382" s="118" t="n"/>
      <c r="D382" s="118" t="n"/>
      <c r="E382" s="115">
        <f>IF(C382="","",IFERROR(C382/MOTOR!$B$14,0))</f>
        <v/>
      </c>
      <c r="F382" s="116">
        <f>IF(C382="","",IFERROR((C382-MOTOR!$B$8)/MOTOR!$B$11,0))</f>
        <v/>
      </c>
      <c r="G382" s="117">
        <f>IF(C382="","",IF(E382&lt;AYARLAR!$C$11,"AŞIRI DÜŞÜK",IF(E382&lt;AYARLAR!$C$12,"SINIRDA","GÜVENLİ")))</f>
        <v/>
      </c>
      <c r="H382" s="118" t="n"/>
    </row>
    <row r="383" ht="15" customHeight="1" s="64">
      <c r="A383" s="112" t="n">
        <v>378</v>
      </c>
      <c r="B383" s="118" t="n"/>
      <c r="C383" s="118" t="n"/>
      <c r="D383" s="118" t="n"/>
      <c r="E383" s="115">
        <f>IF(C383="","",IFERROR(C383/MOTOR!$B$14,0))</f>
        <v/>
      </c>
      <c r="F383" s="116">
        <f>IF(C383="","",IFERROR((C383-MOTOR!$B$8)/MOTOR!$B$11,0))</f>
        <v/>
      </c>
      <c r="G383" s="117">
        <f>IF(C383="","",IF(E383&lt;AYARLAR!$C$11,"AŞIRI DÜŞÜK",IF(E383&lt;AYARLAR!$C$12,"SINIRDA","GÜVENLİ")))</f>
        <v/>
      </c>
      <c r="H383" s="118" t="n"/>
    </row>
    <row r="384" ht="15" customHeight="1" s="64">
      <c r="A384" s="112" t="n">
        <v>379</v>
      </c>
      <c r="B384" s="118" t="n"/>
      <c r="C384" s="118" t="n"/>
      <c r="D384" s="118" t="n"/>
      <c r="E384" s="115">
        <f>IF(C384="","",IFERROR(C384/MOTOR!$B$14,0))</f>
        <v/>
      </c>
      <c r="F384" s="116">
        <f>IF(C384="","",IFERROR((C384-MOTOR!$B$8)/MOTOR!$B$11,0))</f>
        <v/>
      </c>
      <c r="G384" s="117">
        <f>IF(C384="","",IF(E384&lt;AYARLAR!$C$11,"AŞIRI DÜŞÜK",IF(E384&lt;AYARLAR!$C$12,"SINIRDA","GÜVENLİ")))</f>
        <v/>
      </c>
      <c r="H384" s="118" t="n"/>
    </row>
    <row r="385" ht="15" customHeight="1" s="64">
      <c r="A385" s="112" t="n">
        <v>380</v>
      </c>
      <c r="B385" s="118" t="n"/>
      <c r="C385" s="118" t="n"/>
      <c r="D385" s="118" t="n"/>
      <c r="E385" s="115">
        <f>IF(C385="","",IFERROR(C385/MOTOR!$B$14,0))</f>
        <v/>
      </c>
      <c r="F385" s="116">
        <f>IF(C385="","",IFERROR((C385-MOTOR!$B$8)/MOTOR!$B$11,0))</f>
        <v/>
      </c>
      <c r="G385" s="117">
        <f>IF(C385="","",IF(E385&lt;AYARLAR!$C$11,"AŞIRI DÜŞÜK",IF(E385&lt;AYARLAR!$C$12,"SINIRDA","GÜVENLİ")))</f>
        <v/>
      </c>
      <c r="H385" s="118" t="n"/>
    </row>
    <row r="386" ht="15" customHeight="1" s="64">
      <c r="A386" s="112" t="n">
        <v>381</v>
      </c>
      <c r="B386" s="118" t="n"/>
      <c r="C386" s="118" t="n"/>
      <c r="D386" s="118" t="n"/>
      <c r="E386" s="115">
        <f>IF(C386="","",IFERROR(C386/MOTOR!$B$14,0))</f>
        <v/>
      </c>
      <c r="F386" s="116">
        <f>IF(C386="","",IFERROR((C386-MOTOR!$B$8)/MOTOR!$B$11,0))</f>
        <v/>
      </c>
      <c r="G386" s="117">
        <f>IF(C386="","",IF(E386&lt;AYARLAR!$C$11,"AŞIRI DÜŞÜK",IF(E386&lt;AYARLAR!$C$12,"SINIRDA","GÜVENLİ")))</f>
        <v/>
      </c>
      <c r="H386" s="118" t="n"/>
    </row>
    <row r="387" ht="15" customHeight="1" s="64">
      <c r="A387" s="112" t="n">
        <v>382</v>
      </c>
      <c r="B387" s="118" t="n"/>
      <c r="C387" s="118" t="n"/>
      <c r="D387" s="118" t="n"/>
      <c r="E387" s="115">
        <f>IF(C387="","",IFERROR(C387/MOTOR!$B$14,0))</f>
        <v/>
      </c>
      <c r="F387" s="116">
        <f>IF(C387="","",IFERROR((C387-MOTOR!$B$8)/MOTOR!$B$11,0))</f>
        <v/>
      </c>
      <c r="G387" s="117">
        <f>IF(C387="","",IF(E387&lt;AYARLAR!$C$11,"AŞIRI DÜŞÜK",IF(E387&lt;AYARLAR!$C$12,"SINIRDA","GÜVENLİ")))</f>
        <v/>
      </c>
      <c r="H387" s="118" t="n"/>
    </row>
    <row r="388" ht="15" customHeight="1" s="64">
      <c r="A388" s="112" t="n">
        <v>383</v>
      </c>
      <c r="B388" s="118" t="n"/>
      <c r="C388" s="118" t="n"/>
      <c r="D388" s="118" t="n"/>
      <c r="E388" s="115">
        <f>IF(C388="","",IFERROR(C388/MOTOR!$B$14,0))</f>
        <v/>
      </c>
      <c r="F388" s="116">
        <f>IF(C388="","",IFERROR((C388-MOTOR!$B$8)/MOTOR!$B$11,0))</f>
        <v/>
      </c>
      <c r="G388" s="117">
        <f>IF(C388="","",IF(E388&lt;AYARLAR!$C$11,"AŞIRI DÜŞÜK",IF(E388&lt;AYARLAR!$C$12,"SINIRDA","GÜVENLİ")))</f>
        <v/>
      </c>
      <c r="H388" s="118" t="n"/>
    </row>
    <row r="389" ht="15" customHeight="1" s="64">
      <c r="A389" s="112" t="n">
        <v>384</v>
      </c>
      <c r="B389" s="118" t="n"/>
      <c r="C389" s="118" t="n"/>
      <c r="D389" s="118" t="n"/>
      <c r="E389" s="115">
        <f>IF(C389="","",IFERROR(C389/MOTOR!$B$14,0))</f>
        <v/>
      </c>
      <c r="F389" s="116">
        <f>IF(C389="","",IFERROR((C389-MOTOR!$B$8)/MOTOR!$B$11,0))</f>
        <v/>
      </c>
      <c r="G389" s="117">
        <f>IF(C389="","",IF(E389&lt;AYARLAR!$C$11,"AŞIRI DÜŞÜK",IF(E389&lt;AYARLAR!$C$12,"SINIRDA","GÜVENLİ")))</f>
        <v/>
      </c>
      <c r="H389" s="118" t="n"/>
    </row>
    <row r="390" ht="15" customHeight="1" s="64">
      <c r="A390" s="112" t="n">
        <v>385</v>
      </c>
      <c r="B390" s="118" t="n"/>
      <c r="C390" s="118" t="n"/>
      <c r="D390" s="118" t="n"/>
      <c r="E390" s="115">
        <f>IF(C390="","",IFERROR(C390/MOTOR!$B$14,0))</f>
        <v/>
      </c>
      <c r="F390" s="116">
        <f>IF(C390="","",IFERROR((C390-MOTOR!$B$8)/MOTOR!$B$11,0))</f>
        <v/>
      </c>
      <c r="G390" s="117">
        <f>IF(C390="","",IF(E390&lt;AYARLAR!$C$11,"AŞIRI DÜŞÜK",IF(E390&lt;AYARLAR!$C$12,"SINIRDA","GÜVENLİ")))</f>
        <v/>
      </c>
      <c r="H390" s="118" t="n"/>
    </row>
    <row r="391" ht="15" customHeight="1" s="64">
      <c r="A391" s="112" t="n">
        <v>386</v>
      </c>
      <c r="B391" s="118" t="n"/>
      <c r="C391" s="118" t="n"/>
      <c r="D391" s="118" t="n"/>
      <c r="E391" s="115">
        <f>IF(C391="","",IFERROR(C391/MOTOR!$B$14,0))</f>
        <v/>
      </c>
      <c r="F391" s="116">
        <f>IF(C391="","",IFERROR((C391-MOTOR!$B$8)/MOTOR!$B$11,0))</f>
        <v/>
      </c>
      <c r="G391" s="117">
        <f>IF(C391="","",IF(E391&lt;AYARLAR!$C$11,"AŞIRI DÜŞÜK",IF(E391&lt;AYARLAR!$C$12,"SINIRDA","GÜVENLİ")))</f>
        <v/>
      </c>
      <c r="H391" s="118" t="n"/>
    </row>
    <row r="392" ht="15" customHeight="1" s="64">
      <c r="A392" s="112" t="n">
        <v>387</v>
      </c>
      <c r="B392" s="118" t="n"/>
      <c r="C392" s="118" t="n"/>
      <c r="D392" s="118" t="n"/>
      <c r="E392" s="115">
        <f>IF(C392="","",IFERROR(C392/MOTOR!$B$14,0))</f>
        <v/>
      </c>
      <c r="F392" s="116">
        <f>IF(C392="","",IFERROR((C392-MOTOR!$B$8)/MOTOR!$B$11,0))</f>
        <v/>
      </c>
      <c r="G392" s="117">
        <f>IF(C392="","",IF(E392&lt;AYARLAR!$C$11,"AŞIRI DÜŞÜK",IF(E392&lt;AYARLAR!$C$12,"SINIRDA","GÜVENLİ")))</f>
        <v/>
      </c>
      <c r="H392" s="118" t="n"/>
    </row>
    <row r="393" ht="15" customHeight="1" s="64">
      <c r="A393" s="112" t="n">
        <v>388</v>
      </c>
      <c r="B393" s="118" t="n"/>
      <c r="C393" s="118" t="n"/>
      <c r="D393" s="118" t="n"/>
      <c r="E393" s="115">
        <f>IF(C393="","",IFERROR(C393/MOTOR!$B$14,0))</f>
        <v/>
      </c>
      <c r="F393" s="116">
        <f>IF(C393="","",IFERROR((C393-MOTOR!$B$8)/MOTOR!$B$11,0))</f>
        <v/>
      </c>
      <c r="G393" s="117">
        <f>IF(C393="","",IF(E393&lt;AYARLAR!$C$11,"AŞIRI DÜŞÜK",IF(E393&lt;AYARLAR!$C$12,"SINIRDA","GÜVENLİ")))</f>
        <v/>
      </c>
      <c r="H393" s="118" t="n"/>
    </row>
    <row r="394" ht="15" customHeight="1" s="64">
      <c r="A394" s="112" t="n">
        <v>389</v>
      </c>
      <c r="B394" s="118" t="n"/>
      <c r="C394" s="118" t="n"/>
      <c r="D394" s="118" t="n"/>
      <c r="E394" s="115">
        <f>IF(C394="","",IFERROR(C394/MOTOR!$B$14,0))</f>
        <v/>
      </c>
      <c r="F394" s="116">
        <f>IF(C394="","",IFERROR((C394-MOTOR!$B$8)/MOTOR!$B$11,0))</f>
        <v/>
      </c>
      <c r="G394" s="117">
        <f>IF(C394="","",IF(E394&lt;AYARLAR!$C$11,"AŞIRI DÜŞÜK",IF(E394&lt;AYARLAR!$C$12,"SINIRDA","GÜVENLİ")))</f>
        <v/>
      </c>
      <c r="H394" s="118" t="n"/>
    </row>
    <row r="395" ht="15" customHeight="1" s="64">
      <c r="A395" s="112" t="n">
        <v>390</v>
      </c>
      <c r="B395" s="118" t="n"/>
      <c r="C395" s="118" t="n"/>
      <c r="D395" s="118" t="n"/>
      <c r="E395" s="115">
        <f>IF(C395="","",IFERROR(C395/MOTOR!$B$14,0))</f>
        <v/>
      </c>
      <c r="F395" s="116">
        <f>IF(C395="","",IFERROR((C395-MOTOR!$B$8)/MOTOR!$B$11,0))</f>
        <v/>
      </c>
      <c r="G395" s="117">
        <f>IF(C395="","",IF(E395&lt;AYARLAR!$C$11,"AŞIRI DÜŞÜK",IF(E395&lt;AYARLAR!$C$12,"SINIRDA","GÜVENLİ")))</f>
        <v/>
      </c>
      <c r="H395" s="118" t="n"/>
    </row>
    <row r="396" ht="15" customHeight="1" s="64">
      <c r="A396" s="112" t="n">
        <v>391</v>
      </c>
      <c r="B396" s="118" t="n"/>
      <c r="C396" s="118" t="n"/>
      <c r="D396" s="118" t="n"/>
      <c r="E396" s="115">
        <f>IF(C396="","",IFERROR(C396/MOTOR!$B$14,0))</f>
        <v/>
      </c>
      <c r="F396" s="116">
        <f>IF(C396="","",IFERROR((C396-MOTOR!$B$8)/MOTOR!$B$11,0))</f>
        <v/>
      </c>
      <c r="G396" s="117">
        <f>IF(C396="","",IF(E396&lt;AYARLAR!$C$11,"AŞIRI DÜŞÜK",IF(E396&lt;AYARLAR!$C$12,"SINIRDA","GÜVENLİ")))</f>
        <v/>
      </c>
      <c r="H396" s="118" t="n"/>
    </row>
    <row r="397" ht="15" customHeight="1" s="64">
      <c r="A397" s="112" t="n">
        <v>392</v>
      </c>
      <c r="B397" s="118" t="n"/>
      <c r="C397" s="118" t="n"/>
      <c r="D397" s="118" t="n"/>
      <c r="E397" s="115">
        <f>IF(C397="","",IFERROR(C397/MOTOR!$B$14,0))</f>
        <v/>
      </c>
      <c r="F397" s="116">
        <f>IF(C397="","",IFERROR((C397-MOTOR!$B$8)/MOTOR!$B$11,0))</f>
        <v/>
      </c>
      <c r="G397" s="117">
        <f>IF(C397="","",IF(E397&lt;AYARLAR!$C$11,"AŞIRI DÜŞÜK",IF(E397&lt;AYARLAR!$C$12,"SINIRDA","GÜVENLİ")))</f>
        <v/>
      </c>
      <c r="H397" s="118" t="n"/>
    </row>
    <row r="398" ht="15" customHeight="1" s="64">
      <c r="A398" s="112" t="n">
        <v>393</v>
      </c>
      <c r="B398" s="118" t="n"/>
      <c r="C398" s="118" t="n"/>
      <c r="D398" s="118" t="n"/>
      <c r="E398" s="115">
        <f>IF(C398="","",IFERROR(C398/MOTOR!$B$14,0))</f>
        <v/>
      </c>
      <c r="F398" s="116">
        <f>IF(C398="","",IFERROR((C398-MOTOR!$B$8)/MOTOR!$B$11,0))</f>
        <v/>
      </c>
      <c r="G398" s="117">
        <f>IF(C398="","",IF(E398&lt;AYARLAR!$C$11,"AŞIRI DÜŞÜK",IF(E398&lt;AYARLAR!$C$12,"SINIRDA","GÜVENLİ")))</f>
        <v/>
      </c>
      <c r="H398" s="118" t="n"/>
    </row>
    <row r="399" ht="15" customHeight="1" s="64">
      <c r="A399" s="112" t="n">
        <v>394</v>
      </c>
      <c r="B399" s="118" t="n"/>
      <c r="C399" s="118" t="n"/>
      <c r="D399" s="118" t="n"/>
      <c r="E399" s="115">
        <f>IF(C399="","",IFERROR(C399/MOTOR!$B$14,0))</f>
        <v/>
      </c>
      <c r="F399" s="116">
        <f>IF(C399="","",IFERROR((C399-MOTOR!$B$8)/MOTOR!$B$11,0))</f>
        <v/>
      </c>
      <c r="G399" s="117">
        <f>IF(C399="","",IF(E399&lt;AYARLAR!$C$11,"AŞIRI DÜŞÜK",IF(E399&lt;AYARLAR!$C$12,"SINIRDA","GÜVENLİ")))</f>
        <v/>
      </c>
      <c r="H399" s="118" t="n"/>
    </row>
    <row r="400" ht="15" customHeight="1" s="64">
      <c r="A400" s="112" t="n">
        <v>395</v>
      </c>
      <c r="B400" s="118" t="n"/>
      <c r="C400" s="118" t="n"/>
      <c r="D400" s="118" t="n"/>
      <c r="E400" s="115">
        <f>IF(C400="","",IFERROR(C400/MOTOR!$B$14,0))</f>
        <v/>
      </c>
      <c r="F400" s="116">
        <f>IF(C400="","",IFERROR((C400-MOTOR!$B$8)/MOTOR!$B$11,0))</f>
        <v/>
      </c>
      <c r="G400" s="117">
        <f>IF(C400="","",IF(E400&lt;AYARLAR!$C$11,"AŞIRI DÜŞÜK",IF(E400&lt;AYARLAR!$C$12,"SINIRDA","GÜVENLİ")))</f>
        <v/>
      </c>
      <c r="H400" s="118" t="n"/>
    </row>
    <row r="401" ht="15" customHeight="1" s="64">
      <c r="A401" s="112" t="n">
        <v>396</v>
      </c>
      <c r="B401" s="118" t="n"/>
      <c r="C401" s="118" t="n"/>
      <c r="D401" s="118" t="n"/>
      <c r="E401" s="115">
        <f>IF(C401="","",IFERROR(C401/MOTOR!$B$14,0))</f>
        <v/>
      </c>
      <c r="F401" s="116">
        <f>IF(C401="","",IFERROR((C401-MOTOR!$B$8)/MOTOR!$B$11,0))</f>
        <v/>
      </c>
      <c r="G401" s="117">
        <f>IF(C401="","",IF(E401&lt;AYARLAR!$C$11,"AŞIRI DÜŞÜK",IF(E401&lt;AYARLAR!$C$12,"SINIRDA","GÜVENLİ")))</f>
        <v/>
      </c>
      <c r="H401" s="118" t="n"/>
    </row>
    <row r="402" ht="15" customHeight="1" s="64">
      <c r="A402" s="112" t="n">
        <v>397</v>
      </c>
      <c r="B402" s="118" t="n"/>
      <c r="C402" s="118" t="n"/>
      <c r="D402" s="118" t="n"/>
      <c r="E402" s="115">
        <f>IF(C402="","",IFERROR(C402/MOTOR!$B$14,0))</f>
        <v/>
      </c>
      <c r="F402" s="116">
        <f>IF(C402="","",IFERROR((C402-MOTOR!$B$8)/MOTOR!$B$11,0))</f>
        <v/>
      </c>
      <c r="G402" s="117">
        <f>IF(C402="","",IF(E402&lt;AYARLAR!$C$11,"AŞIRI DÜŞÜK",IF(E402&lt;AYARLAR!$C$12,"SINIRDA","GÜVENLİ")))</f>
        <v/>
      </c>
      <c r="H402" s="118" t="n"/>
    </row>
    <row r="403" ht="15" customHeight="1" s="64">
      <c r="A403" s="112" t="n">
        <v>398</v>
      </c>
      <c r="B403" s="118" t="n"/>
      <c r="C403" s="118" t="n"/>
      <c r="D403" s="118" t="n"/>
      <c r="E403" s="115">
        <f>IF(C403="","",IFERROR(C403/MOTOR!$B$14,0))</f>
        <v/>
      </c>
      <c r="F403" s="116">
        <f>IF(C403="","",IFERROR((C403-MOTOR!$B$8)/MOTOR!$B$11,0))</f>
        <v/>
      </c>
      <c r="G403" s="117">
        <f>IF(C403="","",IF(E403&lt;AYARLAR!$C$11,"AŞIRI DÜŞÜK",IF(E403&lt;AYARLAR!$C$12,"SINIRDA","GÜVENLİ")))</f>
        <v/>
      </c>
      <c r="H403" s="118" t="n"/>
    </row>
    <row r="404" ht="15" customHeight="1" s="64">
      <c r="A404" s="112" t="n">
        <v>399</v>
      </c>
      <c r="B404" s="118" t="n"/>
      <c r="C404" s="118" t="n"/>
      <c r="D404" s="118" t="n"/>
      <c r="E404" s="115">
        <f>IF(C404="","",IFERROR(C404/MOTOR!$B$14,0))</f>
        <v/>
      </c>
      <c r="F404" s="116">
        <f>IF(C404="","",IFERROR((C404-MOTOR!$B$8)/MOTOR!$B$11,0))</f>
        <v/>
      </c>
      <c r="G404" s="117">
        <f>IF(C404="","",IF(E404&lt;AYARLAR!$C$11,"AŞIRI DÜŞÜK",IF(E404&lt;AYARLAR!$C$12,"SINIRDA","GÜVENLİ")))</f>
        <v/>
      </c>
      <c r="H404" s="118" t="n"/>
    </row>
    <row r="405" ht="15" customHeight="1" s="64">
      <c r="A405" s="112" t="n">
        <v>400</v>
      </c>
      <c r="B405" s="118" t="n"/>
      <c r="C405" s="118" t="n"/>
      <c r="D405" s="118" t="n"/>
      <c r="E405" s="115">
        <f>IF(C405="","",IFERROR(C405/MOTOR!$B$14,0))</f>
        <v/>
      </c>
      <c r="F405" s="116">
        <f>IF(C405="","",IFERROR((C405-MOTOR!$B$8)/MOTOR!$B$11,0))</f>
        <v/>
      </c>
      <c r="G405" s="117">
        <f>IF(C405="","",IF(E405&lt;AYARLAR!$C$11,"AŞIRI DÜŞÜK",IF(E405&lt;AYARLAR!$C$12,"SINIRDA","GÜVENLİ")))</f>
        <v/>
      </c>
      <c r="H405" s="118" t="n"/>
    </row>
    <row r="406" ht="15" customHeight="1" s="64">
      <c r="A406" s="112" t="n">
        <v>401</v>
      </c>
      <c r="B406" s="118" t="n"/>
      <c r="C406" s="118" t="n"/>
      <c r="D406" s="118" t="n"/>
      <c r="E406" s="115">
        <f>IF(C406="","",IFERROR(C406/MOTOR!$B$14,0))</f>
        <v/>
      </c>
      <c r="F406" s="116">
        <f>IF(C406="","",IFERROR((C406-MOTOR!$B$8)/MOTOR!$B$11,0))</f>
        <v/>
      </c>
      <c r="G406" s="117">
        <f>IF(C406="","",IF(E406&lt;AYARLAR!$C$11,"AŞIRI DÜŞÜK",IF(E406&lt;AYARLAR!$C$12,"SINIRDA","GÜVENLİ")))</f>
        <v/>
      </c>
      <c r="H406" s="118" t="n"/>
    </row>
    <row r="407" ht="15" customHeight="1" s="64">
      <c r="A407" s="112" t="n">
        <v>402</v>
      </c>
      <c r="B407" s="118" t="n"/>
      <c r="C407" s="118" t="n"/>
      <c r="D407" s="118" t="n"/>
      <c r="E407" s="115">
        <f>IF(C407="","",IFERROR(C407/MOTOR!$B$14,0))</f>
        <v/>
      </c>
      <c r="F407" s="116">
        <f>IF(C407="","",IFERROR((C407-MOTOR!$B$8)/MOTOR!$B$11,0))</f>
        <v/>
      </c>
      <c r="G407" s="117">
        <f>IF(C407="","",IF(E407&lt;AYARLAR!$C$11,"AŞIRI DÜŞÜK",IF(E407&lt;AYARLAR!$C$12,"SINIRDA","GÜVENLİ")))</f>
        <v/>
      </c>
      <c r="H407" s="118" t="n"/>
    </row>
    <row r="408" ht="15" customHeight="1" s="64">
      <c r="A408" s="112" t="n">
        <v>403</v>
      </c>
      <c r="B408" s="118" t="n"/>
      <c r="C408" s="118" t="n"/>
      <c r="D408" s="118" t="n"/>
      <c r="E408" s="115">
        <f>IF(C408="","",IFERROR(C408/MOTOR!$B$14,0))</f>
        <v/>
      </c>
      <c r="F408" s="116">
        <f>IF(C408="","",IFERROR((C408-MOTOR!$B$8)/MOTOR!$B$11,0))</f>
        <v/>
      </c>
      <c r="G408" s="117">
        <f>IF(C408="","",IF(E408&lt;AYARLAR!$C$11,"AŞIRI DÜŞÜK",IF(E408&lt;AYARLAR!$C$12,"SINIRDA","GÜVENLİ")))</f>
        <v/>
      </c>
      <c r="H408" s="118" t="n"/>
    </row>
    <row r="409" ht="15" customHeight="1" s="64">
      <c r="A409" s="112" t="n">
        <v>404</v>
      </c>
      <c r="B409" s="118" t="n"/>
      <c r="C409" s="118" t="n"/>
      <c r="D409" s="118" t="n"/>
      <c r="E409" s="115">
        <f>IF(C409="","",IFERROR(C409/MOTOR!$B$14,0))</f>
        <v/>
      </c>
      <c r="F409" s="116">
        <f>IF(C409="","",IFERROR((C409-MOTOR!$B$8)/MOTOR!$B$11,0))</f>
        <v/>
      </c>
      <c r="G409" s="117">
        <f>IF(C409="","",IF(E409&lt;AYARLAR!$C$11,"AŞIRI DÜŞÜK",IF(E409&lt;AYARLAR!$C$12,"SINIRDA","GÜVENLİ")))</f>
        <v/>
      </c>
      <c r="H409" s="118" t="n"/>
    </row>
    <row r="410" ht="15" customHeight="1" s="64">
      <c r="A410" s="112" t="n">
        <v>405</v>
      </c>
      <c r="B410" s="118" t="n"/>
      <c r="C410" s="118" t="n"/>
      <c r="D410" s="118" t="n"/>
      <c r="E410" s="115">
        <f>IF(C410="","",IFERROR(C410/MOTOR!$B$14,0))</f>
        <v/>
      </c>
      <c r="F410" s="116">
        <f>IF(C410="","",IFERROR((C410-MOTOR!$B$8)/MOTOR!$B$11,0))</f>
        <v/>
      </c>
      <c r="G410" s="117">
        <f>IF(C410="","",IF(E410&lt;AYARLAR!$C$11,"AŞIRI DÜŞÜK",IF(E410&lt;AYARLAR!$C$12,"SINIRDA","GÜVENLİ")))</f>
        <v/>
      </c>
      <c r="H410" s="118" t="n"/>
    </row>
    <row r="411" ht="15" customHeight="1" s="64">
      <c r="A411" s="112" t="n">
        <v>406</v>
      </c>
      <c r="B411" s="118" t="n"/>
      <c r="C411" s="118" t="n"/>
      <c r="D411" s="118" t="n"/>
      <c r="E411" s="115">
        <f>IF(C411="","",IFERROR(C411/MOTOR!$B$14,0))</f>
        <v/>
      </c>
      <c r="F411" s="116">
        <f>IF(C411="","",IFERROR((C411-MOTOR!$B$8)/MOTOR!$B$11,0))</f>
        <v/>
      </c>
      <c r="G411" s="117">
        <f>IF(C411="","",IF(E411&lt;AYARLAR!$C$11,"AŞIRI DÜŞÜK",IF(E411&lt;AYARLAR!$C$12,"SINIRDA","GÜVENLİ")))</f>
        <v/>
      </c>
      <c r="H411" s="118" t="n"/>
    </row>
    <row r="412" ht="15" customHeight="1" s="64">
      <c r="A412" s="112" t="n">
        <v>407</v>
      </c>
      <c r="B412" s="118" t="n"/>
      <c r="C412" s="118" t="n"/>
      <c r="D412" s="118" t="n"/>
      <c r="E412" s="115">
        <f>IF(C412="","",IFERROR(C412/MOTOR!$B$14,0))</f>
        <v/>
      </c>
      <c r="F412" s="116">
        <f>IF(C412="","",IFERROR((C412-MOTOR!$B$8)/MOTOR!$B$11,0))</f>
        <v/>
      </c>
      <c r="G412" s="117">
        <f>IF(C412="","",IF(E412&lt;AYARLAR!$C$11,"AŞIRI DÜŞÜK",IF(E412&lt;AYARLAR!$C$12,"SINIRDA","GÜVENLİ")))</f>
        <v/>
      </c>
      <c r="H412" s="118" t="n"/>
    </row>
    <row r="413" ht="15" customHeight="1" s="64">
      <c r="A413" s="112" t="n">
        <v>408</v>
      </c>
      <c r="B413" s="118" t="n"/>
      <c r="C413" s="118" t="n"/>
      <c r="D413" s="118" t="n"/>
      <c r="E413" s="115">
        <f>IF(C413="","",IFERROR(C413/MOTOR!$B$14,0))</f>
        <v/>
      </c>
      <c r="F413" s="116">
        <f>IF(C413="","",IFERROR((C413-MOTOR!$B$8)/MOTOR!$B$11,0))</f>
        <v/>
      </c>
      <c r="G413" s="117">
        <f>IF(C413="","",IF(E413&lt;AYARLAR!$C$11,"AŞIRI DÜŞÜK",IF(E413&lt;AYARLAR!$C$12,"SINIRDA","GÜVENLİ")))</f>
        <v/>
      </c>
      <c r="H413" s="118" t="n"/>
    </row>
    <row r="414" ht="15" customHeight="1" s="64">
      <c r="A414" s="112" t="n">
        <v>409</v>
      </c>
      <c r="B414" s="118" t="n"/>
      <c r="C414" s="118" t="n"/>
      <c r="D414" s="118" t="n"/>
      <c r="E414" s="115">
        <f>IF(C414="","",IFERROR(C414/MOTOR!$B$14,0))</f>
        <v/>
      </c>
      <c r="F414" s="116">
        <f>IF(C414="","",IFERROR((C414-MOTOR!$B$8)/MOTOR!$B$11,0))</f>
        <v/>
      </c>
      <c r="G414" s="117">
        <f>IF(C414="","",IF(E414&lt;AYARLAR!$C$11,"AŞIRI DÜŞÜK",IF(E414&lt;AYARLAR!$C$12,"SINIRDA","GÜVENLİ")))</f>
        <v/>
      </c>
      <c r="H414" s="118" t="n"/>
    </row>
    <row r="415" ht="15" customHeight="1" s="64">
      <c r="A415" s="112" t="n">
        <v>410</v>
      </c>
      <c r="B415" s="118" t="n"/>
      <c r="C415" s="118" t="n"/>
      <c r="D415" s="118" t="n"/>
      <c r="E415" s="115">
        <f>IF(C415="","",IFERROR(C415/MOTOR!$B$14,0))</f>
        <v/>
      </c>
      <c r="F415" s="116">
        <f>IF(C415="","",IFERROR((C415-MOTOR!$B$8)/MOTOR!$B$11,0))</f>
        <v/>
      </c>
      <c r="G415" s="117">
        <f>IF(C415="","",IF(E415&lt;AYARLAR!$C$11,"AŞIRI DÜŞÜK",IF(E415&lt;AYARLAR!$C$12,"SINIRDA","GÜVENLİ")))</f>
        <v/>
      </c>
      <c r="H415" s="118" t="n"/>
    </row>
    <row r="416" ht="15" customHeight="1" s="64">
      <c r="A416" s="112" t="n">
        <v>411</v>
      </c>
      <c r="B416" s="118" t="n"/>
      <c r="C416" s="118" t="n"/>
      <c r="D416" s="118" t="n"/>
      <c r="E416" s="115">
        <f>IF(C416="","",IFERROR(C416/MOTOR!$B$14,0))</f>
        <v/>
      </c>
      <c r="F416" s="116">
        <f>IF(C416="","",IFERROR((C416-MOTOR!$B$8)/MOTOR!$B$11,0))</f>
        <v/>
      </c>
      <c r="G416" s="117">
        <f>IF(C416="","",IF(E416&lt;AYARLAR!$C$11,"AŞIRI DÜŞÜK",IF(E416&lt;AYARLAR!$C$12,"SINIRDA","GÜVENLİ")))</f>
        <v/>
      </c>
      <c r="H416" s="118" t="n"/>
    </row>
    <row r="417" ht="15" customHeight="1" s="64">
      <c r="A417" s="112" t="n">
        <v>412</v>
      </c>
      <c r="B417" s="118" t="n"/>
      <c r="C417" s="118" t="n"/>
      <c r="D417" s="118" t="n"/>
      <c r="E417" s="115">
        <f>IF(C417="","",IFERROR(C417/MOTOR!$B$14,0))</f>
        <v/>
      </c>
      <c r="F417" s="116">
        <f>IF(C417="","",IFERROR((C417-MOTOR!$B$8)/MOTOR!$B$11,0))</f>
        <v/>
      </c>
      <c r="G417" s="117">
        <f>IF(C417="","",IF(E417&lt;AYARLAR!$C$11,"AŞIRI DÜŞÜK",IF(E417&lt;AYARLAR!$C$12,"SINIRDA","GÜVENLİ")))</f>
        <v/>
      </c>
      <c r="H417" s="118" t="n"/>
    </row>
    <row r="418" ht="15" customHeight="1" s="64">
      <c r="A418" s="112" t="n">
        <v>413</v>
      </c>
      <c r="B418" s="118" t="n"/>
      <c r="C418" s="118" t="n"/>
      <c r="D418" s="118" t="n"/>
      <c r="E418" s="115">
        <f>IF(C418="","",IFERROR(C418/MOTOR!$B$14,0))</f>
        <v/>
      </c>
      <c r="F418" s="116">
        <f>IF(C418="","",IFERROR((C418-MOTOR!$B$8)/MOTOR!$B$11,0))</f>
        <v/>
      </c>
      <c r="G418" s="117">
        <f>IF(C418="","",IF(E418&lt;AYARLAR!$C$11,"AŞIRI DÜŞÜK",IF(E418&lt;AYARLAR!$C$12,"SINIRDA","GÜVENLİ")))</f>
        <v/>
      </c>
      <c r="H418" s="118" t="n"/>
    </row>
    <row r="419" ht="15" customHeight="1" s="64">
      <c r="A419" s="112" t="n">
        <v>414</v>
      </c>
      <c r="B419" s="118" t="n"/>
      <c r="C419" s="118" t="n"/>
      <c r="D419" s="118" t="n"/>
      <c r="E419" s="115">
        <f>IF(C419="","",IFERROR(C419/MOTOR!$B$14,0))</f>
        <v/>
      </c>
      <c r="F419" s="116">
        <f>IF(C419="","",IFERROR((C419-MOTOR!$B$8)/MOTOR!$B$11,0))</f>
        <v/>
      </c>
      <c r="G419" s="117">
        <f>IF(C419="","",IF(E419&lt;AYARLAR!$C$11,"AŞIRI DÜŞÜK",IF(E419&lt;AYARLAR!$C$12,"SINIRDA","GÜVENLİ")))</f>
        <v/>
      </c>
      <c r="H419" s="118" t="n"/>
    </row>
    <row r="420" ht="15" customHeight="1" s="64">
      <c r="A420" s="112" t="n">
        <v>415</v>
      </c>
      <c r="B420" s="118" t="n"/>
      <c r="C420" s="118" t="n"/>
      <c r="D420" s="118" t="n"/>
      <c r="E420" s="115">
        <f>IF(C420="","",IFERROR(C420/MOTOR!$B$14,0))</f>
        <v/>
      </c>
      <c r="F420" s="116">
        <f>IF(C420="","",IFERROR((C420-MOTOR!$B$8)/MOTOR!$B$11,0))</f>
        <v/>
      </c>
      <c r="G420" s="117">
        <f>IF(C420="","",IF(E420&lt;AYARLAR!$C$11,"AŞIRI DÜŞÜK",IF(E420&lt;AYARLAR!$C$12,"SINIRDA","GÜVENLİ")))</f>
        <v/>
      </c>
      <c r="H420" s="118" t="n"/>
    </row>
    <row r="421" ht="15" customHeight="1" s="64">
      <c r="A421" s="112" t="n">
        <v>416</v>
      </c>
      <c r="B421" s="118" t="n"/>
      <c r="C421" s="118" t="n"/>
      <c r="D421" s="118" t="n"/>
      <c r="E421" s="115">
        <f>IF(C421="","",IFERROR(C421/MOTOR!$B$14,0))</f>
        <v/>
      </c>
      <c r="F421" s="116">
        <f>IF(C421="","",IFERROR((C421-MOTOR!$B$8)/MOTOR!$B$11,0))</f>
        <v/>
      </c>
      <c r="G421" s="117">
        <f>IF(C421="","",IF(E421&lt;AYARLAR!$C$11,"AŞIRI DÜŞÜK",IF(E421&lt;AYARLAR!$C$12,"SINIRDA","GÜVENLİ")))</f>
        <v/>
      </c>
      <c r="H421" s="118" t="n"/>
    </row>
    <row r="422" ht="15" customHeight="1" s="64">
      <c r="A422" s="112" t="n">
        <v>417</v>
      </c>
      <c r="B422" s="118" t="n"/>
      <c r="C422" s="118" t="n"/>
      <c r="D422" s="118" t="n"/>
      <c r="E422" s="115">
        <f>IF(C422="","",IFERROR(C422/MOTOR!$B$14,0))</f>
        <v/>
      </c>
      <c r="F422" s="116">
        <f>IF(C422="","",IFERROR((C422-MOTOR!$B$8)/MOTOR!$B$11,0))</f>
        <v/>
      </c>
      <c r="G422" s="117">
        <f>IF(C422="","",IF(E422&lt;AYARLAR!$C$11,"AŞIRI DÜŞÜK",IF(E422&lt;AYARLAR!$C$12,"SINIRDA","GÜVENLİ")))</f>
        <v/>
      </c>
      <c r="H422" s="118" t="n"/>
    </row>
    <row r="423" ht="15" customHeight="1" s="64">
      <c r="A423" s="112" t="n">
        <v>418</v>
      </c>
      <c r="B423" s="118" t="n"/>
      <c r="C423" s="118" t="n"/>
      <c r="D423" s="118" t="n"/>
      <c r="E423" s="115">
        <f>IF(C423="","",IFERROR(C423/MOTOR!$B$14,0))</f>
        <v/>
      </c>
      <c r="F423" s="116">
        <f>IF(C423="","",IFERROR((C423-MOTOR!$B$8)/MOTOR!$B$11,0))</f>
        <v/>
      </c>
      <c r="G423" s="117">
        <f>IF(C423="","",IF(E423&lt;AYARLAR!$C$11,"AŞIRI DÜŞÜK",IF(E423&lt;AYARLAR!$C$12,"SINIRDA","GÜVENLİ")))</f>
        <v/>
      </c>
      <c r="H423" s="118" t="n"/>
    </row>
    <row r="424" ht="15" customHeight="1" s="64">
      <c r="A424" s="112" t="n">
        <v>419</v>
      </c>
      <c r="B424" s="118" t="n"/>
      <c r="C424" s="118" t="n"/>
      <c r="D424" s="118" t="n"/>
      <c r="E424" s="115">
        <f>IF(C424="","",IFERROR(C424/MOTOR!$B$14,0))</f>
        <v/>
      </c>
      <c r="F424" s="116">
        <f>IF(C424="","",IFERROR((C424-MOTOR!$B$8)/MOTOR!$B$11,0))</f>
        <v/>
      </c>
      <c r="G424" s="117">
        <f>IF(C424="","",IF(E424&lt;AYARLAR!$C$11,"AŞIRI DÜŞÜK",IF(E424&lt;AYARLAR!$C$12,"SINIRDA","GÜVENLİ")))</f>
        <v/>
      </c>
      <c r="H424" s="118" t="n"/>
    </row>
    <row r="425" ht="15" customHeight="1" s="64">
      <c r="A425" s="112" t="n">
        <v>420</v>
      </c>
      <c r="B425" s="118" t="n"/>
      <c r="C425" s="118" t="n"/>
      <c r="D425" s="118" t="n"/>
      <c r="E425" s="115">
        <f>IF(C425="","",IFERROR(C425/MOTOR!$B$14,0))</f>
        <v/>
      </c>
      <c r="F425" s="116">
        <f>IF(C425="","",IFERROR((C425-MOTOR!$B$8)/MOTOR!$B$11,0))</f>
        <v/>
      </c>
      <c r="G425" s="117">
        <f>IF(C425="","",IF(E425&lt;AYARLAR!$C$11,"AŞIRI DÜŞÜK",IF(E425&lt;AYARLAR!$C$12,"SINIRDA","GÜVENLİ")))</f>
        <v/>
      </c>
      <c r="H425" s="118" t="n"/>
    </row>
    <row r="426" ht="15" customHeight="1" s="64">
      <c r="A426" s="112" t="n">
        <v>421</v>
      </c>
      <c r="B426" s="118" t="n"/>
      <c r="C426" s="118" t="n"/>
      <c r="D426" s="118" t="n"/>
      <c r="E426" s="115">
        <f>IF(C426="","",IFERROR(C426/MOTOR!$B$14,0))</f>
        <v/>
      </c>
      <c r="F426" s="116">
        <f>IF(C426="","",IFERROR((C426-MOTOR!$B$8)/MOTOR!$B$11,0))</f>
        <v/>
      </c>
      <c r="G426" s="117">
        <f>IF(C426="","",IF(E426&lt;AYARLAR!$C$11,"AŞIRI DÜŞÜK",IF(E426&lt;AYARLAR!$C$12,"SINIRDA","GÜVENLİ")))</f>
        <v/>
      </c>
      <c r="H426" s="118" t="n"/>
    </row>
    <row r="427" ht="15" customHeight="1" s="64">
      <c r="A427" s="112" t="n">
        <v>422</v>
      </c>
      <c r="B427" s="118" t="n"/>
      <c r="C427" s="118" t="n"/>
      <c r="D427" s="118" t="n"/>
      <c r="E427" s="115">
        <f>IF(C427="","",IFERROR(C427/MOTOR!$B$14,0))</f>
        <v/>
      </c>
      <c r="F427" s="116">
        <f>IF(C427="","",IFERROR((C427-MOTOR!$B$8)/MOTOR!$B$11,0))</f>
        <v/>
      </c>
      <c r="G427" s="117">
        <f>IF(C427="","",IF(E427&lt;AYARLAR!$C$11,"AŞIRI DÜŞÜK",IF(E427&lt;AYARLAR!$C$12,"SINIRDA","GÜVENLİ")))</f>
        <v/>
      </c>
      <c r="H427" s="118" t="n"/>
    </row>
    <row r="428" ht="15" customHeight="1" s="64">
      <c r="A428" s="112" t="n">
        <v>423</v>
      </c>
      <c r="B428" s="118" t="n"/>
      <c r="C428" s="118" t="n"/>
      <c r="D428" s="118" t="n"/>
      <c r="E428" s="115">
        <f>IF(C428="","",IFERROR(C428/MOTOR!$B$14,0))</f>
        <v/>
      </c>
      <c r="F428" s="116">
        <f>IF(C428="","",IFERROR((C428-MOTOR!$B$8)/MOTOR!$B$11,0))</f>
        <v/>
      </c>
      <c r="G428" s="117">
        <f>IF(C428="","",IF(E428&lt;AYARLAR!$C$11,"AŞIRI DÜŞÜK",IF(E428&lt;AYARLAR!$C$12,"SINIRDA","GÜVENLİ")))</f>
        <v/>
      </c>
      <c r="H428" s="118" t="n"/>
    </row>
    <row r="429" ht="15" customHeight="1" s="64">
      <c r="A429" s="112" t="n">
        <v>424</v>
      </c>
      <c r="B429" s="118" t="n"/>
      <c r="C429" s="118" t="n"/>
      <c r="D429" s="118" t="n"/>
      <c r="E429" s="115">
        <f>IF(C429="","",IFERROR(C429/MOTOR!$B$14,0))</f>
        <v/>
      </c>
      <c r="F429" s="116">
        <f>IF(C429="","",IFERROR((C429-MOTOR!$B$8)/MOTOR!$B$11,0))</f>
        <v/>
      </c>
      <c r="G429" s="117">
        <f>IF(C429="","",IF(E429&lt;AYARLAR!$C$11,"AŞIRI DÜŞÜK",IF(E429&lt;AYARLAR!$C$12,"SINIRDA","GÜVENLİ")))</f>
        <v/>
      </c>
      <c r="H429" s="118" t="n"/>
    </row>
    <row r="430" ht="15" customHeight="1" s="64">
      <c r="A430" s="112" t="n">
        <v>425</v>
      </c>
      <c r="B430" s="118" t="n"/>
      <c r="C430" s="118" t="n"/>
      <c r="D430" s="118" t="n"/>
      <c r="E430" s="115">
        <f>IF(C430="","",IFERROR(C430/MOTOR!$B$14,0))</f>
        <v/>
      </c>
      <c r="F430" s="116">
        <f>IF(C430="","",IFERROR((C430-MOTOR!$B$8)/MOTOR!$B$11,0))</f>
        <v/>
      </c>
      <c r="G430" s="117">
        <f>IF(C430="","",IF(E430&lt;AYARLAR!$C$11,"AŞIRI DÜŞÜK",IF(E430&lt;AYARLAR!$C$12,"SINIRDA","GÜVENLİ")))</f>
        <v/>
      </c>
      <c r="H430" s="118" t="n"/>
    </row>
    <row r="431" ht="15" customHeight="1" s="64">
      <c r="A431" s="112" t="n">
        <v>426</v>
      </c>
      <c r="B431" s="118" t="n"/>
      <c r="C431" s="118" t="n"/>
      <c r="D431" s="118" t="n"/>
      <c r="E431" s="115">
        <f>IF(C431="","",IFERROR(C431/MOTOR!$B$14,0))</f>
        <v/>
      </c>
      <c r="F431" s="116">
        <f>IF(C431="","",IFERROR((C431-MOTOR!$B$8)/MOTOR!$B$11,0))</f>
        <v/>
      </c>
      <c r="G431" s="117">
        <f>IF(C431="","",IF(E431&lt;AYARLAR!$C$11,"AŞIRI DÜŞÜK",IF(E431&lt;AYARLAR!$C$12,"SINIRDA","GÜVENLİ")))</f>
        <v/>
      </c>
      <c r="H431" s="118" t="n"/>
    </row>
    <row r="432" ht="15" customHeight="1" s="64">
      <c r="A432" s="112" t="n">
        <v>427</v>
      </c>
      <c r="B432" s="118" t="n"/>
      <c r="C432" s="118" t="n"/>
      <c r="D432" s="118" t="n"/>
      <c r="E432" s="115">
        <f>IF(C432="","",IFERROR(C432/MOTOR!$B$14,0))</f>
        <v/>
      </c>
      <c r="F432" s="116">
        <f>IF(C432="","",IFERROR((C432-MOTOR!$B$8)/MOTOR!$B$11,0))</f>
        <v/>
      </c>
      <c r="G432" s="117">
        <f>IF(C432="","",IF(E432&lt;AYARLAR!$C$11,"AŞIRI DÜŞÜK",IF(E432&lt;AYARLAR!$C$12,"SINIRDA","GÜVENLİ")))</f>
        <v/>
      </c>
      <c r="H432" s="118" t="n"/>
    </row>
    <row r="433" ht="15" customHeight="1" s="64">
      <c r="A433" s="112" t="n">
        <v>428</v>
      </c>
      <c r="B433" s="118" t="n"/>
      <c r="C433" s="118" t="n"/>
      <c r="D433" s="118" t="n"/>
      <c r="E433" s="115">
        <f>IF(C433="","",IFERROR(C433/MOTOR!$B$14,0))</f>
        <v/>
      </c>
      <c r="F433" s="116">
        <f>IF(C433="","",IFERROR((C433-MOTOR!$B$8)/MOTOR!$B$11,0))</f>
        <v/>
      </c>
      <c r="G433" s="117">
        <f>IF(C433="","",IF(E433&lt;AYARLAR!$C$11,"AŞIRI DÜŞÜK",IF(E433&lt;AYARLAR!$C$12,"SINIRDA","GÜVENLİ")))</f>
        <v/>
      </c>
      <c r="H433" s="118" t="n"/>
    </row>
    <row r="434" ht="15" customHeight="1" s="64">
      <c r="A434" s="112" t="n">
        <v>429</v>
      </c>
      <c r="B434" s="118" t="n"/>
      <c r="C434" s="118" t="n"/>
      <c r="D434" s="118" t="n"/>
      <c r="E434" s="115">
        <f>IF(C434="","",IFERROR(C434/MOTOR!$B$14,0))</f>
        <v/>
      </c>
      <c r="F434" s="116">
        <f>IF(C434="","",IFERROR((C434-MOTOR!$B$8)/MOTOR!$B$11,0))</f>
        <v/>
      </c>
      <c r="G434" s="117">
        <f>IF(C434="","",IF(E434&lt;AYARLAR!$C$11,"AŞIRI DÜŞÜK",IF(E434&lt;AYARLAR!$C$12,"SINIRDA","GÜVENLİ")))</f>
        <v/>
      </c>
      <c r="H434" s="118" t="n"/>
    </row>
    <row r="435" ht="15" customHeight="1" s="64">
      <c r="A435" s="112" t="n">
        <v>430</v>
      </c>
      <c r="B435" s="118" t="n"/>
      <c r="C435" s="118" t="n"/>
      <c r="D435" s="118" t="n"/>
      <c r="E435" s="115">
        <f>IF(C435="","",IFERROR(C435/MOTOR!$B$14,0))</f>
        <v/>
      </c>
      <c r="F435" s="116">
        <f>IF(C435="","",IFERROR((C435-MOTOR!$B$8)/MOTOR!$B$11,0))</f>
        <v/>
      </c>
      <c r="G435" s="117">
        <f>IF(C435="","",IF(E435&lt;AYARLAR!$C$11,"AŞIRI DÜŞÜK",IF(E435&lt;AYARLAR!$C$12,"SINIRDA","GÜVENLİ")))</f>
        <v/>
      </c>
      <c r="H435" s="118" t="n"/>
    </row>
    <row r="436" ht="15" customHeight="1" s="64">
      <c r="A436" s="112" t="n">
        <v>431</v>
      </c>
      <c r="B436" s="118" t="n"/>
      <c r="C436" s="118" t="n"/>
      <c r="D436" s="118" t="n"/>
      <c r="E436" s="115">
        <f>IF(C436="","",IFERROR(C436/MOTOR!$B$14,0))</f>
        <v/>
      </c>
      <c r="F436" s="116">
        <f>IF(C436="","",IFERROR((C436-MOTOR!$B$8)/MOTOR!$B$11,0))</f>
        <v/>
      </c>
      <c r="G436" s="117">
        <f>IF(C436="","",IF(E436&lt;AYARLAR!$C$11,"AŞIRI DÜŞÜK",IF(E436&lt;AYARLAR!$C$12,"SINIRDA","GÜVENLİ")))</f>
        <v/>
      </c>
      <c r="H436" s="118" t="n"/>
    </row>
    <row r="437" ht="15" customHeight="1" s="64">
      <c r="A437" s="112" t="n">
        <v>432</v>
      </c>
      <c r="B437" s="118" t="n"/>
      <c r="C437" s="118" t="n"/>
      <c r="D437" s="118" t="n"/>
      <c r="E437" s="115">
        <f>IF(C437="","",IFERROR(C437/MOTOR!$B$14,0))</f>
        <v/>
      </c>
      <c r="F437" s="116">
        <f>IF(C437="","",IFERROR((C437-MOTOR!$B$8)/MOTOR!$B$11,0))</f>
        <v/>
      </c>
      <c r="G437" s="117">
        <f>IF(C437="","",IF(E437&lt;AYARLAR!$C$11,"AŞIRI DÜŞÜK",IF(E437&lt;AYARLAR!$C$12,"SINIRDA","GÜVENLİ")))</f>
        <v/>
      </c>
      <c r="H437" s="118" t="n"/>
    </row>
    <row r="438" ht="15" customHeight="1" s="64">
      <c r="A438" s="112" t="n">
        <v>433</v>
      </c>
      <c r="B438" s="118" t="n"/>
      <c r="C438" s="118" t="n"/>
      <c r="D438" s="118" t="n"/>
      <c r="E438" s="115">
        <f>IF(C438="","",IFERROR(C438/MOTOR!$B$14,0))</f>
        <v/>
      </c>
      <c r="F438" s="116">
        <f>IF(C438="","",IFERROR((C438-MOTOR!$B$8)/MOTOR!$B$11,0))</f>
        <v/>
      </c>
      <c r="G438" s="117">
        <f>IF(C438="","",IF(E438&lt;AYARLAR!$C$11,"AŞIRI DÜŞÜK",IF(E438&lt;AYARLAR!$C$12,"SINIRDA","GÜVENLİ")))</f>
        <v/>
      </c>
      <c r="H438" s="118" t="n"/>
    </row>
    <row r="439" ht="15" customHeight="1" s="64">
      <c r="A439" s="112" t="n">
        <v>434</v>
      </c>
      <c r="B439" s="118" t="n"/>
      <c r="C439" s="118" t="n"/>
      <c r="D439" s="118" t="n"/>
      <c r="E439" s="115">
        <f>IF(C439="","",IFERROR(C439/MOTOR!$B$14,0))</f>
        <v/>
      </c>
      <c r="F439" s="116">
        <f>IF(C439="","",IFERROR((C439-MOTOR!$B$8)/MOTOR!$B$11,0))</f>
        <v/>
      </c>
      <c r="G439" s="117">
        <f>IF(C439="","",IF(E439&lt;AYARLAR!$C$11,"AŞIRI DÜŞÜK",IF(E439&lt;AYARLAR!$C$12,"SINIRDA","GÜVENLİ")))</f>
        <v/>
      </c>
      <c r="H439" s="118" t="n"/>
    </row>
    <row r="440" ht="15" customHeight="1" s="64">
      <c r="A440" s="112" t="n">
        <v>435</v>
      </c>
      <c r="B440" s="118" t="n"/>
      <c r="C440" s="118" t="n"/>
      <c r="D440" s="118" t="n"/>
      <c r="E440" s="115">
        <f>IF(C440="","",IFERROR(C440/MOTOR!$B$14,0))</f>
        <v/>
      </c>
      <c r="F440" s="116">
        <f>IF(C440="","",IFERROR((C440-MOTOR!$B$8)/MOTOR!$B$11,0))</f>
        <v/>
      </c>
      <c r="G440" s="117">
        <f>IF(C440="","",IF(E440&lt;AYARLAR!$C$11,"AŞIRI DÜŞÜK",IF(E440&lt;AYARLAR!$C$12,"SINIRDA","GÜVENLİ")))</f>
        <v/>
      </c>
      <c r="H440" s="118" t="n"/>
    </row>
    <row r="441" ht="15" customHeight="1" s="64">
      <c r="A441" s="112" t="n">
        <v>436</v>
      </c>
      <c r="B441" s="118" t="n"/>
      <c r="C441" s="118" t="n"/>
      <c r="D441" s="118" t="n"/>
      <c r="E441" s="115">
        <f>IF(C441="","",IFERROR(C441/MOTOR!$B$14,0))</f>
        <v/>
      </c>
      <c r="F441" s="116">
        <f>IF(C441="","",IFERROR((C441-MOTOR!$B$8)/MOTOR!$B$11,0))</f>
        <v/>
      </c>
      <c r="G441" s="117">
        <f>IF(C441="","",IF(E441&lt;AYARLAR!$C$11,"AŞIRI DÜŞÜK",IF(E441&lt;AYARLAR!$C$12,"SINIRDA","GÜVENLİ")))</f>
        <v/>
      </c>
      <c r="H441" s="118" t="n"/>
    </row>
    <row r="442" ht="15" customHeight="1" s="64">
      <c r="A442" s="112" t="n">
        <v>437</v>
      </c>
      <c r="B442" s="118" t="n"/>
      <c r="C442" s="118" t="n"/>
      <c r="D442" s="118" t="n"/>
      <c r="E442" s="115">
        <f>IF(C442="","",IFERROR(C442/MOTOR!$B$14,0))</f>
        <v/>
      </c>
      <c r="F442" s="116">
        <f>IF(C442="","",IFERROR((C442-MOTOR!$B$8)/MOTOR!$B$11,0))</f>
        <v/>
      </c>
      <c r="G442" s="117">
        <f>IF(C442="","",IF(E442&lt;AYARLAR!$C$11,"AŞIRI DÜŞÜK",IF(E442&lt;AYARLAR!$C$12,"SINIRDA","GÜVENLİ")))</f>
        <v/>
      </c>
      <c r="H442" s="118" t="n"/>
    </row>
    <row r="443" ht="15" customHeight="1" s="64">
      <c r="A443" s="112" t="n">
        <v>438</v>
      </c>
      <c r="B443" s="118" t="n"/>
      <c r="C443" s="118" t="n"/>
      <c r="D443" s="118" t="n"/>
      <c r="E443" s="115">
        <f>IF(C443="","",IFERROR(C443/MOTOR!$B$14,0))</f>
        <v/>
      </c>
      <c r="F443" s="116">
        <f>IF(C443="","",IFERROR((C443-MOTOR!$B$8)/MOTOR!$B$11,0))</f>
        <v/>
      </c>
      <c r="G443" s="117">
        <f>IF(C443="","",IF(E443&lt;AYARLAR!$C$11,"AŞIRI DÜŞÜK",IF(E443&lt;AYARLAR!$C$12,"SINIRDA","GÜVENLİ")))</f>
        <v/>
      </c>
      <c r="H443" s="118" t="n"/>
    </row>
    <row r="444" ht="15" customHeight="1" s="64">
      <c r="A444" s="112" t="n">
        <v>439</v>
      </c>
      <c r="B444" s="118" t="n"/>
      <c r="C444" s="118" t="n"/>
      <c r="D444" s="118" t="n"/>
      <c r="E444" s="115">
        <f>IF(C444="","",IFERROR(C444/MOTOR!$B$14,0))</f>
        <v/>
      </c>
      <c r="F444" s="116">
        <f>IF(C444="","",IFERROR((C444-MOTOR!$B$8)/MOTOR!$B$11,0))</f>
        <v/>
      </c>
      <c r="G444" s="117">
        <f>IF(C444="","",IF(E444&lt;AYARLAR!$C$11,"AŞIRI DÜŞÜK",IF(E444&lt;AYARLAR!$C$12,"SINIRDA","GÜVENLİ")))</f>
        <v/>
      </c>
      <c r="H444" s="118" t="n"/>
    </row>
    <row r="445" ht="15" customHeight="1" s="64">
      <c r="A445" s="112" t="n">
        <v>440</v>
      </c>
      <c r="B445" s="118" t="n"/>
      <c r="C445" s="118" t="n"/>
      <c r="D445" s="118" t="n"/>
      <c r="E445" s="115">
        <f>IF(C445="","",IFERROR(C445/MOTOR!$B$14,0))</f>
        <v/>
      </c>
      <c r="F445" s="116">
        <f>IF(C445="","",IFERROR((C445-MOTOR!$B$8)/MOTOR!$B$11,0))</f>
        <v/>
      </c>
      <c r="G445" s="117">
        <f>IF(C445="","",IF(E445&lt;AYARLAR!$C$11,"AŞIRI DÜŞÜK",IF(E445&lt;AYARLAR!$C$12,"SINIRDA","GÜVENLİ")))</f>
        <v/>
      </c>
      <c r="H445" s="118" t="n"/>
    </row>
    <row r="446" ht="15" customHeight="1" s="64">
      <c r="A446" s="112" t="n">
        <v>441</v>
      </c>
      <c r="B446" s="118" t="n"/>
      <c r="C446" s="118" t="n"/>
      <c r="D446" s="118" t="n"/>
      <c r="E446" s="115">
        <f>IF(C446="","",IFERROR(C446/MOTOR!$B$14,0))</f>
        <v/>
      </c>
      <c r="F446" s="116">
        <f>IF(C446="","",IFERROR((C446-MOTOR!$B$8)/MOTOR!$B$11,0))</f>
        <v/>
      </c>
      <c r="G446" s="117">
        <f>IF(C446="","",IF(E446&lt;AYARLAR!$C$11,"AŞIRI DÜŞÜK",IF(E446&lt;AYARLAR!$C$12,"SINIRDA","GÜVENLİ")))</f>
        <v/>
      </c>
      <c r="H446" s="118" t="n"/>
    </row>
    <row r="447" ht="15" customHeight="1" s="64">
      <c r="A447" s="112" t="n">
        <v>442</v>
      </c>
      <c r="B447" s="118" t="n"/>
      <c r="C447" s="118" t="n"/>
      <c r="D447" s="118" t="n"/>
      <c r="E447" s="115">
        <f>IF(C447="","",IFERROR(C447/MOTOR!$B$14,0))</f>
        <v/>
      </c>
      <c r="F447" s="116">
        <f>IF(C447="","",IFERROR((C447-MOTOR!$B$8)/MOTOR!$B$11,0))</f>
        <v/>
      </c>
      <c r="G447" s="117">
        <f>IF(C447="","",IF(E447&lt;AYARLAR!$C$11,"AŞIRI DÜŞÜK",IF(E447&lt;AYARLAR!$C$12,"SINIRDA","GÜVENLİ")))</f>
        <v/>
      </c>
      <c r="H447" s="118" t="n"/>
    </row>
    <row r="448" ht="15" customHeight="1" s="64">
      <c r="A448" s="112" t="n">
        <v>443</v>
      </c>
      <c r="B448" s="118" t="n"/>
      <c r="C448" s="118" t="n"/>
      <c r="D448" s="118" t="n"/>
      <c r="E448" s="115">
        <f>IF(C448="","",IFERROR(C448/MOTOR!$B$14,0))</f>
        <v/>
      </c>
      <c r="F448" s="116">
        <f>IF(C448="","",IFERROR((C448-MOTOR!$B$8)/MOTOR!$B$11,0))</f>
        <v/>
      </c>
      <c r="G448" s="117">
        <f>IF(C448="","",IF(E448&lt;AYARLAR!$C$11,"AŞIRI DÜŞÜK",IF(E448&lt;AYARLAR!$C$12,"SINIRDA","GÜVENLİ")))</f>
        <v/>
      </c>
      <c r="H448" s="118" t="n"/>
    </row>
    <row r="449" ht="15" customHeight="1" s="64">
      <c r="A449" s="112" t="n">
        <v>444</v>
      </c>
      <c r="B449" s="118" t="n"/>
      <c r="C449" s="118" t="n"/>
      <c r="D449" s="118" t="n"/>
      <c r="E449" s="115">
        <f>IF(C449="","",IFERROR(C449/MOTOR!$B$14,0))</f>
        <v/>
      </c>
      <c r="F449" s="116">
        <f>IF(C449="","",IFERROR((C449-MOTOR!$B$8)/MOTOR!$B$11,0))</f>
        <v/>
      </c>
      <c r="G449" s="117">
        <f>IF(C449="","",IF(E449&lt;AYARLAR!$C$11,"AŞIRI DÜŞÜK",IF(E449&lt;AYARLAR!$C$12,"SINIRDA","GÜVENLİ")))</f>
        <v/>
      </c>
      <c r="H449" s="118" t="n"/>
    </row>
    <row r="450" ht="15" customHeight="1" s="64">
      <c r="A450" s="112" t="n">
        <v>445</v>
      </c>
      <c r="B450" s="118" t="n"/>
      <c r="C450" s="118" t="n"/>
      <c r="D450" s="118" t="n"/>
      <c r="E450" s="115">
        <f>IF(C450="","",IFERROR(C450/MOTOR!$B$14,0))</f>
        <v/>
      </c>
      <c r="F450" s="116">
        <f>IF(C450="","",IFERROR((C450-MOTOR!$B$8)/MOTOR!$B$11,0))</f>
        <v/>
      </c>
      <c r="G450" s="117">
        <f>IF(C450="","",IF(E450&lt;AYARLAR!$C$11,"AŞIRI DÜŞÜK",IF(E450&lt;AYARLAR!$C$12,"SINIRDA","GÜVENLİ")))</f>
        <v/>
      </c>
      <c r="H450" s="118" t="n"/>
    </row>
    <row r="451" ht="15" customHeight="1" s="64">
      <c r="A451" s="112" t="n">
        <v>446</v>
      </c>
      <c r="B451" s="118" t="n"/>
      <c r="C451" s="118" t="n"/>
      <c r="D451" s="118" t="n"/>
      <c r="E451" s="115">
        <f>IF(C451="","",IFERROR(C451/MOTOR!$B$14,0))</f>
        <v/>
      </c>
      <c r="F451" s="116">
        <f>IF(C451="","",IFERROR((C451-MOTOR!$B$8)/MOTOR!$B$11,0))</f>
        <v/>
      </c>
      <c r="G451" s="117">
        <f>IF(C451="","",IF(E451&lt;AYARLAR!$C$11,"AŞIRI DÜŞÜK",IF(E451&lt;AYARLAR!$C$12,"SINIRDA","GÜVENLİ")))</f>
        <v/>
      </c>
      <c r="H451" s="118" t="n"/>
    </row>
    <row r="452" ht="15" customHeight="1" s="64">
      <c r="A452" s="112" t="n">
        <v>447</v>
      </c>
      <c r="B452" s="118" t="n"/>
      <c r="C452" s="118" t="n"/>
      <c r="D452" s="118" t="n"/>
      <c r="E452" s="115">
        <f>IF(C452="","",IFERROR(C452/MOTOR!$B$14,0))</f>
        <v/>
      </c>
      <c r="F452" s="116">
        <f>IF(C452="","",IFERROR((C452-MOTOR!$B$8)/MOTOR!$B$11,0))</f>
        <v/>
      </c>
      <c r="G452" s="117">
        <f>IF(C452="","",IF(E452&lt;AYARLAR!$C$11,"AŞIRI DÜŞÜK",IF(E452&lt;AYARLAR!$C$12,"SINIRDA","GÜVENLİ")))</f>
        <v/>
      </c>
      <c r="H452" s="118" t="n"/>
    </row>
    <row r="453" ht="15" customHeight="1" s="64">
      <c r="A453" s="112" t="n">
        <v>448</v>
      </c>
      <c r="B453" s="118" t="n"/>
      <c r="C453" s="118" t="n"/>
      <c r="D453" s="118" t="n"/>
      <c r="E453" s="115">
        <f>IF(C453="","",IFERROR(C453/MOTOR!$B$14,0))</f>
        <v/>
      </c>
      <c r="F453" s="116">
        <f>IF(C453="","",IFERROR((C453-MOTOR!$B$8)/MOTOR!$B$11,0))</f>
        <v/>
      </c>
      <c r="G453" s="117">
        <f>IF(C453="","",IF(E453&lt;AYARLAR!$C$11,"AŞIRI DÜŞÜK",IF(E453&lt;AYARLAR!$C$12,"SINIRDA","GÜVENLİ")))</f>
        <v/>
      </c>
      <c r="H453" s="118" t="n"/>
    </row>
    <row r="454" ht="15" customHeight="1" s="64">
      <c r="A454" s="112" t="n">
        <v>449</v>
      </c>
      <c r="B454" s="118" t="n"/>
      <c r="C454" s="118" t="n"/>
      <c r="D454" s="118" t="n"/>
      <c r="E454" s="115">
        <f>IF(C454="","",IFERROR(C454/MOTOR!$B$14,0))</f>
        <v/>
      </c>
      <c r="F454" s="116">
        <f>IF(C454="","",IFERROR((C454-MOTOR!$B$8)/MOTOR!$B$11,0))</f>
        <v/>
      </c>
      <c r="G454" s="117">
        <f>IF(C454="","",IF(E454&lt;AYARLAR!$C$11,"AŞIRI DÜŞÜK",IF(E454&lt;AYARLAR!$C$12,"SINIRDA","GÜVENLİ")))</f>
        <v/>
      </c>
      <c r="H454" s="118" t="n"/>
    </row>
    <row r="455" ht="15" customHeight="1" s="64">
      <c r="A455" s="112" t="n">
        <v>450</v>
      </c>
      <c r="B455" s="118" t="n"/>
      <c r="C455" s="118" t="n"/>
      <c r="D455" s="118" t="n"/>
      <c r="E455" s="115">
        <f>IF(C455="","",IFERROR(C455/MOTOR!$B$14,0))</f>
        <v/>
      </c>
      <c r="F455" s="116">
        <f>IF(C455="","",IFERROR((C455-MOTOR!$B$8)/MOTOR!$B$11,0))</f>
        <v/>
      </c>
      <c r="G455" s="117">
        <f>IF(C455="","",IF(E455&lt;AYARLAR!$C$11,"AŞIRI DÜŞÜK",IF(E455&lt;AYARLAR!$C$12,"SINIRDA","GÜVENLİ")))</f>
        <v/>
      </c>
      <c r="H455" s="118" t="n"/>
    </row>
    <row r="456" ht="15" customHeight="1" s="64">
      <c r="A456" s="112" t="n">
        <v>451</v>
      </c>
      <c r="B456" s="118" t="n"/>
      <c r="C456" s="118" t="n"/>
      <c r="D456" s="118" t="n"/>
      <c r="E456" s="115">
        <f>IF(C456="","",IFERROR(C456/MOTOR!$B$14,0))</f>
        <v/>
      </c>
      <c r="F456" s="116">
        <f>IF(C456="","",IFERROR((C456-MOTOR!$B$8)/MOTOR!$B$11,0))</f>
        <v/>
      </c>
      <c r="G456" s="117">
        <f>IF(C456="","",IF(E456&lt;AYARLAR!$C$11,"AŞIRI DÜŞÜK",IF(E456&lt;AYARLAR!$C$12,"SINIRDA","GÜVENLİ")))</f>
        <v/>
      </c>
      <c r="H456" s="118" t="n"/>
    </row>
    <row r="457" ht="15" customHeight="1" s="64">
      <c r="A457" s="112" t="n">
        <v>452</v>
      </c>
      <c r="B457" s="118" t="n"/>
      <c r="C457" s="118" t="n"/>
      <c r="D457" s="118" t="n"/>
      <c r="E457" s="115">
        <f>IF(C457="","",IFERROR(C457/MOTOR!$B$14,0))</f>
        <v/>
      </c>
      <c r="F457" s="116">
        <f>IF(C457="","",IFERROR((C457-MOTOR!$B$8)/MOTOR!$B$11,0))</f>
        <v/>
      </c>
      <c r="G457" s="117">
        <f>IF(C457="","",IF(E457&lt;AYARLAR!$C$11,"AŞIRI DÜŞÜK",IF(E457&lt;AYARLAR!$C$12,"SINIRDA","GÜVENLİ")))</f>
        <v/>
      </c>
      <c r="H457" s="118" t="n"/>
    </row>
    <row r="458" ht="15" customHeight="1" s="64">
      <c r="A458" s="112" t="n">
        <v>453</v>
      </c>
      <c r="B458" s="118" t="n"/>
      <c r="C458" s="118" t="n"/>
      <c r="D458" s="118" t="n"/>
      <c r="E458" s="115">
        <f>IF(C458="","",IFERROR(C458/MOTOR!$B$14,0))</f>
        <v/>
      </c>
      <c r="F458" s="116">
        <f>IF(C458="","",IFERROR((C458-MOTOR!$B$8)/MOTOR!$B$11,0))</f>
        <v/>
      </c>
      <c r="G458" s="117">
        <f>IF(C458="","",IF(E458&lt;AYARLAR!$C$11,"AŞIRI DÜŞÜK",IF(E458&lt;AYARLAR!$C$12,"SINIRDA","GÜVENLİ")))</f>
        <v/>
      </c>
      <c r="H458" s="118" t="n"/>
    </row>
    <row r="459" ht="15" customHeight="1" s="64">
      <c r="A459" s="112" t="n">
        <v>454</v>
      </c>
      <c r="B459" s="118" t="n"/>
      <c r="C459" s="118" t="n"/>
      <c r="D459" s="118" t="n"/>
      <c r="E459" s="115">
        <f>IF(C459="","",IFERROR(C459/MOTOR!$B$14,0))</f>
        <v/>
      </c>
      <c r="F459" s="116">
        <f>IF(C459="","",IFERROR((C459-MOTOR!$B$8)/MOTOR!$B$11,0))</f>
        <v/>
      </c>
      <c r="G459" s="117">
        <f>IF(C459="","",IF(E459&lt;AYARLAR!$C$11,"AŞIRI DÜŞÜK",IF(E459&lt;AYARLAR!$C$12,"SINIRDA","GÜVENLİ")))</f>
        <v/>
      </c>
      <c r="H459" s="118" t="n"/>
    </row>
    <row r="460" ht="15" customHeight="1" s="64">
      <c r="A460" s="112" t="n">
        <v>455</v>
      </c>
      <c r="B460" s="118" t="n"/>
      <c r="C460" s="118" t="n"/>
      <c r="D460" s="118" t="n"/>
      <c r="E460" s="115">
        <f>IF(C460="","",IFERROR(C460/MOTOR!$B$14,0))</f>
        <v/>
      </c>
      <c r="F460" s="116">
        <f>IF(C460="","",IFERROR((C460-MOTOR!$B$8)/MOTOR!$B$11,0))</f>
        <v/>
      </c>
      <c r="G460" s="117">
        <f>IF(C460="","",IF(E460&lt;AYARLAR!$C$11,"AŞIRI DÜŞÜK",IF(E460&lt;AYARLAR!$C$12,"SINIRDA","GÜVENLİ")))</f>
        <v/>
      </c>
      <c r="H460" s="118" t="n"/>
    </row>
    <row r="461" ht="15" customHeight="1" s="64">
      <c r="A461" s="112" t="n">
        <v>456</v>
      </c>
      <c r="B461" s="118" t="n"/>
      <c r="C461" s="118" t="n"/>
      <c r="D461" s="118" t="n"/>
      <c r="E461" s="115">
        <f>IF(C461="","",IFERROR(C461/MOTOR!$B$14,0))</f>
        <v/>
      </c>
      <c r="F461" s="116">
        <f>IF(C461="","",IFERROR((C461-MOTOR!$B$8)/MOTOR!$B$11,0))</f>
        <v/>
      </c>
      <c r="G461" s="117">
        <f>IF(C461="","",IF(E461&lt;AYARLAR!$C$11,"AŞIRI DÜŞÜK",IF(E461&lt;AYARLAR!$C$12,"SINIRDA","GÜVENLİ")))</f>
        <v/>
      </c>
      <c r="H461" s="118" t="n"/>
    </row>
    <row r="462" ht="15" customHeight="1" s="64">
      <c r="A462" s="112" t="n">
        <v>457</v>
      </c>
      <c r="B462" s="118" t="n"/>
      <c r="C462" s="118" t="n"/>
      <c r="D462" s="118" t="n"/>
      <c r="E462" s="115">
        <f>IF(C462="","",IFERROR(C462/MOTOR!$B$14,0))</f>
        <v/>
      </c>
      <c r="F462" s="116">
        <f>IF(C462="","",IFERROR((C462-MOTOR!$B$8)/MOTOR!$B$11,0))</f>
        <v/>
      </c>
      <c r="G462" s="117">
        <f>IF(C462="","",IF(E462&lt;AYARLAR!$C$11,"AŞIRI DÜŞÜK",IF(E462&lt;AYARLAR!$C$12,"SINIRDA","GÜVENLİ")))</f>
        <v/>
      </c>
      <c r="H462" s="118" t="n"/>
    </row>
    <row r="463" ht="15" customHeight="1" s="64">
      <c r="A463" s="112" t="n">
        <v>458</v>
      </c>
      <c r="B463" s="118" t="n"/>
      <c r="C463" s="118" t="n"/>
      <c r="D463" s="118" t="n"/>
      <c r="E463" s="115">
        <f>IF(C463="","",IFERROR(C463/MOTOR!$B$14,0))</f>
        <v/>
      </c>
      <c r="F463" s="116">
        <f>IF(C463="","",IFERROR((C463-MOTOR!$B$8)/MOTOR!$B$11,0))</f>
        <v/>
      </c>
      <c r="G463" s="117">
        <f>IF(C463="","",IF(E463&lt;AYARLAR!$C$11,"AŞIRI DÜŞÜK",IF(E463&lt;AYARLAR!$C$12,"SINIRDA","GÜVENLİ")))</f>
        <v/>
      </c>
      <c r="H463" s="118" t="n"/>
    </row>
    <row r="464" ht="15" customHeight="1" s="64">
      <c r="A464" s="112" t="n">
        <v>459</v>
      </c>
      <c r="B464" s="118" t="n"/>
      <c r="C464" s="118" t="n"/>
      <c r="D464" s="118" t="n"/>
      <c r="E464" s="115">
        <f>IF(C464="","",IFERROR(C464/MOTOR!$B$14,0))</f>
        <v/>
      </c>
      <c r="F464" s="116">
        <f>IF(C464="","",IFERROR((C464-MOTOR!$B$8)/MOTOR!$B$11,0))</f>
        <v/>
      </c>
      <c r="G464" s="117">
        <f>IF(C464="","",IF(E464&lt;AYARLAR!$C$11,"AŞIRI DÜŞÜK",IF(E464&lt;AYARLAR!$C$12,"SINIRDA","GÜVENLİ")))</f>
        <v/>
      </c>
      <c r="H464" s="118" t="n"/>
    </row>
    <row r="465" ht="15" customHeight="1" s="64">
      <c r="A465" s="112" t="n">
        <v>460</v>
      </c>
      <c r="B465" s="118" t="n"/>
      <c r="C465" s="118" t="n"/>
      <c r="D465" s="118" t="n"/>
      <c r="E465" s="115">
        <f>IF(C465="","",IFERROR(C465/MOTOR!$B$14,0))</f>
        <v/>
      </c>
      <c r="F465" s="116">
        <f>IF(C465="","",IFERROR((C465-MOTOR!$B$8)/MOTOR!$B$11,0))</f>
        <v/>
      </c>
      <c r="G465" s="117">
        <f>IF(C465="","",IF(E465&lt;AYARLAR!$C$11,"AŞIRI DÜŞÜK",IF(E465&lt;AYARLAR!$C$12,"SINIRDA","GÜVENLİ")))</f>
        <v/>
      </c>
      <c r="H465" s="118" t="n"/>
    </row>
    <row r="466" ht="15" customHeight="1" s="64">
      <c r="A466" s="112" t="n">
        <v>461</v>
      </c>
      <c r="B466" s="118" t="n"/>
      <c r="C466" s="118" t="n"/>
      <c r="D466" s="118" t="n"/>
      <c r="E466" s="115">
        <f>IF(C466="","",IFERROR(C466/MOTOR!$B$14,0))</f>
        <v/>
      </c>
      <c r="F466" s="116">
        <f>IF(C466="","",IFERROR((C466-MOTOR!$B$8)/MOTOR!$B$11,0))</f>
        <v/>
      </c>
      <c r="G466" s="117">
        <f>IF(C466="","",IF(E466&lt;AYARLAR!$C$11,"AŞIRI DÜŞÜK",IF(E466&lt;AYARLAR!$C$12,"SINIRDA","GÜVENLİ")))</f>
        <v/>
      </c>
      <c r="H466" s="118" t="n"/>
    </row>
    <row r="467" ht="15" customHeight="1" s="64">
      <c r="A467" s="112" t="n">
        <v>462</v>
      </c>
      <c r="B467" s="118" t="n"/>
      <c r="C467" s="118" t="n"/>
      <c r="D467" s="118" t="n"/>
      <c r="E467" s="115">
        <f>IF(C467="","",IFERROR(C467/MOTOR!$B$14,0))</f>
        <v/>
      </c>
      <c r="F467" s="116">
        <f>IF(C467="","",IFERROR((C467-MOTOR!$B$8)/MOTOR!$B$11,0))</f>
        <v/>
      </c>
      <c r="G467" s="117">
        <f>IF(C467="","",IF(E467&lt;AYARLAR!$C$11,"AŞIRI DÜŞÜK",IF(E467&lt;AYARLAR!$C$12,"SINIRDA","GÜVENLİ")))</f>
        <v/>
      </c>
      <c r="H467" s="118" t="n"/>
    </row>
    <row r="468" ht="15" customHeight="1" s="64">
      <c r="A468" s="112" t="n">
        <v>463</v>
      </c>
      <c r="B468" s="118" t="n"/>
      <c r="C468" s="118" t="n"/>
      <c r="D468" s="118" t="n"/>
      <c r="E468" s="115">
        <f>IF(C468="","",IFERROR(C468/MOTOR!$B$14,0))</f>
        <v/>
      </c>
      <c r="F468" s="116">
        <f>IF(C468="","",IFERROR((C468-MOTOR!$B$8)/MOTOR!$B$11,0))</f>
        <v/>
      </c>
      <c r="G468" s="117">
        <f>IF(C468="","",IF(E468&lt;AYARLAR!$C$11,"AŞIRI DÜŞÜK",IF(E468&lt;AYARLAR!$C$12,"SINIRDA","GÜVENLİ")))</f>
        <v/>
      </c>
      <c r="H468" s="118" t="n"/>
    </row>
    <row r="469" ht="15" customHeight="1" s="64">
      <c r="A469" s="112" t="n">
        <v>464</v>
      </c>
      <c r="B469" s="118" t="n"/>
      <c r="C469" s="118" t="n"/>
      <c r="D469" s="118" t="n"/>
      <c r="E469" s="115">
        <f>IF(C469="","",IFERROR(C469/MOTOR!$B$14,0))</f>
        <v/>
      </c>
      <c r="F469" s="116">
        <f>IF(C469="","",IFERROR((C469-MOTOR!$B$8)/MOTOR!$B$11,0))</f>
        <v/>
      </c>
      <c r="G469" s="117">
        <f>IF(C469="","",IF(E469&lt;AYARLAR!$C$11,"AŞIRI DÜŞÜK",IF(E469&lt;AYARLAR!$C$12,"SINIRDA","GÜVENLİ")))</f>
        <v/>
      </c>
      <c r="H469" s="118" t="n"/>
    </row>
    <row r="470" ht="15" customHeight="1" s="64">
      <c r="A470" s="112" t="n">
        <v>465</v>
      </c>
      <c r="B470" s="118" t="n"/>
      <c r="C470" s="118" t="n"/>
      <c r="D470" s="118" t="n"/>
      <c r="E470" s="115">
        <f>IF(C470="","",IFERROR(C470/MOTOR!$B$14,0))</f>
        <v/>
      </c>
      <c r="F470" s="116">
        <f>IF(C470="","",IFERROR((C470-MOTOR!$B$8)/MOTOR!$B$11,0))</f>
        <v/>
      </c>
      <c r="G470" s="117">
        <f>IF(C470="","",IF(E470&lt;AYARLAR!$C$11,"AŞIRI DÜŞÜK",IF(E470&lt;AYARLAR!$C$12,"SINIRDA","GÜVENLİ")))</f>
        <v/>
      </c>
      <c r="H470" s="118" t="n"/>
    </row>
    <row r="471" ht="15" customHeight="1" s="64">
      <c r="A471" s="112" t="n">
        <v>466</v>
      </c>
      <c r="B471" s="118" t="n"/>
      <c r="C471" s="118" t="n"/>
      <c r="D471" s="118" t="n"/>
      <c r="E471" s="115">
        <f>IF(C471="","",IFERROR(C471/MOTOR!$B$14,0))</f>
        <v/>
      </c>
      <c r="F471" s="116">
        <f>IF(C471="","",IFERROR((C471-MOTOR!$B$8)/MOTOR!$B$11,0))</f>
        <v/>
      </c>
      <c r="G471" s="117">
        <f>IF(C471="","",IF(E471&lt;AYARLAR!$C$11,"AŞIRI DÜŞÜK",IF(E471&lt;AYARLAR!$C$12,"SINIRDA","GÜVENLİ")))</f>
        <v/>
      </c>
      <c r="H471" s="118" t="n"/>
    </row>
    <row r="472" ht="15" customHeight="1" s="64">
      <c r="A472" s="112" t="n">
        <v>467</v>
      </c>
      <c r="B472" s="118" t="n"/>
      <c r="C472" s="118" t="n"/>
      <c r="D472" s="118" t="n"/>
      <c r="E472" s="115">
        <f>IF(C472="","",IFERROR(C472/MOTOR!$B$14,0))</f>
        <v/>
      </c>
      <c r="F472" s="116">
        <f>IF(C472="","",IFERROR((C472-MOTOR!$B$8)/MOTOR!$B$11,0))</f>
        <v/>
      </c>
      <c r="G472" s="117">
        <f>IF(C472="","",IF(E472&lt;AYARLAR!$C$11,"AŞIRI DÜŞÜK",IF(E472&lt;AYARLAR!$C$12,"SINIRDA","GÜVENLİ")))</f>
        <v/>
      </c>
      <c r="H472" s="118" t="n"/>
    </row>
    <row r="473" ht="15" customHeight="1" s="64">
      <c r="A473" s="112" t="n">
        <v>468</v>
      </c>
      <c r="B473" s="118" t="n"/>
      <c r="C473" s="118" t="n"/>
      <c r="D473" s="118" t="n"/>
      <c r="E473" s="115">
        <f>IF(C473="","",IFERROR(C473/MOTOR!$B$14,0))</f>
        <v/>
      </c>
      <c r="F473" s="116">
        <f>IF(C473="","",IFERROR((C473-MOTOR!$B$8)/MOTOR!$B$11,0))</f>
        <v/>
      </c>
      <c r="G473" s="117">
        <f>IF(C473="","",IF(E473&lt;AYARLAR!$C$11,"AŞIRI DÜŞÜK",IF(E473&lt;AYARLAR!$C$12,"SINIRDA","GÜVENLİ")))</f>
        <v/>
      </c>
      <c r="H473" s="118" t="n"/>
    </row>
    <row r="474" ht="15" customHeight="1" s="64">
      <c r="A474" s="112" t="n">
        <v>469</v>
      </c>
      <c r="B474" s="118" t="n"/>
      <c r="C474" s="118" t="n"/>
      <c r="D474" s="118" t="n"/>
      <c r="E474" s="115">
        <f>IF(C474="","",IFERROR(C474/MOTOR!$B$14,0))</f>
        <v/>
      </c>
      <c r="F474" s="116">
        <f>IF(C474="","",IFERROR((C474-MOTOR!$B$8)/MOTOR!$B$11,0))</f>
        <v/>
      </c>
      <c r="G474" s="117">
        <f>IF(C474="","",IF(E474&lt;AYARLAR!$C$11,"AŞIRI DÜŞÜK",IF(E474&lt;AYARLAR!$C$12,"SINIRDA","GÜVENLİ")))</f>
        <v/>
      </c>
      <c r="H474" s="118" t="n"/>
    </row>
    <row r="475" ht="15" customHeight="1" s="64">
      <c r="A475" s="112" t="n">
        <v>470</v>
      </c>
      <c r="B475" s="118" t="n"/>
      <c r="C475" s="118" t="n"/>
      <c r="D475" s="118" t="n"/>
      <c r="E475" s="115">
        <f>IF(C475="","",IFERROR(C475/MOTOR!$B$14,0))</f>
        <v/>
      </c>
      <c r="F475" s="116">
        <f>IF(C475="","",IFERROR((C475-MOTOR!$B$8)/MOTOR!$B$11,0))</f>
        <v/>
      </c>
      <c r="G475" s="117">
        <f>IF(C475="","",IF(E475&lt;AYARLAR!$C$11,"AŞIRI DÜŞÜK",IF(E475&lt;AYARLAR!$C$12,"SINIRDA","GÜVENLİ")))</f>
        <v/>
      </c>
      <c r="H475" s="118" t="n"/>
    </row>
    <row r="476" ht="15" customHeight="1" s="64">
      <c r="A476" s="112" t="n">
        <v>471</v>
      </c>
      <c r="B476" s="118" t="n"/>
      <c r="C476" s="118" t="n"/>
      <c r="D476" s="118" t="n"/>
      <c r="E476" s="115">
        <f>IF(C476="","",IFERROR(C476/MOTOR!$B$14,0))</f>
        <v/>
      </c>
      <c r="F476" s="116">
        <f>IF(C476="","",IFERROR((C476-MOTOR!$B$8)/MOTOR!$B$11,0))</f>
        <v/>
      </c>
      <c r="G476" s="117">
        <f>IF(C476="","",IF(E476&lt;AYARLAR!$C$11,"AŞIRI DÜŞÜK",IF(E476&lt;AYARLAR!$C$12,"SINIRDA","GÜVENLİ")))</f>
        <v/>
      </c>
      <c r="H476" s="118" t="n"/>
    </row>
    <row r="477" ht="15" customHeight="1" s="64">
      <c r="A477" s="112" t="n">
        <v>472</v>
      </c>
      <c r="B477" s="118" t="n"/>
      <c r="C477" s="118" t="n"/>
      <c r="D477" s="118" t="n"/>
      <c r="E477" s="115">
        <f>IF(C477="","",IFERROR(C477/MOTOR!$B$14,0))</f>
        <v/>
      </c>
      <c r="F477" s="116">
        <f>IF(C477="","",IFERROR((C477-MOTOR!$B$8)/MOTOR!$B$11,0))</f>
        <v/>
      </c>
      <c r="G477" s="117">
        <f>IF(C477="","",IF(E477&lt;AYARLAR!$C$11,"AŞIRI DÜŞÜK",IF(E477&lt;AYARLAR!$C$12,"SINIRDA","GÜVENLİ")))</f>
        <v/>
      </c>
      <c r="H477" s="118" t="n"/>
    </row>
    <row r="478" ht="15" customHeight="1" s="64">
      <c r="A478" s="112" t="n">
        <v>473</v>
      </c>
      <c r="B478" s="118" t="n"/>
      <c r="C478" s="118" t="n"/>
      <c r="D478" s="118" t="n"/>
      <c r="E478" s="115">
        <f>IF(C478="","",IFERROR(C478/MOTOR!$B$14,0))</f>
        <v/>
      </c>
      <c r="F478" s="116">
        <f>IF(C478="","",IFERROR((C478-MOTOR!$B$8)/MOTOR!$B$11,0))</f>
        <v/>
      </c>
      <c r="G478" s="117">
        <f>IF(C478="","",IF(E478&lt;AYARLAR!$C$11,"AŞIRI DÜŞÜK",IF(E478&lt;AYARLAR!$C$12,"SINIRDA","GÜVENLİ")))</f>
        <v/>
      </c>
      <c r="H478" s="118" t="n"/>
    </row>
    <row r="479" ht="15" customHeight="1" s="64">
      <c r="A479" s="112" t="n">
        <v>474</v>
      </c>
      <c r="B479" s="118" t="n"/>
      <c r="C479" s="118" t="n"/>
      <c r="D479" s="118" t="n"/>
      <c r="E479" s="115">
        <f>IF(C479="","",IFERROR(C479/MOTOR!$B$14,0))</f>
        <v/>
      </c>
      <c r="F479" s="116">
        <f>IF(C479="","",IFERROR((C479-MOTOR!$B$8)/MOTOR!$B$11,0))</f>
        <v/>
      </c>
      <c r="G479" s="117">
        <f>IF(C479="","",IF(E479&lt;AYARLAR!$C$11,"AŞIRI DÜŞÜK",IF(E479&lt;AYARLAR!$C$12,"SINIRDA","GÜVENLİ")))</f>
        <v/>
      </c>
      <c r="H479" s="118" t="n"/>
    </row>
    <row r="480" ht="15" customHeight="1" s="64">
      <c r="A480" s="112" t="n">
        <v>475</v>
      </c>
      <c r="B480" s="118" t="n"/>
      <c r="C480" s="118" t="n"/>
      <c r="D480" s="118" t="n"/>
      <c r="E480" s="115">
        <f>IF(C480="","",IFERROR(C480/MOTOR!$B$14,0))</f>
        <v/>
      </c>
      <c r="F480" s="116">
        <f>IF(C480="","",IFERROR((C480-MOTOR!$B$8)/MOTOR!$B$11,0))</f>
        <v/>
      </c>
      <c r="G480" s="117">
        <f>IF(C480="","",IF(E480&lt;AYARLAR!$C$11,"AŞIRI DÜŞÜK",IF(E480&lt;AYARLAR!$C$12,"SINIRDA","GÜVENLİ")))</f>
        <v/>
      </c>
      <c r="H480" s="118" t="n"/>
    </row>
    <row r="481" ht="15" customHeight="1" s="64">
      <c r="A481" s="112" t="n">
        <v>476</v>
      </c>
      <c r="B481" s="118" t="n"/>
      <c r="C481" s="118" t="n"/>
      <c r="D481" s="118" t="n"/>
      <c r="E481" s="115">
        <f>IF(C481="","",IFERROR(C481/MOTOR!$B$14,0))</f>
        <v/>
      </c>
      <c r="F481" s="116">
        <f>IF(C481="","",IFERROR((C481-MOTOR!$B$8)/MOTOR!$B$11,0))</f>
        <v/>
      </c>
      <c r="G481" s="117">
        <f>IF(C481="","",IF(E481&lt;AYARLAR!$C$11,"AŞIRI DÜŞÜK",IF(E481&lt;AYARLAR!$C$12,"SINIRDA","GÜVENLİ")))</f>
        <v/>
      </c>
      <c r="H481" s="118" t="n"/>
    </row>
    <row r="482" ht="15" customHeight="1" s="64">
      <c r="A482" s="112" t="n">
        <v>477</v>
      </c>
      <c r="B482" s="118" t="n"/>
      <c r="C482" s="118" t="n"/>
      <c r="D482" s="118" t="n"/>
      <c r="E482" s="115">
        <f>IF(C482="","",IFERROR(C482/MOTOR!$B$14,0))</f>
        <v/>
      </c>
      <c r="F482" s="116">
        <f>IF(C482="","",IFERROR((C482-MOTOR!$B$8)/MOTOR!$B$11,0))</f>
        <v/>
      </c>
      <c r="G482" s="117">
        <f>IF(C482="","",IF(E482&lt;AYARLAR!$C$11,"AŞIRI DÜŞÜK",IF(E482&lt;AYARLAR!$C$12,"SINIRDA","GÜVENLİ")))</f>
        <v/>
      </c>
      <c r="H482" s="118" t="n"/>
    </row>
    <row r="483" ht="15" customHeight="1" s="64">
      <c r="A483" s="112" t="n">
        <v>478</v>
      </c>
      <c r="B483" s="118" t="n"/>
      <c r="C483" s="118" t="n"/>
      <c r="D483" s="118" t="n"/>
      <c r="E483" s="115">
        <f>IF(C483="","",IFERROR(C483/MOTOR!$B$14,0))</f>
        <v/>
      </c>
      <c r="F483" s="116">
        <f>IF(C483="","",IFERROR((C483-MOTOR!$B$8)/MOTOR!$B$11,0))</f>
        <v/>
      </c>
      <c r="G483" s="117">
        <f>IF(C483="","",IF(E483&lt;AYARLAR!$C$11,"AŞIRI DÜŞÜK",IF(E483&lt;AYARLAR!$C$12,"SINIRDA","GÜVENLİ")))</f>
        <v/>
      </c>
      <c r="H483" s="118" t="n"/>
    </row>
    <row r="484" ht="15" customHeight="1" s="64">
      <c r="A484" s="112" t="n">
        <v>479</v>
      </c>
      <c r="B484" s="118" t="n"/>
      <c r="C484" s="118" t="n"/>
      <c r="D484" s="118" t="n"/>
      <c r="E484" s="115">
        <f>IF(C484="","",IFERROR(C484/MOTOR!$B$14,0))</f>
        <v/>
      </c>
      <c r="F484" s="116">
        <f>IF(C484="","",IFERROR((C484-MOTOR!$B$8)/MOTOR!$B$11,0))</f>
        <v/>
      </c>
      <c r="G484" s="117">
        <f>IF(C484="","",IF(E484&lt;AYARLAR!$C$11,"AŞIRI DÜŞÜK",IF(E484&lt;AYARLAR!$C$12,"SINIRDA","GÜVENLİ")))</f>
        <v/>
      </c>
      <c r="H484" s="118" t="n"/>
    </row>
    <row r="485" ht="15" customHeight="1" s="64">
      <c r="A485" s="112" t="n">
        <v>480</v>
      </c>
      <c r="B485" s="118" t="n"/>
      <c r="C485" s="118" t="n"/>
      <c r="D485" s="118" t="n"/>
      <c r="E485" s="115">
        <f>IF(C485="","",IFERROR(C485/MOTOR!$B$14,0))</f>
        <v/>
      </c>
      <c r="F485" s="116">
        <f>IF(C485="","",IFERROR((C485-MOTOR!$B$8)/MOTOR!$B$11,0))</f>
        <v/>
      </c>
      <c r="G485" s="117">
        <f>IF(C485="","",IF(E485&lt;AYARLAR!$C$11,"AŞIRI DÜŞÜK",IF(E485&lt;AYARLAR!$C$12,"SINIRDA","GÜVENLİ")))</f>
        <v/>
      </c>
      <c r="H485" s="118" t="n"/>
    </row>
    <row r="486" ht="15" customHeight="1" s="64">
      <c r="A486" s="112" t="n">
        <v>481</v>
      </c>
      <c r="B486" s="118" t="n"/>
      <c r="C486" s="118" t="n"/>
      <c r="D486" s="118" t="n"/>
      <c r="E486" s="115">
        <f>IF(C486="","",IFERROR(C486/MOTOR!$B$14,0))</f>
        <v/>
      </c>
      <c r="F486" s="116">
        <f>IF(C486="","",IFERROR((C486-MOTOR!$B$8)/MOTOR!$B$11,0))</f>
        <v/>
      </c>
      <c r="G486" s="117">
        <f>IF(C486="","",IF(E486&lt;AYARLAR!$C$11,"AŞIRI DÜŞÜK",IF(E486&lt;AYARLAR!$C$12,"SINIRDA","GÜVENLİ")))</f>
        <v/>
      </c>
      <c r="H486" s="118" t="n"/>
    </row>
    <row r="487" ht="15" customHeight="1" s="64">
      <c r="A487" s="112" t="n">
        <v>482</v>
      </c>
      <c r="B487" s="118" t="n"/>
      <c r="C487" s="118" t="n"/>
      <c r="D487" s="118" t="n"/>
      <c r="E487" s="115">
        <f>IF(C487="","",IFERROR(C487/MOTOR!$B$14,0))</f>
        <v/>
      </c>
      <c r="F487" s="116">
        <f>IF(C487="","",IFERROR((C487-MOTOR!$B$8)/MOTOR!$B$11,0))</f>
        <v/>
      </c>
      <c r="G487" s="117">
        <f>IF(C487="","",IF(E487&lt;AYARLAR!$C$11,"AŞIRI DÜŞÜK",IF(E487&lt;AYARLAR!$C$12,"SINIRDA","GÜVENLİ")))</f>
        <v/>
      </c>
      <c r="H487" s="118" t="n"/>
    </row>
    <row r="488" ht="15" customHeight="1" s="64">
      <c r="A488" s="112" t="n">
        <v>483</v>
      </c>
      <c r="B488" s="118" t="n"/>
      <c r="C488" s="118" t="n"/>
      <c r="D488" s="118" t="n"/>
      <c r="E488" s="115">
        <f>IF(C488="","",IFERROR(C488/MOTOR!$B$14,0))</f>
        <v/>
      </c>
      <c r="F488" s="116">
        <f>IF(C488="","",IFERROR((C488-MOTOR!$B$8)/MOTOR!$B$11,0))</f>
        <v/>
      </c>
      <c r="G488" s="117">
        <f>IF(C488="","",IF(E488&lt;AYARLAR!$C$11,"AŞIRI DÜŞÜK",IF(E488&lt;AYARLAR!$C$12,"SINIRDA","GÜVENLİ")))</f>
        <v/>
      </c>
      <c r="H488" s="118" t="n"/>
    </row>
    <row r="489" ht="15" customHeight="1" s="64">
      <c r="A489" s="112" t="n">
        <v>484</v>
      </c>
      <c r="B489" s="118" t="n"/>
      <c r="C489" s="118" t="n"/>
      <c r="D489" s="118" t="n"/>
      <c r="E489" s="115">
        <f>IF(C489="","",IFERROR(C489/MOTOR!$B$14,0))</f>
        <v/>
      </c>
      <c r="F489" s="116">
        <f>IF(C489="","",IFERROR((C489-MOTOR!$B$8)/MOTOR!$B$11,0))</f>
        <v/>
      </c>
      <c r="G489" s="117">
        <f>IF(C489="","",IF(E489&lt;AYARLAR!$C$11,"AŞIRI DÜŞÜK",IF(E489&lt;AYARLAR!$C$12,"SINIRDA","GÜVENLİ")))</f>
        <v/>
      </c>
      <c r="H489" s="118" t="n"/>
    </row>
    <row r="490" ht="15" customHeight="1" s="64">
      <c r="A490" s="112" t="n">
        <v>485</v>
      </c>
      <c r="B490" s="118" t="n"/>
      <c r="C490" s="118" t="n"/>
      <c r="D490" s="118" t="n"/>
      <c r="E490" s="115">
        <f>IF(C490="","",IFERROR(C490/MOTOR!$B$14,0))</f>
        <v/>
      </c>
      <c r="F490" s="116">
        <f>IF(C490="","",IFERROR((C490-MOTOR!$B$8)/MOTOR!$B$11,0))</f>
        <v/>
      </c>
      <c r="G490" s="117">
        <f>IF(C490="","",IF(E490&lt;AYARLAR!$C$11,"AŞIRI DÜŞÜK",IF(E490&lt;AYARLAR!$C$12,"SINIRDA","GÜVENLİ")))</f>
        <v/>
      </c>
      <c r="H490" s="118" t="n"/>
    </row>
    <row r="491" ht="15" customHeight="1" s="64">
      <c r="A491" s="112" t="n">
        <v>486</v>
      </c>
      <c r="B491" s="118" t="n"/>
      <c r="C491" s="118" t="n"/>
      <c r="D491" s="118" t="n"/>
      <c r="E491" s="115">
        <f>IF(C491="","",IFERROR(C491/MOTOR!$B$14,0))</f>
        <v/>
      </c>
      <c r="F491" s="116">
        <f>IF(C491="","",IFERROR((C491-MOTOR!$B$8)/MOTOR!$B$11,0))</f>
        <v/>
      </c>
      <c r="G491" s="117">
        <f>IF(C491="","",IF(E491&lt;AYARLAR!$C$11,"AŞIRI DÜŞÜK",IF(E491&lt;AYARLAR!$C$12,"SINIRDA","GÜVENLİ")))</f>
        <v/>
      </c>
      <c r="H491" s="118" t="n"/>
    </row>
    <row r="492" ht="15" customHeight="1" s="64">
      <c r="A492" s="112" t="n">
        <v>487</v>
      </c>
      <c r="B492" s="118" t="n"/>
      <c r="C492" s="118" t="n"/>
      <c r="D492" s="118" t="n"/>
      <c r="E492" s="115">
        <f>IF(C492="","",IFERROR(C492/MOTOR!$B$14,0))</f>
        <v/>
      </c>
      <c r="F492" s="116">
        <f>IF(C492="","",IFERROR((C492-MOTOR!$B$8)/MOTOR!$B$11,0))</f>
        <v/>
      </c>
      <c r="G492" s="117">
        <f>IF(C492="","",IF(E492&lt;AYARLAR!$C$11,"AŞIRI DÜŞÜK",IF(E492&lt;AYARLAR!$C$12,"SINIRDA","GÜVENLİ")))</f>
        <v/>
      </c>
      <c r="H492" s="118" t="n"/>
    </row>
    <row r="493" ht="15" customHeight="1" s="64">
      <c r="A493" s="112" t="n">
        <v>488</v>
      </c>
      <c r="B493" s="118" t="n"/>
      <c r="C493" s="118" t="n"/>
      <c r="D493" s="118" t="n"/>
      <c r="E493" s="115">
        <f>IF(C493="","",IFERROR(C493/MOTOR!$B$14,0))</f>
        <v/>
      </c>
      <c r="F493" s="116">
        <f>IF(C493="","",IFERROR((C493-MOTOR!$B$8)/MOTOR!$B$11,0))</f>
        <v/>
      </c>
      <c r="G493" s="117">
        <f>IF(C493="","",IF(E493&lt;AYARLAR!$C$11,"AŞIRI DÜŞÜK",IF(E493&lt;AYARLAR!$C$12,"SINIRDA","GÜVENLİ")))</f>
        <v/>
      </c>
      <c r="H493" s="118" t="n"/>
    </row>
    <row r="494" ht="15" customHeight="1" s="64">
      <c r="A494" s="112" t="n">
        <v>489</v>
      </c>
      <c r="B494" s="118" t="n"/>
      <c r="C494" s="118" t="n"/>
      <c r="D494" s="118" t="n"/>
      <c r="E494" s="115">
        <f>IF(C494="","",IFERROR(C494/MOTOR!$B$14,0))</f>
        <v/>
      </c>
      <c r="F494" s="116">
        <f>IF(C494="","",IFERROR((C494-MOTOR!$B$8)/MOTOR!$B$11,0))</f>
        <v/>
      </c>
      <c r="G494" s="117">
        <f>IF(C494="","",IF(E494&lt;AYARLAR!$C$11,"AŞIRI DÜŞÜK",IF(E494&lt;AYARLAR!$C$12,"SINIRDA","GÜVENLİ")))</f>
        <v/>
      </c>
      <c r="H494" s="118" t="n"/>
    </row>
    <row r="495" ht="15" customHeight="1" s="64">
      <c r="A495" s="112" t="n">
        <v>490</v>
      </c>
      <c r="B495" s="118" t="n"/>
      <c r="C495" s="118" t="n"/>
      <c r="D495" s="118" t="n"/>
      <c r="E495" s="115">
        <f>IF(C495="","",IFERROR(C495/MOTOR!$B$14,0))</f>
        <v/>
      </c>
      <c r="F495" s="116">
        <f>IF(C495="","",IFERROR((C495-MOTOR!$B$8)/MOTOR!$B$11,0))</f>
        <v/>
      </c>
      <c r="G495" s="117">
        <f>IF(C495="","",IF(E495&lt;AYARLAR!$C$11,"AŞIRI DÜŞÜK",IF(E495&lt;AYARLAR!$C$12,"SINIRDA","GÜVENLİ")))</f>
        <v/>
      </c>
      <c r="H495" s="118" t="n"/>
    </row>
    <row r="496" ht="15" customHeight="1" s="64">
      <c r="A496" s="112" t="n">
        <v>491</v>
      </c>
      <c r="B496" s="118" t="n"/>
      <c r="C496" s="118" t="n"/>
      <c r="D496" s="118" t="n"/>
      <c r="E496" s="115">
        <f>IF(C496="","",IFERROR(C496/MOTOR!$B$14,0))</f>
        <v/>
      </c>
      <c r="F496" s="116">
        <f>IF(C496="","",IFERROR((C496-MOTOR!$B$8)/MOTOR!$B$11,0))</f>
        <v/>
      </c>
      <c r="G496" s="117">
        <f>IF(C496="","",IF(E496&lt;AYARLAR!$C$11,"AŞIRI DÜŞÜK",IF(E496&lt;AYARLAR!$C$12,"SINIRDA","GÜVENLİ")))</f>
        <v/>
      </c>
      <c r="H496" s="118" t="n"/>
    </row>
    <row r="497" ht="15" customHeight="1" s="64">
      <c r="A497" s="112" t="n">
        <v>492</v>
      </c>
      <c r="B497" s="118" t="n"/>
      <c r="C497" s="118" t="n"/>
      <c r="D497" s="118" t="n"/>
      <c r="E497" s="115">
        <f>IF(C497="","",IFERROR(C497/MOTOR!$B$14,0))</f>
        <v/>
      </c>
      <c r="F497" s="116">
        <f>IF(C497="","",IFERROR((C497-MOTOR!$B$8)/MOTOR!$B$11,0))</f>
        <v/>
      </c>
      <c r="G497" s="117">
        <f>IF(C497="","",IF(E497&lt;AYARLAR!$C$11,"AŞIRI DÜŞÜK",IF(E497&lt;AYARLAR!$C$12,"SINIRDA","GÜVENLİ")))</f>
        <v/>
      </c>
      <c r="H497" s="118" t="n"/>
    </row>
    <row r="498" ht="15" customHeight="1" s="64">
      <c r="A498" s="112" t="n">
        <v>493</v>
      </c>
      <c r="B498" s="118" t="n"/>
      <c r="C498" s="118" t="n"/>
      <c r="D498" s="118" t="n"/>
      <c r="E498" s="115">
        <f>IF(C498="","",IFERROR(C498/MOTOR!$B$14,0))</f>
        <v/>
      </c>
      <c r="F498" s="116">
        <f>IF(C498="","",IFERROR((C498-MOTOR!$B$8)/MOTOR!$B$11,0))</f>
        <v/>
      </c>
      <c r="G498" s="117">
        <f>IF(C498="","",IF(E498&lt;AYARLAR!$C$11,"AŞIRI DÜŞÜK",IF(E498&lt;AYARLAR!$C$12,"SINIRDA","GÜVENLİ")))</f>
        <v/>
      </c>
      <c r="H498" s="118" t="n"/>
    </row>
    <row r="499" ht="15" customHeight="1" s="64">
      <c r="A499" s="112" t="n">
        <v>494</v>
      </c>
      <c r="B499" s="118" t="n"/>
      <c r="C499" s="118" t="n"/>
      <c r="D499" s="118" t="n"/>
      <c r="E499" s="115">
        <f>IF(C499="","",IFERROR(C499/MOTOR!$B$14,0))</f>
        <v/>
      </c>
      <c r="F499" s="116">
        <f>IF(C499="","",IFERROR((C499-MOTOR!$B$8)/MOTOR!$B$11,0))</f>
        <v/>
      </c>
      <c r="G499" s="117">
        <f>IF(C499="","",IF(E499&lt;AYARLAR!$C$11,"AŞIRI DÜŞÜK",IF(E499&lt;AYARLAR!$C$12,"SINIRDA","GÜVENLİ")))</f>
        <v/>
      </c>
      <c r="H499" s="118" t="n"/>
    </row>
    <row r="500" ht="15" customHeight="1" s="64">
      <c r="A500" s="112" t="n">
        <v>495</v>
      </c>
      <c r="B500" s="118" t="n"/>
      <c r="C500" s="118" t="n"/>
      <c r="D500" s="118" t="n"/>
      <c r="E500" s="115">
        <f>IF(C500="","",IFERROR(C500/MOTOR!$B$14,0))</f>
        <v/>
      </c>
      <c r="F500" s="116">
        <f>IF(C500="","",IFERROR((C500-MOTOR!$B$8)/MOTOR!$B$11,0))</f>
        <v/>
      </c>
      <c r="G500" s="117">
        <f>IF(C500="","",IF(E500&lt;AYARLAR!$C$11,"AŞIRI DÜŞÜK",IF(E500&lt;AYARLAR!$C$12,"SINIRDA","GÜVENLİ")))</f>
        <v/>
      </c>
      <c r="H500" s="118" t="n"/>
    </row>
    <row r="501" ht="15" customHeight="1" s="64">
      <c r="A501" s="112" t="n">
        <v>496</v>
      </c>
      <c r="B501" s="118" t="n"/>
      <c r="C501" s="118" t="n"/>
      <c r="D501" s="118" t="n"/>
      <c r="E501" s="115">
        <f>IF(C501="","",IFERROR(C501/MOTOR!$B$14,0))</f>
        <v/>
      </c>
      <c r="F501" s="116">
        <f>IF(C501="","",IFERROR((C501-MOTOR!$B$8)/MOTOR!$B$11,0))</f>
        <v/>
      </c>
      <c r="G501" s="117">
        <f>IF(C501="","",IF(E501&lt;AYARLAR!$C$11,"AŞIRI DÜŞÜK",IF(E501&lt;AYARLAR!$C$12,"SINIRDA","GÜVENLİ")))</f>
        <v/>
      </c>
      <c r="H501" s="118" t="n"/>
    </row>
    <row r="502" ht="15" customHeight="1" s="64">
      <c r="A502" s="112" t="n">
        <v>497</v>
      </c>
      <c r="B502" s="118" t="n"/>
      <c r="C502" s="118" t="n"/>
      <c r="D502" s="118" t="n"/>
      <c r="E502" s="115">
        <f>IF(C502="","",IFERROR(C502/MOTOR!$B$14,0))</f>
        <v/>
      </c>
      <c r="F502" s="116">
        <f>IF(C502="","",IFERROR((C502-MOTOR!$B$8)/MOTOR!$B$11,0))</f>
        <v/>
      </c>
      <c r="G502" s="117">
        <f>IF(C502="","",IF(E502&lt;AYARLAR!$C$11,"AŞIRI DÜŞÜK",IF(E502&lt;AYARLAR!$C$12,"SINIRDA","GÜVENLİ")))</f>
        <v/>
      </c>
      <c r="H502" s="118" t="n"/>
    </row>
    <row r="503" ht="15" customHeight="1" s="64">
      <c r="A503" s="112" t="n">
        <v>498</v>
      </c>
      <c r="B503" s="118" t="n"/>
      <c r="C503" s="118" t="n"/>
      <c r="D503" s="118" t="n"/>
      <c r="E503" s="115">
        <f>IF(C503="","",IFERROR(C503/MOTOR!$B$14,0))</f>
        <v/>
      </c>
      <c r="F503" s="116">
        <f>IF(C503="","",IFERROR((C503-MOTOR!$B$8)/MOTOR!$B$11,0))</f>
        <v/>
      </c>
      <c r="G503" s="117">
        <f>IF(C503="","",IF(E503&lt;AYARLAR!$C$11,"AŞIRI DÜŞÜK",IF(E503&lt;AYARLAR!$C$12,"SINIRDA","GÜVENLİ")))</f>
        <v/>
      </c>
      <c r="H503" s="118" t="n"/>
    </row>
    <row r="504" ht="15" customHeight="1" s="64">
      <c r="A504" s="112" t="n">
        <v>499</v>
      </c>
      <c r="B504" s="118" t="n"/>
      <c r="C504" s="118" t="n"/>
      <c r="D504" s="118" t="n"/>
      <c r="E504" s="115">
        <f>IF(C504="","",IFERROR(C504/MOTOR!$B$14,0))</f>
        <v/>
      </c>
      <c r="F504" s="116">
        <f>IF(C504="","",IFERROR((C504-MOTOR!$B$8)/MOTOR!$B$11,0))</f>
        <v/>
      </c>
      <c r="G504" s="117">
        <f>IF(C504="","",IF(E504&lt;AYARLAR!$C$11,"AŞIRI DÜŞÜK",IF(E504&lt;AYARLAR!$C$12,"SINIRDA","GÜVENLİ")))</f>
        <v/>
      </c>
      <c r="H504" s="118" t="n"/>
    </row>
    <row r="505" ht="15" customHeight="1" s="64">
      <c r="A505" s="112" t="n">
        <v>500</v>
      </c>
      <c r="B505" s="118" t="n"/>
      <c r="C505" s="118" t="n"/>
      <c r="D505" s="118" t="n"/>
      <c r="E505" s="115">
        <f>IF(C505="","",IFERROR(C505/MOTOR!$B$14,0))</f>
        <v/>
      </c>
      <c r="F505" s="116">
        <f>IF(C505="","",IFERROR((C505-MOTOR!$B$8)/MOTOR!$B$11,0))</f>
        <v/>
      </c>
      <c r="G505" s="117">
        <f>IF(C505="","",IF(E505&lt;AYARLAR!$C$11,"AŞIRI DÜŞÜK",IF(E505&lt;AYARLAR!$C$12,"SINIRDA","GÜVENLİ")))</f>
        <v/>
      </c>
      <c r="H505" s="118" t="n"/>
    </row>
    <row r="506" ht="15" customHeight="1" s="64">
      <c r="A506" s="112" t="n">
        <v>501</v>
      </c>
      <c r="B506" s="118" t="n"/>
      <c r="C506" s="118" t="n"/>
      <c r="D506" s="118" t="n"/>
      <c r="E506" s="115">
        <f>IF(C506="","",IFERROR(C506/MOTOR!$B$14,0))</f>
        <v/>
      </c>
      <c r="F506" s="116">
        <f>IF(C506="","",IFERROR((C506-MOTOR!$B$8)/MOTOR!$B$11,0))</f>
        <v/>
      </c>
      <c r="G506" s="117">
        <f>IF(C506="","",IF(E506&lt;AYARLAR!$C$11,"AŞIRI DÜŞÜK",IF(E506&lt;AYARLAR!$C$12,"SINIRDA","GÜVENLİ")))</f>
        <v/>
      </c>
      <c r="H506" s="118" t="n"/>
    </row>
    <row r="507" ht="15" customHeight="1" s="64">
      <c r="A507" s="112" t="n">
        <v>502</v>
      </c>
      <c r="B507" s="118" t="n"/>
      <c r="C507" s="118" t="n"/>
      <c r="D507" s="118" t="n"/>
      <c r="E507" s="115">
        <f>IF(C507="","",IFERROR(C507/MOTOR!$B$14,0))</f>
        <v/>
      </c>
      <c r="F507" s="116">
        <f>IF(C507="","",IFERROR((C507-MOTOR!$B$8)/MOTOR!$B$11,0))</f>
        <v/>
      </c>
      <c r="G507" s="117">
        <f>IF(C507="","",IF(E507&lt;AYARLAR!$C$11,"AŞIRI DÜŞÜK",IF(E507&lt;AYARLAR!$C$12,"SINIRDA","GÜVENLİ")))</f>
        <v/>
      </c>
      <c r="H507" s="118" t="n"/>
    </row>
    <row r="508" ht="15" customHeight="1" s="64">
      <c r="A508" s="112" t="n">
        <v>503</v>
      </c>
      <c r="B508" s="118" t="n"/>
      <c r="C508" s="118" t="n"/>
      <c r="D508" s="118" t="n"/>
      <c r="E508" s="115">
        <f>IF(C508="","",IFERROR(C508/MOTOR!$B$14,0))</f>
        <v/>
      </c>
      <c r="F508" s="116">
        <f>IF(C508="","",IFERROR((C508-MOTOR!$B$8)/MOTOR!$B$11,0))</f>
        <v/>
      </c>
      <c r="G508" s="117">
        <f>IF(C508="","",IF(E508&lt;AYARLAR!$C$11,"AŞIRI DÜŞÜK",IF(E508&lt;AYARLAR!$C$12,"SINIRDA","GÜVENLİ")))</f>
        <v/>
      </c>
      <c r="H508" s="118" t="n"/>
    </row>
    <row r="509" ht="15" customHeight="1" s="64">
      <c r="A509" s="112" t="n">
        <v>504</v>
      </c>
      <c r="B509" s="118" t="n"/>
      <c r="C509" s="118" t="n"/>
      <c r="D509" s="118" t="n"/>
      <c r="E509" s="115">
        <f>IF(C509="","",IFERROR(C509/MOTOR!$B$14,0))</f>
        <v/>
      </c>
      <c r="F509" s="116">
        <f>IF(C509="","",IFERROR((C509-MOTOR!$B$8)/MOTOR!$B$11,0))</f>
        <v/>
      </c>
      <c r="G509" s="117">
        <f>IF(C509="","",IF(E509&lt;AYARLAR!$C$11,"AŞIRI DÜŞÜK",IF(E509&lt;AYARLAR!$C$12,"SINIRDA","GÜVENLİ")))</f>
        <v/>
      </c>
      <c r="H509" s="118" t="n"/>
    </row>
    <row r="510" ht="15" customHeight="1" s="64">
      <c r="A510" s="112" t="n">
        <v>505</v>
      </c>
      <c r="B510" s="118" t="n"/>
      <c r="C510" s="118" t="n"/>
      <c r="D510" s="118" t="n"/>
      <c r="E510" s="115">
        <f>IF(C510="","",IFERROR(C510/MOTOR!$B$14,0))</f>
        <v/>
      </c>
      <c r="F510" s="116">
        <f>IF(C510="","",IFERROR((C510-MOTOR!$B$8)/MOTOR!$B$11,0))</f>
        <v/>
      </c>
      <c r="G510" s="117">
        <f>IF(C510="","",IF(E510&lt;AYARLAR!$C$11,"AŞIRI DÜŞÜK",IF(E510&lt;AYARLAR!$C$12,"SINIRDA","GÜVENLİ")))</f>
        <v/>
      </c>
      <c r="H510" s="118" t="n"/>
    </row>
    <row r="511" ht="15" customHeight="1" s="64">
      <c r="A511" s="112" t="n">
        <v>506</v>
      </c>
      <c r="B511" s="118" t="n"/>
      <c r="C511" s="118" t="n"/>
      <c r="D511" s="118" t="n"/>
      <c r="E511" s="115">
        <f>IF(C511="","",IFERROR(C511/MOTOR!$B$14,0))</f>
        <v/>
      </c>
      <c r="F511" s="116">
        <f>IF(C511="","",IFERROR((C511-MOTOR!$B$8)/MOTOR!$B$11,0))</f>
        <v/>
      </c>
      <c r="G511" s="117">
        <f>IF(C511="","",IF(E511&lt;AYARLAR!$C$11,"AŞIRI DÜŞÜK",IF(E511&lt;AYARLAR!$C$12,"SINIRDA","GÜVENLİ")))</f>
        <v/>
      </c>
      <c r="H511" s="118" t="n"/>
    </row>
    <row r="512" ht="15" customHeight="1" s="64">
      <c r="A512" s="112" t="n">
        <v>507</v>
      </c>
      <c r="B512" s="118" t="n"/>
      <c r="C512" s="118" t="n"/>
      <c r="D512" s="118" t="n"/>
      <c r="E512" s="115">
        <f>IF(C512="","",IFERROR(C512/MOTOR!$B$14,0))</f>
        <v/>
      </c>
      <c r="F512" s="116">
        <f>IF(C512="","",IFERROR((C512-MOTOR!$B$8)/MOTOR!$B$11,0))</f>
        <v/>
      </c>
      <c r="G512" s="117">
        <f>IF(C512="","",IF(E512&lt;AYARLAR!$C$11,"AŞIRI DÜŞÜK",IF(E512&lt;AYARLAR!$C$12,"SINIRDA","GÜVENLİ")))</f>
        <v/>
      </c>
      <c r="H512" s="118" t="n"/>
    </row>
    <row r="513" ht="15" customHeight="1" s="64">
      <c r="A513" s="112" t="n">
        <v>508</v>
      </c>
      <c r="B513" s="118" t="n"/>
      <c r="C513" s="118" t="n"/>
      <c r="D513" s="118" t="n"/>
      <c r="E513" s="115">
        <f>IF(C513="","",IFERROR(C513/MOTOR!$B$14,0))</f>
        <v/>
      </c>
      <c r="F513" s="116">
        <f>IF(C513="","",IFERROR((C513-MOTOR!$B$8)/MOTOR!$B$11,0))</f>
        <v/>
      </c>
      <c r="G513" s="117">
        <f>IF(C513="","",IF(E513&lt;AYARLAR!$C$11,"AŞIRI DÜŞÜK",IF(E513&lt;AYARLAR!$C$12,"SINIRDA","GÜVENLİ")))</f>
        <v/>
      </c>
      <c r="H513" s="118" t="n"/>
    </row>
    <row r="514" ht="15" customHeight="1" s="64">
      <c r="A514" s="112" t="n">
        <v>509</v>
      </c>
      <c r="B514" s="118" t="n"/>
      <c r="C514" s="118" t="n"/>
      <c r="D514" s="118" t="n"/>
      <c r="E514" s="115">
        <f>IF(C514="","",IFERROR(C514/MOTOR!$B$14,0))</f>
        <v/>
      </c>
      <c r="F514" s="116">
        <f>IF(C514="","",IFERROR((C514-MOTOR!$B$8)/MOTOR!$B$11,0))</f>
        <v/>
      </c>
      <c r="G514" s="117">
        <f>IF(C514="","",IF(E514&lt;AYARLAR!$C$11,"AŞIRI DÜŞÜK",IF(E514&lt;AYARLAR!$C$12,"SINIRDA","GÜVENLİ")))</f>
        <v/>
      </c>
      <c r="H514" s="118" t="n"/>
    </row>
    <row r="515" ht="15" customHeight="1" s="64">
      <c r="A515" s="112" t="n">
        <v>510</v>
      </c>
      <c r="B515" s="118" t="n"/>
      <c r="C515" s="118" t="n"/>
      <c r="D515" s="118" t="n"/>
      <c r="E515" s="115">
        <f>IF(C515="","",IFERROR(C515/MOTOR!$B$14,0))</f>
        <v/>
      </c>
      <c r="F515" s="116">
        <f>IF(C515="","",IFERROR((C515-MOTOR!$B$8)/MOTOR!$B$11,0))</f>
        <v/>
      </c>
      <c r="G515" s="117">
        <f>IF(C515="","",IF(E515&lt;AYARLAR!$C$11,"AŞIRI DÜŞÜK",IF(E515&lt;AYARLAR!$C$12,"SINIRDA","GÜVENLİ")))</f>
        <v/>
      </c>
      <c r="H515" s="118" t="n"/>
    </row>
    <row r="516" ht="15" customHeight="1" s="64">
      <c r="A516" s="112" t="n">
        <v>511</v>
      </c>
      <c r="B516" s="118" t="n"/>
      <c r="C516" s="118" t="n"/>
      <c r="D516" s="118" t="n"/>
      <c r="E516" s="115">
        <f>IF(C516="","",IFERROR(C516/MOTOR!$B$14,0))</f>
        <v/>
      </c>
      <c r="F516" s="116">
        <f>IF(C516="","",IFERROR((C516-MOTOR!$B$8)/MOTOR!$B$11,0))</f>
        <v/>
      </c>
      <c r="G516" s="117">
        <f>IF(C516="","",IF(E516&lt;AYARLAR!$C$11,"AŞIRI DÜŞÜK",IF(E516&lt;AYARLAR!$C$12,"SINIRDA","GÜVENLİ")))</f>
        <v/>
      </c>
      <c r="H516" s="118" t="n"/>
    </row>
    <row r="517" ht="15" customHeight="1" s="64">
      <c r="A517" s="112" t="n">
        <v>512</v>
      </c>
      <c r="B517" s="118" t="n"/>
      <c r="C517" s="118" t="n"/>
      <c r="D517" s="118" t="n"/>
      <c r="E517" s="115">
        <f>IF(C517="","",IFERROR(C517/MOTOR!$B$14,0))</f>
        <v/>
      </c>
      <c r="F517" s="116">
        <f>IF(C517="","",IFERROR((C517-MOTOR!$B$8)/MOTOR!$B$11,0))</f>
        <v/>
      </c>
      <c r="G517" s="117">
        <f>IF(C517="","",IF(E517&lt;AYARLAR!$C$11,"AŞIRI DÜŞÜK",IF(E517&lt;AYARLAR!$C$12,"SINIRDA","GÜVENLİ")))</f>
        <v/>
      </c>
      <c r="H517" s="118" t="n"/>
    </row>
    <row r="518" ht="15" customHeight="1" s="64">
      <c r="A518" s="112" t="n">
        <v>513</v>
      </c>
      <c r="B518" s="118" t="n"/>
      <c r="C518" s="118" t="n"/>
      <c r="D518" s="118" t="n"/>
      <c r="E518" s="115">
        <f>IF(C518="","",IFERROR(C518/MOTOR!$B$14,0))</f>
        <v/>
      </c>
      <c r="F518" s="116">
        <f>IF(C518="","",IFERROR((C518-MOTOR!$B$8)/MOTOR!$B$11,0))</f>
        <v/>
      </c>
      <c r="G518" s="117">
        <f>IF(C518="","",IF(E518&lt;AYARLAR!$C$11,"AŞIRI DÜŞÜK",IF(E518&lt;AYARLAR!$C$12,"SINIRDA","GÜVENLİ")))</f>
        <v/>
      </c>
      <c r="H518" s="118" t="n"/>
    </row>
    <row r="519" ht="15" customHeight="1" s="64">
      <c r="A519" s="112" t="n">
        <v>514</v>
      </c>
      <c r="B519" s="118" t="n"/>
      <c r="C519" s="118" t="n"/>
      <c r="D519" s="118" t="n"/>
      <c r="E519" s="115">
        <f>IF(C519="","",IFERROR(C519/MOTOR!$B$14,0))</f>
        <v/>
      </c>
      <c r="F519" s="116">
        <f>IF(C519="","",IFERROR((C519-MOTOR!$B$8)/MOTOR!$B$11,0))</f>
        <v/>
      </c>
      <c r="G519" s="117">
        <f>IF(C519="","",IF(E519&lt;AYARLAR!$C$11,"AŞIRI DÜŞÜK",IF(E519&lt;AYARLAR!$C$12,"SINIRDA","GÜVENLİ")))</f>
        <v/>
      </c>
      <c r="H519" s="118" t="n"/>
    </row>
    <row r="520" ht="15" customHeight="1" s="64">
      <c r="A520" s="112" t="n">
        <v>515</v>
      </c>
      <c r="B520" s="118" t="n"/>
      <c r="C520" s="118" t="n"/>
      <c r="D520" s="118" t="n"/>
      <c r="E520" s="115">
        <f>IF(C520="","",IFERROR(C520/MOTOR!$B$14,0))</f>
        <v/>
      </c>
      <c r="F520" s="116">
        <f>IF(C520="","",IFERROR((C520-MOTOR!$B$8)/MOTOR!$B$11,0))</f>
        <v/>
      </c>
      <c r="G520" s="117">
        <f>IF(C520="","",IF(E520&lt;AYARLAR!$C$11,"AŞIRI DÜŞÜK",IF(E520&lt;AYARLAR!$C$12,"SINIRDA","GÜVENLİ")))</f>
        <v/>
      </c>
      <c r="H520" s="118" t="n"/>
    </row>
    <row r="521" ht="15" customHeight="1" s="64">
      <c r="A521" s="112" t="n">
        <v>516</v>
      </c>
      <c r="B521" s="118" t="n"/>
      <c r="C521" s="118" t="n"/>
      <c r="D521" s="118" t="n"/>
      <c r="E521" s="115">
        <f>IF(C521="","",IFERROR(C521/MOTOR!$B$14,0))</f>
        <v/>
      </c>
      <c r="F521" s="116">
        <f>IF(C521="","",IFERROR((C521-MOTOR!$B$8)/MOTOR!$B$11,0))</f>
        <v/>
      </c>
      <c r="G521" s="117">
        <f>IF(C521="","",IF(E521&lt;AYARLAR!$C$11,"AŞIRI DÜŞÜK",IF(E521&lt;AYARLAR!$C$12,"SINIRDA","GÜVENLİ")))</f>
        <v/>
      </c>
      <c r="H521" s="118" t="n"/>
    </row>
    <row r="522" ht="15" customHeight="1" s="64">
      <c r="A522" s="112" t="n">
        <v>517</v>
      </c>
      <c r="B522" s="118" t="n"/>
      <c r="C522" s="118" t="n"/>
      <c r="D522" s="118" t="n"/>
      <c r="E522" s="115">
        <f>IF(C522="","",IFERROR(C522/MOTOR!$B$14,0))</f>
        <v/>
      </c>
      <c r="F522" s="116">
        <f>IF(C522="","",IFERROR((C522-MOTOR!$B$8)/MOTOR!$B$11,0))</f>
        <v/>
      </c>
      <c r="G522" s="117">
        <f>IF(C522="","",IF(E522&lt;AYARLAR!$C$11,"AŞIRI DÜŞÜK",IF(E522&lt;AYARLAR!$C$12,"SINIRDA","GÜVENLİ")))</f>
        <v/>
      </c>
      <c r="H522" s="118" t="n"/>
    </row>
    <row r="523" ht="15" customHeight="1" s="64">
      <c r="A523" s="112" t="n">
        <v>518</v>
      </c>
      <c r="B523" s="118" t="n"/>
      <c r="C523" s="118" t="n"/>
      <c r="D523" s="118" t="n"/>
      <c r="E523" s="115">
        <f>IF(C523="","",IFERROR(C523/MOTOR!$B$14,0))</f>
        <v/>
      </c>
      <c r="F523" s="116">
        <f>IF(C523="","",IFERROR((C523-MOTOR!$B$8)/MOTOR!$B$11,0))</f>
        <v/>
      </c>
      <c r="G523" s="117">
        <f>IF(C523="","",IF(E523&lt;AYARLAR!$C$11,"AŞIRI DÜŞÜK",IF(E523&lt;AYARLAR!$C$12,"SINIRDA","GÜVENLİ")))</f>
        <v/>
      </c>
      <c r="H523" s="118" t="n"/>
    </row>
    <row r="524" ht="15" customHeight="1" s="64">
      <c r="A524" s="112" t="n">
        <v>519</v>
      </c>
      <c r="B524" s="118" t="n"/>
      <c r="C524" s="118" t="n"/>
      <c r="D524" s="118" t="n"/>
      <c r="E524" s="115">
        <f>IF(C524="","",IFERROR(C524/MOTOR!$B$14,0))</f>
        <v/>
      </c>
      <c r="F524" s="116">
        <f>IF(C524="","",IFERROR((C524-MOTOR!$B$8)/MOTOR!$B$11,0))</f>
        <v/>
      </c>
      <c r="G524" s="117">
        <f>IF(C524="","",IF(E524&lt;AYARLAR!$C$11,"AŞIRI DÜŞÜK",IF(E524&lt;AYARLAR!$C$12,"SINIRDA","GÜVENLİ")))</f>
        <v/>
      </c>
      <c r="H524" s="118" t="n"/>
    </row>
    <row r="525" ht="15" customHeight="1" s="64">
      <c r="A525" s="112" t="n">
        <v>520</v>
      </c>
      <c r="B525" s="118" t="n"/>
      <c r="C525" s="118" t="n"/>
      <c r="D525" s="118" t="n"/>
      <c r="E525" s="115">
        <f>IF(C525="","",IFERROR(C525/MOTOR!$B$14,0))</f>
        <v/>
      </c>
      <c r="F525" s="116">
        <f>IF(C525="","",IFERROR((C525-MOTOR!$B$8)/MOTOR!$B$11,0))</f>
        <v/>
      </c>
      <c r="G525" s="117">
        <f>IF(C525="","",IF(E525&lt;AYARLAR!$C$11,"AŞIRI DÜŞÜK",IF(E525&lt;AYARLAR!$C$12,"SINIRDA","GÜVENLİ")))</f>
        <v/>
      </c>
      <c r="H525" s="118" t="n"/>
    </row>
    <row r="526" ht="15" customHeight="1" s="64">
      <c r="A526" s="112" t="n">
        <v>521</v>
      </c>
      <c r="B526" s="118" t="n"/>
      <c r="C526" s="118" t="n"/>
      <c r="D526" s="118" t="n"/>
      <c r="E526" s="115">
        <f>IF(C526="","",IFERROR(C526/MOTOR!$B$14,0))</f>
        <v/>
      </c>
      <c r="F526" s="116">
        <f>IF(C526="","",IFERROR((C526-MOTOR!$B$8)/MOTOR!$B$11,0))</f>
        <v/>
      </c>
      <c r="G526" s="117">
        <f>IF(C526="","",IF(E526&lt;AYARLAR!$C$11,"AŞIRI DÜŞÜK",IF(E526&lt;AYARLAR!$C$12,"SINIRDA","GÜVENLİ")))</f>
        <v/>
      </c>
      <c r="H526" s="118" t="n"/>
    </row>
    <row r="527" ht="15" customHeight="1" s="64">
      <c r="A527" s="112" t="n">
        <v>522</v>
      </c>
      <c r="B527" s="118" t="n"/>
      <c r="C527" s="118" t="n"/>
      <c r="D527" s="118" t="n"/>
      <c r="E527" s="115">
        <f>IF(C527="","",IFERROR(C527/MOTOR!$B$14,0))</f>
        <v/>
      </c>
      <c r="F527" s="116">
        <f>IF(C527="","",IFERROR((C527-MOTOR!$B$8)/MOTOR!$B$11,0))</f>
        <v/>
      </c>
      <c r="G527" s="117">
        <f>IF(C527="","",IF(E527&lt;AYARLAR!$C$11,"AŞIRI DÜŞÜK",IF(E527&lt;AYARLAR!$C$12,"SINIRDA","GÜVENLİ")))</f>
        <v/>
      </c>
      <c r="H527" s="118" t="n"/>
    </row>
    <row r="528" ht="15" customHeight="1" s="64">
      <c r="A528" s="112" t="n">
        <v>523</v>
      </c>
      <c r="B528" s="118" t="n"/>
      <c r="C528" s="118" t="n"/>
      <c r="D528" s="118" t="n"/>
      <c r="E528" s="115">
        <f>IF(C528="","",IFERROR(C528/MOTOR!$B$14,0))</f>
        <v/>
      </c>
      <c r="F528" s="116">
        <f>IF(C528="","",IFERROR((C528-MOTOR!$B$8)/MOTOR!$B$11,0))</f>
        <v/>
      </c>
      <c r="G528" s="117">
        <f>IF(C528="","",IF(E528&lt;AYARLAR!$C$11,"AŞIRI DÜŞÜK",IF(E528&lt;AYARLAR!$C$12,"SINIRDA","GÜVENLİ")))</f>
        <v/>
      </c>
      <c r="H528" s="118" t="n"/>
    </row>
    <row r="529" ht="15" customHeight="1" s="64">
      <c r="A529" s="112" t="n">
        <v>524</v>
      </c>
      <c r="B529" s="118" t="n"/>
      <c r="C529" s="118" t="n"/>
      <c r="D529" s="118" t="n"/>
      <c r="E529" s="115">
        <f>IF(C529="","",IFERROR(C529/MOTOR!$B$14,0))</f>
        <v/>
      </c>
      <c r="F529" s="116">
        <f>IF(C529="","",IFERROR((C529-MOTOR!$B$8)/MOTOR!$B$11,0))</f>
        <v/>
      </c>
      <c r="G529" s="117">
        <f>IF(C529="","",IF(E529&lt;AYARLAR!$C$11,"AŞIRI DÜŞÜK",IF(E529&lt;AYARLAR!$C$12,"SINIRDA","GÜVENLİ")))</f>
        <v/>
      </c>
      <c r="H529" s="118" t="n"/>
    </row>
    <row r="530" ht="15" customHeight="1" s="64">
      <c r="A530" s="112" t="n">
        <v>525</v>
      </c>
      <c r="B530" s="118" t="n"/>
      <c r="C530" s="118" t="n"/>
      <c r="D530" s="118" t="n"/>
      <c r="E530" s="115">
        <f>IF(C530="","",IFERROR(C530/MOTOR!$B$14,0))</f>
        <v/>
      </c>
      <c r="F530" s="116">
        <f>IF(C530="","",IFERROR((C530-MOTOR!$B$8)/MOTOR!$B$11,0))</f>
        <v/>
      </c>
      <c r="G530" s="117">
        <f>IF(C530="","",IF(E530&lt;AYARLAR!$C$11,"AŞIRI DÜŞÜK",IF(E530&lt;AYARLAR!$C$12,"SINIRDA","GÜVENLİ")))</f>
        <v/>
      </c>
      <c r="H530" s="118" t="n"/>
    </row>
    <row r="531" ht="15" customHeight="1" s="64">
      <c r="A531" s="112" t="n">
        <v>526</v>
      </c>
      <c r="B531" s="118" t="n"/>
      <c r="C531" s="118" t="n"/>
      <c r="D531" s="118" t="n"/>
      <c r="E531" s="115">
        <f>IF(C531="","",IFERROR(C531/MOTOR!$B$14,0))</f>
        <v/>
      </c>
      <c r="F531" s="116">
        <f>IF(C531="","",IFERROR((C531-MOTOR!$B$8)/MOTOR!$B$11,0))</f>
        <v/>
      </c>
      <c r="G531" s="117">
        <f>IF(C531="","",IF(E531&lt;AYARLAR!$C$11,"AŞIRI DÜŞÜK",IF(E531&lt;AYARLAR!$C$12,"SINIRDA","GÜVENLİ")))</f>
        <v/>
      </c>
      <c r="H531" s="118" t="n"/>
    </row>
    <row r="532" ht="15" customHeight="1" s="64">
      <c r="A532" s="112" t="n">
        <v>527</v>
      </c>
      <c r="B532" s="118" t="n"/>
      <c r="C532" s="118" t="n"/>
      <c r="D532" s="118" t="n"/>
      <c r="E532" s="115">
        <f>IF(C532="","",IFERROR(C532/MOTOR!$B$14,0))</f>
        <v/>
      </c>
      <c r="F532" s="116">
        <f>IF(C532="","",IFERROR((C532-MOTOR!$B$8)/MOTOR!$B$11,0))</f>
        <v/>
      </c>
      <c r="G532" s="117">
        <f>IF(C532="","",IF(E532&lt;AYARLAR!$C$11,"AŞIRI DÜŞÜK",IF(E532&lt;AYARLAR!$C$12,"SINIRDA","GÜVENLİ")))</f>
        <v/>
      </c>
      <c r="H532" s="118" t="n"/>
    </row>
    <row r="533" ht="15" customHeight="1" s="64">
      <c r="A533" s="112" t="n">
        <v>528</v>
      </c>
      <c r="B533" s="118" t="n"/>
      <c r="C533" s="118" t="n"/>
      <c r="D533" s="118" t="n"/>
      <c r="E533" s="115">
        <f>IF(C533="","",IFERROR(C533/MOTOR!$B$14,0))</f>
        <v/>
      </c>
      <c r="F533" s="116">
        <f>IF(C533="","",IFERROR((C533-MOTOR!$B$8)/MOTOR!$B$11,0))</f>
        <v/>
      </c>
      <c r="G533" s="117">
        <f>IF(C533="","",IF(E533&lt;AYARLAR!$C$11,"AŞIRI DÜŞÜK",IF(E533&lt;AYARLAR!$C$12,"SINIRDA","GÜVENLİ")))</f>
        <v/>
      </c>
      <c r="H533" s="118" t="n"/>
    </row>
    <row r="534" ht="15" customHeight="1" s="64">
      <c r="A534" s="112" t="n">
        <v>529</v>
      </c>
      <c r="B534" s="118" t="n"/>
      <c r="C534" s="118" t="n"/>
      <c r="D534" s="118" t="n"/>
      <c r="E534" s="115">
        <f>IF(C534="","",IFERROR(C534/MOTOR!$B$14,0))</f>
        <v/>
      </c>
      <c r="F534" s="116">
        <f>IF(C534="","",IFERROR((C534-MOTOR!$B$8)/MOTOR!$B$11,0))</f>
        <v/>
      </c>
      <c r="G534" s="117">
        <f>IF(C534="","",IF(E534&lt;AYARLAR!$C$11,"AŞIRI DÜŞÜK",IF(E534&lt;AYARLAR!$C$12,"SINIRDA","GÜVENLİ")))</f>
        <v/>
      </c>
      <c r="H534" s="118" t="n"/>
    </row>
    <row r="535" ht="15" customHeight="1" s="64">
      <c r="A535" s="112" t="n">
        <v>530</v>
      </c>
      <c r="B535" s="118" t="n"/>
      <c r="C535" s="118" t="n"/>
      <c r="D535" s="118" t="n"/>
      <c r="E535" s="115">
        <f>IF(C535="","",IFERROR(C535/MOTOR!$B$14,0))</f>
        <v/>
      </c>
      <c r="F535" s="116">
        <f>IF(C535="","",IFERROR((C535-MOTOR!$B$8)/MOTOR!$B$11,0))</f>
        <v/>
      </c>
      <c r="G535" s="117">
        <f>IF(C535="","",IF(E535&lt;AYARLAR!$C$11,"AŞIRI DÜŞÜK",IF(E535&lt;AYARLAR!$C$12,"SINIRDA","GÜVENLİ")))</f>
        <v/>
      </c>
      <c r="H535" s="118" t="n"/>
    </row>
    <row r="536" ht="15" customHeight="1" s="64">
      <c r="A536" s="112" t="n">
        <v>531</v>
      </c>
      <c r="B536" s="118" t="n"/>
      <c r="C536" s="118" t="n"/>
      <c r="D536" s="118" t="n"/>
      <c r="E536" s="115">
        <f>IF(C536="","",IFERROR(C536/MOTOR!$B$14,0))</f>
        <v/>
      </c>
      <c r="F536" s="116">
        <f>IF(C536="","",IFERROR((C536-MOTOR!$B$8)/MOTOR!$B$11,0))</f>
        <v/>
      </c>
      <c r="G536" s="117">
        <f>IF(C536="","",IF(E536&lt;AYARLAR!$C$11,"AŞIRI DÜŞÜK",IF(E536&lt;AYARLAR!$C$12,"SINIRDA","GÜVENLİ")))</f>
        <v/>
      </c>
      <c r="H536" s="118" t="n"/>
    </row>
    <row r="537" ht="15" customHeight="1" s="64">
      <c r="A537" s="112" t="n">
        <v>532</v>
      </c>
      <c r="B537" s="118" t="n"/>
      <c r="C537" s="118" t="n"/>
      <c r="D537" s="118" t="n"/>
      <c r="E537" s="115">
        <f>IF(C537="","",IFERROR(C537/MOTOR!$B$14,0))</f>
        <v/>
      </c>
      <c r="F537" s="116">
        <f>IF(C537="","",IFERROR((C537-MOTOR!$B$8)/MOTOR!$B$11,0))</f>
        <v/>
      </c>
      <c r="G537" s="117">
        <f>IF(C537="","",IF(E537&lt;AYARLAR!$C$11,"AŞIRI DÜŞÜK",IF(E537&lt;AYARLAR!$C$12,"SINIRDA","GÜVENLİ")))</f>
        <v/>
      </c>
      <c r="H537" s="118" t="n"/>
    </row>
    <row r="538" ht="15" customHeight="1" s="64">
      <c r="A538" s="112" t="n">
        <v>533</v>
      </c>
      <c r="B538" s="118" t="n"/>
      <c r="C538" s="118" t="n"/>
      <c r="D538" s="118" t="n"/>
      <c r="E538" s="115">
        <f>IF(C538="","",IFERROR(C538/MOTOR!$B$14,0))</f>
        <v/>
      </c>
      <c r="F538" s="116">
        <f>IF(C538="","",IFERROR((C538-MOTOR!$B$8)/MOTOR!$B$11,0))</f>
        <v/>
      </c>
      <c r="G538" s="117">
        <f>IF(C538="","",IF(E538&lt;AYARLAR!$C$11,"AŞIRI DÜŞÜK",IF(E538&lt;AYARLAR!$C$12,"SINIRDA","GÜVENLİ")))</f>
        <v/>
      </c>
      <c r="H538" s="118" t="n"/>
    </row>
    <row r="539" ht="15" customHeight="1" s="64">
      <c r="A539" s="112" t="n">
        <v>534</v>
      </c>
      <c r="B539" s="118" t="n"/>
      <c r="C539" s="118" t="n"/>
      <c r="D539" s="118" t="n"/>
      <c r="E539" s="115">
        <f>IF(C539="","",IFERROR(C539/MOTOR!$B$14,0))</f>
        <v/>
      </c>
      <c r="F539" s="116">
        <f>IF(C539="","",IFERROR((C539-MOTOR!$B$8)/MOTOR!$B$11,0))</f>
        <v/>
      </c>
      <c r="G539" s="117">
        <f>IF(C539="","",IF(E539&lt;AYARLAR!$C$11,"AŞIRI DÜŞÜK",IF(E539&lt;AYARLAR!$C$12,"SINIRDA","GÜVENLİ")))</f>
        <v/>
      </c>
      <c r="H539" s="118" t="n"/>
    </row>
    <row r="540" ht="15" customHeight="1" s="64">
      <c r="A540" s="112" t="n">
        <v>535</v>
      </c>
      <c r="B540" s="118" t="n"/>
      <c r="C540" s="118" t="n"/>
      <c r="D540" s="118" t="n"/>
      <c r="E540" s="115">
        <f>IF(C540="","",IFERROR(C540/MOTOR!$B$14,0))</f>
        <v/>
      </c>
      <c r="F540" s="116">
        <f>IF(C540="","",IFERROR((C540-MOTOR!$B$8)/MOTOR!$B$11,0))</f>
        <v/>
      </c>
      <c r="G540" s="117">
        <f>IF(C540="","",IF(E540&lt;AYARLAR!$C$11,"AŞIRI DÜŞÜK",IF(E540&lt;AYARLAR!$C$12,"SINIRDA","GÜVENLİ")))</f>
        <v/>
      </c>
      <c r="H540" s="118" t="n"/>
    </row>
    <row r="541" ht="15" customHeight="1" s="64">
      <c r="A541" s="112" t="n">
        <v>536</v>
      </c>
      <c r="B541" s="118" t="n"/>
      <c r="C541" s="118" t="n"/>
      <c r="D541" s="118" t="n"/>
      <c r="E541" s="115">
        <f>IF(C541="","",IFERROR(C541/MOTOR!$B$14,0))</f>
        <v/>
      </c>
      <c r="F541" s="116">
        <f>IF(C541="","",IFERROR((C541-MOTOR!$B$8)/MOTOR!$B$11,0))</f>
        <v/>
      </c>
      <c r="G541" s="117">
        <f>IF(C541="","",IF(E541&lt;AYARLAR!$C$11,"AŞIRI DÜŞÜK",IF(E541&lt;AYARLAR!$C$12,"SINIRDA","GÜVENLİ")))</f>
        <v/>
      </c>
      <c r="H541" s="118" t="n"/>
    </row>
    <row r="542" ht="15" customHeight="1" s="64">
      <c r="A542" s="112" t="n">
        <v>537</v>
      </c>
      <c r="B542" s="118" t="n"/>
      <c r="C542" s="118" t="n"/>
      <c r="D542" s="118" t="n"/>
      <c r="E542" s="115">
        <f>IF(C542="","",IFERROR(C542/MOTOR!$B$14,0))</f>
        <v/>
      </c>
      <c r="F542" s="116">
        <f>IF(C542="","",IFERROR((C542-MOTOR!$B$8)/MOTOR!$B$11,0))</f>
        <v/>
      </c>
      <c r="G542" s="117">
        <f>IF(C542="","",IF(E542&lt;AYARLAR!$C$11,"AŞIRI DÜŞÜK",IF(E542&lt;AYARLAR!$C$12,"SINIRDA","GÜVENLİ")))</f>
        <v/>
      </c>
      <c r="H542" s="118" t="n"/>
    </row>
    <row r="543" ht="15" customHeight="1" s="64">
      <c r="A543" s="112" t="n">
        <v>538</v>
      </c>
      <c r="B543" s="118" t="n"/>
      <c r="C543" s="118" t="n"/>
      <c r="D543" s="118" t="n"/>
      <c r="E543" s="115">
        <f>IF(C543="","",IFERROR(C543/MOTOR!$B$14,0))</f>
        <v/>
      </c>
      <c r="F543" s="116">
        <f>IF(C543="","",IFERROR((C543-MOTOR!$B$8)/MOTOR!$B$11,0))</f>
        <v/>
      </c>
      <c r="G543" s="117">
        <f>IF(C543="","",IF(E543&lt;AYARLAR!$C$11,"AŞIRI DÜŞÜK",IF(E543&lt;AYARLAR!$C$12,"SINIRDA","GÜVENLİ")))</f>
        <v/>
      </c>
      <c r="H543" s="118" t="n"/>
    </row>
    <row r="544" ht="15" customHeight="1" s="64">
      <c r="A544" s="112" t="n">
        <v>539</v>
      </c>
      <c r="B544" s="118" t="n"/>
      <c r="C544" s="118" t="n"/>
      <c r="D544" s="118" t="n"/>
      <c r="E544" s="115">
        <f>IF(C544="","",IFERROR(C544/MOTOR!$B$14,0))</f>
        <v/>
      </c>
      <c r="F544" s="116">
        <f>IF(C544="","",IFERROR((C544-MOTOR!$B$8)/MOTOR!$B$11,0))</f>
        <v/>
      </c>
      <c r="G544" s="117">
        <f>IF(C544="","",IF(E544&lt;AYARLAR!$C$11,"AŞIRI DÜŞÜK",IF(E544&lt;AYARLAR!$C$12,"SINIRDA","GÜVENLİ")))</f>
        <v/>
      </c>
      <c r="H544" s="118" t="n"/>
    </row>
    <row r="545" ht="15" customHeight="1" s="64">
      <c r="A545" s="112" t="n">
        <v>540</v>
      </c>
      <c r="B545" s="118" t="n"/>
      <c r="C545" s="118" t="n"/>
      <c r="D545" s="118" t="n"/>
      <c r="E545" s="115">
        <f>IF(C545="","",IFERROR(C545/MOTOR!$B$14,0))</f>
        <v/>
      </c>
      <c r="F545" s="116">
        <f>IF(C545="","",IFERROR((C545-MOTOR!$B$8)/MOTOR!$B$11,0))</f>
        <v/>
      </c>
      <c r="G545" s="117">
        <f>IF(C545="","",IF(E545&lt;AYARLAR!$C$11,"AŞIRI DÜŞÜK",IF(E545&lt;AYARLAR!$C$12,"SINIRDA","GÜVENLİ")))</f>
        <v/>
      </c>
      <c r="H545" s="118" t="n"/>
    </row>
    <row r="546" ht="15" customHeight="1" s="64">
      <c r="A546" s="112" t="n">
        <v>541</v>
      </c>
      <c r="B546" s="118" t="n"/>
      <c r="C546" s="118" t="n"/>
      <c r="D546" s="118" t="n"/>
      <c r="E546" s="115">
        <f>IF(C546="","",IFERROR(C546/MOTOR!$B$14,0))</f>
        <v/>
      </c>
      <c r="F546" s="116">
        <f>IF(C546="","",IFERROR((C546-MOTOR!$B$8)/MOTOR!$B$11,0))</f>
        <v/>
      </c>
      <c r="G546" s="117">
        <f>IF(C546="","",IF(E546&lt;AYARLAR!$C$11,"AŞIRI DÜŞÜK",IF(E546&lt;AYARLAR!$C$12,"SINIRDA","GÜVENLİ")))</f>
        <v/>
      </c>
      <c r="H546" s="118" t="n"/>
    </row>
    <row r="547" ht="15" customHeight="1" s="64">
      <c r="A547" s="112" t="n">
        <v>542</v>
      </c>
      <c r="B547" s="118" t="n"/>
      <c r="C547" s="118" t="n"/>
      <c r="D547" s="118" t="n"/>
      <c r="E547" s="115">
        <f>IF(C547="","",IFERROR(C547/MOTOR!$B$14,0))</f>
        <v/>
      </c>
      <c r="F547" s="116">
        <f>IF(C547="","",IFERROR((C547-MOTOR!$B$8)/MOTOR!$B$11,0))</f>
        <v/>
      </c>
      <c r="G547" s="117">
        <f>IF(C547="","",IF(E547&lt;AYARLAR!$C$11,"AŞIRI DÜŞÜK",IF(E547&lt;AYARLAR!$C$12,"SINIRDA","GÜVENLİ")))</f>
        <v/>
      </c>
      <c r="H547" s="118" t="n"/>
    </row>
    <row r="548" ht="15" customHeight="1" s="64">
      <c r="A548" s="112" t="n">
        <v>543</v>
      </c>
      <c r="B548" s="118" t="n"/>
      <c r="C548" s="118" t="n"/>
      <c r="D548" s="118" t="n"/>
      <c r="E548" s="115">
        <f>IF(C548="","",IFERROR(C548/MOTOR!$B$14,0))</f>
        <v/>
      </c>
      <c r="F548" s="116">
        <f>IF(C548="","",IFERROR((C548-MOTOR!$B$8)/MOTOR!$B$11,0))</f>
        <v/>
      </c>
      <c r="G548" s="117">
        <f>IF(C548="","",IF(E548&lt;AYARLAR!$C$11,"AŞIRI DÜŞÜK",IF(E548&lt;AYARLAR!$C$12,"SINIRDA","GÜVENLİ")))</f>
        <v/>
      </c>
      <c r="H548" s="118" t="n"/>
    </row>
    <row r="549" ht="15" customHeight="1" s="64">
      <c r="A549" s="112" t="n">
        <v>544</v>
      </c>
      <c r="B549" s="118" t="n"/>
      <c r="C549" s="118" t="n"/>
      <c r="D549" s="118" t="n"/>
      <c r="E549" s="115">
        <f>IF(C549="","",IFERROR(C549/MOTOR!$B$14,0))</f>
        <v/>
      </c>
      <c r="F549" s="116">
        <f>IF(C549="","",IFERROR((C549-MOTOR!$B$8)/MOTOR!$B$11,0))</f>
        <v/>
      </c>
      <c r="G549" s="117">
        <f>IF(C549="","",IF(E549&lt;AYARLAR!$C$11,"AŞIRI DÜŞÜK",IF(E549&lt;AYARLAR!$C$12,"SINIRDA","GÜVENLİ")))</f>
        <v/>
      </c>
      <c r="H549" s="118" t="n"/>
    </row>
    <row r="550" ht="15" customHeight="1" s="64">
      <c r="A550" s="112" t="n">
        <v>545</v>
      </c>
      <c r="B550" s="118" t="n"/>
      <c r="C550" s="118" t="n"/>
      <c r="D550" s="118" t="n"/>
      <c r="E550" s="115">
        <f>IF(C550="","",IFERROR(C550/MOTOR!$B$14,0))</f>
        <v/>
      </c>
      <c r="F550" s="116">
        <f>IF(C550="","",IFERROR((C550-MOTOR!$B$8)/MOTOR!$B$11,0))</f>
        <v/>
      </c>
      <c r="G550" s="117">
        <f>IF(C550="","",IF(E550&lt;AYARLAR!$C$11,"AŞIRI DÜŞÜK",IF(E550&lt;AYARLAR!$C$12,"SINIRDA","GÜVENLİ")))</f>
        <v/>
      </c>
      <c r="H550" s="118" t="n"/>
    </row>
    <row r="551" ht="15" customHeight="1" s="64">
      <c r="A551" s="112" t="n">
        <v>546</v>
      </c>
      <c r="B551" s="118" t="n"/>
      <c r="C551" s="118" t="n"/>
      <c r="D551" s="118" t="n"/>
      <c r="E551" s="115">
        <f>IF(C551="","",IFERROR(C551/MOTOR!$B$14,0))</f>
        <v/>
      </c>
      <c r="F551" s="116">
        <f>IF(C551="","",IFERROR((C551-MOTOR!$B$8)/MOTOR!$B$11,0))</f>
        <v/>
      </c>
      <c r="G551" s="117">
        <f>IF(C551="","",IF(E551&lt;AYARLAR!$C$11,"AŞIRI DÜŞÜK",IF(E551&lt;AYARLAR!$C$12,"SINIRDA","GÜVENLİ")))</f>
        <v/>
      </c>
      <c r="H551" s="118" t="n"/>
    </row>
    <row r="552" ht="15" customHeight="1" s="64">
      <c r="A552" s="112" t="n">
        <v>547</v>
      </c>
      <c r="B552" s="118" t="n"/>
      <c r="C552" s="118" t="n"/>
      <c r="D552" s="118" t="n"/>
      <c r="E552" s="115">
        <f>IF(C552="","",IFERROR(C552/MOTOR!$B$14,0))</f>
        <v/>
      </c>
      <c r="F552" s="116">
        <f>IF(C552="","",IFERROR((C552-MOTOR!$B$8)/MOTOR!$B$11,0))</f>
        <v/>
      </c>
      <c r="G552" s="117">
        <f>IF(C552="","",IF(E552&lt;AYARLAR!$C$11,"AŞIRI DÜŞÜK",IF(E552&lt;AYARLAR!$C$12,"SINIRDA","GÜVENLİ")))</f>
        <v/>
      </c>
      <c r="H552" s="118" t="n"/>
    </row>
    <row r="553" ht="15" customHeight="1" s="64">
      <c r="A553" s="112" t="n">
        <v>548</v>
      </c>
      <c r="B553" s="118" t="n"/>
      <c r="C553" s="118" t="n"/>
      <c r="D553" s="118" t="n"/>
      <c r="E553" s="115">
        <f>IF(C553="","",IFERROR(C553/MOTOR!$B$14,0))</f>
        <v/>
      </c>
      <c r="F553" s="116">
        <f>IF(C553="","",IFERROR((C553-MOTOR!$B$8)/MOTOR!$B$11,0))</f>
        <v/>
      </c>
      <c r="G553" s="117">
        <f>IF(C553="","",IF(E553&lt;AYARLAR!$C$11,"AŞIRI DÜŞÜK",IF(E553&lt;AYARLAR!$C$12,"SINIRDA","GÜVENLİ")))</f>
        <v/>
      </c>
      <c r="H553" s="118" t="n"/>
    </row>
    <row r="554" ht="15" customHeight="1" s="64">
      <c r="A554" s="112" t="n">
        <v>549</v>
      </c>
      <c r="B554" s="118" t="n"/>
      <c r="C554" s="118" t="n"/>
      <c r="D554" s="118" t="n"/>
      <c r="E554" s="115">
        <f>IF(C554="","",IFERROR(C554/MOTOR!$B$14,0))</f>
        <v/>
      </c>
      <c r="F554" s="116">
        <f>IF(C554="","",IFERROR((C554-MOTOR!$B$8)/MOTOR!$B$11,0))</f>
        <v/>
      </c>
      <c r="G554" s="117">
        <f>IF(C554="","",IF(E554&lt;AYARLAR!$C$11,"AŞIRI DÜŞÜK",IF(E554&lt;AYARLAR!$C$12,"SINIRDA","GÜVENLİ")))</f>
        <v/>
      </c>
      <c r="H554" s="118" t="n"/>
    </row>
    <row r="555" ht="15" customHeight="1" s="64">
      <c r="A555" s="112" t="n">
        <v>550</v>
      </c>
      <c r="B555" s="118" t="n"/>
      <c r="C555" s="118" t="n"/>
      <c r="D555" s="118" t="n"/>
      <c r="E555" s="115">
        <f>IF(C555="","",IFERROR(C555/MOTOR!$B$14,0))</f>
        <v/>
      </c>
      <c r="F555" s="116">
        <f>IF(C555="","",IFERROR((C555-MOTOR!$B$8)/MOTOR!$B$11,0))</f>
        <v/>
      </c>
      <c r="G555" s="117">
        <f>IF(C555="","",IF(E555&lt;AYARLAR!$C$11,"AŞIRI DÜŞÜK",IF(E555&lt;AYARLAR!$C$12,"SINIRDA","GÜVENLİ")))</f>
        <v/>
      </c>
      <c r="H555" s="118" t="n"/>
    </row>
    <row r="556" ht="15" customHeight="1" s="64">
      <c r="A556" s="112" t="n">
        <v>551</v>
      </c>
      <c r="B556" s="118" t="n"/>
      <c r="C556" s="118" t="n"/>
      <c r="D556" s="118" t="n"/>
      <c r="E556" s="115">
        <f>IF(C556="","",IFERROR(C556/MOTOR!$B$14,0))</f>
        <v/>
      </c>
      <c r="F556" s="116">
        <f>IF(C556="","",IFERROR((C556-MOTOR!$B$8)/MOTOR!$B$11,0))</f>
        <v/>
      </c>
      <c r="G556" s="117">
        <f>IF(C556="","",IF(E556&lt;AYARLAR!$C$11,"AŞIRI DÜŞÜK",IF(E556&lt;AYARLAR!$C$12,"SINIRDA","GÜVENLİ")))</f>
        <v/>
      </c>
      <c r="H556" s="118" t="n"/>
    </row>
    <row r="557" ht="15" customHeight="1" s="64">
      <c r="A557" s="112" t="n">
        <v>552</v>
      </c>
      <c r="B557" s="118" t="n"/>
      <c r="C557" s="118" t="n"/>
      <c r="D557" s="118" t="n"/>
      <c r="E557" s="115">
        <f>IF(C557="","",IFERROR(C557/MOTOR!$B$14,0))</f>
        <v/>
      </c>
      <c r="F557" s="116">
        <f>IF(C557="","",IFERROR((C557-MOTOR!$B$8)/MOTOR!$B$11,0))</f>
        <v/>
      </c>
      <c r="G557" s="117">
        <f>IF(C557="","",IF(E557&lt;AYARLAR!$C$11,"AŞIRI DÜŞÜK",IF(E557&lt;AYARLAR!$C$12,"SINIRDA","GÜVENLİ")))</f>
        <v/>
      </c>
      <c r="H557" s="118" t="n"/>
    </row>
    <row r="558" ht="15" customHeight="1" s="64">
      <c r="A558" s="112" t="n">
        <v>553</v>
      </c>
      <c r="B558" s="118" t="n"/>
      <c r="C558" s="118" t="n"/>
      <c r="D558" s="118" t="n"/>
      <c r="E558" s="115">
        <f>IF(C558="","",IFERROR(C558/MOTOR!$B$14,0))</f>
        <v/>
      </c>
      <c r="F558" s="116">
        <f>IF(C558="","",IFERROR((C558-MOTOR!$B$8)/MOTOR!$B$11,0))</f>
        <v/>
      </c>
      <c r="G558" s="117">
        <f>IF(C558="","",IF(E558&lt;AYARLAR!$C$11,"AŞIRI DÜŞÜK",IF(E558&lt;AYARLAR!$C$12,"SINIRDA","GÜVENLİ")))</f>
        <v/>
      </c>
      <c r="H558" s="118" t="n"/>
    </row>
    <row r="559" ht="15" customHeight="1" s="64">
      <c r="A559" s="112" t="n">
        <v>554</v>
      </c>
      <c r="B559" s="118" t="n"/>
      <c r="C559" s="118" t="n"/>
      <c r="D559" s="118" t="n"/>
      <c r="E559" s="115">
        <f>IF(C559="","",IFERROR(C559/MOTOR!$B$14,0))</f>
        <v/>
      </c>
      <c r="F559" s="116">
        <f>IF(C559="","",IFERROR((C559-MOTOR!$B$8)/MOTOR!$B$11,0))</f>
        <v/>
      </c>
      <c r="G559" s="117">
        <f>IF(C559="","",IF(E559&lt;AYARLAR!$C$11,"AŞIRI DÜŞÜK",IF(E559&lt;AYARLAR!$C$12,"SINIRDA","GÜVENLİ")))</f>
        <v/>
      </c>
      <c r="H559" s="118" t="n"/>
    </row>
    <row r="560" ht="15" customHeight="1" s="64">
      <c r="A560" s="112" t="n">
        <v>555</v>
      </c>
      <c r="B560" s="118" t="n"/>
      <c r="C560" s="118" t="n"/>
      <c r="D560" s="118" t="n"/>
      <c r="E560" s="115">
        <f>IF(C560="","",IFERROR(C560/MOTOR!$B$14,0))</f>
        <v/>
      </c>
      <c r="F560" s="116">
        <f>IF(C560="","",IFERROR((C560-MOTOR!$B$8)/MOTOR!$B$11,0))</f>
        <v/>
      </c>
      <c r="G560" s="117">
        <f>IF(C560="","",IF(E560&lt;AYARLAR!$C$11,"AŞIRI DÜŞÜK",IF(E560&lt;AYARLAR!$C$12,"SINIRDA","GÜVENLİ")))</f>
        <v/>
      </c>
      <c r="H560" s="118" t="n"/>
    </row>
    <row r="561" ht="15" customHeight="1" s="64">
      <c r="A561" s="112" t="n">
        <v>556</v>
      </c>
      <c r="B561" s="118" t="n"/>
      <c r="C561" s="118" t="n"/>
      <c r="D561" s="118" t="n"/>
      <c r="E561" s="115">
        <f>IF(C561="","",IFERROR(C561/MOTOR!$B$14,0))</f>
        <v/>
      </c>
      <c r="F561" s="116">
        <f>IF(C561="","",IFERROR((C561-MOTOR!$B$8)/MOTOR!$B$11,0))</f>
        <v/>
      </c>
      <c r="G561" s="117">
        <f>IF(C561="","",IF(E561&lt;AYARLAR!$C$11,"AŞIRI DÜŞÜK",IF(E561&lt;AYARLAR!$C$12,"SINIRDA","GÜVENLİ")))</f>
        <v/>
      </c>
      <c r="H561" s="118" t="n"/>
    </row>
    <row r="562" ht="15" customHeight="1" s="64">
      <c r="A562" s="112" t="n">
        <v>557</v>
      </c>
      <c r="B562" s="118" t="n"/>
      <c r="C562" s="118" t="n"/>
      <c r="D562" s="118" t="n"/>
      <c r="E562" s="115">
        <f>IF(C562="","",IFERROR(C562/MOTOR!$B$14,0))</f>
        <v/>
      </c>
      <c r="F562" s="116">
        <f>IF(C562="","",IFERROR((C562-MOTOR!$B$8)/MOTOR!$B$11,0))</f>
        <v/>
      </c>
      <c r="G562" s="117">
        <f>IF(C562="","",IF(E562&lt;AYARLAR!$C$11,"AŞIRI DÜŞÜK",IF(E562&lt;AYARLAR!$C$12,"SINIRDA","GÜVENLİ")))</f>
        <v/>
      </c>
      <c r="H562" s="118" t="n"/>
    </row>
    <row r="563" ht="15" customHeight="1" s="64">
      <c r="A563" s="112" t="n">
        <v>558</v>
      </c>
      <c r="B563" s="118" t="n"/>
      <c r="C563" s="118" t="n"/>
      <c r="D563" s="118" t="n"/>
      <c r="E563" s="115">
        <f>IF(C563="","",IFERROR(C563/MOTOR!$B$14,0))</f>
        <v/>
      </c>
      <c r="F563" s="116">
        <f>IF(C563="","",IFERROR((C563-MOTOR!$B$8)/MOTOR!$B$11,0))</f>
        <v/>
      </c>
      <c r="G563" s="117">
        <f>IF(C563="","",IF(E563&lt;AYARLAR!$C$11,"AŞIRI DÜŞÜK",IF(E563&lt;AYARLAR!$C$12,"SINIRDA","GÜVENLİ")))</f>
        <v/>
      </c>
      <c r="H563" s="118" t="n"/>
    </row>
    <row r="564" ht="15" customHeight="1" s="64">
      <c r="A564" s="112" t="n">
        <v>559</v>
      </c>
      <c r="B564" s="118" t="n"/>
      <c r="C564" s="118" t="n"/>
      <c r="D564" s="118" t="n"/>
      <c r="E564" s="115">
        <f>IF(C564="","",IFERROR(C564/MOTOR!$B$14,0))</f>
        <v/>
      </c>
      <c r="F564" s="116">
        <f>IF(C564="","",IFERROR((C564-MOTOR!$B$8)/MOTOR!$B$11,0))</f>
        <v/>
      </c>
      <c r="G564" s="117">
        <f>IF(C564="","",IF(E564&lt;AYARLAR!$C$11,"AŞIRI DÜŞÜK",IF(E564&lt;AYARLAR!$C$12,"SINIRDA","GÜVENLİ")))</f>
        <v/>
      </c>
      <c r="H564" s="118" t="n"/>
    </row>
    <row r="565" ht="15" customHeight="1" s="64">
      <c r="A565" s="112" t="n">
        <v>560</v>
      </c>
      <c r="B565" s="118" t="n"/>
      <c r="C565" s="118" t="n"/>
      <c r="D565" s="118" t="n"/>
      <c r="E565" s="115">
        <f>IF(C565="","",IFERROR(C565/MOTOR!$B$14,0))</f>
        <v/>
      </c>
      <c r="F565" s="116">
        <f>IF(C565="","",IFERROR((C565-MOTOR!$B$8)/MOTOR!$B$11,0))</f>
        <v/>
      </c>
      <c r="G565" s="117">
        <f>IF(C565="","",IF(E565&lt;AYARLAR!$C$11,"AŞIRI DÜŞÜK",IF(E565&lt;AYARLAR!$C$12,"SINIRDA","GÜVENLİ")))</f>
        <v/>
      </c>
      <c r="H565" s="118" t="n"/>
    </row>
    <row r="566" ht="15" customHeight="1" s="64">
      <c r="A566" s="112" t="n">
        <v>561</v>
      </c>
      <c r="B566" s="118" t="n"/>
      <c r="C566" s="118" t="n"/>
      <c r="D566" s="118" t="n"/>
      <c r="E566" s="115">
        <f>IF(C566="","",IFERROR(C566/MOTOR!$B$14,0))</f>
        <v/>
      </c>
      <c r="F566" s="116">
        <f>IF(C566="","",IFERROR((C566-MOTOR!$B$8)/MOTOR!$B$11,0))</f>
        <v/>
      </c>
      <c r="G566" s="117">
        <f>IF(C566="","",IF(E566&lt;AYARLAR!$C$11,"AŞIRI DÜŞÜK",IF(E566&lt;AYARLAR!$C$12,"SINIRDA","GÜVENLİ")))</f>
        <v/>
      </c>
      <c r="H566" s="118" t="n"/>
    </row>
    <row r="567" ht="15" customHeight="1" s="64">
      <c r="A567" s="112" t="n">
        <v>562</v>
      </c>
      <c r="B567" s="118" t="n"/>
      <c r="C567" s="118" t="n"/>
      <c r="D567" s="118" t="n"/>
      <c r="E567" s="115">
        <f>IF(C567="","",IFERROR(C567/MOTOR!$B$14,0))</f>
        <v/>
      </c>
      <c r="F567" s="116">
        <f>IF(C567="","",IFERROR((C567-MOTOR!$B$8)/MOTOR!$B$11,0))</f>
        <v/>
      </c>
      <c r="G567" s="117">
        <f>IF(C567="","",IF(E567&lt;AYARLAR!$C$11,"AŞIRI DÜŞÜK",IF(E567&lt;AYARLAR!$C$12,"SINIRDA","GÜVENLİ")))</f>
        <v/>
      </c>
      <c r="H567" s="118" t="n"/>
    </row>
    <row r="568" ht="15" customHeight="1" s="64">
      <c r="A568" s="112" t="n">
        <v>563</v>
      </c>
      <c r="B568" s="118" t="n"/>
      <c r="C568" s="118" t="n"/>
      <c r="D568" s="118" t="n"/>
      <c r="E568" s="115">
        <f>IF(C568="","",IFERROR(C568/MOTOR!$B$14,0))</f>
        <v/>
      </c>
      <c r="F568" s="116">
        <f>IF(C568="","",IFERROR((C568-MOTOR!$B$8)/MOTOR!$B$11,0))</f>
        <v/>
      </c>
      <c r="G568" s="117">
        <f>IF(C568="","",IF(E568&lt;AYARLAR!$C$11,"AŞIRI DÜŞÜK",IF(E568&lt;AYARLAR!$C$12,"SINIRDA","GÜVENLİ")))</f>
        <v/>
      </c>
      <c r="H568" s="118" t="n"/>
    </row>
    <row r="569" ht="15" customHeight="1" s="64">
      <c r="A569" s="112" t="n">
        <v>564</v>
      </c>
      <c r="B569" s="118" t="n"/>
      <c r="C569" s="118" t="n"/>
      <c r="D569" s="118" t="n"/>
      <c r="E569" s="115">
        <f>IF(C569="","",IFERROR(C569/MOTOR!$B$14,0))</f>
        <v/>
      </c>
      <c r="F569" s="116">
        <f>IF(C569="","",IFERROR((C569-MOTOR!$B$8)/MOTOR!$B$11,0))</f>
        <v/>
      </c>
      <c r="G569" s="117">
        <f>IF(C569="","",IF(E569&lt;AYARLAR!$C$11,"AŞIRI DÜŞÜK",IF(E569&lt;AYARLAR!$C$12,"SINIRDA","GÜVENLİ")))</f>
        <v/>
      </c>
      <c r="H569" s="118" t="n"/>
    </row>
    <row r="570" ht="15" customHeight="1" s="64">
      <c r="A570" s="112" t="n">
        <v>565</v>
      </c>
      <c r="B570" s="118" t="n"/>
      <c r="C570" s="118" t="n"/>
      <c r="D570" s="118" t="n"/>
      <c r="E570" s="115">
        <f>IF(C570="","",IFERROR(C570/MOTOR!$B$14,0))</f>
        <v/>
      </c>
      <c r="F570" s="116">
        <f>IF(C570="","",IFERROR((C570-MOTOR!$B$8)/MOTOR!$B$11,0))</f>
        <v/>
      </c>
      <c r="G570" s="117">
        <f>IF(C570="","",IF(E570&lt;AYARLAR!$C$11,"AŞIRI DÜŞÜK",IF(E570&lt;AYARLAR!$C$12,"SINIRDA","GÜVENLİ")))</f>
        <v/>
      </c>
      <c r="H570" s="118" t="n"/>
    </row>
    <row r="571" ht="15" customHeight="1" s="64">
      <c r="A571" s="112" t="n">
        <v>566</v>
      </c>
      <c r="B571" s="118" t="n"/>
      <c r="C571" s="118" t="n"/>
      <c r="D571" s="118" t="n"/>
      <c r="E571" s="115">
        <f>IF(C571="","",IFERROR(C571/MOTOR!$B$14,0))</f>
        <v/>
      </c>
      <c r="F571" s="116">
        <f>IF(C571="","",IFERROR((C571-MOTOR!$B$8)/MOTOR!$B$11,0))</f>
        <v/>
      </c>
      <c r="G571" s="117">
        <f>IF(C571="","",IF(E571&lt;AYARLAR!$C$11,"AŞIRI DÜŞÜK",IF(E571&lt;AYARLAR!$C$12,"SINIRDA","GÜVENLİ")))</f>
        <v/>
      </c>
      <c r="H571" s="118" t="n"/>
    </row>
    <row r="572" ht="15" customHeight="1" s="64">
      <c r="A572" s="112" t="n">
        <v>567</v>
      </c>
      <c r="B572" s="118" t="n"/>
      <c r="C572" s="118" t="n"/>
      <c r="D572" s="118" t="n"/>
      <c r="E572" s="115">
        <f>IF(C572="","",IFERROR(C572/MOTOR!$B$14,0))</f>
        <v/>
      </c>
      <c r="F572" s="116">
        <f>IF(C572="","",IFERROR((C572-MOTOR!$B$8)/MOTOR!$B$11,0))</f>
        <v/>
      </c>
      <c r="G572" s="117">
        <f>IF(C572="","",IF(E572&lt;AYARLAR!$C$11,"AŞIRI DÜŞÜK",IF(E572&lt;AYARLAR!$C$12,"SINIRDA","GÜVENLİ")))</f>
        <v/>
      </c>
      <c r="H572" s="118" t="n"/>
    </row>
    <row r="573" ht="15" customHeight="1" s="64">
      <c r="A573" s="112" t="n">
        <v>568</v>
      </c>
      <c r="B573" s="118" t="n"/>
      <c r="C573" s="118" t="n"/>
      <c r="D573" s="118" t="n"/>
      <c r="E573" s="115">
        <f>IF(C573="","",IFERROR(C573/MOTOR!$B$14,0))</f>
        <v/>
      </c>
      <c r="F573" s="116">
        <f>IF(C573="","",IFERROR((C573-MOTOR!$B$8)/MOTOR!$B$11,0))</f>
        <v/>
      </c>
      <c r="G573" s="117">
        <f>IF(C573="","",IF(E573&lt;AYARLAR!$C$11,"AŞIRI DÜŞÜK",IF(E573&lt;AYARLAR!$C$12,"SINIRDA","GÜVENLİ")))</f>
        <v/>
      </c>
      <c r="H573" s="118" t="n"/>
    </row>
    <row r="574" ht="15" customHeight="1" s="64">
      <c r="A574" s="112" t="n">
        <v>569</v>
      </c>
      <c r="B574" s="118" t="n"/>
      <c r="C574" s="118" t="n"/>
      <c r="D574" s="118" t="n"/>
      <c r="E574" s="115">
        <f>IF(C574="","",IFERROR(C574/MOTOR!$B$14,0))</f>
        <v/>
      </c>
      <c r="F574" s="116">
        <f>IF(C574="","",IFERROR((C574-MOTOR!$B$8)/MOTOR!$B$11,0))</f>
        <v/>
      </c>
      <c r="G574" s="117">
        <f>IF(C574="","",IF(E574&lt;AYARLAR!$C$11,"AŞIRI DÜŞÜK",IF(E574&lt;AYARLAR!$C$12,"SINIRDA","GÜVENLİ")))</f>
        <v/>
      </c>
      <c r="H574" s="118" t="n"/>
    </row>
    <row r="575" ht="15" customHeight="1" s="64">
      <c r="A575" s="112" t="n">
        <v>570</v>
      </c>
      <c r="B575" s="118" t="n"/>
      <c r="C575" s="118" t="n"/>
      <c r="D575" s="118" t="n"/>
      <c r="E575" s="115">
        <f>IF(C575="","",IFERROR(C575/MOTOR!$B$14,0))</f>
        <v/>
      </c>
      <c r="F575" s="116">
        <f>IF(C575="","",IFERROR((C575-MOTOR!$B$8)/MOTOR!$B$11,0))</f>
        <v/>
      </c>
      <c r="G575" s="117">
        <f>IF(C575="","",IF(E575&lt;AYARLAR!$C$11,"AŞIRI DÜŞÜK",IF(E575&lt;AYARLAR!$C$12,"SINIRDA","GÜVENLİ")))</f>
        <v/>
      </c>
      <c r="H575" s="118" t="n"/>
    </row>
    <row r="576" ht="15" customHeight="1" s="64">
      <c r="A576" s="112" t="n">
        <v>571</v>
      </c>
      <c r="B576" s="118" t="n"/>
      <c r="C576" s="118" t="n"/>
      <c r="D576" s="118" t="n"/>
      <c r="E576" s="115">
        <f>IF(C576="","",IFERROR(C576/MOTOR!$B$14,0))</f>
        <v/>
      </c>
      <c r="F576" s="116">
        <f>IF(C576="","",IFERROR((C576-MOTOR!$B$8)/MOTOR!$B$11,0))</f>
        <v/>
      </c>
      <c r="G576" s="117">
        <f>IF(C576="","",IF(E576&lt;AYARLAR!$C$11,"AŞIRI DÜŞÜK",IF(E576&lt;AYARLAR!$C$12,"SINIRDA","GÜVENLİ")))</f>
        <v/>
      </c>
      <c r="H576" s="118" t="n"/>
    </row>
    <row r="577" ht="15" customHeight="1" s="64">
      <c r="A577" s="112" t="n">
        <v>572</v>
      </c>
      <c r="B577" s="118" t="n"/>
      <c r="C577" s="118" t="n"/>
      <c r="D577" s="118" t="n"/>
      <c r="E577" s="115">
        <f>IF(C577="","",IFERROR(C577/MOTOR!$B$14,0))</f>
        <v/>
      </c>
      <c r="F577" s="116">
        <f>IF(C577="","",IFERROR((C577-MOTOR!$B$8)/MOTOR!$B$11,0))</f>
        <v/>
      </c>
      <c r="G577" s="117">
        <f>IF(C577="","",IF(E577&lt;AYARLAR!$C$11,"AŞIRI DÜŞÜK",IF(E577&lt;AYARLAR!$C$12,"SINIRDA","GÜVENLİ")))</f>
        <v/>
      </c>
      <c r="H577" s="118" t="n"/>
    </row>
    <row r="578" ht="15" customHeight="1" s="64">
      <c r="A578" s="112" t="n">
        <v>573</v>
      </c>
      <c r="B578" s="118" t="n"/>
      <c r="C578" s="118" t="n"/>
      <c r="D578" s="118" t="n"/>
      <c r="E578" s="115">
        <f>IF(C578="","",IFERROR(C578/MOTOR!$B$14,0))</f>
        <v/>
      </c>
      <c r="F578" s="116">
        <f>IF(C578="","",IFERROR((C578-MOTOR!$B$8)/MOTOR!$B$11,0))</f>
        <v/>
      </c>
      <c r="G578" s="117">
        <f>IF(C578="","",IF(E578&lt;AYARLAR!$C$11,"AŞIRI DÜŞÜK",IF(E578&lt;AYARLAR!$C$12,"SINIRDA","GÜVENLİ")))</f>
        <v/>
      </c>
      <c r="H578" s="118" t="n"/>
    </row>
    <row r="579" ht="15" customHeight="1" s="64">
      <c r="A579" s="112" t="n">
        <v>574</v>
      </c>
      <c r="B579" s="118" t="n"/>
      <c r="C579" s="118" t="n"/>
      <c r="D579" s="118" t="n"/>
      <c r="E579" s="115">
        <f>IF(C579="","",IFERROR(C579/MOTOR!$B$14,0))</f>
        <v/>
      </c>
      <c r="F579" s="116">
        <f>IF(C579="","",IFERROR((C579-MOTOR!$B$8)/MOTOR!$B$11,0))</f>
        <v/>
      </c>
      <c r="G579" s="117">
        <f>IF(C579="","",IF(E579&lt;AYARLAR!$C$11,"AŞIRI DÜŞÜK",IF(E579&lt;AYARLAR!$C$12,"SINIRDA","GÜVENLİ")))</f>
        <v/>
      </c>
      <c r="H579" s="118" t="n"/>
    </row>
    <row r="580" ht="15" customHeight="1" s="64">
      <c r="A580" s="112" t="n">
        <v>575</v>
      </c>
      <c r="B580" s="118" t="n"/>
      <c r="C580" s="118" t="n"/>
      <c r="D580" s="118" t="n"/>
      <c r="E580" s="115">
        <f>IF(C580="","",IFERROR(C580/MOTOR!$B$14,0))</f>
        <v/>
      </c>
      <c r="F580" s="116">
        <f>IF(C580="","",IFERROR((C580-MOTOR!$B$8)/MOTOR!$B$11,0))</f>
        <v/>
      </c>
      <c r="G580" s="117">
        <f>IF(C580="","",IF(E580&lt;AYARLAR!$C$11,"AŞIRI DÜŞÜK",IF(E580&lt;AYARLAR!$C$12,"SINIRDA","GÜVENLİ")))</f>
        <v/>
      </c>
      <c r="H580" s="118" t="n"/>
    </row>
    <row r="581" ht="15" customHeight="1" s="64">
      <c r="A581" s="112" t="n">
        <v>576</v>
      </c>
      <c r="B581" s="118" t="n"/>
      <c r="C581" s="118" t="n"/>
      <c r="D581" s="118" t="n"/>
      <c r="E581" s="115">
        <f>IF(C581="","",IFERROR(C581/MOTOR!$B$14,0))</f>
        <v/>
      </c>
      <c r="F581" s="116">
        <f>IF(C581="","",IFERROR((C581-MOTOR!$B$8)/MOTOR!$B$11,0))</f>
        <v/>
      </c>
      <c r="G581" s="117">
        <f>IF(C581="","",IF(E581&lt;AYARLAR!$C$11,"AŞIRI DÜŞÜK",IF(E581&lt;AYARLAR!$C$12,"SINIRDA","GÜVENLİ")))</f>
        <v/>
      </c>
      <c r="H581" s="118" t="n"/>
    </row>
    <row r="582" ht="15" customHeight="1" s="64">
      <c r="A582" s="112" t="n">
        <v>577</v>
      </c>
      <c r="B582" s="118" t="n"/>
      <c r="C582" s="118" t="n"/>
      <c r="D582" s="118" t="n"/>
      <c r="E582" s="115">
        <f>IF(C582="","",IFERROR(C582/MOTOR!$B$14,0))</f>
        <v/>
      </c>
      <c r="F582" s="116">
        <f>IF(C582="","",IFERROR((C582-MOTOR!$B$8)/MOTOR!$B$11,0))</f>
        <v/>
      </c>
      <c r="G582" s="117">
        <f>IF(C582="","",IF(E582&lt;AYARLAR!$C$11,"AŞIRI DÜŞÜK",IF(E582&lt;AYARLAR!$C$12,"SINIRDA","GÜVENLİ")))</f>
        <v/>
      </c>
      <c r="H582" s="118" t="n"/>
    </row>
    <row r="583" ht="15" customHeight="1" s="64">
      <c r="A583" s="112" t="n">
        <v>578</v>
      </c>
      <c r="B583" s="118" t="n"/>
      <c r="C583" s="118" t="n"/>
      <c r="D583" s="118" t="n"/>
      <c r="E583" s="115">
        <f>IF(C583="","",IFERROR(C583/MOTOR!$B$14,0))</f>
        <v/>
      </c>
      <c r="F583" s="116">
        <f>IF(C583="","",IFERROR((C583-MOTOR!$B$8)/MOTOR!$B$11,0))</f>
        <v/>
      </c>
      <c r="G583" s="117">
        <f>IF(C583="","",IF(E583&lt;AYARLAR!$C$11,"AŞIRI DÜŞÜK",IF(E583&lt;AYARLAR!$C$12,"SINIRDA","GÜVENLİ")))</f>
        <v/>
      </c>
      <c r="H583" s="118" t="n"/>
    </row>
    <row r="584" ht="15" customHeight="1" s="64">
      <c r="A584" s="112" t="n">
        <v>579</v>
      </c>
      <c r="B584" s="118" t="n"/>
      <c r="C584" s="118" t="n"/>
      <c r="D584" s="118" t="n"/>
      <c r="E584" s="115">
        <f>IF(C584="","",IFERROR(C584/MOTOR!$B$14,0))</f>
        <v/>
      </c>
      <c r="F584" s="116">
        <f>IF(C584="","",IFERROR((C584-MOTOR!$B$8)/MOTOR!$B$11,0))</f>
        <v/>
      </c>
      <c r="G584" s="117">
        <f>IF(C584="","",IF(E584&lt;AYARLAR!$C$11,"AŞIRI DÜŞÜK",IF(E584&lt;AYARLAR!$C$12,"SINIRDA","GÜVENLİ")))</f>
        <v/>
      </c>
      <c r="H584" s="118" t="n"/>
    </row>
    <row r="585" ht="15" customHeight="1" s="64">
      <c r="A585" s="112" t="n">
        <v>580</v>
      </c>
      <c r="B585" s="118" t="n"/>
      <c r="C585" s="118" t="n"/>
      <c r="D585" s="118" t="n"/>
      <c r="E585" s="115">
        <f>IF(C585="","",IFERROR(C585/MOTOR!$B$14,0))</f>
        <v/>
      </c>
      <c r="F585" s="116">
        <f>IF(C585="","",IFERROR((C585-MOTOR!$B$8)/MOTOR!$B$11,0))</f>
        <v/>
      </c>
      <c r="G585" s="117">
        <f>IF(C585="","",IF(E585&lt;AYARLAR!$C$11,"AŞIRI DÜŞÜK",IF(E585&lt;AYARLAR!$C$12,"SINIRDA","GÜVENLİ")))</f>
        <v/>
      </c>
      <c r="H585" s="118" t="n"/>
    </row>
    <row r="586" ht="15" customHeight="1" s="64">
      <c r="A586" s="112" t="n">
        <v>581</v>
      </c>
      <c r="B586" s="118" t="n"/>
      <c r="C586" s="118" t="n"/>
      <c r="D586" s="118" t="n"/>
      <c r="E586" s="115">
        <f>IF(C586="","",IFERROR(C586/MOTOR!$B$14,0))</f>
        <v/>
      </c>
      <c r="F586" s="116">
        <f>IF(C586="","",IFERROR((C586-MOTOR!$B$8)/MOTOR!$B$11,0))</f>
        <v/>
      </c>
      <c r="G586" s="117">
        <f>IF(C586="","",IF(E586&lt;AYARLAR!$C$11,"AŞIRI DÜŞÜK",IF(E586&lt;AYARLAR!$C$12,"SINIRDA","GÜVENLİ")))</f>
        <v/>
      </c>
      <c r="H586" s="118" t="n"/>
    </row>
    <row r="587" ht="15" customHeight="1" s="64">
      <c r="A587" s="112" t="n">
        <v>582</v>
      </c>
      <c r="B587" s="118" t="n"/>
      <c r="C587" s="118" t="n"/>
      <c r="D587" s="118" t="n"/>
      <c r="E587" s="115">
        <f>IF(C587="","",IFERROR(C587/MOTOR!$B$14,0))</f>
        <v/>
      </c>
      <c r="F587" s="116">
        <f>IF(C587="","",IFERROR((C587-MOTOR!$B$8)/MOTOR!$B$11,0))</f>
        <v/>
      </c>
      <c r="G587" s="117">
        <f>IF(C587="","",IF(E587&lt;AYARLAR!$C$11,"AŞIRI DÜŞÜK",IF(E587&lt;AYARLAR!$C$12,"SINIRDA","GÜVENLİ")))</f>
        <v/>
      </c>
      <c r="H587" s="118" t="n"/>
    </row>
    <row r="588" ht="15" customHeight="1" s="64">
      <c r="A588" s="112" t="n">
        <v>583</v>
      </c>
      <c r="B588" s="118" t="n"/>
      <c r="C588" s="118" t="n"/>
      <c r="D588" s="118" t="n"/>
      <c r="E588" s="115">
        <f>IF(C588="","",IFERROR(C588/MOTOR!$B$14,0))</f>
        <v/>
      </c>
      <c r="F588" s="116">
        <f>IF(C588="","",IFERROR((C588-MOTOR!$B$8)/MOTOR!$B$11,0))</f>
        <v/>
      </c>
      <c r="G588" s="117">
        <f>IF(C588="","",IF(E588&lt;AYARLAR!$C$11,"AŞIRI DÜŞÜK",IF(E588&lt;AYARLAR!$C$12,"SINIRDA","GÜVENLİ")))</f>
        <v/>
      </c>
      <c r="H588" s="118" t="n"/>
    </row>
    <row r="589" ht="15" customHeight="1" s="64">
      <c r="A589" s="112" t="n">
        <v>584</v>
      </c>
      <c r="B589" s="118" t="n"/>
      <c r="C589" s="118" t="n"/>
      <c r="D589" s="118" t="n"/>
      <c r="E589" s="115">
        <f>IF(C589="","",IFERROR(C589/MOTOR!$B$14,0))</f>
        <v/>
      </c>
      <c r="F589" s="116">
        <f>IF(C589="","",IFERROR((C589-MOTOR!$B$8)/MOTOR!$B$11,0))</f>
        <v/>
      </c>
      <c r="G589" s="117">
        <f>IF(C589="","",IF(E589&lt;AYARLAR!$C$11,"AŞIRI DÜŞÜK",IF(E589&lt;AYARLAR!$C$12,"SINIRDA","GÜVENLİ")))</f>
        <v/>
      </c>
      <c r="H589" s="118" t="n"/>
    </row>
    <row r="590" ht="15" customHeight="1" s="64">
      <c r="A590" s="112" t="n">
        <v>585</v>
      </c>
      <c r="B590" s="118" t="n"/>
      <c r="C590" s="118" t="n"/>
      <c r="D590" s="118" t="n"/>
      <c r="E590" s="115">
        <f>IF(C590="","",IFERROR(C590/MOTOR!$B$14,0))</f>
        <v/>
      </c>
      <c r="F590" s="116">
        <f>IF(C590="","",IFERROR((C590-MOTOR!$B$8)/MOTOR!$B$11,0))</f>
        <v/>
      </c>
      <c r="G590" s="117">
        <f>IF(C590="","",IF(E590&lt;AYARLAR!$C$11,"AŞIRI DÜŞÜK",IF(E590&lt;AYARLAR!$C$12,"SINIRDA","GÜVENLİ")))</f>
        <v/>
      </c>
      <c r="H590" s="118" t="n"/>
    </row>
    <row r="591" ht="15" customHeight="1" s="64">
      <c r="A591" s="112" t="n">
        <v>586</v>
      </c>
      <c r="B591" s="118" t="n"/>
      <c r="C591" s="118" t="n"/>
      <c r="D591" s="118" t="n"/>
      <c r="E591" s="115">
        <f>IF(C591="","",IFERROR(C591/MOTOR!$B$14,0))</f>
        <v/>
      </c>
      <c r="F591" s="116">
        <f>IF(C591="","",IFERROR((C591-MOTOR!$B$8)/MOTOR!$B$11,0))</f>
        <v/>
      </c>
      <c r="G591" s="117">
        <f>IF(C591="","",IF(E591&lt;AYARLAR!$C$11,"AŞIRI DÜŞÜK",IF(E591&lt;AYARLAR!$C$12,"SINIRDA","GÜVENLİ")))</f>
        <v/>
      </c>
      <c r="H591" s="118" t="n"/>
    </row>
    <row r="592" ht="15" customHeight="1" s="64">
      <c r="A592" s="112" t="n">
        <v>587</v>
      </c>
      <c r="B592" s="118" t="n"/>
      <c r="C592" s="118" t="n"/>
      <c r="D592" s="118" t="n"/>
      <c r="E592" s="115">
        <f>IF(C592="","",IFERROR(C592/MOTOR!$B$14,0))</f>
        <v/>
      </c>
      <c r="F592" s="116">
        <f>IF(C592="","",IFERROR((C592-MOTOR!$B$8)/MOTOR!$B$11,0))</f>
        <v/>
      </c>
      <c r="G592" s="117">
        <f>IF(C592="","",IF(E592&lt;AYARLAR!$C$11,"AŞIRI DÜŞÜK",IF(E592&lt;AYARLAR!$C$12,"SINIRDA","GÜVENLİ")))</f>
        <v/>
      </c>
      <c r="H592" s="118" t="n"/>
    </row>
    <row r="593" ht="15" customHeight="1" s="64">
      <c r="A593" s="112" t="n">
        <v>588</v>
      </c>
      <c r="B593" s="118" t="n"/>
      <c r="C593" s="118" t="n"/>
      <c r="D593" s="118" t="n"/>
      <c r="E593" s="115">
        <f>IF(C593="","",IFERROR(C593/MOTOR!$B$14,0))</f>
        <v/>
      </c>
      <c r="F593" s="116">
        <f>IF(C593="","",IFERROR((C593-MOTOR!$B$8)/MOTOR!$B$11,0))</f>
        <v/>
      </c>
      <c r="G593" s="117">
        <f>IF(C593="","",IF(E593&lt;AYARLAR!$C$11,"AŞIRI DÜŞÜK",IF(E593&lt;AYARLAR!$C$12,"SINIRDA","GÜVENLİ")))</f>
        <v/>
      </c>
      <c r="H593" s="118" t="n"/>
    </row>
    <row r="594" ht="15" customHeight="1" s="64">
      <c r="A594" s="112" t="n">
        <v>589</v>
      </c>
      <c r="B594" s="118" t="n"/>
      <c r="C594" s="118" t="n"/>
      <c r="D594" s="118" t="n"/>
      <c r="E594" s="115">
        <f>IF(C594="","",IFERROR(C594/MOTOR!$B$14,0))</f>
        <v/>
      </c>
      <c r="F594" s="116">
        <f>IF(C594="","",IFERROR((C594-MOTOR!$B$8)/MOTOR!$B$11,0))</f>
        <v/>
      </c>
      <c r="G594" s="117">
        <f>IF(C594="","",IF(E594&lt;AYARLAR!$C$11,"AŞIRI DÜŞÜK",IF(E594&lt;AYARLAR!$C$12,"SINIRDA","GÜVENLİ")))</f>
        <v/>
      </c>
      <c r="H594" s="118" t="n"/>
    </row>
    <row r="595" ht="15" customHeight="1" s="64">
      <c r="A595" s="112" t="n">
        <v>590</v>
      </c>
      <c r="B595" s="118" t="n"/>
      <c r="C595" s="118" t="n"/>
      <c r="D595" s="118" t="n"/>
      <c r="E595" s="115">
        <f>IF(C595="","",IFERROR(C595/MOTOR!$B$14,0))</f>
        <v/>
      </c>
      <c r="F595" s="116">
        <f>IF(C595="","",IFERROR((C595-MOTOR!$B$8)/MOTOR!$B$11,0))</f>
        <v/>
      </c>
      <c r="G595" s="117">
        <f>IF(C595="","",IF(E595&lt;AYARLAR!$C$11,"AŞIRI DÜŞÜK",IF(E595&lt;AYARLAR!$C$12,"SINIRDA","GÜVENLİ")))</f>
        <v/>
      </c>
      <c r="H595" s="118" t="n"/>
    </row>
    <row r="596" ht="15" customHeight="1" s="64">
      <c r="A596" s="112" t="n">
        <v>591</v>
      </c>
      <c r="B596" s="118" t="n"/>
      <c r="C596" s="118" t="n"/>
      <c r="D596" s="118" t="n"/>
      <c r="E596" s="115">
        <f>IF(C596="","",IFERROR(C596/MOTOR!$B$14,0))</f>
        <v/>
      </c>
      <c r="F596" s="116">
        <f>IF(C596="","",IFERROR((C596-MOTOR!$B$8)/MOTOR!$B$11,0))</f>
        <v/>
      </c>
      <c r="G596" s="117">
        <f>IF(C596="","",IF(E596&lt;AYARLAR!$C$11,"AŞIRI DÜŞÜK",IF(E596&lt;AYARLAR!$C$12,"SINIRDA","GÜVENLİ")))</f>
        <v/>
      </c>
      <c r="H596" s="118" t="n"/>
    </row>
    <row r="597" ht="15" customHeight="1" s="64">
      <c r="A597" s="112" t="n">
        <v>592</v>
      </c>
      <c r="B597" s="118" t="n"/>
      <c r="C597" s="118" t="n"/>
      <c r="D597" s="118" t="n"/>
      <c r="E597" s="115">
        <f>IF(C597="","",IFERROR(C597/MOTOR!$B$14,0))</f>
        <v/>
      </c>
      <c r="F597" s="116">
        <f>IF(C597="","",IFERROR((C597-MOTOR!$B$8)/MOTOR!$B$11,0))</f>
        <v/>
      </c>
      <c r="G597" s="117">
        <f>IF(C597="","",IF(E597&lt;AYARLAR!$C$11,"AŞIRI DÜŞÜK",IF(E597&lt;AYARLAR!$C$12,"SINIRDA","GÜVENLİ")))</f>
        <v/>
      </c>
      <c r="H597" s="118" t="n"/>
    </row>
    <row r="598" ht="15" customHeight="1" s="64">
      <c r="A598" s="112" t="n">
        <v>593</v>
      </c>
      <c r="B598" s="118" t="n"/>
      <c r="C598" s="118" t="n"/>
      <c r="D598" s="118" t="n"/>
      <c r="E598" s="115">
        <f>IF(C598="","",IFERROR(C598/MOTOR!$B$14,0))</f>
        <v/>
      </c>
      <c r="F598" s="116">
        <f>IF(C598="","",IFERROR((C598-MOTOR!$B$8)/MOTOR!$B$11,0))</f>
        <v/>
      </c>
      <c r="G598" s="117">
        <f>IF(C598="","",IF(E598&lt;AYARLAR!$C$11,"AŞIRI DÜŞÜK",IF(E598&lt;AYARLAR!$C$12,"SINIRDA","GÜVENLİ")))</f>
        <v/>
      </c>
      <c r="H598" s="118" t="n"/>
    </row>
    <row r="599" ht="15" customHeight="1" s="64">
      <c r="A599" s="112" t="n">
        <v>594</v>
      </c>
      <c r="B599" s="118" t="n"/>
      <c r="C599" s="118" t="n"/>
      <c r="D599" s="118" t="n"/>
      <c r="E599" s="115">
        <f>IF(C599="","",IFERROR(C599/MOTOR!$B$14,0))</f>
        <v/>
      </c>
      <c r="F599" s="116">
        <f>IF(C599="","",IFERROR((C599-MOTOR!$B$8)/MOTOR!$B$11,0))</f>
        <v/>
      </c>
      <c r="G599" s="117">
        <f>IF(C599="","",IF(E599&lt;AYARLAR!$C$11,"AŞIRI DÜŞÜK",IF(E599&lt;AYARLAR!$C$12,"SINIRDA","GÜVENLİ")))</f>
        <v/>
      </c>
      <c r="H599" s="118" t="n"/>
    </row>
    <row r="600" ht="15" customHeight="1" s="64">
      <c r="A600" s="112" t="n">
        <v>595</v>
      </c>
      <c r="B600" s="118" t="n"/>
      <c r="C600" s="118" t="n"/>
      <c r="D600" s="118" t="n"/>
      <c r="E600" s="115">
        <f>IF(C600="","",IFERROR(C600/MOTOR!$B$14,0))</f>
        <v/>
      </c>
      <c r="F600" s="116">
        <f>IF(C600="","",IFERROR((C600-MOTOR!$B$8)/MOTOR!$B$11,0))</f>
        <v/>
      </c>
      <c r="G600" s="117">
        <f>IF(C600="","",IF(E600&lt;AYARLAR!$C$11,"AŞIRI DÜŞÜK",IF(E600&lt;AYARLAR!$C$12,"SINIRDA","GÜVENLİ")))</f>
        <v/>
      </c>
      <c r="H600" s="118" t="n"/>
    </row>
    <row r="601" ht="15" customHeight="1" s="64">
      <c r="A601" s="112" t="n">
        <v>596</v>
      </c>
      <c r="B601" s="118" t="n"/>
      <c r="C601" s="118" t="n"/>
      <c r="D601" s="118" t="n"/>
      <c r="E601" s="115">
        <f>IF(C601="","",IFERROR(C601/MOTOR!$B$14,0))</f>
        <v/>
      </c>
      <c r="F601" s="116">
        <f>IF(C601="","",IFERROR((C601-MOTOR!$B$8)/MOTOR!$B$11,0))</f>
        <v/>
      </c>
      <c r="G601" s="117">
        <f>IF(C601="","",IF(E601&lt;AYARLAR!$C$11,"AŞIRI DÜŞÜK",IF(E601&lt;AYARLAR!$C$12,"SINIRDA","GÜVENLİ")))</f>
        <v/>
      </c>
      <c r="H601" s="118" t="n"/>
    </row>
    <row r="602" ht="15" customHeight="1" s="64">
      <c r="A602" s="112" t="n">
        <v>597</v>
      </c>
      <c r="B602" s="118" t="n"/>
      <c r="C602" s="118" t="n"/>
      <c r="D602" s="118" t="n"/>
      <c r="E602" s="115">
        <f>IF(C602="","",IFERROR(C602/MOTOR!$B$14,0))</f>
        <v/>
      </c>
      <c r="F602" s="116">
        <f>IF(C602="","",IFERROR((C602-MOTOR!$B$8)/MOTOR!$B$11,0))</f>
        <v/>
      </c>
      <c r="G602" s="117">
        <f>IF(C602="","",IF(E602&lt;AYARLAR!$C$11,"AŞIRI DÜŞÜK",IF(E602&lt;AYARLAR!$C$12,"SINIRDA","GÜVENLİ")))</f>
        <v/>
      </c>
      <c r="H602" s="118" t="n"/>
    </row>
    <row r="603" ht="15" customHeight="1" s="64">
      <c r="A603" s="112" t="n">
        <v>598</v>
      </c>
      <c r="B603" s="118" t="n"/>
      <c r="C603" s="118" t="n"/>
      <c r="D603" s="118" t="n"/>
      <c r="E603" s="115">
        <f>IF(C603="","",IFERROR(C603/MOTOR!$B$14,0))</f>
        <v/>
      </c>
      <c r="F603" s="116">
        <f>IF(C603="","",IFERROR((C603-MOTOR!$B$8)/MOTOR!$B$11,0))</f>
        <v/>
      </c>
      <c r="G603" s="117">
        <f>IF(C603="","",IF(E603&lt;AYARLAR!$C$11,"AŞIRI DÜŞÜK",IF(E603&lt;AYARLAR!$C$12,"SINIRDA","GÜVENLİ")))</f>
        <v/>
      </c>
      <c r="H603" s="118" t="n"/>
    </row>
    <row r="604" ht="15" customHeight="1" s="64">
      <c r="A604" s="112" t="n">
        <v>599</v>
      </c>
      <c r="B604" s="118" t="n"/>
      <c r="C604" s="118" t="n"/>
      <c r="D604" s="118" t="n"/>
      <c r="E604" s="115">
        <f>IF(C604="","",IFERROR(C604/MOTOR!$B$14,0))</f>
        <v/>
      </c>
      <c r="F604" s="116">
        <f>IF(C604="","",IFERROR((C604-MOTOR!$B$8)/MOTOR!$B$11,0))</f>
        <v/>
      </c>
      <c r="G604" s="117">
        <f>IF(C604="","",IF(E604&lt;AYARLAR!$C$11,"AŞIRI DÜŞÜK",IF(E604&lt;AYARLAR!$C$12,"SINIRDA","GÜVENLİ")))</f>
        <v/>
      </c>
      <c r="H604" s="118" t="n"/>
    </row>
    <row r="605" ht="15" customHeight="1" s="64">
      <c r="A605" s="112" t="n">
        <v>600</v>
      </c>
      <c r="B605" s="118" t="n"/>
      <c r="C605" s="118" t="n"/>
      <c r="D605" s="118" t="n"/>
      <c r="E605" s="115">
        <f>IF(C605="","",IFERROR(C605/MOTOR!$B$14,0))</f>
        <v/>
      </c>
      <c r="F605" s="116">
        <f>IF(C605="","",IFERROR((C605-MOTOR!$B$8)/MOTOR!$B$11,0))</f>
        <v/>
      </c>
      <c r="G605" s="117">
        <f>IF(C605="","",IF(E605&lt;AYARLAR!$C$11,"AŞIRI DÜŞÜK",IF(E605&lt;AYARLAR!$C$12,"SINIRDA","GÜVENLİ")))</f>
        <v/>
      </c>
      <c r="H605" s="118" t="n"/>
    </row>
    <row r="606" ht="15" customHeight="1" s="64">
      <c r="A606" s="112" t="n">
        <v>601</v>
      </c>
      <c r="B606" s="118" t="n"/>
      <c r="C606" s="118" t="n"/>
      <c r="D606" s="118" t="n"/>
      <c r="E606" s="115">
        <f>IF(C606="","",IFERROR(C606/MOTOR!$B$14,0))</f>
        <v/>
      </c>
      <c r="F606" s="116">
        <f>IF(C606="","",IFERROR((C606-MOTOR!$B$8)/MOTOR!$B$11,0))</f>
        <v/>
      </c>
      <c r="G606" s="117">
        <f>IF(C606="","",IF(E606&lt;AYARLAR!$C$11,"AŞIRI DÜŞÜK",IF(E606&lt;AYARLAR!$C$12,"SINIRDA","GÜVENLİ")))</f>
        <v/>
      </c>
      <c r="H606" s="118" t="n"/>
    </row>
    <row r="607" ht="15" customHeight="1" s="64">
      <c r="A607" s="112" t="n">
        <v>602</v>
      </c>
      <c r="B607" s="118" t="n"/>
      <c r="C607" s="118" t="n"/>
      <c r="D607" s="118" t="n"/>
      <c r="E607" s="115">
        <f>IF(C607="","",IFERROR(C607/MOTOR!$B$14,0))</f>
        <v/>
      </c>
      <c r="F607" s="116">
        <f>IF(C607="","",IFERROR((C607-MOTOR!$B$8)/MOTOR!$B$11,0))</f>
        <v/>
      </c>
      <c r="G607" s="117">
        <f>IF(C607="","",IF(E607&lt;AYARLAR!$C$11,"AŞIRI DÜŞÜK",IF(E607&lt;AYARLAR!$C$12,"SINIRDA","GÜVENLİ")))</f>
        <v/>
      </c>
      <c r="H607" s="118" t="n"/>
    </row>
    <row r="608" ht="15" customHeight="1" s="64">
      <c r="A608" s="112" t="n">
        <v>603</v>
      </c>
      <c r="B608" s="118" t="n"/>
      <c r="C608" s="118" t="n"/>
      <c r="D608" s="118" t="n"/>
      <c r="E608" s="115">
        <f>IF(C608="","",IFERROR(C608/MOTOR!$B$14,0))</f>
        <v/>
      </c>
      <c r="F608" s="116">
        <f>IF(C608="","",IFERROR((C608-MOTOR!$B$8)/MOTOR!$B$11,0))</f>
        <v/>
      </c>
      <c r="G608" s="117">
        <f>IF(C608="","",IF(E608&lt;AYARLAR!$C$11,"AŞIRI DÜŞÜK",IF(E608&lt;AYARLAR!$C$12,"SINIRDA","GÜVENLİ")))</f>
        <v/>
      </c>
      <c r="H608" s="118" t="n"/>
    </row>
    <row r="609" ht="15" customHeight="1" s="64">
      <c r="A609" s="112" t="n">
        <v>604</v>
      </c>
      <c r="B609" s="118" t="n"/>
      <c r="C609" s="118" t="n"/>
      <c r="D609" s="118" t="n"/>
      <c r="E609" s="115">
        <f>IF(C609="","",IFERROR(C609/MOTOR!$B$14,0))</f>
        <v/>
      </c>
      <c r="F609" s="116">
        <f>IF(C609="","",IFERROR((C609-MOTOR!$B$8)/MOTOR!$B$11,0))</f>
        <v/>
      </c>
      <c r="G609" s="117">
        <f>IF(C609="","",IF(E609&lt;AYARLAR!$C$11,"AŞIRI DÜŞÜK",IF(E609&lt;AYARLAR!$C$12,"SINIRDA","GÜVENLİ")))</f>
        <v/>
      </c>
      <c r="H609" s="118" t="n"/>
    </row>
    <row r="610" ht="15" customHeight="1" s="64">
      <c r="A610" s="112" t="n">
        <v>605</v>
      </c>
      <c r="B610" s="118" t="n"/>
      <c r="C610" s="118" t="n"/>
      <c r="D610" s="118" t="n"/>
      <c r="E610" s="115">
        <f>IF(C610="","",IFERROR(C610/MOTOR!$B$14,0))</f>
        <v/>
      </c>
      <c r="F610" s="116">
        <f>IF(C610="","",IFERROR((C610-MOTOR!$B$8)/MOTOR!$B$11,0))</f>
        <v/>
      </c>
      <c r="G610" s="117">
        <f>IF(C610="","",IF(E610&lt;AYARLAR!$C$11,"AŞIRI DÜŞÜK",IF(E610&lt;AYARLAR!$C$12,"SINIRDA","GÜVENLİ")))</f>
        <v/>
      </c>
      <c r="H610" s="118" t="n"/>
    </row>
    <row r="611" ht="15" customHeight="1" s="64">
      <c r="A611" s="112" t="n">
        <v>606</v>
      </c>
      <c r="B611" s="118" t="n"/>
      <c r="C611" s="118" t="n"/>
      <c r="D611" s="118" t="n"/>
      <c r="E611" s="115">
        <f>IF(C611="","",IFERROR(C611/MOTOR!$B$14,0))</f>
        <v/>
      </c>
      <c r="F611" s="116">
        <f>IF(C611="","",IFERROR((C611-MOTOR!$B$8)/MOTOR!$B$11,0))</f>
        <v/>
      </c>
      <c r="G611" s="117">
        <f>IF(C611="","",IF(E611&lt;AYARLAR!$C$11,"AŞIRI DÜŞÜK",IF(E611&lt;AYARLAR!$C$12,"SINIRDA","GÜVENLİ")))</f>
        <v/>
      </c>
      <c r="H611" s="118" t="n"/>
    </row>
    <row r="612" ht="15" customHeight="1" s="64">
      <c r="A612" s="112" t="n">
        <v>607</v>
      </c>
      <c r="B612" s="118" t="n"/>
      <c r="C612" s="118" t="n"/>
      <c r="D612" s="118" t="n"/>
      <c r="E612" s="115">
        <f>IF(C612="","",IFERROR(C612/MOTOR!$B$14,0))</f>
        <v/>
      </c>
      <c r="F612" s="116">
        <f>IF(C612="","",IFERROR((C612-MOTOR!$B$8)/MOTOR!$B$11,0))</f>
        <v/>
      </c>
      <c r="G612" s="117">
        <f>IF(C612="","",IF(E612&lt;AYARLAR!$C$11,"AŞIRI DÜŞÜK",IF(E612&lt;AYARLAR!$C$12,"SINIRDA","GÜVENLİ")))</f>
        <v/>
      </c>
      <c r="H612" s="118" t="n"/>
    </row>
    <row r="613" ht="15" customHeight="1" s="64">
      <c r="A613" s="112" t="n">
        <v>608</v>
      </c>
      <c r="B613" s="118" t="n"/>
      <c r="C613" s="118" t="n"/>
      <c r="D613" s="118" t="n"/>
      <c r="E613" s="115">
        <f>IF(C613="","",IFERROR(C613/MOTOR!$B$14,0))</f>
        <v/>
      </c>
      <c r="F613" s="116">
        <f>IF(C613="","",IFERROR((C613-MOTOR!$B$8)/MOTOR!$B$11,0))</f>
        <v/>
      </c>
      <c r="G613" s="117">
        <f>IF(C613="","",IF(E613&lt;AYARLAR!$C$11,"AŞIRI DÜŞÜK",IF(E613&lt;AYARLAR!$C$12,"SINIRDA","GÜVENLİ")))</f>
        <v/>
      </c>
      <c r="H613" s="118" t="n"/>
    </row>
    <row r="614" ht="15" customHeight="1" s="64">
      <c r="A614" s="112" t="n">
        <v>609</v>
      </c>
      <c r="B614" s="118" t="n"/>
      <c r="C614" s="118" t="n"/>
      <c r="D614" s="118" t="n"/>
      <c r="E614" s="115">
        <f>IF(C614="","",IFERROR(C614/MOTOR!$B$14,0))</f>
        <v/>
      </c>
      <c r="F614" s="116">
        <f>IF(C614="","",IFERROR((C614-MOTOR!$B$8)/MOTOR!$B$11,0))</f>
        <v/>
      </c>
      <c r="G614" s="117">
        <f>IF(C614="","",IF(E614&lt;AYARLAR!$C$11,"AŞIRI DÜŞÜK",IF(E614&lt;AYARLAR!$C$12,"SINIRDA","GÜVENLİ")))</f>
        <v/>
      </c>
      <c r="H614" s="118" t="n"/>
    </row>
    <row r="615" ht="15" customHeight="1" s="64">
      <c r="A615" s="112" t="n">
        <v>610</v>
      </c>
      <c r="B615" s="118" t="n"/>
      <c r="C615" s="118" t="n"/>
      <c r="D615" s="118" t="n"/>
      <c r="E615" s="115">
        <f>IF(C615="","",IFERROR(C615/MOTOR!$B$14,0))</f>
        <v/>
      </c>
      <c r="F615" s="116">
        <f>IF(C615="","",IFERROR((C615-MOTOR!$B$8)/MOTOR!$B$11,0))</f>
        <v/>
      </c>
      <c r="G615" s="117">
        <f>IF(C615="","",IF(E615&lt;AYARLAR!$C$11,"AŞIRI DÜŞÜK",IF(E615&lt;AYARLAR!$C$12,"SINIRDA","GÜVENLİ")))</f>
        <v/>
      </c>
      <c r="H615" s="118" t="n"/>
    </row>
    <row r="616" ht="15" customHeight="1" s="64">
      <c r="A616" s="112" t="n">
        <v>611</v>
      </c>
      <c r="B616" s="118" t="n"/>
      <c r="C616" s="118" t="n"/>
      <c r="D616" s="118" t="n"/>
      <c r="E616" s="115">
        <f>IF(C616="","",IFERROR(C616/MOTOR!$B$14,0))</f>
        <v/>
      </c>
      <c r="F616" s="116">
        <f>IF(C616="","",IFERROR((C616-MOTOR!$B$8)/MOTOR!$B$11,0))</f>
        <v/>
      </c>
      <c r="G616" s="117">
        <f>IF(C616="","",IF(E616&lt;AYARLAR!$C$11,"AŞIRI DÜŞÜK",IF(E616&lt;AYARLAR!$C$12,"SINIRDA","GÜVENLİ")))</f>
        <v/>
      </c>
      <c r="H616" s="118" t="n"/>
    </row>
    <row r="617" ht="15" customHeight="1" s="64">
      <c r="A617" s="112" t="n">
        <v>612</v>
      </c>
      <c r="B617" s="118" t="n"/>
      <c r="C617" s="118" t="n"/>
      <c r="D617" s="118" t="n"/>
      <c r="E617" s="115">
        <f>IF(C617="","",IFERROR(C617/MOTOR!$B$14,0))</f>
        <v/>
      </c>
      <c r="F617" s="116">
        <f>IF(C617="","",IFERROR((C617-MOTOR!$B$8)/MOTOR!$B$11,0))</f>
        <v/>
      </c>
      <c r="G617" s="117">
        <f>IF(C617="","",IF(E617&lt;AYARLAR!$C$11,"AŞIRI DÜŞÜK",IF(E617&lt;AYARLAR!$C$12,"SINIRDA","GÜVENLİ")))</f>
        <v/>
      </c>
      <c r="H617" s="118" t="n"/>
    </row>
    <row r="618" ht="15" customHeight="1" s="64">
      <c r="A618" s="112" t="n">
        <v>613</v>
      </c>
      <c r="B618" s="118" t="n"/>
      <c r="C618" s="118" t="n"/>
      <c r="D618" s="118" t="n"/>
      <c r="E618" s="115">
        <f>IF(C618="","",IFERROR(C618/MOTOR!$B$14,0))</f>
        <v/>
      </c>
      <c r="F618" s="116">
        <f>IF(C618="","",IFERROR((C618-MOTOR!$B$8)/MOTOR!$B$11,0))</f>
        <v/>
      </c>
      <c r="G618" s="117">
        <f>IF(C618="","",IF(E618&lt;AYARLAR!$C$11,"AŞIRI DÜŞÜK",IF(E618&lt;AYARLAR!$C$12,"SINIRDA","GÜVENLİ")))</f>
        <v/>
      </c>
      <c r="H618" s="118" t="n"/>
    </row>
    <row r="619" ht="15" customHeight="1" s="64">
      <c r="A619" s="112" t="n">
        <v>614</v>
      </c>
      <c r="B619" s="118" t="n"/>
      <c r="C619" s="118" t="n"/>
      <c r="D619" s="118" t="n"/>
      <c r="E619" s="115">
        <f>IF(C619="","",IFERROR(C619/MOTOR!$B$14,0))</f>
        <v/>
      </c>
      <c r="F619" s="116">
        <f>IF(C619="","",IFERROR((C619-MOTOR!$B$8)/MOTOR!$B$11,0))</f>
        <v/>
      </c>
      <c r="G619" s="117">
        <f>IF(C619="","",IF(E619&lt;AYARLAR!$C$11,"AŞIRI DÜŞÜK",IF(E619&lt;AYARLAR!$C$12,"SINIRDA","GÜVENLİ")))</f>
        <v/>
      </c>
      <c r="H619" s="118" t="n"/>
    </row>
    <row r="620" ht="15" customHeight="1" s="64">
      <c r="A620" s="112" t="n">
        <v>615</v>
      </c>
      <c r="B620" s="118" t="n"/>
      <c r="C620" s="118" t="n"/>
      <c r="D620" s="118" t="n"/>
      <c r="E620" s="115">
        <f>IF(C620="","",IFERROR(C620/MOTOR!$B$14,0))</f>
        <v/>
      </c>
      <c r="F620" s="116">
        <f>IF(C620="","",IFERROR((C620-MOTOR!$B$8)/MOTOR!$B$11,0))</f>
        <v/>
      </c>
      <c r="G620" s="117">
        <f>IF(C620="","",IF(E620&lt;AYARLAR!$C$11,"AŞIRI DÜŞÜK",IF(E620&lt;AYARLAR!$C$12,"SINIRDA","GÜVENLİ")))</f>
        <v/>
      </c>
      <c r="H620" s="118" t="n"/>
    </row>
    <row r="621" ht="15" customHeight="1" s="64">
      <c r="A621" s="112" t="n">
        <v>616</v>
      </c>
      <c r="B621" s="118" t="n"/>
      <c r="C621" s="118" t="n"/>
      <c r="D621" s="118" t="n"/>
      <c r="E621" s="115">
        <f>IF(C621="","",IFERROR(C621/MOTOR!$B$14,0))</f>
        <v/>
      </c>
      <c r="F621" s="116">
        <f>IF(C621="","",IFERROR((C621-MOTOR!$B$8)/MOTOR!$B$11,0))</f>
        <v/>
      </c>
      <c r="G621" s="117">
        <f>IF(C621="","",IF(E621&lt;AYARLAR!$C$11,"AŞIRI DÜŞÜK",IF(E621&lt;AYARLAR!$C$12,"SINIRDA","GÜVENLİ")))</f>
        <v/>
      </c>
      <c r="H621" s="118" t="n"/>
    </row>
    <row r="622" ht="15" customHeight="1" s="64">
      <c r="A622" s="112" t="n">
        <v>617</v>
      </c>
      <c r="B622" s="118" t="n"/>
      <c r="C622" s="118" t="n"/>
      <c r="D622" s="118" t="n"/>
      <c r="E622" s="115">
        <f>IF(C622="","",IFERROR(C622/MOTOR!$B$14,0))</f>
        <v/>
      </c>
      <c r="F622" s="116">
        <f>IF(C622="","",IFERROR((C622-MOTOR!$B$8)/MOTOR!$B$11,0))</f>
        <v/>
      </c>
      <c r="G622" s="117">
        <f>IF(C622="","",IF(E622&lt;AYARLAR!$C$11,"AŞIRI DÜŞÜK",IF(E622&lt;AYARLAR!$C$12,"SINIRDA","GÜVENLİ")))</f>
        <v/>
      </c>
      <c r="H622" s="118" t="n"/>
    </row>
    <row r="623" ht="15" customHeight="1" s="64">
      <c r="A623" s="112" t="n">
        <v>618</v>
      </c>
      <c r="B623" s="118" t="n"/>
      <c r="C623" s="118" t="n"/>
      <c r="D623" s="118" t="n"/>
      <c r="E623" s="115">
        <f>IF(C623="","",IFERROR(C623/MOTOR!$B$14,0))</f>
        <v/>
      </c>
      <c r="F623" s="116">
        <f>IF(C623="","",IFERROR((C623-MOTOR!$B$8)/MOTOR!$B$11,0))</f>
        <v/>
      </c>
      <c r="G623" s="117">
        <f>IF(C623="","",IF(E623&lt;AYARLAR!$C$11,"AŞIRI DÜŞÜK",IF(E623&lt;AYARLAR!$C$12,"SINIRDA","GÜVENLİ")))</f>
        <v/>
      </c>
      <c r="H623" s="118" t="n"/>
    </row>
    <row r="624" ht="15" customHeight="1" s="64">
      <c r="A624" s="112" t="n">
        <v>619</v>
      </c>
      <c r="B624" s="118" t="n"/>
      <c r="C624" s="118" t="n"/>
      <c r="D624" s="118" t="n"/>
      <c r="E624" s="115">
        <f>IF(C624="","",IFERROR(C624/MOTOR!$B$14,0))</f>
        <v/>
      </c>
      <c r="F624" s="116">
        <f>IF(C624="","",IFERROR((C624-MOTOR!$B$8)/MOTOR!$B$11,0))</f>
        <v/>
      </c>
      <c r="G624" s="117">
        <f>IF(C624="","",IF(E624&lt;AYARLAR!$C$11,"AŞIRI DÜŞÜK",IF(E624&lt;AYARLAR!$C$12,"SINIRDA","GÜVENLİ")))</f>
        <v/>
      </c>
      <c r="H624" s="118" t="n"/>
    </row>
    <row r="625" ht="15" customHeight="1" s="64">
      <c r="A625" s="112" t="n">
        <v>620</v>
      </c>
      <c r="B625" s="118" t="n"/>
      <c r="C625" s="118" t="n"/>
      <c r="D625" s="118" t="n"/>
      <c r="E625" s="115">
        <f>IF(C625="","",IFERROR(C625/MOTOR!$B$14,0))</f>
        <v/>
      </c>
      <c r="F625" s="116">
        <f>IF(C625="","",IFERROR((C625-MOTOR!$B$8)/MOTOR!$B$11,0))</f>
        <v/>
      </c>
      <c r="G625" s="117">
        <f>IF(C625="","",IF(E625&lt;AYARLAR!$C$11,"AŞIRI DÜŞÜK",IF(E625&lt;AYARLAR!$C$12,"SINIRDA","GÜVENLİ")))</f>
        <v/>
      </c>
      <c r="H625" s="118" t="n"/>
    </row>
    <row r="626" ht="15" customHeight="1" s="64">
      <c r="A626" s="112" t="n">
        <v>621</v>
      </c>
      <c r="B626" s="118" t="n"/>
      <c r="C626" s="118" t="n"/>
      <c r="D626" s="118" t="n"/>
      <c r="E626" s="115">
        <f>IF(C626="","",IFERROR(C626/MOTOR!$B$14,0))</f>
        <v/>
      </c>
      <c r="F626" s="116">
        <f>IF(C626="","",IFERROR((C626-MOTOR!$B$8)/MOTOR!$B$11,0))</f>
        <v/>
      </c>
      <c r="G626" s="117">
        <f>IF(C626="","",IF(E626&lt;AYARLAR!$C$11,"AŞIRI DÜŞÜK",IF(E626&lt;AYARLAR!$C$12,"SINIRDA","GÜVENLİ")))</f>
        <v/>
      </c>
      <c r="H626" s="118" t="n"/>
    </row>
    <row r="627" ht="15" customHeight="1" s="64">
      <c r="A627" s="112" t="n">
        <v>622</v>
      </c>
      <c r="B627" s="118" t="n"/>
      <c r="C627" s="118" t="n"/>
      <c r="D627" s="118" t="n"/>
      <c r="E627" s="115">
        <f>IF(C627="","",IFERROR(C627/MOTOR!$B$14,0))</f>
        <v/>
      </c>
      <c r="F627" s="116">
        <f>IF(C627="","",IFERROR((C627-MOTOR!$B$8)/MOTOR!$B$11,0))</f>
        <v/>
      </c>
      <c r="G627" s="117">
        <f>IF(C627="","",IF(E627&lt;AYARLAR!$C$11,"AŞIRI DÜŞÜK",IF(E627&lt;AYARLAR!$C$12,"SINIRDA","GÜVENLİ")))</f>
        <v/>
      </c>
      <c r="H627" s="118" t="n"/>
    </row>
    <row r="628" ht="15" customHeight="1" s="64">
      <c r="A628" s="112" t="n">
        <v>623</v>
      </c>
      <c r="B628" s="118" t="n"/>
      <c r="C628" s="118" t="n"/>
      <c r="D628" s="118" t="n"/>
      <c r="E628" s="115">
        <f>IF(C628="","",IFERROR(C628/MOTOR!$B$14,0))</f>
        <v/>
      </c>
      <c r="F628" s="116">
        <f>IF(C628="","",IFERROR((C628-MOTOR!$B$8)/MOTOR!$B$11,0))</f>
        <v/>
      </c>
      <c r="G628" s="117">
        <f>IF(C628="","",IF(E628&lt;AYARLAR!$C$11,"AŞIRI DÜŞÜK",IF(E628&lt;AYARLAR!$C$12,"SINIRDA","GÜVENLİ")))</f>
        <v/>
      </c>
      <c r="H628" s="118" t="n"/>
    </row>
    <row r="629" ht="15" customHeight="1" s="64">
      <c r="A629" s="112" t="n">
        <v>624</v>
      </c>
      <c r="B629" s="118" t="n"/>
      <c r="C629" s="118" t="n"/>
      <c r="D629" s="118" t="n"/>
      <c r="E629" s="115">
        <f>IF(C629="","",IFERROR(C629/MOTOR!$B$14,0))</f>
        <v/>
      </c>
      <c r="F629" s="116">
        <f>IF(C629="","",IFERROR((C629-MOTOR!$B$8)/MOTOR!$B$11,0))</f>
        <v/>
      </c>
      <c r="G629" s="117">
        <f>IF(C629="","",IF(E629&lt;AYARLAR!$C$11,"AŞIRI DÜŞÜK",IF(E629&lt;AYARLAR!$C$12,"SINIRDA","GÜVENLİ")))</f>
        <v/>
      </c>
      <c r="H629" s="118" t="n"/>
    </row>
    <row r="630" ht="15" customHeight="1" s="64">
      <c r="A630" s="112" t="n">
        <v>625</v>
      </c>
      <c r="B630" s="118" t="n"/>
      <c r="C630" s="118" t="n"/>
      <c r="D630" s="118" t="n"/>
      <c r="E630" s="115">
        <f>IF(C630="","",IFERROR(C630/MOTOR!$B$14,0))</f>
        <v/>
      </c>
      <c r="F630" s="116">
        <f>IF(C630="","",IFERROR((C630-MOTOR!$B$8)/MOTOR!$B$11,0))</f>
        <v/>
      </c>
      <c r="G630" s="117">
        <f>IF(C630="","",IF(E630&lt;AYARLAR!$C$11,"AŞIRI DÜŞÜK",IF(E630&lt;AYARLAR!$C$12,"SINIRDA","GÜVENLİ")))</f>
        <v/>
      </c>
      <c r="H630" s="118" t="n"/>
    </row>
    <row r="631" ht="15" customHeight="1" s="64">
      <c r="A631" s="112" t="n">
        <v>626</v>
      </c>
      <c r="B631" s="118" t="n"/>
      <c r="C631" s="118" t="n"/>
      <c r="D631" s="118" t="n"/>
      <c r="E631" s="115">
        <f>IF(C631="","",IFERROR(C631/MOTOR!$B$14,0))</f>
        <v/>
      </c>
      <c r="F631" s="116">
        <f>IF(C631="","",IFERROR((C631-MOTOR!$B$8)/MOTOR!$B$11,0))</f>
        <v/>
      </c>
      <c r="G631" s="117">
        <f>IF(C631="","",IF(E631&lt;AYARLAR!$C$11,"AŞIRI DÜŞÜK",IF(E631&lt;AYARLAR!$C$12,"SINIRDA","GÜVENLİ")))</f>
        <v/>
      </c>
      <c r="H631" s="118" t="n"/>
    </row>
    <row r="632" ht="15" customHeight="1" s="64">
      <c r="A632" s="112" t="n">
        <v>627</v>
      </c>
      <c r="B632" s="118" t="n"/>
      <c r="C632" s="118" t="n"/>
      <c r="D632" s="118" t="n"/>
      <c r="E632" s="115">
        <f>IF(C632="","",IFERROR(C632/MOTOR!$B$14,0))</f>
        <v/>
      </c>
      <c r="F632" s="116">
        <f>IF(C632="","",IFERROR((C632-MOTOR!$B$8)/MOTOR!$B$11,0))</f>
        <v/>
      </c>
      <c r="G632" s="117">
        <f>IF(C632="","",IF(E632&lt;AYARLAR!$C$11,"AŞIRI DÜŞÜK",IF(E632&lt;AYARLAR!$C$12,"SINIRDA","GÜVENLİ")))</f>
        <v/>
      </c>
      <c r="H632" s="118" t="n"/>
    </row>
    <row r="633" ht="15" customHeight="1" s="64">
      <c r="A633" s="112" t="n">
        <v>628</v>
      </c>
      <c r="B633" s="118" t="n"/>
      <c r="C633" s="118" t="n"/>
      <c r="D633" s="118" t="n"/>
      <c r="E633" s="115">
        <f>IF(C633="","",IFERROR(C633/MOTOR!$B$14,0))</f>
        <v/>
      </c>
      <c r="F633" s="116">
        <f>IF(C633="","",IFERROR((C633-MOTOR!$B$8)/MOTOR!$B$11,0))</f>
        <v/>
      </c>
      <c r="G633" s="117">
        <f>IF(C633="","",IF(E633&lt;AYARLAR!$C$11,"AŞIRI DÜŞÜK",IF(E633&lt;AYARLAR!$C$12,"SINIRDA","GÜVENLİ")))</f>
        <v/>
      </c>
      <c r="H633" s="118" t="n"/>
    </row>
    <row r="634" ht="15" customHeight="1" s="64">
      <c r="A634" s="112" t="n">
        <v>629</v>
      </c>
      <c r="B634" s="118" t="n"/>
      <c r="C634" s="118" t="n"/>
      <c r="D634" s="118" t="n"/>
      <c r="E634" s="115">
        <f>IF(C634="","",IFERROR(C634/MOTOR!$B$14,0))</f>
        <v/>
      </c>
      <c r="F634" s="116">
        <f>IF(C634="","",IFERROR((C634-MOTOR!$B$8)/MOTOR!$B$11,0))</f>
        <v/>
      </c>
      <c r="G634" s="117">
        <f>IF(C634="","",IF(E634&lt;AYARLAR!$C$11,"AŞIRI DÜŞÜK",IF(E634&lt;AYARLAR!$C$12,"SINIRDA","GÜVENLİ")))</f>
        <v/>
      </c>
      <c r="H634" s="118" t="n"/>
    </row>
    <row r="635" ht="15" customHeight="1" s="64">
      <c r="A635" s="112" t="n">
        <v>630</v>
      </c>
      <c r="B635" s="118" t="n"/>
      <c r="C635" s="118" t="n"/>
      <c r="D635" s="118" t="n"/>
      <c r="E635" s="115">
        <f>IF(C635="","",IFERROR(C635/MOTOR!$B$14,0))</f>
        <v/>
      </c>
      <c r="F635" s="116">
        <f>IF(C635="","",IFERROR((C635-MOTOR!$B$8)/MOTOR!$B$11,0))</f>
        <v/>
      </c>
      <c r="G635" s="117">
        <f>IF(C635="","",IF(E635&lt;AYARLAR!$C$11,"AŞIRI DÜŞÜK",IF(E635&lt;AYARLAR!$C$12,"SINIRDA","GÜVENLİ")))</f>
        <v/>
      </c>
      <c r="H635" s="118" t="n"/>
    </row>
    <row r="636" ht="15" customHeight="1" s="64">
      <c r="A636" s="112" t="n">
        <v>631</v>
      </c>
      <c r="B636" s="118" t="n"/>
      <c r="C636" s="118" t="n"/>
      <c r="D636" s="118" t="n"/>
      <c r="E636" s="115">
        <f>IF(C636="","",IFERROR(C636/MOTOR!$B$14,0))</f>
        <v/>
      </c>
      <c r="F636" s="116">
        <f>IF(C636="","",IFERROR((C636-MOTOR!$B$8)/MOTOR!$B$11,0))</f>
        <v/>
      </c>
      <c r="G636" s="117">
        <f>IF(C636="","",IF(E636&lt;AYARLAR!$C$11,"AŞIRI DÜŞÜK",IF(E636&lt;AYARLAR!$C$12,"SINIRDA","GÜVENLİ")))</f>
        <v/>
      </c>
      <c r="H636" s="118" t="n"/>
    </row>
    <row r="637" ht="15" customHeight="1" s="64">
      <c r="A637" s="112" t="n">
        <v>632</v>
      </c>
      <c r="B637" s="118" t="n"/>
      <c r="C637" s="118" t="n"/>
      <c r="D637" s="118" t="n"/>
      <c r="E637" s="115">
        <f>IF(C637="","",IFERROR(C637/MOTOR!$B$14,0))</f>
        <v/>
      </c>
      <c r="F637" s="116">
        <f>IF(C637="","",IFERROR((C637-MOTOR!$B$8)/MOTOR!$B$11,0))</f>
        <v/>
      </c>
      <c r="G637" s="117">
        <f>IF(C637="","",IF(E637&lt;AYARLAR!$C$11,"AŞIRI DÜŞÜK",IF(E637&lt;AYARLAR!$C$12,"SINIRDA","GÜVENLİ")))</f>
        <v/>
      </c>
      <c r="H637" s="118" t="n"/>
    </row>
    <row r="638" ht="15" customHeight="1" s="64">
      <c r="A638" s="112" t="n">
        <v>633</v>
      </c>
      <c r="B638" s="118" t="n"/>
      <c r="C638" s="118" t="n"/>
      <c r="D638" s="118" t="n"/>
      <c r="E638" s="115">
        <f>IF(C638="","",IFERROR(C638/MOTOR!$B$14,0))</f>
        <v/>
      </c>
      <c r="F638" s="116">
        <f>IF(C638="","",IFERROR((C638-MOTOR!$B$8)/MOTOR!$B$11,0))</f>
        <v/>
      </c>
      <c r="G638" s="117">
        <f>IF(C638="","",IF(E638&lt;AYARLAR!$C$11,"AŞIRI DÜŞÜK",IF(E638&lt;AYARLAR!$C$12,"SINIRDA","GÜVENLİ")))</f>
        <v/>
      </c>
      <c r="H638" s="118" t="n"/>
    </row>
    <row r="639" ht="15" customHeight="1" s="64">
      <c r="A639" s="112" t="n">
        <v>634</v>
      </c>
      <c r="B639" s="118" t="n"/>
      <c r="C639" s="118" t="n"/>
      <c r="D639" s="118" t="n"/>
      <c r="E639" s="115">
        <f>IF(C639="","",IFERROR(C639/MOTOR!$B$14,0))</f>
        <v/>
      </c>
      <c r="F639" s="116">
        <f>IF(C639="","",IFERROR((C639-MOTOR!$B$8)/MOTOR!$B$11,0))</f>
        <v/>
      </c>
      <c r="G639" s="117">
        <f>IF(C639="","",IF(E639&lt;AYARLAR!$C$11,"AŞIRI DÜŞÜK",IF(E639&lt;AYARLAR!$C$12,"SINIRDA","GÜVENLİ")))</f>
        <v/>
      </c>
      <c r="H639" s="118" t="n"/>
    </row>
    <row r="640" ht="15" customHeight="1" s="64">
      <c r="A640" s="112" t="n">
        <v>635</v>
      </c>
      <c r="B640" s="118" t="n"/>
      <c r="C640" s="118" t="n"/>
      <c r="D640" s="118" t="n"/>
      <c r="E640" s="115">
        <f>IF(C640="","",IFERROR(C640/MOTOR!$B$14,0))</f>
        <v/>
      </c>
      <c r="F640" s="116">
        <f>IF(C640="","",IFERROR((C640-MOTOR!$B$8)/MOTOR!$B$11,0))</f>
        <v/>
      </c>
      <c r="G640" s="117">
        <f>IF(C640="","",IF(E640&lt;AYARLAR!$C$11,"AŞIRI DÜŞÜK",IF(E640&lt;AYARLAR!$C$12,"SINIRDA","GÜVENLİ")))</f>
        <v/>
      </c>
      <c r="H640" s="118" t="n"/>
    </row>
    <row r="641" ht="15" customHeight="1" s="64">
      <c r="A641" s="112" t="n">
        <v>636</v>
      </c>
      <c r="B641" s="118" t="n"/>
      <c r="C641" s="118" t="n"/>
      <c r="D641" s="118" t="n"/>
      <c r="E641" s="115">
        <f>IF(C641="","",IFERROR(C641/MOTOR!$B$14,0))</f>
        <v/>
      </c>
      <c r="F641" s="116">
        <f>IF(C641="","",IFERROR((C641-MOTOR!$B$8)/MOTOR!$B$11,0))</f>
        <v/>
      </c>
      <c r="G641" s="117">
        <f>IF(C641="","",IF(E641&lt;AYARLAR!$C$11,"AŞIRI DÜŞÜK",IF(E641&lt;AYARLAR!$C$12,"SINIRDA","GÜVENLİ")))</f>
        <v/>
      </c>
      <c r="H641" s="118" t="n"/>
    </row>
    <row r="642" ht="15" customHeight="1" s="64">
      <c r="A642" s="112" t="n">
        <v>637</v>
      </c>
      <c r="B642" s="118" t="n"/>
      <c r="C642" s="118" t="n"/>
      <c r="D642" s="118" t="n"/>
      <c r="E642" s="115">
        <f>IF(C642="","",IFERROR(C642/MOTOR!$B$14,0))</f>
        <v/>
      </c>
      <c r="F642" s="116">
        <f>IF(C642="","",IFERROR((C642-MOTOR!$B$8)/MOTOR!$B$11,0))</f>
        <v/>
      </c>
      <c r="G642" s="117">
        <f>IF(C642="","",IF(E642&lt;AYARLAR!$C$11,"AŞIRI DÜŞÜK",IF(E642&lt;AYARLAR!$C$12,"SINIRDA","GÜVENLİ")))</f>
        <v/>
      </c>
      <c r="H642" s="118" t="n"/>
    </row>
    <row r="643" ht="15" customHeight="1" s="64">
      <c r="A643" s="112" t="n">
        <v>638</v>
      </c>
      <c r="B643" s="118" t="n"/>
      <c r="C643" s="118" t="n"/>
      <c r="D643" s="118" t="n"/>
      <c r="E643" s="115">
        <f>IF(C643="","",IFERROR(C643/MOTOR!$B$14,0))</f>
        <v/>
      </c>
      <c r="F643" s="116">
        <f>IF(C643="","",IFERROR((C643-MOTOR!$B$8)/MOTOR!$B$11,0))</f>
        <v/>
      </c>
      <c r="G643" s="117">
        <f>IF(C643="","",IF(E643&lt;AYARLAR!$C$11,"AŞIRI DÜŞÜK",IF(E643&lt;AYARLAR!$C$12,"SINIRDA","GÜVENLİ")))</f>
        <v/>
      </c>
      <c r="H643" s="118" t="n"/>
    </row>
    <row r="644" ht="15" customHeight="1" s="64">
      <c r="A644" s="112" t="n">
        <v>639</v>
      </c>
      <c r="B644" s="118" t="n"/>
      <c r="C644" s="118" t="n"/>
      <c r="D644" s="118" t="n"/>
      <c r="E644" s="115">
        <f>IF(C644="","",IFERROR(C644/MOTOR!$B$14,0))</f>
        <v/>
      </c>
      <c r="F644" s="116">
        <f>IF(C644="","",IFERROR((C644-MOTOR!$B$8)/MOTOR!$B$11,0))</f>
        <v/>
      </c>
      <c r="G644" s="117">
        <f>IF(C644="","",IF(E644&lt;AYARLAR!$C$11,"AŞIRI DÜŞÜK",IF(E644&lt;AYARLAR!$C$12,"SINIRDA","GÜVENLİ")))</f>
        <v/>
      </c>
      <c r="H644" s="118" t="n"/>
    </row>
    <row r="645" ht="15" customHeight="1" s="64">
      <c r="A645" s="112" t="n">
        <v>640</v>
      </c>
      <c r="B645" s="118" t="n"/>
      <c r="C645" s="118" t="n"/>
      <c r="D645" s="118" t="n"/>
      <c r="E645" s="115">
        <f>IF(C645="","",IFERROR(C645/MOTOR!$B$14,0))</f>
        <v/>
      </c>
      <c r="F645" s="116">
        <f>IF(C645="","",IFERROR((C645-MOTOR!$B$8)/MOTOR!$B$11,0))</f>
        <v/>
      </c>
      <c r="G645" s="117">
        <f>IF(C645="","",IF(E645&lt;AYARLAR!$C$11,"AŞIRI DÜŞÜK",IF(E645&lt;AYARLAR!$C$12,"SINIRDA","GÜVENLİ")))</f>
        <v/>
      </c>
      <c r="H645" s="118" t="n"/>
    </row>
    <row r="646" ht="15" customHeight="1" s="64">
      <c r="A646" s="112" t="n">
        <v>641</v>
      </c>
      <c r="B646" s="118" t="n"/>
      <c r="C646" s="118" t="n"/>
      <c r="D646" s="118" t="n"/>
      <c r="E646" s="115">
        <f>IF(C646="","",IFERROR(C646/MOTOR!$B$14,0))</f>
        <v/>
      </c>
      <c r="F646" s="116">
        <f>IF(C646="","",IFERROR((C646-MOTOR!$B$8)/MOTOR!$B$11,0))</f>
        <v/>
      </c>
      <c r="G646" s="117">
        <f>IF(C646="","",IF(E646&lt;AYARLAR!$C$11,"AŞIRI DÜŞÜK",IF(E646&lt;AYARLAR!$C$12,"SINIRDA","GÜVENLİ")))</f>
        <v/>
      </c>
      <c r="H646" s="118" t="n"/>
    </row>
    <row r="647" ht="15" customHeight="1" s="64">
      <c r="A647" s="112" t="n">
        <v>642</v>
      </c>
      <c r="B647" s="118" t="n"/>
      <c r="C647" s="118" t="n"/>
      <c r="D647" s="118" t="n"/>
      <c r="E647" s="115">
        <f>IF(C647="","",IFERROR(C647/MOTOR!$B$14,0))</f>
        <v/>
      </c>
      <c r="F647" s="116">
        <f>IF(C647="","",IFERROR((C647-MOTOR!$B$8)/MOTOR!$B$11,0))</f>
        <v/>
      </c>
      <c r="G647" s="117">
        <f>IF(C647="","",IF(E647&lt;AYARLAR!$C$11,"AŞIRI DÜŞÜK",IF(E647&lt;AYARLAR!$C$12,"SINIRDA","GÜVENLİ")))</f>
        <v/>
      </c>
      <c r="H647" s="118" t="n"/>
    </row>
    <row r="648" ht="15" customHeight="1" s="64">
      <c r="A648" s="112" t="n">
        <v>643</v>
      </c>
      <c r="B648" s="118" t="n"/>
      <c r="C648" s="118" t="n"/>
      <c r="D648" s="118" t="n"/>
      <c r="E648" s="115">
        <f>IF(C648="","",IFERROR(C648/MOTOR!$B$14,0))</f>
        <v/>
      </c>
      <c r="F648" s="116">
        <f>IF(C648="","",IFERROR((C648-MOTOR!$B$8)/MOTOR!$B$11,0))</f>
        <v/>
      </c>
      <c r="G648" s="117">
        <f>IF(C648="","",IF(E648&lt;AYARLAR!$C$11,"AŞIRI DÜŞÜK",IF(E648&lt;AYARLAR!$C$12,"SINIRDA","GÜVENLİ")))</f>
        <v/>
      </c>
      <c r="H648" s="118" t="n"/>
    </row>
    <row r="649" ht="15" customHeight="1" s="64">
      <c r="A649" s="112" t="n">
        <v>644</v>
      </c>
      <c r="B649" s="118" t="n"/>
      <c r="C649" s="118" t="n"/>
      <c r="D649" s="118" t="n"/>
      <c r="E649" s="115">
        <f>IF(C649="","",IFERROR(C649/MOTOR!$B$14,0))</f>
        <v/>
      </c>
      <c r="F649" s="116">
        <f>IF(C649="","",IFERROR((C649-MOTOR!$B$8)/MOTOR!$B$11,0))</f>
        <v/>
      </c>
      <c r="G649" s="117">
        <f>IF(C649="","",IF(E649&lt;AYARLAR!$C$11,"AŞIRI DÜŞÜK",IF(E649&lt;AYARLAR!$C$12,"SINIRDA","GÜVENLİ")))</f>
        <v/>
      </c>
      <c r="H649" s="118" t="n"/>
    </row>
    <row r="650" ht="15" customHeight="1" s="64">
      <c r="A650" s="112" t="n">
        <v>645</v>
      </c>
      <c r="B650" s="118" t="n"/>
      <c r="C650" s="118" t="n"/>
      <c r="D650" s="118" t="n"/>
      <c r="E650" s="115">
        <f>IF(C650="","",IFERROR(C650/MOTOR!$B$14,0))</f>
        <v/>
      </c>
      <c r="F650" s="116">
        <f>IF(C650="","",IFERROR((C650-MOTOR!$B$8)/MOTOR!$B$11,0))</f>
        <v/>
      </c>
      <c r="G650" s="117">
        <f>IF(C650="","",IF(E650&lt;AYARLAR!$C$11,"AŞIRI DÜŞÜK",IF(E650&lt;AYARLAR!$C$12,"SINIRDA","GÜVENLİ")))</f>
        <v/>
      </c>
      <c r="H650" s="118" t="n"/>
    </row>
    <row r="651" ht="15" customHeight="1" s="64">
      <c r="A651" s="112" t="n">
        <v>646</v>
      </c>
      <c r="B651" s="118" t="n"/>
      <c r="C651" s="118" t="n"/>
      <c r="D651" s="118" t="n"/>
      <c r="E651" s="115">
        <f>IF(C651="","",IFERROR(C651/MOTOR!$B$14,0))</f>
        <v/>
      </c>
      <c r="F651" s="116">
        <f>IF(C651="","",IFERROR((C651-MOTOR!$B$8)/MOTOR!$B$11,0))</f>
        <v/>
      </c>
      <c r="G651" s="117">
        <f>IF(C651="","",IF(E651&lt;AYARLAR!$C$11,"AŞIRI DÜŞÜK",IF(E651&lt;AYARLAR!$C$12,"SINIRDA","GÜVENLİ")))</f>
        <v/>
      </c>
      <c r="H651" s="118" t="n"/>
    </row>
    <row r="652" ht="15" customHeight="1" s="64">
      <c r="A652" s="112" t="n">
        <v>647</v>
      </c>
      <c r="B652" s="118" t="n"/>
      <c r="C652" s="118" t="n"/>
      <c r="D652" s="118" t="n"/>
      <c r="E652" s="115">
        <f>IF(C652="","",IFERROR(C652/MOTOR!$B$14,0))</f>
        <v/>
      </c>
      <c r="F652" s="116">
        <f>IF(C652="","",IFERROR((C652-MOTOR!$B$8)/MOTOR!$B$11,0))</f>
        <v/>
      </c>
      <c r="G652" s="117">
        <f>IF(C652="","",IF(E652&lt;AYARLAR!$C$11,"AŞIRI DÜŞÜK",IF(E652&lt;AYARLAR!$C$12,"SINIRDA","GÜVENLİ")))</f>
        <v/>
      </c>
      <c r="H652" s="118" t="n"/>
    </row>
    <row r="653" ht="15" customHeight="1" s="64">
      <c r="A653" s="112" t="n">
        <v>648</v>
      </c>
      <c r="B653" s="118" t="n"/>
      <c r="C653" s="118" t="n"/>
      <c r="D653" s="118" t="n"/>
      <c r="E653" s="115">
        <f>IF(C653="","",IFERROR(C653/MOTOR!$B$14,0))</f>
        <v/>
      </c>
      <c r="F653" s="116">
        <f>IF(C653="","",IFERROR((C653-MOTOR!$B$8)/MOTOR!$B$11,0))</f>
        <v/>
      </c>
      <c r="G653" s="117">
        <f>IF(C653="","",IF(E653&lt;AYARLAR!$C$11,"AŞIRI DÜŞÜK",IF(E653&lt;AYARLAR!$C$12,"SINIRDA","GÜVENLİ")))</f>
        <v/>
      </c>
      <c r="H653" s="118" t="n"/>
    </row>
    <row r="654" ht="15" customHeight="1" s="64">
      <c r="A654" s="112" t="n">
        <v>649</v>
      </c>
      <c r="B654" s="118" t="n"/>
      <c r="C654" s="118" t="n"/>
      <c r="D654" s="118" t="n"/>
      <c r="E654" s="115">
        <f>IF(C654="","",IFERROR(C654/MOTOR!$B$14,0))</f>
        <v/>
      </c>
      <c r="F654" s="116">
        <f>IF(C654="","",IFERROR((C654-MOTOR!$B$8)/MOTOR!$B$11,0))</f>
        <v/>
      </c>
      <c r="G654" s="117">
        <f>IF(C654="","",IF(E654&lt;AYARLAR!$C$11,"AŞIRI DÜŞÜK",IF(E654&lt;AYARLAR!$C$12,"SINIRDA","GÜVENLİ")))</f>
        <v/>
      </c>
      <c r="H654" s="118" t="n"/>
    </row>
    <row r="655" ht="15" customHeight="1" s="64">
      <c r="A655" s="112" t="n">
        <v>650</v>
      </c>
      <c r="B655" s="118" t="n"/>
      <c r="C655" s="118" t="n"/>
      <c r="D655" s="118" t="n"/>
      <c r="E655" s="115">
        <f>IF(C655="","",IFERROR(C655/MOTOR!$B$14,0))</f>
        <v/>
      </c>
      <c r="F655" s="116">
        <f>IF(C655="","",IFERROR((C655-MOTOR!$B$8)/MOTOR!$B$11,0))</f>
        <v/>
      </c>
      <c r="G655" s="117">
        <f>IF(C655="","",IF(E655&lt;AYARLAR!$C$11,"AŞIRI DÜŞÜK",IF(E655&lt;AYARLAR!$C$12,"SINIRDA","GÜVENLİ")))</f>
        <v/>
      </c>
      <c r="H655" s="118" t="n"/>
    </row>
    <row r="656" ht="15" customHeight="1" s="64">
      <c r="A656" s="112" t="n">
        <v>651</v>
      </c>
      <c r="B656" s="118" t="n"/>
      <c r="C656" s="118" t="n"/>
      <c r="D656" s="118" t="n"/>
      <c r="E656" s="115">
        <f>IF(C656="","",IFERROR(C656/MOTOR!$B$14,0))</f>
        <v/>
      </c>
      <c r="F656" s="116">
        <f>IF(C656="","",IFERROR((C656-MOTOR!$B$8)/MOTOR!$B$11,0))</f>
        <v/>
      </c>
      <c r="G656" s="117">
        <f>IF(C656="","",IF(E656&lt;AYARLAR!$C$11,"AŞIRI DÜŞÜK",IF(E656&lt;AYARLAR!$C$12,"SINIRDA","GÜVENLİ")))</f>
        <v/>
      </c>
      <c r="H656" s="118" t="n"/>
    </row>
    <row r="657" ht="15" customHeight="1" s="64">
      <c r="A657" s="112" t="n">
        <v>652</v>
      </c>
      <c r="B657" s="118" t="n"/>
      <c r="C657" s="118" t="n"/>
      <c r="D657" s="118" t="n"/>
      <c r="E657" s="115">
        <f>IF(C657="","",IFERROR(C657/MOTOR!$B$14,0))</f>
        <v/>
      </c>
      <c r="F657" s="116">
        <f>IF(C657="","",IFERROR((C657-MOTOR!$B$8)/MOTOR!$B$11,0))</f>
        <v/>
      </c>
      <c r="G657" s="117">
        <f>IF(C657="","",IF(E657&lt;AYARLAR!$C$11,"AŞIRI DÜŞÜK",IF(E657&lt;AYARLAR!$C$12,"SINIRDA","GÜVENLİ")))</f>
        <v/>
      </c>
      <c r="H657" s="118" t="n"/>
    </row>
    <row r="658" ht="15" customHeight="1" s="64">
      <c r="A658" s="112" t="n">
        <v>653</v>
      </c>
      <c r="B658" s="118" t="n"/>
      <c r="C658" s="118" t="n"/>
      <c r="D658" s="118" t="n"/>
      <c r="E658" s="115">
        <f>IF(C658="","",IFERROR(C658/MOTOR!$B$14,0))</f>
        <v/>
      </c>
      <c r="F658" s="116">
        <f>IF(C658="","",IFERROR((C658-MOTOR!$B$8)/MOTOR!$B$11,0))</f>
        <v/>
      </c>
      <c r="G658" s="117">
        <f>IF(C658="","",IF(E658&lt;AYARLAR!$C$11,"AŞIRI DÜŞÜK",IF(E658&lt;AYARLAR!$C$12,"SINIRDA","GÜVENLİ")))</f>
        <v/>
      </c>
      <c r="H658" s="118" t="n"/>
    </row>
    <row r="659" ht="15" customHeight="1" s="64">
      <c r="A659" s="112" t="n">
        <v>654</v>
      </c>
      <c r="B659" s="118" t="n"/>
      <c r="C659" s="118" t="n"/>
      <c r="D659" s="118" t="n"/>
      <c r="E659" s="115">
        <f>IF(C659="","",IFERROR(C659/MOTOR!$B$14,0))</f>
        <v/>
      </c>
      <c r="F659" s="116">
        <f>IF(C659="","",IFERROR((C659-MOTOR!$B$8)/MOTOR!$B$11,0))</f>
        <v/>
      </c>
      <c r="G659" s="117">
        <f>IF(C659="","",IF(E659&lt;AYARLAR!$C$11,"AŞIRI DÜŞÜK",IF(E659&lt;AYARLAR!$C$12,"SINIRDA","GÜVENLİ")))</f>
        <v/>
      </c>
      <c r="H659" s="118" t="n"/>
    </row>
    <row r="660" ht="15" customHeight="1" s="64">
      <c r="A660" s="112" t="n">
        <v>655</v>
      </c>
      <c r="B660" s="118" t="n"/>
      <c r="C660" s="118" t="n"/>
      <c r="D660" s="118" t="n"/>
      <c r="E660" s="115">
        <f>IF(C660="","",IFERROR(C660/MOTOR!$B$14,0))</f>
        <v/>
      </c>
      <c r="F660" s="116">
        <f>IF(C660="","",IFERROR((C660-MOTOR!$B$8)/MOTOR!$B$11,0))</f>
        <v/>
      </c>
      <c r="G660" s="117">
        <f>IF(C660="","",IF(E660&lt;AYARLAR!$C$11,"AŞIRI DÜŞÜK",IF(E660&lt;AYARLAR!$C$12,"SINIRDA","GÜVENLİ")))</f>
        <v/>
      </c>
      <c r="H660" s="118" t="n"/>
    </row>
    <row r="661" ht="15" customHeight="1" s="64">
      <c r="A661" s="112" t="n">
        <v>656</v>
      </c>
      <c r="B661" s="118" t="n"/>
      <c r="C661" s="118" t="n"/>
      <c r="D661" s="118" t="n"/>
      <c r="E661" s="115">
        <f>IF(C661="","",IFERROR(C661/MOTOR!$B$14,0))</f>
        <v/>
      </c>
      <c r="F661" s="116">
        <f>IF(C661="","",IFERROR((C661-MOTOR!$B$8)/MOTOR!$B$11,0))</f>
        <v/>
      </c>
      <c r="G661" s="117">
        <f>IF(C661="","",IF(E661&lt;AYARLAR!$C$11,"AŞIRI DÜŞÜK",IF(E661&lt;AYARLAR!$C$12,"SINIRDA","GÜVENLİ")))</f>
        <v/>
      </c>
      <c r="H661" s="118" t="n"/>
    </row>
    <row r="662" ht="15" customHeight="1" s="64">
      <c r="A662" s="112" t="n">
        <v>657</v>
      </c>
      <c r="B662" s="118" t="n"/>
      <c r="C662" s="118" t="n"/>
      <c r="D662" s="118" t="n"/>
      <c r="E662" s="115">
        <f>IF(C662="","",IFERROR(C662/MOTOR!$B$14,0))</f>
        <v/>
      </c>
      <c r="F662" s="116">
        <f>IF(C662="","",IFERROR((C662-MOTOR!$B$8)/MOTOR!$B$11,0))</f>
        <v/>
      </c>
      <c r="G662" s="117">
        <f>IF(C662="","",IF(E662&lt;AYARLAR!$C$11,"AŞIRI DÜŞÜK",IF(E662&lt;AYARLAR!$C$12,"SINIRDA","GÜVENLİ")))</f>
        <v/>
      </c>
      <c r="H662" s="118" t="n"/>
    </row>
    <row r="663" ht="15" customHeight="1" s="64">
      <c r="A663" s="112" t="n">
        <v>658</v>
      </c>
      <c r="B663" s="118" t="n"/>
      <c r="C663" s="118" t="n"/>
      <c r="D663" s="118" t="n"/>
      <c r="E663" s="115">
        <f>IF(C663="","",IFERROR(C663/MOTOR!$B$14,0))</f>
        <v/>
      </c>
      <c r="F663" s="116">
        <f>IF(C663="","",IFERROR((C663-MOTOR!$B$8)/MOTOR!$B$11,0))</f>
        <v/>
      </c>
      <c r="G663" s="117">
        <f>IF(C663="","",IF(E663&lt;AYARLAR!$C$11,"AŞIRI DÜŞÜK",IF(E663&lt;AYARLAR!$C$12,"SINIRDA","GÜVENLİ")))</f>
        <v/>
      </c>
      <c r="H663" s="118" t="n"/>
    </row>
    <row r="664" ht="15" customHeight="1" s="64">
      <c r="A664" s="112" t="n">
        <v>659</v>
      </c>
      <c r="B664" s="118" t="n"/>
      <c r="C664" s="118" t="n"/>
      <c r="D664" s="118" t="n"/>
      <c r="E664" s="115">
        <f>IF(C664="","",IFERROR(C664/MOTOR!$B$14,0))</f>
        <v/>
      </c>
      <c r="F664" s="116">
        <f>IF(C664="","",IFERROR((C664-MOTOR!$B$8)/MOTOR!$B$11,0))</f>
        <v/>
      </c>
      <c r="G664" s="117">
        <f>IF(C664="","",IF(E664&lt;AYARLAR!$C$11,"AŞIRI DÜŞÜK",IF(E664&lt;AYARLAR!$C$12,"SINIRDA","GÜVENLİ")))</f>
        <v/>
      </c>
      <c r="H664" s="118" t="n"/>
    </row>
    <row r="665" ht="15" customHeight="1" s="64">
      <c r="A665" s="112" t="n">
        <v>660</v>
      </c>
      <c r="B665" s="118" t="n"/>
      <c r="C665" s="118" t="n"/>
      <c r="D665" s="118" t="n"/>
      <c r="E665" s="115">
        <f>IF(C665="","",IFERROR(C665/MOTOR!$B$14,0))</f>
        <v/>
      </c>
      <c r="F665" s="116">
        <f>IF(C665="","",IFERROR((C665-MOTOR!$B$8)/MOTOR!$B$11,0))</f>
        <v/>
      </c>
      <c r="G665" s="117">
        <f>IF(C665="","",IF(E665&lt;AYARLAR!$C$11,"AŞIRI DÜŞÜK",IF(E665&lt;AYARLAR!$C$12,"SINIRDA","GÜVENLİ")))</f>
        <v/>
      </c>
      <c r="H665" s="118" t="n"/>
    </row>
    <row r="666" ht="15" customHeight="1" s="64">
      <c r="A666" s="112" t="n">
        <v>661</v>
      </c>
      <c r="B666" s="118" t="n"/>
      <c r="C666" s="118" t="n"/>
      <c r="D666" s="118" t="n"/>
      <c r="E666" s="115">
        <f>IF(C666="","",IFERROR(C666/MOTOR!$B$14,0))</f>
        <v/>
      </c>
      <c r="F666" s="116">
        <f>IF(C666="","",IFERROR((C666-MOTOR!$B$8)/MOTOR!$B$11,0))</f>
        <v/>
      </c>
      <c r="G666" s="117">
        <f>IF(C666="","",IF(E666&lt;AYARLAR!$C$11,"AŞIRI DÜŞÜK",IF(E666&lt;AYARLAR!$C$12,"SINIRDA","GÜVENLİ")))</f>
        <v/>
      </c>
      <c r="H666" s="118" t="n"/>
    </row>
    <row r="667" ht="15" customHeight="1" s="64">
      <c r="A667" s="112" t="n">
        <v>662</v>
      </c>
      <c r="B667" s="118" t="n"/>
      <c r="C667" s="118" t="n"/>
      <c r="D667" s="118" t="n"/>
      <c r="E667" s="115">
        <f>IF(C667="","",IFERROR(C667/MOTOR!$B$14,0))</f>
        <v/>
      </c>
      <c r="F667" s="116">
        <f>IF(C667="","",IFERROR((C667-MOTOR!$B$8)/MOTOR!$B$11,0))</f>
        <v/>
      </c>
      <c r="G667" s="117">
        <f>IF(C667="","",IF(E667&lt;AYARLAR!$C$11,"AŞIRI DÜŞÜK",IF(E667&lt;AYARLAR!$C$12,"SINIRDA","GÜVENLİ")))</f>
        <v/>
      </c>
      <c r="H667" s="118" t="n"/>
    </row>
    <row r="668" ht="15" customHeight="1" s="64">
      <c r="A668" s="112" t="n">
        <v>663</v>
      </c>
      <c r="B668" s="118" t="n"/>
      <c r="C668" s="118" t="n"/>
      <c r="D668" s="118" t="n"/>
      <c r="E668" s="115">
        <f>IF(C668="","",IFERROR(C668/MOTOR!$B$14,0))</f>
        <v/>
      </c>
      <c r="F668" s="116">
        <f>IF(C668="","",IFERROR((C668-MOTOR!$B$8)/MOTOR!$B$11,0))</f>
        <v/>
      </c>
      <c r="G668" s="117">
        <f>IF(C668="","",IF(E668&lt;AYARLAR!$C$11,"AŞIRI DÜŞÜK",IF(E668&lt;AYARLAR!$C$12,"SINIRDA","GÜVENLİ")))</f>
        <v/>
      </c>
      <c r="H668" s="118" t="n"/>
    </row>
    <row r="669" ht="15" customHeight="1" s="64">
      <c r="A669" s="112" t="n">
        <v>664</v>
      </c>
      <c r="B669" s="118" t="n"/>
      <c r="C669" s="118" t="n"/>
      <c r="D669" s="118" t="n"/>
      <c r="E669" s="115">
        <f>IF(C669="","",IFERROR(C669/MOTOR!$B$14,0))</f>
        <v/>
      </c>
      <c r="F669" s="116">
        <f>IF(C669="","",IFERROR((C669-MOTOR!$B$8)/MOTOR!$B$11,0))</f>
        <v/>
      </c>
      <c r="G669" s="117">
        <f>IF(C669="","",IF(E669&lt;AYARLAR!$C$11,"AŞIRI DÜŞÜK",IF(E669&lt;AYARLAR!$C$12,"SINIRDA","GÜVENLİ")))</f>
        <v/>
      </c>
      <c r="H669" s="118" t="n"/>
    </row>
    <row r="670" ht="15" customHeight="1" s="64">
      <c r="A670" s="112" t="n">
        <v>665</v>
      </c>
      <c r="B670" s="118" t="n"/>
      <c r="C670" s="118" t="n"/>
      <c r="D670" s="118" t="n"/>
      <c r="E670" s="115">
        <f>IF(C670="","",IFERROR(C670/MOTOR!$B$14,0))</f>
        <v/>
      </c>
      <c r="F670" s="116">
        <f>IF(C670="","",IFERROR((C670-MOTOR!$B$8)/MOTOR!$B$11,0))</f>
        <v/>
      </c>
      <c r="G670" s="117">
        <f>IF(C670="","",IF(E670&lt;AYARLAR!$C$11,"AŞIRI DÜŞÜK",IF(E670&lt;AYARLAR!$C$12,"SINIRDA","GÜVENLİ")))</f>
        <v/>
      </c>
      <c r="H670" s="118" t="n"/>
    </row>
    <row r="671" ht="15" customHeight="1" s="64">
      <c r="A671" s="112" t="n">
        <v>666</v>
      </c>
      <c r="B671" s="118" t="n"/>
      <c r="C671" s="118" t="n"/>
      <c r="D671" s="118" t="n"/>
      <c r="E671" s="115">
        <f>IF(C671="","",IFERROR(C671/MOTOR!$B$14,0))</f>
        <v/>
      </c>
      <c r="F671" s="116">
        <f>IF(C671="","",IFERROR((C671-MOTOR!$B$8)/MOTOR!$B$11,0))</f>
        <v/>
      </c>
      <c r="G671" s="117">
        <f>IF(C671="","",IF(E671&lt;AYARLAR!$C$11,"AŞIRI DÜŞÜK",IF(E671&lt;AYARLAR!$C$12,"SINIRDA","GÜVENLİ")))</f>
        <v/>
      </c>
      <c r="H671" s="118" t="n"/>
    </row>
    <row r="672" ht="15" customHeight="1" s="64">
      <c r="A672" s="112" t="n">
        <v>667</v>
      </c>
      <c r="B672" s="118" t="n"/>
      <c r="C672" s="118" t="n"/>
      <c r="D672" s="118" t="n"/>
      <c r="E672" s="115">
        <f>IF(C672="","",IFERROR(C672/MOTOR!$B$14,0))</f>
        <v/>
      </c>
      <c r="F672" s="116">
        <f>IF(C672="","",IFERROR((C672-MOTOR!$B$8)/MOTOR!$B$11,0))</f>
        <v/>
      </c>
      <c r="G672" s="117">
        <f>IF(C672="","",IF(E672&lt;AYARLAR!$C$11,"AŞIRI DÜŞÜK",IF(E672&lt;AYARLAR!$C$12,"SINIRDA","GÜVENLİ")))</f>
        <v/>
      </c>
      <c r="H672" s="118" t="n"/>
    </row>
    <row r="673" ht="15" customHeight="1" s="64">
      <c r="A673" s="112" t="n">
        <v>668</v>
      </c>
      <c r="B673" s="118" t="n"/>
      <c r="C673" s="118" t="n"/>
      <c r="D673" s="118" t="n"/>
      <c r="E673" s="115">
        <f>IF(C673="","",IFERROR(C673/MOTOR!$B$14,0))</f>
        <v/>
      </c>
      <c r="F673" s="116">
        <f>IF(C673="","",IFERROR((C673-MOTOR!$B$8)/MOTOR!$B$11,0))</f>
        <v/>
      </c>
      <c r="G673" s="117">
        <f>IF(C673="","",IF(E673&lt;AYARLAR!$C$11,"AŞIRI DÜŞÜK",IF(E673&lt;AYARLAR!$C$12,"SINIRDA","GÜVENLİ")))</f>
        <v/>
      </c>
      <c r="H673" s="118" t="n"/>
    </row>
    <row r="674" ht="15" customHeight="1" s="64">
      <c r="A674" s="112" t="n">
        <v>669</v>
      </c>
      <c r="B674" s="118" t="n"/>
      <c r="C674" s="118" t="n"/>
      <c r="D674" s="118" t="n"/>
      <c r="E674" s="115">
        <f>IF(C674="","",IFERROR(C674/MOTOR!$B$14,0))</f>
        <v/>
      </c>
      <c r="F674" s="116">
        <f>IF(C674="","",IFERROR((C674-MOTOR!$B$8)/MOTOR!$B$11,0))</f>
        <v/>
      </c>
      <c r="G674" s="117">
        <f>IF(C674="","",IF(E674&lt;AYARLAR!$C$11,"AŞIRI DÜŞÜK",IF(E674&lt;AYARLAR!$C$12,"SINIRDA","GÜVENLİ")))</f>
        <v/>
      </c>
      <c r="H674" s="118" t="n"/>
    </row>
    <row r="675" ht="15" customHeight="1" s="64">
      <c r="A675" s="112" t="n">
        <v>670</v>
      </c>
      <c r="B675" s="118" t="n"/>
      <c r="C675" s="118" t="n"/>
      <c r="D675" s="118" t="n"/>
      <c r="E675" s="115">
        <f>IF(C675="","",IFERROR(C675/MOTOR!$B$14,0))</f>
        <v/>
      </c>
      <c r="F675" s="116">
        <f>IF(C675="","",IFERROR((C675-MOTOR!$B$8)/MOTOR!$B$11,0))</f>
        <v/>
      </c>
      <c r="G675" s="117">
        <f>IF(C675="","",IF(E675&lt;AYARLAR!$C$11,"AŞIRI DÜŞÜK",IF(E675&lt;AYARLAR!$C$12,"SINIRDA","GÜVENLİ")))</f>
        <v/>
      </c>
      <c r="H675" s="118" t="n"/>
    </row>
    <row r="676" ht="15" customHeight="1" s="64">
      <c r="A676" s="112" t="n">
        <v>671</v>
      </c>
      <c r="B676" s="118" t="n"/>
      <c r="C676" s="118" t="n"/>
      <c r="D676" s="118" t="n"/>
      <c r="E676" s="115">
        <f>IF(C676="","",IFERROR(C676/MOTOR!$B$14,0))</f>
        <v/>
      </c>
      <c r="F676" s="116">
        <f>IF(C676="","",IFERROR((C676-MOTOR!$B$8)/MOTOR!$B$11,0))</f>
        <v/>
      </c>
      <c r="G676" s="117">
        <f>IF(C676="","",IF(E676&lt;AYARLAR!$C$11,"AŞIRI DÜŞÜK",IF(E676&lt;AYARLAR!$C$12,"SINIRDA","GÜVENLİ")))</f>
        <v/>
      </c>
      <c r="H676" s="118" t="n"/>
    </row>
    <row r="677" ht="15" customHeight="1" s="64">
      <c r="A677" s="112" t="n">
        <v>672</v>
      </c>
      <c r="B677" s="118" t="n"/>
      <c r="C677" s="118" t="n"/>
      <c r="D677" s="118" t="n"/>
      <c r="E677" s="115">
        <f>IF(C677="","",IFERROR(C677/MOTOR!$B$14,0))</f>
        <v/>
      </c>
      <c r="F677" s="116">
        <f>IF(C677="","",IFERROR((C677-MOTOR!$B$8)/MOTOR!$B$11,0))</f>
        <v/>
      </c>
      <c r="G677" s="117">
        <f>IF(C677="","",IF(E677&lt;AYARLAR!$C$11,"AŞIRI DÜŞÜK",IF(E677&lt;AYARLAR!$C$12,"SINIRDA","GÜVENLİ")))</f>
        <v/>
      </c>
      <c r="H677" s="118" t="n"/>
    </row>
    <row r="678" ht="15" customHeight="1" s="64">
      <c r="A678" s="112" t="n">
        <v>673</v>
      </c>
      <c r="B678" s="118" t="n"/>
      <c r="C678" s="118" t="n"/>
      <c r="D678" s="118" t="n"/>
      <c r="E678" s="115">
        <f>IF(C678="","",IFERROR(C678/MOTOR!$B$14,0))</f>
        <v/>
      </c>
      <c r="F678" s="116">
        <f>IF(C678="","",IFERROR((C678-MOTOR!$B$8)/MOTOR!$B$11,0))</f>
        <v/>
      </c>
      <c r="G678" s="117">
        <f>IF(C678="","",IF(E678&lt;AYARLAR!$C$11,"AŞIRI DÜŞÜK",IF(E678&lt;AYARLAR!$C$12,"SINIRDA","GÜVENLİ")))</f>
        <v/>
      </c>
      <c r="H678" s="118" t="n"/>
    </row>
    <row r="679" ht="15" customHeight="1" s="64">
      <c r="A679" s="112" t="n">
        <v>674</v>
      </c>
      <c r="B679" s="118" t="n"/>
      <c r="C679" s="118" t="n"/>
      <c r="D679" s="118" t="n"/>
      <c r="E679" s="115">
        <f>IF(C679="","",IFERROR(C679/MOTOR!$B$14,0))</f>
        <v/>
      </c>
      <c r="F679" s="116">
        <f>IF(C679="","",IFERROR((C679-MOTOR!$B$8)/MOTOR!$B$11,0))</f>
        <v/>
      </c>
      <c r="G679" s="117">
        <f>IF(C679="","",IF(E679&lt;AYARLAR!$C$11,"AŞIRI DÜŞÜK",IF(E679&lt;AYARLAR!$C$12,"SINIRDA","GÜVENLİ")))</f>
        <v/>
      </c>
      <c r="H679" s="118" t="n"/>
    </row>
    <row r="680" ht="15" customHeight="1" s="64">
      <c r="A680" s="112" t="n">
        <v>675</v>
      </c>
      <c r="B680" s="118" t="n"/>
      <c r="C680" s="118" t="n"/>
      <c r="D680" s="118" t="n"/>
      <c r="E680" s="115">
        <f>IF(C680="","",IFERROR(C680/MOTOR!$B$14,0))</f>
        <v/>
      </c>
      <c r="F680" s="116">
        <f>IF(C680="","",IFERROR((C680-MOTOR!$B$8)/MOTOR!$B$11,0))</f>
        <v/>
      </c>
      <c r="G680" s="117">
        <f>IF(C680="","",IF(E680&lt;AYARLAR!$C$11,"AŞIRI DÜŞÜK",IF(E680&lt;AYARLAR!$C$12,"SINIRDA","GÜVENLİ")))</f>
        <v/>
      </c>
      <c r="H680" s="118" t="n"/>
    </row>
    <row r="681" ht="15" customHeight="1" s="64">
      <c r="A681" s="112" t="n">
        <v>676</v>
      </c>
      <c r="B681" s="118" t="n"/>
      <c r="C681" s="118" t="n"/>
      <c r="D681" s="118" t="n"/>
      <c r="E681" s="115">
        <f>IF(C681="","",IFERROR(C681/MOTOR!$B$14,0))</f>
        <v/>
      </c>
      <c r="F681" s="116">
        <f>IF(C681="","",IFERROR((C681-MOTOR!$B$8)/MOTOR!$B$11,0))</f>
        <v/>
      </c>
      <c r="G681" s="117">
        <f>IF(C681="","",IF(E681&lt;AYARLAR!$C$11,"AŞIRI DÜŞÜK",IF(E681&lt;AYARLAR!$C$12,"SINIRDA","GÜVENLİ")))</f>
        <v/>
      </c>
      <c r="H681" s="118" t="n"/>
    </row>
    <row r="682" ht="15" customHeight="1" s="64">
      <c r="A682" s="112" t="n">
        <v>677</v>
      </c>
      <c r="B682" s="118" t="n"/>
      <c r="C682" s="118" t="n"/>
      <c r="D682" s="118" t="n"/>
      <c r="E682" s="115">
        <f>IF(C682="","",IFERROR(C682/MOTOR!$B$14,0))</f>
        <v/>
      </c>
      <c r="F682" s="116">
        <f>IF(C682="","",IFERROR((C682-MOTOR!$B$8)/MOTOR!$B$11,0))</f>
        <v/>
      </c>
      <c r="G682" s="117">
        <f>IF(C682="","",IF(E682&lt;AYARLAR!$C$11,"AŞIRI DÜŞÜK",IF(E682&lt;AYARLAR!$C$12,"SINIRDA","GÜVENLİ")))</f>
        <v/>
      </c>
      <c r="H682" s="118" t="n"/>
    </row>
    <row r="683" ht="15" customHeight="1" s="64">
      <c r="A683" s="112" t="n">
        <v>678</v>
      </c>
      <c r="B683" s="118" t="n"/>
      <c r="C683" s="118" t="n"/>
      <c r="D683" s="118" t="n"/>
      <c r="E683" s="115">
        <f>IF(C683="","",IFERROR(C683/MOTOR!$B$14,0))</f>
        <v/>
      </c>
      <c r="F683" s="116">
        <f>IF(C683="","",IFERROR((C683-MOTOR!$B$8)/MOTOR!$B$11,0))</f>
        <v/>
      </c>
      <c r="G683" s="117">
        <f>IF(C683="","",IF(E683&lt;AYARLAR!$C$11,"AŞIRI DÜŞÜK",IF(E683&lt;AYARLAR!$C$12,"SINIRDA","GÜVENLİ")))</f>
        <v/>
      </c>
      <c r="H683" s="118" t="n"/>
    </row>
    <row r="684" ht="15" customHeight="1" s="64">
      <c r="A684" s="112" t="n">
        <v>679</v>
      </c>
      <c r="B684" s="118" t="n"/>
      <c r="C684" s="118" t="n"/>
      <c r="D684" s="118" t="n"/>
      <c r="E684" s="115">
        <f>IF(C684="","",IFERROR(C684/MOTOR!$B$14,0))</f>
        <v/>
      </c>
      <c r="F684" s="116">
        <f>IF(C684="","",IFERROR((C684-MOTOR!$B$8)/MOTOR!$B$11,0))</f>
        <v/>
      </c>
      <c r="G684" s="117">
        <f>IF(C684="","",IF(E684&lt;AYARLAR!$C$11,"AŞIRI DÜŞÜK",IF(E684&lt;AYARLAR!$C$12,"SINIRDA","GÜVENLİ")))</f>
        <v/>
      </c>
      <c r="H684" s="118" t="n"/>
    </row>
    <row r="685" ht="15" customHeight="1" s="64">
      <c r="A685" s="112" t="n">
        <v>680</v>
      </c>
      <c r="B685" s="118" t="n"/>
      <c r="C685" s="118" t="n"/>
      <c r="D685" s="118" t="n"/>
      <c r="E685" s="115">
        <f>IF(C685="","",IFERROR(C685/MOTOR!$B$14,0))</f>
        <v/>
      </c>
      <c r="F685" s="116">
        <f>IF(C685="","",IFERROR((C685-MOTOR!$B$8)/MOTOR!$B$11,0))</f>
        <v/>
      </c>
      <c r="G685" s="117">
        <f>IF(C685="","",IF(E685&lt;AYARLAR!$C$11,"AŞIRI DÜŞÜK",IF(E685&lt;AYARLAR!$C$12,"SINIRDA","GÜVENLİ")))</f>
        <v/>
      </c>
      <c r="H685" s="118" t="n"/>
    </row>
    <row r="686" ht="15" customHeight="1" s="64">
      <c r="A686" s="112" t="n">
        <v>681</v>
      </c>
      <c r="B686" s="118" t="n"/>
      <c r="C686" s="118" t="n"/>
      <c r="D686" s="118" t="n"/>
      <c r="E686" s="115">
        <f>IF(C686="","",IFERROR(C686/MOTOR!$B$14,0))</f>
        <v/>
      </c>
      <c r="F686" s="116">
        <f>IF(C686="","",IFERROR((C686-MOTOR!$B$8)/MOTOR!$B$11,0))</f>
        <v/>
      </c>
      <c r="G686" s="117">
        <f>IF(C686="","",IF(E686&lt;AYARLAR!$C$11,"AŞIRI DÜŞÜK",IF(E686&lt;AYARLAR!$C$12,"SINIRDA","GÜVENLİ")))</f>
        <v/>
      </c>
      <c r="H686" s="118" t="n"/>
    </row>
    <row r="687" ht="15" customHeight="1" s="64">
      <c r="A687" s="112" t="n">
        <v>682</v>
      </c>
      <c r="B687" s="118" t="n"/>
      <c r="C687" s="118" t="n"/>
      <c r="D687" s="118" t="n"/>
      <c r="E687" s="115">
        <f>IF(C687="","",IFERROR(C687/MOTOR!$B$14,0))</f>
        <v/>
      </c>
      <c r="F687" s="116">
        <f>IF(C687="","",IFERROR((C687-MOTOR!$B$8)/MOTOR!$B$11,0))</f>
        <v/>
      </c>
      <c r="G687" s="117">
        <f>IF(C687="","",IF(E687&lt;AYARLAR!$C$11,"AŞIRI DÜŞÜK",IF(E687&lt;AYARLAR!$C$12,"SINIRDA","GÜVENLİ")))</f>
        <v/>
      </c>
      <c r="H687" s="118" t="n"/>
    </row>
    <row r="688" ht="15" customHeight="1" s="64">
      <c r="A688" s="112" t="n">
        <v>683</v>
      </c>
      <c r="B688" s="118" t="n"/>
      <c r="C688" s="118" t="n"/>
      <c r="D688" s="118" t="n"/>
      <c r="E688" s="115">
        <f>IF(C688="","",IFERROR(C688/MOTOR!$B$14,0))</f>
        <v/>
      </c>
      <c r="F688" s="116">
        <f>IF(C688="","",IFERROR((C688-MOTOR!$B$8)/MOTOR!$B$11,0))</f>
        <v/>
      </c>
      <c r="G688" s="117">
        <f>IF(C688="","",IF(E688&lt;AYARLAR!$C$11,"AŞIRI DÜŞÜK",IF(E688&lt;AYARLAR!$C$12,"SINIRDA","GÜVENLİ")))</f>
        <v/>
      </c>
      <c r="H688" s="118" t="n"/>
    </row>
    <row r="689" ht="15" customHeight="1" s="64">
      <c r="A689" s="112" t="n">
        <v>684</v>
      </c>
      <c r="B689" s="118" t="n"/>
      <c r="C689" s="118" t="n"/>
      <c r="D689" s="118" t="n"/>
      <c r="E689" s="115">
        <f>IF(C689="","",IFERROR(C689/MOTOR!$B$14,0))</f>
        <v/>
      </c>
      <c r="F689" s="116">
        <f>IF(C689="","",IFERROR((C689-MOTOR!$B$8)/MOTOR!$B$11,0))</f>
        <v/>
      </c>
      <c r="G689" s="117">
        <f>IF(C689="","",IF(E689&lt;AYARLAR!$C$11,"AŞIRI DÜŞÜK",IF(E689&lt;AYARLAR!$C$12,"SINIRDA","GÜVENLİ")))</f>
        <v/>
      </c>
      <c r="H689" s="118" t="n"/>
    </row>
    <row r="690" ht="15" customHeight="1" s="64">
      <c r="A690" s="112" t="n">
        <v>685</v>
      </c>
      <c r="B690" s="118" t="n"/>
      <c r="C690" s="118" t="n"/>
      <c r="D690" s="118" t="n"/>
      <c r="E690" s="115">
        <f>IF(C690="","",IFERROR(C690/MOTOR!$B$14,0))</f>
        <v/>
      </c>
      <c r="F690" s="116">
        <f>IF(C690="","",IFERROR((C690-MOTOR!$B$8)/MOTOR!$B$11,0))</f>
        <v/>
      </c>
      <c r="G690" s="117">
        <f>IF(C690="","",IF(E690&lt;AYARLAR!$C$11,"AŞIRI DÜŞÜK",IF(E690&lt;AYARLAR!$C$12,"SINIRDA","GÜVENLİ")))</f>
        <v/>
      </c>
      <c r="H690" s="118" t="n"/>
    </row>
    <row r="691" ht="15" customHeight="1" s="64">
      <c r="A691" s="112" t="n">
        <v>686</v>
      </c>
      <c r="B691" s="118" t="n"/>
      <c r="C691" s="118" t="n"/>
      <c r="D691" s="118" t="n"/>
      <c r="E691" s="115">
        <f>IF(C691="","",IFERROR(C691/MOTOR!$B$14,0))</f>
        <v/>
      </c>
      <c r="F691" s="116">
        <f>IF(C691="","",IFERROR((C691-MOTOR!$B$8)/MOTOR!$B$11,0))</f>
        <v/>
      </c>
      <c r="G691" s="117">
        <f>IF(C691="","",IF(E691&lt;AYARLAR!$C$11,"AŞIRI DÜŞÜK",IF(E691&lt;AYARLAR!$C$12,"SINIRDA","GÜVENLİ")))</f>
        <v/>
      </c>
      <c r="H691" s="118" t="n"/>
    </row>
    <row r="692" ht="15" customHeight="1" s="64">
      <c r="A692" s="112" t="n">
        <v>687</v>
      </c>
      <c r="B692" s="118" t="n"/>
      <c r="C692" s="118" t="n"/>
      <c r="D692" s="118" t="n"/>
      <c r="E692" s="115">
        <f>IF(C692="","",IFERROR(C692/MOTOR!$B$14,0))</f>
        <v/>
      </c>
      <c r="F692" s="116">
        <f>IF(C692="","",IFERROR((C692-MOTOR!$B$8)/MOTOR!$B$11,0))</f>
        <v/>
      </c>
      <c r="G692" s="117">
        <f>IF(C692="","",IF(E692&lt;AYARLAR!$C$11,"AŞIRI DÜŞÜK",IF(E692&lt;AYARLAR!$C$12,"SINIRDA","GÜVENLİ")))</f>
        <v/>
      </c>
      <c r="H692" s="118" t="n"/>
    </row>
    <row r="693" ht="15" customHeight="1" s="64">
      <c r="A693" s="112" t="n">
        <v>688</v>
      </c>
      <c r="B693" s="118" t="n"/>
      <c r="C693" s="118" t="n"/>
      <c r="D693" s="118" t="n"/>
      <c r="E693" s="115">
        <f>IF(C693="","",IFERROR(C693/MOTOR!$B$14,0))</f>
        <v/>
      </c>
      <c r="F693" s="116">
        <f>IF(C693="","",IFERROR((C693-MOTOR!$B$8)/MOTOR!$B$11,0))</f>
        <v/>
      </c>
      <c r="G693" s="117">
        <f>IF(C693="","",IF(E693&lt;AYARLAR!$C$11,"AŞIRI DÜŞÜK",IF(E693&lt;AYARLAR!$C$12,"SINIRDA","GÜVENLİ")))</f>
        <v/>
      </c>
      <c r="H693" s="118" t="n"/>
    </row>
    <row r="694" ht="15" customHeight="1" s="64">
      <c r="A694" s="112" t="n">
        <v>689</v>
      </c>
      <c r="B694" s="118" t="n"/>
      <c r="C694" s="118" t="n"/>
      <c r="D694" s="118" t="n"/>
      <c r="E694" s="115">
        <f>IF(C694="","",IFERROR(C694/MOTOR!$B$14,0))</f>
        <v/>
      </c>
      <c r="F694" s="116">
        <f>IF(C694="","",IFERROR((C694-MOTOR!$B$8)/MOTOR!$B$11,0))</f>
        <v/>
      </c>
      <c r="G694" s="117">
        <f>IF(C694="","",IF(E694&lt;AYARLAR!$C$11,"AŞIRI DÜŞÜK",IF(E694&lt;AYARLAR!$C$12,"SINIRDA","GÜVENLİ")))</f>
        <v/>
      </c>
      <c r="H694" s="118" t="n"/>
    </row>
    <row r="695" ht="15" customHeight="1" s="64">
      <c r="A695" s="112" t="n">
        <v>690</v>
      </c>
      <c r="B695" s="118" t="n"/>
      <c r="C695" s="118" t="n"/>
      <c r="D695" s="118" t="n"/>
      <c r="E695" s="115">
        <f>IF(C695="","",IFERROR(C695/MOTOR!$B$14,0))</f>
        <v/>
      </c>
      <c r="F695" s="116">
        <f>IF(C695="","",IFERROR((C695-MOTOR!$B$8)/MOTOR!$B$11,0))</f>
        <v/>
      </c>
      <c r="G695" s="117">
        <f>IF(C695="","",IF(E695&lt;AYARLAR!$C$11,"AŞIRI DÜŞÜK",IF(E695&lt;AYARLAR!$C$12,"SINIRDA","GÜVENLİ")))</f>
        <v/>
      </c>
      <c r="H695" s="118" t="n"/>
    </row>
    <row r="696" ht="15" customHeight="1" s="64">
      <c r="A696" s="112" t="n">
        <v>691</v>
      </c>
      <c r="B696" s="118" t="n"/>
      <c r="C696" s="118" t="n"/>
      <c r="D696" s="118" t="n"/>
      <c r="E696" s="115">
        <f>IF(C696="","",IFERROR(C696/MOTOR!$B$14,0))</f>
        <v/>
      </c>
      <c r="F696" s="116">
        <f>IF(C696="","",IFERROR((C696-MOTOR!$B$8)/MOTOR!$B$11,0))</f>
        <v/>
      </c>
      <c r="G696" s="117">
        <f>IF(C696="","",IF(E696&lt;AYARLAR!$C$11,"AŞIRI DÜŞÜK",IF(E696&lt;AYARLAR!$C$12,"SINIRDA","GÜVENLİ")))</f>
        <v/>
      </c>
      <c r="H696" s="118" t="n"/>
    </row>
    <row r="697" ht="15" customHeight="1" s="64">
      <c r="A697" s="112" t="n">
        <v>692</v>
      </c>
      <c r="B697" s="118" t="n"/>
      <c r="C697" s="118" t="n"/>
      <c r="D697" s="118" t="n"/>
      <c r="E697" s="115">
        <f>IF(C697="","",IFERROR(C697/MOTOR!$B$14,0))</f>
        <v/>
      </c>
      <c r="F697" s="116">
        <f>IF(C697="","",IFERROR((C697-MOTOR!$B$8)/MOTOR!$B$11,0))</f>
        <v/>
      </c>
      <c r="G697" s="117">
        <f>IF(C697="","",IF(E697&lt;AYARLAR!$C$11,"AŞIRI DÜŞÜK",IF(E697&lt;AYARLAR!$C$12,"SINIRDA","GÜVENLİ")))</f>
        <v/>
      </c>
      <c r="H697" s="118" t="n"/>
    </row>
    <row r="698" ht="15" customHeight="1" s="64">
      <c r="A698" s="112" t="n">
        <v>693</v>
      </c>
      <c r="B698" s="118" t="n"/>
      <c r="C698" s="118" t="n"/>
      <c r="D698" s="118" t="n"/>
      <c r="E698" s="115">
        <f>IF(C698="","",IFERROR(C698/MOTOR!$B$14,0))</f>
        <v/>
      </c>
      <c r="F698" s="116">
        <f>IF(C698="","",IFERROR((C698-MOTOR!$B$8)/MOTOR!$B$11,0))</f>
        <v/>
      </c>
      <c r="G698" s="117">
        <f>IF(C698="","",IF(E698&lt;AYARLAR!$C$11,"AŞIRI DÜŞÜK",IF(E698&lt;AYARLAR!$C$12,"SINIRDA","GÜVENLİ")))</f>
        <v/>
      </c>
      <c r="H698" s="118" t="n"/>
    </row>
    <row r="699" ht="15" customHeight="1" s="64">
      <c r="A699" s="112" t="n">
        <v>694</v>
      </c>
      <c r="B699" s="118" t="n"/>
      <c r="C699" s="118" t="n"/>
      <c r="D699" s="118" t="n"/>
      <c r="E699" s="115">
        <f>IF(C699="","",IFERROR(C699/MOTOR!$B$14,0))</f>
        <v/>
      </c>
      <c r="F699" s="116">
        <f>IF(C699="","",IFERROR((C699-MOTOR!$B$8)/MOTOR!$B$11,0))</f>
        <v/>
      </c>
      <c r="G699" s="117">
        <f>IF(C699="","",IF(E699&lt;AYARLAR!$C$11,"AŞIRI DÜŞÜK",IF(E699&lt;AYARLAR!$C$12,"SINIRDA","GÜVENLİ")))</f>
        <v/>
      </c>
      <c r="H699" s="118" t="n"/>
    </row>
    <row r="700" ht="15" customHeight="1" s="64">
      <c r="A700" s="112" t="n">
        <v>695</v>
      </c>
      <c r="B700" s="118" t="n"/>
      <c r="C700" s="118" t="n"/>
      <c r="D700" s="118" t="n"/>
      <c r="E700" s="115">
        <f>IF(C700="","",IFERROR(C700/MOTOR!$B$14,0))</f>
        <v/>
      </c>
      <c r="F700" s="116">
        <f>IF(C700="","",IFERROR((C700-MOTOR!$B$8)/MOTOR!$B$11,0))</f>
        <v/>
      </c>
      <c r="G700" s="117">
        <f>IF(C700="","",IF(E700&lt;AYARLAR!$C$11,"AŞIRI DÜŞÜK",IF(E700&lt;AYARLAR!$C$12,"SINIRDA","GÜVENLİ")))</f>
        <v/>
      </c>
      <c r="H700" s="118" t="n"/>
    </row>
    <row r="701" ht="15" customHeight="1" s="64">
      <c r="A701" s="112" t="n">
        <v>696</v>
      </c>
      <c r="B701" s="118" t="n"/>
      <c r="C701" s="118" t="n"/>
      <c r="D701" s="118" t="n"/>
      <c r="E701" s="115">
        <f>IF(C701="","",IFERROR(C701/MOTOR!$B$14,0))</f>
        <v/>
      </c>
      <c r="F701" s="116">
        <f>IF(C701="","",IFERROR((C701-MOTOR!$B$8)/MOTOR!$B$11,0))</f>
        <v/>
      </c>
      <c r="G701" s="117">
        <f>IF(C701="","",IF(E701&lt;AYARLAR!$C$11,"AŞIRI DÜŞÜK",IF(E701&lt;AYARLAR!$C$12,"SINIRDA","GÜVENLİ")))</f>
        <v/>
      </c>
      <c r="H701" s="118" t="n"/>
    </row>
    <row r="702" ht="15" customHeight="1" s="64">
      <c r="A702" s="112" t="n">
        <v>697</v>
      </c>
      <c r="B702" s="118" t="n"/>
      <c r="C702" s="118" t="n"/>
      <c r="D702" s="118" t="n"/>
      <c r="E702" s="115">
        <f>IF(C702="","",IFERROR(C702/MOTOR!$B$14,0))</f>
        <v/>
      </c>
      <c r="F702" s="116">
        <f>IF(C702="","",IFERROR((C702-MOTOR!$B$8)/MOTOR!$B$11,0))</f>
        <v/>
      </c>
      <c r="G702" s="117">
        <f>IF(C702="","",IF(E702&lt;AYARLAR!$C$11,"AŞIRI DÜŞÜK",IF(E702&lt;AYARLAR!$C$12,"SINIRDA","GÜVENLİ")))</f>
        <v/>
      </c>
      <c r="H702" s="118" t="n"/>
    </row>
    <row r="703" ht="15" customHeight="1" s="64">
      <c r="A703" s="112" t="n">
        <v>698</v>
      </c>
      <c r="B703" s="118" t="n"/>
      <c r="C703" s="118" t="n"/>
      <c r="D703" s="118" t="n"/>
      <c r="E703" s="115">
        <f>IF(C703="","",IFERROR(C703/MOTOR!$B$14,0))</f>
        <v/>
      </c>
      <c r="F703" s="116">
        <f>IF(C703="","",IFERROR((C703-MOTOR!$B$8)/MOTOR!$B$11,0))</f>
        <v/>
      </c>
      <c r="G703" s="117">
        <f>IF(C703="","",IF(E703&lt;AYARLAR!$C$11,"AŞIRI DÜŞÜK",IF(E703&lt;AYARLAR!$C$12,"SINIRDA","GÜVENLİ")))</f>
        <v/>
      </c>
      <c r="H703" s="118" t="n"/>
    </row>
    <row r="704" ht="15" customHeight="1" s="64">
      <c r="A704" s="112" t="n">
        <v>699</v>
      </c>
      <c r="B704" s="118" t="n"/>
      <c r="C704" s="118" t="n"/>
      <c r="D704" s="118" t="n"/>
      <c r="E704" s="115">
        <f>IF(C704="","",IFERROR(C704/MOTOR!$B$14,0))</f>
        <v/>
      </c>
      <c r="F704" s="116">
        <f>IF(C704="","",IFERROR((C704-MOTOR!$B$8)/MOTOR!$B$11,0))</f>
        <v/>
      </c>
      <c r="G704" s="117">
        <f>IF(C704="","",IF(E704&lt;AYARLAR!$C$11,"AŞIRI DÜŞÜK",IF(E704&lt;AYARLAR!$C$12,"SINIRDA","GÜVENLİ")))</f>
        <v/>
      </c>
      <c r="H704" s="118" t="n"/>
    </row>
    <row r="705" ht="15" customHeight="1" s="64">
      <c r="A705" s="112" t="n">
        <v>700</v>
      </c>
      <c r="B705" s="118" t="n"/>
      <c r="C705" s="118" t="n"/>
      <c r="D705" s="118" t="n"/>
      <c r="E705" s="115">
        <f>IF(C705="","",IFERROR(C705/MOTOR!$B$14,0))</f>
        <v/>
      </c>
      <c r="F705" s="116">
        <f>IF(C705="","",IFERROR((C705-MOTOR!$B$8)/MOTOR!$B$11,0))</f>
        <v/>
      </c>
      <c r="G705" s="117">
        <f>IF(C705="","",IF(E705&lt;AYARLAR!$C$11,"AŞIRI DÜŞÜK",IF(E705&lt;AYARLAR!$C$12,"SINIRDA","GÜVENLİ")))</f>
        <v/>
      </c>
      <c r="H705" s="118" t="n"/>
    </row>
    <row r="706" ht="15" customHeight="1" s="64">
      <c r="A706" s="112" t="n">
        <v>701</v>
      </c>
      <c r="B706" s="118" t="n"/>
      <c r="C706" s="118" t="n"/>
      <c r="D706" s="118" t="n"/>
      <c r="E706" s="115">
        <f>IF(C706="","",IFERROR(C706/MOTOR!$B$14,0))</f>
        <v/>
      </c>
      <c r="F706" s="116">
        <f>IF(C706="","",IFERROR((C706-MOTOR!$B$8)/MOTOR!$B$11,0))</f>
        <v/>
      </c>
      <c r="G706" s="117">
        <f>IF(C706="","",IF(E706&lt;AYARLAR!$C$11,"AŞIRI DÜŞÜK",IF(E706&lt;AYARLAR!$C$12,"SINIRDA","GÜVENLİ")))</f>
        <v/>
      </c>
      <c r="H706" s="118" t="n"/>
    </row>
    <row r="707" ht="15" customHeight="1" s="64">
      <c r="A707" s="112" t="n">
        <v>702</v>
      </c>
      <c r="B707" s="118" t="n"/>
      <c r="C707" s="118" t="n"/>
      <c r="D707" s="118" t="n"/>
      <c r="E707" s="115">
        <f>IF(C707="","",IFERROR(C707/MOTOR!$B$14,0))</f>
        <v/>
      </c>
      <c r="F707" s="116">
        <f>IF(C707="","",IFERROR((C707-MOTOR!$B$8)/MOTOR!$B$11,0))</f>
        <v/>
      </c>
      <c r="G707" s="117">
        <f>IF(C707="","",IF(E707&lt;AYARLAR!$C$11,"AŞIRI DÜŞÜK",IF(E707&lt;AYARLAR!$C$12,"SINIRDA","GÜVENLİ")))</f>
        <v/>
      </c>
      <c r="H707" s="118" t="n"/>
    </row>
    <row r="708" ht="15" customHeight="1" s="64">
      <c r="A708" s="112" t="n">
        <v>703</v>
      </c>
      <c r="B708" s="118" t="n"/>
      <c r="C708" s="118" t="n"/>
      <c r="D708" s="118" t="n"/>
      <c r="E708" s="115">
        <f>IF(C708="","",IFERROR(C708/MOTOR!$B$14,0))</f>
        <v/>
      </c>
      <c r="F708" s="116">
        <f>IF(C708="","",IFERROR((C708-MOTOR!$B$8)/MOTOR!$B$11,0))</f>
        <v/>
      </c>
      <c r="G708" s="117">
        <f>IF(C708="","",IF(E708&lt;AYARLAR!$C$11,"AŞIRI DÜŞÜK",IF(E708&lt;AYARLAR!$C$12,"SINIRDA","GÜVENLİ")))</f>
        <v/>
      </c>
      <c r="H708" s="118" t="n"/>
    </row>
    <row r="709" ht="15" customHeight="1" s="64">
      <c r="A709" s="112" t="n">
        <v>704</v>
      </c>
      <c r="B709" s="118" t="n"/>
      <c r="C709" s="118" t="n"/>
      <c r="D709" s="118" t="n"/>
      <c r="E709" s="115">
        <f>IF(C709="","",IFERROR(C709/MOTOR!$B$14,0))</f>
        <v/>
      </c>
      <c r="F709" s="116">
        <f>IF(C709="","",IFERROR((C709-MOTOR!$B$8)/MOTOR!$B$11,0))</f>
        <v/>
      </c>
      <c r="G709" s="117">
        <f>IF(C709="","",IF(E709&lt;AYARLAR!$C$11,"AŞIRI DÜŞÜK",IF(E709&lt;AYARLAR!$C$12,"SINIRDA","GÜVENLİ")))</f>
        <v/>
      </c>
      <c r="H709" s="118" t="n"/>
    </row>
    <row r="710" ht="15" customHeight="1" s="64">
      <c r="A710" s="112" t="n">
        <v>705</v>
      </c>
      <c r="B710" s="118" t="n"/>
      <c r="C710" s="118" t="n"/>
      <c r="D710" s="118" t="n"/>
      <c r="E710" s="115">
        <f>IF(C710="","",IFERROR(C710/MOTOR!$B$14,0))</f>
        <v/>
      </c>
      <c r="F710" s="116">
        <f>IF(C710="","",IFERROR((C710-MOTOR!$B$8)/MOTOR!$B$11,0))</f>
        <v/>
      </c>
      <c r="G710" s="117">
        <f>IF(C710="","",IF(E710&lt;AYARLAR!$C$11,"AŞIRI DÜŞÜK",IF(E710&lt;AYARLAR!$C$12,"SINIRDA","GÜVENLİ")))</f>
        <v/>
      </c>
      <c r="H710" s="118" t="n"/>
    </row>
    <row r="711" ht="15" customHeight="1" s="64">
      <c r="A711" s="112" t="n">
        <v>706</v>
      </c>
      <c r="B711" s="118" t="n"/>
      <c r="C711" s="118" t="n"/>
      <c r="D711" s="118" t="n"/>
      <c r="E711" s="115">
        <f>IF(C711="","",IFERROR(C711/MOTOR!$B$14,0))</f>
        <v/>
      </c>
      <c r="F711" s="116">
        <f>IF(C711="","",IFERROR((C711-MOTOR!$B$8)/MOTOR!$B$11,0))</f>
        <v/>
      </c>
      <c r="G711" s="117">
        <f>IF(C711="","",IF(E711&lt;AYARLAR!$C$11,"AŞIRI DÜŞÜK",IF(E711&lt;AYARLAR!$C$12,"SINIRDA","GÜVENLİ")))</f>
        <v/>
      </c>
      <c r="H711" s="118" t="n"/>
    </row>
    <row r="712" ht="15" customHeight="1" s="64">
      <c r="A712" s="112" t="n">
        <v>707</v>
      </c>
      <c r="B712" s="118" t="n"/>
      <c r="C712" s="118" t="n"/>
      <c r="D712" s="118" t="n"/>
      <c r="E712" s="115">
        <f>IF(C712="","",IFERROR(C712/MOTOR!$B$14,0))</f>
        <v/>
      </c>
      <c r="F712" s="116">
        <f>IF(C712="","",IFERROR((C712-MOTOR!$B$8)/MOTOR!$B$11,0))</f>
        <v/>
      </c>
      <c r="G712" s="117">
        <f>IF(C712="","",IF(E712&lt;AYARLAR!$C$11,"AŞIRI DÜŞÜK",IF(E712&lt;AYARLAR!$C$12,"SINIRDA","GÜVENLİ")))</f>
        <v/>
      </c>
      <c r="H712" s="118" t="n"/>
    </row>
    <row r="713" ht="15" customHeight="1" s="64">
      <c r="A713" s="112" t="n">
        <v>708</v>
      </c>
      <c r="B713" s="118" t="n"/>
      <c r="C713" s="118" t="n"/>
      <c r="D713" s="118" t="n"/>
      <c r="E713" s="115">
        <f>IF(C713="","",IFERROR(C713/MOTOR!$B$14,0))</f>
        <v/>
      </c>
      <c r="F713" s="116">
        <f>IF(C713="","",IFERROR((C713-MOTOR!$B$8)/MOTOR!$B$11,0))</f>
        <v/>
      </c>
      <c r="G713" s="117">
        <f>IF(C713="","",IF(E713&lt;AYARLAR!$C$11,"AŞIRI DÜŞÜK",IF(E713&lt;AYARLAR!$C$12,"SINIRDA","GÜVENLİ")))</f>
        <v/>
      </c>
      <c r="H713" s="118" t="n"/>
    </row>
    <row r="714" ht="15" customHeight="1" s="64">
      <c r="A714" s="112" t="n">
        <v>709</v>
      </c>
      <c r="B714" s="118" t="n"/>
      <c r="C714" s="118" t="n"/>
      <c r="D714" s="118" t="n"/>
      <c r="E714" s="115">
        <f>IF(C714="","",IFERROR(C714/MOTOR!$B$14,0))</f>
        <v/>
      </c>
      <c r="F714" s="116">
        <f>IF(C714="","",IFERROR((C714-MOTOR!$B$8)/MOTOR!$B$11,0))</f>
        <v/>
      </c>
      <c r="G714" s="117">
        <f>IF(C714="","",IF(E714&lt;AYARLAR!$C$11,"AŞIRI DÜŞÜK",IF(E714&lt;AYARLAR!$C$12,"SINIRDA","GÜVENLİ")))</f>
        <v/>
      </c>
      <c r="H714" s="118" t="n"/>
    </row>
    <row r="715" ht="15" customHeight="1" s="64">
      <c r="A715" s="112" t="n">
        <v>710</v>
      </c>
      <c r="B715" s="118" t="n"/>
      <c r="C715" s="118" t="n"/>
      <c r="D715" s="118" t="n"/>
      <c r="E715" s="115">
        <f>IF(C715="","",IFERROR(C715/MOTOR!$B$14,0))</f>
        <v/>
      </c>
      <c r="F715" s="116">
        <f>IF(C715="","",IFERROR((C715-MOTOR!$B$8)/MOTOR!$B$11,0))</f>
        <v/>
      </c>
      <c r="G715" s="117">
        <f>IF(C715="","",IF(E715&lt;AYARLAR!$C$11,"AŞIRI DÜŞÜK",IF(E715&lt;AYARLAR!$C$12,"SINIRDA","GÜVENLİ")))</f>
        <v/>
      </c>
      <c r="H715" s="118" t="n"/>
    </row>
    <row r="716" ht="15" customHeight="1" s="64">
      <c r="A716" s="112" t="n">
        <v>711</v>
      </c>
      <c r="B716" s="118" t="n"/>
      <c r="C716" s="118" t="n"/>
      <c r="D716" s="118" t="n"/>
      <c r="E716" s="115">
        <f>IF(C716="","",IFERROR(C716/MOTOR!$B$14,0))</f>
        <v/>
      </c>
      <c r="F716" s="116">
        <f>IF(C716="","",IFERROR((C716-MOTOR!$B$8)/MOTOR!$B$11,0))</f>
        <v/>
      </c>
      <c r="G716" s="117">
        <f>IF(C716="","",IF(E716&lt;AYARLAR!$C$11,"AŞIRI DÜŞÜK",IF(E716&lt;AYARLAR!$C$12,"SINIRDA","GÜVENLİ")))</f>
        <v/>
      </c>
      <c r="H716" s="118" t="n"/>
    </row>
    <row r="717" ht="15" customHeight="1" s="64">
      <c r="A717" s="112" t="n">
        <v>712</v>
      </c>
      <c r="B717" s="118" t="n"/>
      <c r="C717" s="118" t="n"/>
      <c r="D717" s="118" t="n"/>
      <c r="E717" s="115">
        <f>IF(C717="","",IFERROR(C717/MOTOR!$B$14,0))</f>
        <v/>
      </c>
      <c r="F717" s="116">
        <f>IF(C717="","",IFERROR((C717-MOTOR!$B$8)/MOTOR!$B$11,0))</f>
        <v/>
      </c>
      <c r="G717" s="117">
        <f>IF(C717="","",IF(E717&lt;AYARLAR!$C$11,"AŞIRI DÜŞÜK",IF(E717&lt;AYARLAR!$C$12,"SINIRDA","GÜVENLİ")))</f>
        <v/>
      </c>
      <c r="H717" s="118" t="n"/>
    </row>
    <row r="718" ht="15" customHeight="1" s="64">
      <c r="A718" s="112" t="n">
        <v>713</v>
      </c>
      <c r="B718" s="118" t="n"/>
      <c r="C718" s="118" t="n"/>
      <c r="D718" s="118" t="n"/>
      <c r="E718" s="115">
        <f>IF(C718="","",IFERROR(C718/MOTOR!$B$14,0))</f>
        <v/>
      </c>
      <c r="F718" s="116">
        <f>IF(C718="","",IFERROR((C718-MOTOR!$B$8)/MOTOR!$B$11,0))</f>
        <v/>
      </c>
      <c r="G718" s="117">
        <f>IF(C718="","",IF(E718&lt;AYARLAR!$C$11,"AŞIRI DÜŞÜK",IF(E718&lt;AYARLAR!$C$12,"SINIRDA","GÜVENLİ")))</f>
        <v/>
      </c>
      <c r="H718" s="118" t="n"/>
    </row>
    <row r="719" ht="15" customHeight="1" s="64">
      <c r="A719" s="112" t="n">
        <v>714</v>
      </c>
      <c r="B719" s="118" t="n"/>
      <c r="C719" s="118" t="n"/>
      <c r="D719" s="118" t="n"/>
      <c r="E719" s="115">
        <f>IF(C719="","",IFERROR(C719/MOTOR!$B$14,0))</f>
        <v/>
      </c>
      <c r="F719" s="116">
        <f>IF(C719="","",IFERROR((C719-MOTOR!$B$8)/MOTOR!$B$11,0))</f>
        <v/>
      </c>
      <c r="G719" s="117">
        <f>IF(C719="","",IF(E719&lt;AYARLAR!$C$11,"AŞIRI DÜŞÜK",IF(E719&lt;AYARLAR!$C$12,"SINIRDA","GÜVENLİ")))</f>
        <v/>
      </c>
      <c r="H719" s="118" t="n"/>
    </row>
    <row r="720" ht="15" customHeight="1" s="64">
      <c r="A720" s="112" t="n">
        <v>715</v>
      </c>
      <c r="B720" s="118" t="n"/>
      <c r="C720" s="118" t="n"/>
      <c r="D720" s="118" t="n"/>
      <c r="E720" s="115">
        <f>IF(C720="","",IFERROR(C720/MOTOR!$B$14,0))</f>
        <v/>
      </c>
      <c r="F720" s="116">
        <f>IF(C720="","",IFERROR((C720-MOTOR!$B$8)/MOTOR!$B$11,0))</f>
        <v/>
      </c>
      <c r="G720" s="117">
        <f>IF(C720="","",IF(E720&lt;AYARLAR!$C$11,"AŞIRI DÜŞÜK",IF(E720&lt;AYARLAR!$C$12,"SINIRDA","GÜVENLİ")))</f>
        <v/>
      </c>
      <c r="H720" s="118" t="n"/>
    </row>
    <row r="721" ht="15" customHeight="1" s="64">
      <c r="A721" s="112" t="n">
        <v>716</v>
      </c>
      <c r="B721" s="118" t="n"/>
      <c r="C721" s="118" t="n"/>
      <c r="D721" s="118" t="n"/>
      <c r="E721" s="115">
        <f>IF(C721="","",IFERROR(C721/MOTOR!$B$14,0))</f>
        <v/>
      </c>
      <c r="F721" s="116">
        <f>IF(C721="","",IFERROR((C721-MOTOR!$B$8)/MOTOR!$B$11,0))</f>
        <v/>
      </c>
      <c r="G721" s="117">
        <f>IF(C721="","",IF(E721&lt;AYARLAR!$C$11,"AŞIRI DÜŞÜK",IF(E721&lt;AYARLAR!$C$12,"SINIRDA","GÜVENLİ")))</f>
        <v/>
      </c>
      <c r="H721" s="118" t="n"/>
    </row>
    <row r="722" ht="15" customHeight="1" s="64">
      <c r="A722" s="112" t="n">
        <v>717</v>
      </c>
      <c r="B722" s="118" t="n"/>
      <c r="C722" s="118" t="n"/>
      <c r="D722" s="118" t="n"/>
      <c r="E722" s="115">
        <f>IF(C722="","",IFERROR(C722/MOTOR!$B$14,0))</f>
        <v/>
      </c>
      <c r="F722" s="116">
        <f>IF(C722="","",IFERROR((C722-MOTOR!$B$8)/MOTOR!$B$11,0))</f>
        <v/>
      </c>
      <c r="G722" s="117">
        <f>IF(C722="","",IF(E722&lt;AYARLAR!$C$11,"AŞIRI DÜŞÜK",IF(E722&lt;AYARLAR!$C$12,"SINIRDA","GÜVENLİ")))</f>
        <v/>
      </c>
      <c r="H722" s="118" t="n"/>
    </row>
    <row r="723" ht="15" customHeight="1" s="64">
      <c r="A723" s="112" t="n">
        <v>718</v>
      </c>
      <c r="B723" s="118" t="n"/>
      <c r="C723" s="118" t="n"/>
      <c r="D723" s="118" t="n"/>
      <c r="E723" s="115">
        <f>IF(C723="","",IFERROR(C723/MOTOR!$B$14,0))</f>
        <v/>
      </c>
      <c r="F723" s="116">
        <f>IF(C723="","",IFERROR((C723-MOTOR!$B$8)/MOTOR!$B$11,0))</f>
        <v/>
      </c>
      <c r="G723" s="117">
        <f>IF(C723="","",IF(E723&lt;AYARLAR!$C$11,"AŞIRI DÜŞÜK",IF(E723&lt;AYARLAR!$C$12,"SINIRDA","GÜVENLİ")))</f>
        <v/>
      </c>
      <c r="H723" s="118" t="n"/>
    </row>
    <row r="724" ht="15" customHeight="1" s="64">
      <c r="A724" s="112" t="n">
        <v>719</v>
      </c>
      <c r="B724" s="118" t="n"/>
      <c r="C724" s="118" t="n"/>
      <c r="D724" s="118" t="n"/>
      <c r="E724" s="115">
        <f>IF(C724="","",IFERROR(C724/MOTOR!$B$14,0))</f>
        <v/>
      </c>
      <c r="F724" s="116">
        <f>IF(C724="","",IFERROR((C724-MOTOR!$B$8)/MOTOR!$B$11,0))</f>
        <v/>
      </c>
      <c r="G724" s="117">
        <f>IF(C724="","",IF(E724&lt;AYARLAR!$C$11,"AŞIRI DÜŞÜK",IF(E724&lt;AYARLAR!$C$12,"SINIRDA","GÜVENLİ")))</f>
        <v/>
      </c>
      <c r="H724" s="118" t="n"/>
    </row>
    <row r="725" ht="15" customHeight="1" s="64">
      <c r="A725" s="112" t="n">
        <v>720</v>
      </c>
      <c r="B725" s="118" t="n"/>
      <c r="C725" s="118" t="n"/>
      <c r="D725" s="118" t="n"/>
      <c r="E725" s="115">
        <f>IF(C725="","",IFERROR(C725/MOTOR!$B$14,0))</f>
        <v/>
      </c>
      <c r="F725" s="116">
        <f>IF(C725="","",IFERROR((C725-MOTOR!$B$8)/MOTOR!$B$11,0))</f>
        <v/>
      </c>
      <c r="G725" s="117">
        <f>IF(C725="","",IF(E725&lt;AYARLAR!$C$11,"AŞIRI DÜŞÜK",IF(E725&lt;AYARLAR!$C$12,"SINIRDA","GÜVENLİ")))</f>
        <v/>
      </c>
      <c r="H725" s="118" t="n"/>
    </row>
    <row r="726" ht="15" customHeight="1" s="64">
      <c r="A726" s="112" t="n">
        <v>721</v>
      </c>
      <c r="B726" s="118" t="n"/>
      <c r="C726" s="118" t="n"/>
      <c r="D726" s="118" t="n"/>
      <c r="E726" s="115">
        <f>IF(C726="","",IFERROR(C726/MOTOR!$B$14,0))</f>
        <v/>
      </c>
      <c r="F726" s="116">
        <f>IF(C726="","",IFERROR((C726-MOTOR!$B$8)/MOTOR!$B$11,0))</f>
        <v/>
      </c>
      <c r="G726" s="117">
        <f>IF(C726="","",IF(E726&lt;AYARLAR!$C$11,"AŞIRI DÜŞÜK",IF(E726&lt;AYARLAR!$C$12,"SINIRDA","GÜVENLİ")))</f>
        <v/>
      </c>
      <c r="H726" s="118" t="n"/>
    </row>
    <row r="727" ht="15" customHeight="1" s="64">
      <c r="A727" s="112" t="n">
        <v>722</v>
      </c>
      <c r="B727" s="118" t="n"/>
      <c r="C727" s="118" t="n"/>
      <c r="D727" s="118" t="n"/>
      <c r="E727" s="115">
        <f>IF(C727="","",IFERROR(C727/MOTOR!$B$14,0))</f>
        <v/>
      </c>
      <c r="F727" s="116">
        <f>IF(C727="","",IFERROR((C727-MOTOR!$B$8)/MOTOR!$B$11,0))</f>
        <v/>
      </c>
      <c r="G727" s="117">
        <f>IF(C727="","",IF(E727&lt;AYARLAR!$C$11,"AŞIRI DÜŞÜK",IF(E727&lt;AYARLAR!$C$12,"SINIRDA","GÜVENLİ")))</f>
        <v/>
      </c>
      <c r="H727" s="118" t="n"/>
    </row>
    <row r="728" ht="15" customHeight="1" s="64">
      <c r="A728" s="112" t="n">
        <v>723</v>
      </c>
      <c r="B728" s="118" t="n"/>
      <c r="C728" s="118" t="n"/>
      <c r="D728" s="118" t="n"/>
      <c r="E728" s="115">
        <f>IF(C728="","",IFERROR(C728/MOTOR!$B$14,0))</f>
        <v/>
      </c>
      <c r="F728" s="116">
        <f>IF(C728="","",IFERROR((C728-MOTOR!$B$8)/MOTOR!$B$11,0))</f>
        <v/>
      </c>
      <c r="G728" s="117">
        <f>IF(C728="","",IF(E728&lt;AYARLAR!$C$11,"AŞIRI DÜŞÜK",IF(E728&lt;AYARLAR!$C$12,"SINIRDA","GÜVENLİ")))</f>
        <v/>
      </c>
      <c r="H728" s="118" t="n"/>
    </row>
    <row r="729" ht="15" customHeight="1" s="64">
      <c r="A729" s="112" t="n">
        <v>724</v>
      </c>
      <c r="B729" s="118" t="n"/>
      <c r="C729" s="118" t="n"/>
      <c r="D729" s="118" t="n"/>
      <c r="E729" s="115">
        <f>IF(C729="","",IFERROR(C729/MOTOR!$B$14,0))</f>
        <v/>
      </c>
      <c r="F729" s="116">
        <f>IF(C729="","",IFERROR((C729-MOTOR!$B$8)/MOTOR!$B$11,0))</f>
        <v/>
      </c>
      <c r="G729" s="117">
        <f>IF(C729="","",IF(E729&lt;AYARLAR!$C$11,"AŞIRI DÜŞÜK",IF(E729&lt;AYARLAR!$C$12,"SINIRDA","GÜVENLİ")))</f>
        <v/>
      </c>
      <c r="H729" s="118" t="n"/>
    </row>
    <row r="730" ht="15" customHeight="1" s="64">
      <c r="A730" s="112" t="n">
        <v>725</v>
      </c>
      <c r="B730" s="118" t="n"/>
      <c r="C730" s="118" t="n"/>
      <c r="D730" s="118" t="n"/>
      <c r="E730" s="115">
        <f>IF(C730="","",IFERROR(C730/MOTOR!$B$14,0))</f>
        <v/>
      </c>
      <c r="F730" s="116">
        <f>IF(C730="","",IFERROR((C730-MOTOR!$B$8)/MOTOR!$B$11,0))</f>
        <v/>
      </c>
      <c r="G730" s="117">
        <f>IF(C730="","",IF(E730&lt;AYARLAR!$C$11,"AŞIRI DÜŞÜK",IF(E730&lt;AYARLAR!$C$12,"SINIRDA","GÜVENLİ")))</f>
        <v/>
      </c>
      <c r="H730" s="118" t="n"/>
    </row>
    <row r="731" ht="15" customHeight="1" s="64">
      <c r="A731" s="112" t="n">
        <v>726</v>
      </c>
      <c r="B731" s="118" t="n"/>
      <c r="C731" s="118" t="n"/>
      <c r="D731" s="118" t="n"/>
      <c r="E731" s="115">
        <f>IF(C731="","",IFERROR(C731/MOTOR!$B$14,0))</f>
        <v/>
      </c>
      <c r="F731" s="116">
        <f>IF(C731="","",IFERROR((C731-MOTOR!$B$8)/MOTOR!$B$11,0))</f>
        <v/>
      </c>
      <c r="G731" s="117">
        <f>IF(C731="","",IF(E731&lt;AYARLAR!$C$11,"AŞIRI DÜŞÜK",IF(E731&lt;AYARLAR!$C$12,"SINIRDA","GÜVENLİ")))</f>
        <v/>
      </c>
      <c r="H731" s="118" t="n"/>
    </row>
    <row r="732" ht="15" customHeight="1" s="64">
      <c r="A732" s="112" t="n">
        <v>727</v>
      </c>
      <c r="B732" s="118" t="n"/>
      <c r="C732" s="118" t="n"/>
      <c r="D732" s="118" t="n"/>
      <c r="E732" s="115">
        <f>IF(C732="","",IFERROR(C732/MOTOR!$B$14,0))</f>
        <v/>
      </c>
      <c r="F732" s="116">
        <f>IF(C732="","",IFERROR((C732-MOTOR!$B$8)/MOTOR!$B$11,0))</f>
        <v/>
      </c>
      <c r="G732" s="117">
        <f>IF(C732="","",IF(E732&lt;AYARLAR!$C$11,"AŞIRI DÜŞÜK",IF(E732&lt;AYARLAR!$C$12,"SINIRDA","GÜVENLİ")))</f>
        <v/>
      </c>
      <c r="H732" s="118" t="n"/>
    </row>
    <row r="733" ht="15" customHeight="1" s="64">
      <c r="A733" s="112" t="n">
        <v>728</v>
      </c>
      <c r="B733" s="118" t="n"/>
      <c r="C733" s="118" t="n"/>
      <c r="D733" s="118" t="n"/>
      <c r="E733" s="115">
        <f>IF(C733="","",IFERROR(C733/MOTOR!$B$14,0))</f>
        <v/>
      </c>
      <c r="F733" s="116">
        <f>IF(C733="","",IFERROR((C733-MOTOR!$B$8)/MOTOR!$B$11,0))</f>
        <v/>
      </c>
      <c r="G733" s="117">
        <f>IF(C733="","",IF(E733&lt;AYARLAR!$C$11,"AŞIRI DÜŞÜK",IF(E733&lt;AYARLAR!$C$12,"SINIRDA","GÜVENLİ")))</f>
        <v/>
      </c>
      <c r="H733" s="118" t="n"/>
    </row>
    <row r="734" ht="15" customHeight="1" s="64">
      <c r="A734" s="112" t="n">
        <v>729</v>
      </c>
      <c r="B734" s="118" t="n"/>
      <c r="C734" s="118" t="n"/>
      <c r="D734" s="118" t="n"/>
      <c r="E734" s="115">
        <f>IF(C734="","",IFERROR(C734/MOTOR!$B$14,0))</f>
        <v/>
      </c>
      <c r="F734" s="116">
        <f>IF(C734="","",IFERROR((C734-MOTOR!$B$8)/MOTOR!$B$11,0))</f>
        <v/>
      </c>
      <c r="G734" s="117">
        <f>IF(C734="","",IF(E734&lt;AYARLAR!$C$11,"AŞIRI DÜŞÜK",IF(E734&lt;AYARLAR!$C$12,"SINIRDA","GÜVENLİ")))</f>
        <v/>
      </c>
      <c r="H734" s="118" t="n"/>
    </row>
    <row r="735" ht="15" customHeight="1" s="64">
      <c r="A735" s="112" t="n">
        <v>730</v>
      </c>
      <c r="B735" s="118" t="n"/>
      <c r="C735" s="118" t="n"/>
      <c r="D735" s="118" t="n"/>
      <c r="E735" s="115">
        <f>IF(C735="","",IFERROR(C735/MOTOR!$B$14,0))</f>
        <v/>
      </c>
      <c r="F735" s="116">
        <f>IF(C735="","",IFERROR((C735-MOTOR!$B$8)/MOTOR!$B$11,0))</f>
        <v/>
      </c>
      <c r="G735" s="117">
        <f>IF(C735="","",IF(E735&lt;AYARLAR!$C$11,"AŞIRI DÜŞÜK",IF(E735&lt;AYARLAR!$C$12,"SINIRDA","GÜVENLİ")))</f>
        <v/>
      </c>
      <c r="H735" s="118" t="n"/>
    </row>
    <row r="736" ht="15" customHeight="1" s="64">
      <c r="A736" s="112" t="n">
        <v>731</v>
      </c>
      <c r="B736" s="118" t="n"/>
      <c r="C736" s="118" t="n"/>
      <c r="D736" s="118" t="n"/>
      <c r="E736" s="115">
        <f>IF(C736="","",IFERROR(C736/MOTOR!$B$14,0))</f>
        <v/>
      </c>
      <c r="F736" s="116">
        <f>IF(C736="","",IFERROR((C736-MOTOR!$B$8)/MOTOR!$B$11,0))</f>
        <v/>
      </c>
      <c r="G736" s="117">
        <f>IF(C736="","",IF(E736&lt;AYARLAR!$C$11,"AŞIRI DÜŞÜK",IF(E736&lt;AYARLAR!$C$12,"SINIRDA","GÜVENLİ")))</f>
        <v/>
      </c>
      <c r="H736" s="118" t="n"/>
    </row>
    <row r="737" ht="15" customHeight="1" s="64">
      <c r="A737" s="112" t="n">
        <v>732</v>
      </c>
      <c r="B737" s="118" t="n"/>
      <c r="C737" s="118" t="n"/>
      <c r="D737" s="118" t="n"/>
      <c r="E737" s="115">
        <f>IF(C737="","",IFERROR(C737/MOTOR!$B$14,0))</f>
        <v/>
      </c>
      <c r="F737" s="116">
        <f>IF(C737="","",IFERROR((C737-MOTOR!$B$8)/MOTOR!$B$11,0))</f>
        <v/>
      </c>
      <c r="G737" s="117">
        <f>IF(C737="","",IF(E737&lt;AYARLAR!$C$11,"AŞIRI DÜŞÜK",IF(E737&lt;AYARLAR!$C$12,"SINIRDA","GÜVENLİ")))</f>
        <v/>
      </c>
      <c r="H737" s="118" t="n"/>
    </row>
    <row r="738" ht="15" customHeight="1" s="64">
      <c r="A738" s="112" t="n">
        <v>733</v>
      </c>
      <c r="B738" s="118" t="n"/>
      <c r="C738" s="118" t="n"/>
      <c r="D738" s="118" t="n"/>
      <c r="E738" s="115">
        <f>IF(C738="","",IFERROR(C738/MOTOR!$B$14,0))</f>
        <v/>
      </c>
      <c r="F738" s="116">
        <f>IF(C738="","",IFERROR((C738-MOTOR!$B$8)/MOTOR!$B$11,0))</f>
        <v/>
      </c>
      <c r="G738" s="117">
        <f>IF(C738="","",IF(E738&lt;AYARLAR!$C$11,"AŞIRI DÜŞÜK",IF(E738&lt;AYARLAR!$C$12,"SINIRDA","GÜVENLİ")))</f>
        <v/>
      </c>
      <c r="H738" s="118" t="n"/>
    </row>
    <row r="739" ht="15" customHeight="1" s="64">
      <c r="A739" s="112" t="n">
        <v>734</v>
      </c>
      <c r="B739" s="118" t="n"/>
      <c r="C739" s="118" t="n"/>
      <c r="D739" s="118" t="n"/>
      <c r="E739" s="115">
        <f>IF(C739="","",IFERROR(C739/MOTOR!$B$14,0))</f>
        <v/>
      </c>
      <c r="F739" s="116">
        <f>IF(C739="","",IFERROR((C739-MOTOR!$B$8)/MOTOR!$B$11,0))</f>
        <v/>
      </c>
      <c r="G739" s="117">
        <f>IF(C739="","",IF(E739&lt;AYARLAR!$C$11,"AŞIRI DÜŞÜK",IF(E739&lt;AYARLAR!$C$12,"SINIRDA","GÜVENLİ")))</f>
        <v/>
      </c>
      <c r="H739" s="118" t="n"/>
    </row>
    <row r="740" ht="15" customHeight="1" s="64">
      <c r="A740" s="112" t="n">
        <v>735</v>
      </c>
      <c r="B740" s="118" t="n"/>
      <c r="C740" s="118" t="n"/>
      <c r="D740" s="118" t="n"/>
      <c r="E740" s="115">
        <f>IF(C740="","",IFERROR(C740/MOTOR!$B$14,0))</f>
        <v/>
      </c>
      <c r="F740" s="116">
        <f>IF(C740="","",IFERROR((C740-MOTOR!$B$8)/MOTOR!$B$11,0))</f>
        <v/>
      </c>
      <c r="G740" s="117">
        <f>IF(C740="","",IF(E740&lt;AYARLAR!$C$11,"AŞIRI DÜŞÜK",IF(E740&lt;AYARLAR!$C$12,"SINIRDA","GÜVENLİ")))</f>
        <v/>
      </c>
      <c r="H740" s="118" t="n"/>
    </row>
    <row r="741" ht="15" customHeight="1" s="64">
      <c r="A741" s="112" t="n">
        <v>736</v>
      </c>
      <c r="B741" s="118" t="n"/>
      <c r="C741" s="118" t="n"/>
      <c r="D741" s="118" t="n"/>
      <c r="E741" s="115">
        <f>IF(C741="","",IFERROR(C741/MOTOR!$B$14,0))</f>
        <v/>
      </c>
      <c r="F741" s="116">
        <f>IF(C741="","",IFERROR((C741-MOTOR!$B$8)/MOTOR!$B$11,0))</f>
        <v/>
      </c>
      <c r="G741" s="117">
        <f>IF(C741="","",IF(E741&lt;AYARLAR!$C$11,"AŞIRI DÜŞÜK",IF(E741&lt;AYARLAR!$C$12,"SINIRDA","GÜVENLİ")))</f>
        <v/>
      </c>
      <c r="H741" s="118" t="n"/>
    </row>
    <row r="742" ht="15" customHeight="1" s="64">
      <c r="A742" s="112" t="n">
        <v>737</v>
      </c>
      <c r="B742" s="118" t="n"/>
      <c r="C742" s="118" t="n"/>
      <c r="D742" s="118" t="n"/>
      <c r="E742" s="115">
        <f>IF(C742="","",IFERROR(C742/MOTOR!$B$14,0))</f>
        <v/>
      </c>
      <c r="F742" s="116">
        <f>IF(C742="","",IFERROR((C742-MOTOR!$B$8)/MOTOR!$B$11,0))</f>
        <v/>
      </c>
      <c r="G742" s="117">
        <f>IF(C742="","",IF(E742&lt;AYARLAR!$C$11,"AŞIRI DÜŞÜK",IF(E742&lt;AYARLAR!$C$12,"SINIRDA","GÜVENLİ")))</f>
        <v/>
      </c>
      <c r="H742" s="118" t="n"/>
    </row>
    <row r="743" ht="15" customHeight="1" s="64">
      <c r="A743" s="112" t="n">
        <v>738</v>
      </c>
      <c r="B743" s="118" t="n"/>
      <c r="C743" s="118" t="n"/>
      <c r="D743" s="118" t="n"/>
      <c r="E743" s="115">
        <f>IF(C743="","",IFERROR(C743/MOTOR!$B$14,0))</f>
        <v/>
      </c>
      <c r="F743" s="116">
        <f>IF(C743="","",IFERROR((C743-MOTOR!$B$8)/MOTOR!$B$11,0))</f>
        <v/>
      </c>
      <c r="G743" s="117">
        <f>IF(C743="","",IF(E743&lt;AYARLAR!$C$11,"AŞIRI DÜŞÜK",IF(E743&lt;AYARLAR!$C$12,"SINIRDA","GÜVENLİ")))</f>
        <v/>
      </c>
      <c r="H743" s="118" t="n"/>
    </row>
    <row r="744" ht="15" customHeight="1" s="64">
      <c r="A744" s="112" t="n">
        <v>739</v>
      </c>
      <c r="B744" s="118" t="n"/>
      <c r="C744" s="118" t="n"/>
      <c r="D744" s="118" t="n"/>
      <c r="E744" s="115">
        <f>IF(C744="","",IFERROR(C744/MOTOR!$B$14,0))</f>
        <v/>
      </c>
      <c r="F744" s="116">
        <f>IF(C744="","",IFERROR((C744-MOTOR!$B$8)/MOTOR!$B$11,0))</f>
        <v/>
      </c>
      <c r="G744" s="117">
        <f>IF(C744="","",IF(E744&lt;AYARLAR!$C$11,"AŞIRI DÜŞÜK",IF(E744&lt;AYARLAR!$C$12,"SINIRDA","GÜVENLİ")))</f>
        <v/>
      </c>
      <c r="H744" s="118" t="n"/>
    </row>
    <row r="745" ht="15" customHeight="1" s="64">
      <c r="A745" s="112" t="n">
        <v>740</v>
      </c>
      <c r="B745" s="118" t="n"/>
      <c r="C745" s="118" t="n"/>
      <c r="D745" s="118" t="n"/>
      <c r="E745" s="115">
        <f>IF(C745="","",IFERROR(C745/MOTOR!$B$14,0))</f>
        <v/>
      </c>
      <c r="F745" s="116">
        <f>IF(C745="","",IFERROR((C745-MOTOR!$B$8)/MOTOR!$B$11,0))</f>
        <v/>
      </c>
      <c r="G745" s="117">
        <f>IF(C745="","",IF(E745&lt;AYARLAR!$C$11,"AŞIRI DÜŞÜK",IF(E745&lt;AYARLAR!$C$12,"SINIRDA","GÜVENLİ")))</f>
        <v/>
      </c>
      <c r="H745" s="118" t="n"/>
    </row>
    <row r="746" ht="15" customHeight="1" s="64">
      <c r="A746" s="112" t="n">
        <v>741</v>
      </c>
      <c r="B746" s="118" t="n"/>
      <c r="C746" s="118" t="n"/>
      <c r="D746" s="118" t="n"/>
      <c r="E746" s="115">
        <f>IF(C746="","",IFERROR(C746/MOTOR!$B$14,0))</f>
        <v/>
      </c>
      <c r="F746" s="116">
        <f>IF(C746="","",IFERROR((C746-MOTOR!$B$8)/MOTOR!$B$11,0))</f>
        <v/>
      </c>
      <c r="G746" s="117">
        <f>IF(C746="","",IF(E746&lt;AYARLAR!$C$11,"AŞIRI DÜŞÜK",IF(E746&lt;AYARLAR!$C$12,"SINIRDA","GÜVENLİ")))</f>
        <v/>
      </c>
      <c r="H746" s="118" t="n"/>
    </row>
    <row r="747" ht="15" customHeight="1" s="64">
      <c r="A747" s="112" t="n">
        <v>742</v>
      </c>
      <c r="B747" s="118" t="n"/>
      <c r="C747" s="118" t="n"/>
      <c r="D747" s="118" t="n"/>
      <c r="E747" s="115">
        <f>IF(C747="","",IFERROR(C747/MOTOR!$B$14,0))</f>
        <v/>
      </c>
      <c r="F747" s="116">
        <f>IF(C747="","",IFERROR((C747-MOTOR!$B$8)/MOTOR!$B$11,0))</f>
        <v/>
      </c>
      <c r="G747" s="117">
        <f>IF(C747="","",IF(E747&lt;AYARLAR!$C$11,"AŞIRI DÜŞÜK",IF(E747&lt;AYARLAR!$C$12,"SINIRDA","GÜVENLİ")))</f>
        <v/>
      </c>
      <c r="H747" s="118" t="n"/>
    </row>
    <row r="748" ht="15" customHeight="1" s="64">
      <c r="A748" s="112" t="n">
        <v>743</v>
      </c>
      <c r="B748" s="118" t="n"/>
      <c r="C748" s="118" t="n"/>
      <c r="D748" s="118" t="n"/>
      <c r="E748" s="115">
        <f>IF(C748="","",IFERROR(C748/MOTOR!$B$14,0))</f>
        <v/>
      </c>
      <c r="F748" s="116">
        <f>IF(C748="","",IFERROR((C748-MOTOR!$B$8)/MOTOR!$B$11,0))</f>
        <v/>
      </c>
      <c r="G748" s="117">
        <f>IF(C748="","",IF(E748&lt;AYARLAR!$C$11,"AŞIRI DÜŞÜK",IF(E748&lt;AYARLAR!$C$12,"SINIRDA","GÜVENLİ")))</f>
        <v/>
      </c>
      <c r="H748" s="118" t="n"/>
    </row>
    <row r="749" ht="15" customHeight="1" s="64">
      <c r="A749" s="112" t="n">
        <v>744</v>
      </c>
      <c r="B749" s="118" t="n"/>
      <c r="C749" s="118" t="n"/>
      <c r="D749" s="118" t="n"/>
      <c r="E749" s="115">
        <f>IF(C749="","",IFERROR(C749/MOTOR!$B$14,0))</f>
        <v/>
      </c>
      <c r="F749" s="116">
        <f>IF(C749="","",IFERROR((C749-MOTOR!$B$8)/MOTOR!$B$11,0))</f>
        <v/>
      </c>
      <c r="G749" s="117">
        <f>IF(C749="","",IF(E749&lt;AYARLAR!$C$11,"AŞIRI DÜŞÜK",IF(E749&lt;AYARLAR!$C$12,"SINIRDA","GÜVENLİ")))</f>
        <v/>
      </c>
      <c r="H749" s="118" t="n"/>
    </row>
    <row r="750" ht="15" customHeight="1" s="64">
      <c r="A750" s="112" t="n">
        <v>745</v>
      </c>
      <c r="B750" s="118" t="n"/>
      <c r="C750" s="118" t="n"/>
      <c r="D750" s="118" t="n"/>
      <c r="E750" s="115">
        <f>IF(C750="","",IFERROR(C750/MOTOR!$B$14,0))</f>
        <v/>
      </c>
      <c r="F750" s="116">
        <f>IF(C750="","",IFERROR((C750-MOTOR!$B$8)/MOTOR!$B$11,0))</f>
        <v/>
      </c>
      <c r="G750" s="117">
        <f>IF(C750="","",IF(E750&lt;AYARLAR!$C$11,"AŞIRI DÜŞÜK",IF(E750&lt;AYARLAR!$C$12,"SINIRDA","GÜVENLİ")))</f>
        <v/>
      </c>
      <c r="H750" s="118" t="n"/>
    </row>
    <row r="751" ht="15" customHeight="1" s="64">
      <c r="A751" s="112" t="n">
        <v>746</v>
      </c>
      <c r="B751" s="118" t="n"/>
      <c r="C751" s="118" t="n"/>
      <c r="D751" s="118" t="n"/>
      <c r="E751" s="115">
        <f>IF(C751="","",IFERROR(C751/MOTOR!$B$14,0))</f>
        <v/>
      </c>
      <c r="F751" s="116">
        <f>IF(C751="","",IFERROR((C751-MOTOR!$B$8)/MOTOR!$B$11,0))</f>
        <v/>
      </c>
      <c r="G751" s="117">
        <f>IF(C751="","",IF(E751&lt;AYARLAR!$C$11,"AŞIRI DÜŞÜK",IF(E751&lt;AYARLAR!$C$12,"SINIRDA","GÜVENLİ")))</f>
        <v/>
      </c>
      <c r="H751" s="118" t="n"/>
    </row>
    <row r="752" ht="15" customHeight="1" s="64">
      <c r="A752" s="112" t="n">
        <v>747</v>
      </c>
      <c r="B752" s="118" t="n"/>
      <c r="C752" s="118" t="n"/>
      <c r="D752" s="118" t="n"/>
      <c r="E752" s="115">
        <f>IF(C752="","",IFERROR(C752/MOTOR!$B$14,0))</f>
        <v/>
      </c>
      <c r="F752" s="116">
        <f>IF(C752="","",IFERROR((C752-MOTOR!$B$8)/MOTOR!$B$11,0))</f>
        <v/>
      </c>
      <c r="G752" s="117">
        <f>IF(C752="","",IF(E752&lt;AYARLAR!$C$11,"AŞIRI DÜŞÜK",IF(E752&lt;AYARLAR!$C$12,"SINIRDA","GÜVENLİ")))</f>
        <v/>
      </c>
      <c r="H752" s="118" t="n"/>
    </row>
    <row r="753" ht="15" customHeight="1" s="64">
      <c r="A753" s="112" t="n">
        <v>748</v>
      </c>
      <c r="B753" s="118" t="n"/>
      <c r="C753" s="118" t="n"/>
      <c r="D753" s="118" t="n"/>
      <c r="E753" s="115">
        <f>IF(C753="","",IFERROR(C753/MOTOR!$B$14,0))</f>
        <v/>
      </c>
      <c r="F753" s="116">
        <f>IF(C753="","",IFERROR((C753-MOTOR!$B$8)/MOTOR!$B$11,0))</f>
        <v/>
      </c>
      <c r="G753" s="117">
        <f>IF(C753="","",IF(E753&lt;AYARLAR!$C$11,"AŞIRI DÜŞÜK",IF(E753&lt;AYARLAR!$C$12,"SINIRDA","GÜVENLİ")))</f>
        <v/>
      </c>
      <c r="H753" s="118" t="n"/>
    </row>
    <row r="754" ht="15" customHeight="1" s="64">
      <c r="A754" s="112" t="n">
        <v>749</v>
      </c>
      <c r="B754" s="118" t="n"/>
      <c r="C754" s="118" t="n"/>
      <c r="D754" s="118" t="n"/>
      <c r="E754" s="115">
        <f>IF(C754="","",IFERROR(C754/MOTOR!$B$14,0))</f>
        <v/>
      </c>
      <c r="F754" s="116">
        <f>IF(C754="","",IFERROR((C754-MOTOR!$B$8)/MOTOR!$B$11,0))</f>
        <v/>
      </c>
      <c r="G754" s="117">
        <f>IF(C754="","",IF(E754&lt;AYARLAR!$C$11,"AŞIRI DÜŞÜK",IF(E754&lt;AYARLAR!$C$12,"SINIRDA","GÜVENLİ")))</f>
        <v/>
      </c>
      <c r="H754" s="118" t="n"/>
    </row>
    <row r="755" ht="15" customHeight="1" s="64">
      <c r="A755" s="112" t="n">
        <v>750</v>
      </c>
      <c r="B755" s="118" t="n"/>
      <c r="C755" s="118" t="n"/>
      <c r="D755" s="118" t="n"/>
      <c r="E755" s="115">
        <f>IF(C755="","",IFERROR(C755/MOTOR!$B$14,0))</f>
        <v/>
      </c>
      <c r="F755" s="116">
        <f>IF(C755="","",IFERROR((C755-MOTOR!$B$8)/MOTOR!$B$11,0))</f>
        <v/>
      </c>
      <c r="G755" s="117">
        <f>IF(C755="","",IF(E755&lt;AYARLAR!$C$11,"AŞIRI DÜŞÜK",IF(E755&lt;AYARLAR!$C$12,"SINIRDA","GÜVENLİ")))</f>
        <v/>
      </c>
      <c r="H755" s="118" t="n"/>
    </row>
    <row r="756" ht="15" customHeight="1" s="64">
      <c r="A756" s="112" t="n">
        <v>751</v>
      </c>
      <c r="B756" s="118" t="n"/>
      <c r="C756" s="118" t="n"/>
      <c r="D756" s="118" t="n"/>
      <c r="E756" s="115">
        <f>IF(C756="","",IFERROR(C756/MOTOR!$B$14,0))</f>
        <v/>
      </c>
      <c r="F756" s="116">
        <f>IF(C756="","",IFERROR((C756-MOTOR!$B$8)/MOTOR!$B$11,0))</f>
        <v/>
      </c>
      <c r="G756" s="117">
        <f>IF(C756="","",IF(E756&lt;AYARLAR!$C$11,"AŞIRI DÜŞÜK",IF(E756&lt;AYARLAR!$C$12,"SINIRDA","GÜVENLİ")))</f>
        <v/>
      </c>
      <c r="H756" s="118" t="n"/>
    </row>
    <row r="757" ht="15" customHeight="1" s="64">
      <c r="A757" s="112" t="n">
        <v>752</v>
      </c>
      <c r="B757" s="118" t="n"/>
      <c r="C757" s="118" t="n"/>
      <c r="D757" s="118" t="n"/>
      <c r="E757" s="115">
        <f>IF(C757="","",IFERROR(C757/MOTOR!$B$14,0))</f>
        <v/>
      </c>
      <c r="F757" s="116">
        <f>IF(C757="","",IFERROR((C757-MOTOR!$B$8)/MOTOR!$B$11,0))</f>
        <v/>
      </c>
      <c r="G757" s="117">
        <f>IF(C757="","",IF(E757&lt;AYARLAR!$C$11,"AŞIRI DÜŞÜK",IF(E757&lt;AYARLAR!$C$12,"SINIRDA","GÜVENLİ")))</f>
        <v/>
      </c>
      <c r="H757" s="118" t="n"/>
    </row>
    <row r="758" ht="15" customHeight="1" s="64">
      <c r="A758" s="112" t="n">
        <v>753</v>
      </c>
      <c r="B758" s="118" t="n"/>
      <c r="C758" s="118" t="n"/>
      <c r="D758" s="118" t="n"/>
      <c r="E758" s="115">
        <f>IF(C758="","",IFERROR(C758/MOTOR!$B$14,0))</f>
        <v/>
      </c>
      <c r="F758" s="116">
        <f>IF(C758="","",IFERROR((C758-MOTOR!$B$8)/MOTOR!$B$11,0))</f>
        <v/>
      </c>
      <c r="G758" s="117">
        <f>IF(C758="","",IF(E758&lt;AYARLAR!$C$11,"AŞIRI DÜŞÜK",IF(E758&lt;AYARLAR!$C$12,"SINIRDA","GÜVENLİ")))</f>
        <v/>
      </c>
      <c r="H758" s="118" t="n"/>
    </row>
    <row r="759" ht="15" customHeight="1" s="64">
      <c r="A759" s="112" t="n">
        <v>754</v>
      </c>
      <c r="B759" s="118" t="n"/>
      <c r="C759" s="118" t="n"/>
      <c r="D759" s="118" t="n"/>
      <c r="E759" s="115">
        <f>IF(C759="","",IFERROR(C759/MOTOR!$B$14,0))</f>
        <v/>
      </c>
      <c r="F759" s="116">
        <f>IF(C759="","",IFERROR((C759-MOTOR!$B$8)/MOTOR!$B$11,0))</f>
        <v/>
      </c>
      <c r="G759" s="117">
        <f>IF(C759="","",IF(E759&lt;AYARLAR!$C$11,"AŞIRI DÜŞÜK",IF(E759&lt;AYARLAR!$C$12,"SINIRDA","GÜVENLİ")))</f>
        <v/>
      </c>
      <c r="H759" s="118" t="n"/>
    </row>
    <row r="760" ht="15" customHeight="1" s="64">
      <c r="A760" s="112" t="n">
        <v>755</v>
      </c>
      <c r="B760" s="118" t="n"/>
      <c r="C760" s="118" t="n"/>
      <c r="D760" s="118" t="n"/>
      <c r="E760" s="115">
        <f>IF(C760="","",IFERROR(C760/MOTOR!$B$14,0))</f>
        <v/>
      </c>
      <c r="F760" s="116">
        <f>IF(C760="","",IFERROR((C760-MOTOR!$B$8)/MOTOR!$B$11,0))</f>
        <v/>
      </c>
      <c r="G760" s="117">
        <f>IF(C760="","",IF(E760&lt;AYARLAR!$C$11,"AŞIRI DÜŞÜK",IF(E760&lt;AYARLAR!$C$12,"SINIRDA","GÜVENLİ")))</f>
        <v/>
      </c>
      <c r="H760" s="118" t="n"/>
    </row>
    <row r="761" ht="15" customHeight="1" s="64">
      <c r="A761" s="112" t="n">
        <v>756</v>
      </c>
      <c r="B761" s="118" t="n"/>
      <c r="C761" s="118" t="n"/>
      <c r="D761" s="118" t="n"/>
      <c r="E761" s="115">
        <f>IF(C761="","",IFERROR(C761/MOTOR!$B$14,0))</f>
        <v/>
      </c>
      <c r="F761" s="116">
        <f>IF(C761="","",IFERROR((C761-MOTOR!$B$8)/MOTOR!$B$11,0))</f>
        <v/>
      </c>
      <c r="G761" s="117">
        <f>IF(C761="","",IF(E761&lt;AYARLAR!$C$11,"AŞIRI DÜŞÜK",IF(E761&lt;AYARLAR!$C$12,"SINIRDA","GÜVENLİ")))</f>
        <v/>
      </c>
      <c r="H761" s="118" t="n"/>
    </row>
    <row r="762" ht="15" customHeight="1" s="64">
      <c r="A762" s="112" t="n">
        <v>757</v>
      </c>
      <c r="B762" s="118" t="n"/>
      <c r="C762" s="118" t="n"/>
      <c r="D762" s="118" t="n"/>
      <c r="E762" s="115">
        <f>IF(C762="","",IFERROR(C762/MOTOR!$B$14,0))</f>
        <v/>
      </c>
      <c r="F762" s="116">
        <f>IF(C762="","",IFERROR((C762-MOTOR!$B$8)/MOTOR!$B$11,0))</f>
        <v/>
      </c>
      <c r="G762" s="117">
        <f>IF(C762="","",IF(E762&lt;AYARLAR!$C$11,"AŞIRI DÜŞÜK",IF(E762&lt;AYARLAR!$C$12,"SINIRDA","GÜVENLİ")))</f>
        <v/>
      </c>
      <c r="H762" s="118" t="n"/>
    </row>
    <row r="763" ht="15" customHeight="1" s="64">
      <c r="A763" s="112" t="n">
        <v>758</v>
      </c>
      <c r="B763" s="118" t="n"/>
      <c r="C763" s="118" t="n"/>
      <c r="D763" s="118" t="n"/>
      <c r="E763" s="115">
        <f>IF(C763="","",IFERROR(C763/MOTOR!$B$14,0))</f>
        <v/>
      </c>
      <c r="F763" s="116">
        <f>IF(C763="","",IFERROR((C763-MOTOR!$B$8)/MOTOR!$B$11,0))</f>
        <v/>
      </c>
      <c r="G763" s="117">
        <f>IF(C763="","",IF(E763&lt;AYARLAR!$C$11,"AŞIRI DÜŞÜK",IF(E763&lt;AYARLAR!$C$12,"SINIRDA","GÜVENLİ")))</f>
        <v/>
      </c>
      <c r="H763" s="118" t="n"/>
    </row>
    <row r="764" ht="15" customHeight="1" s="64">
      <c r="A764" s="112" t="n">
        <v>759</v>
      </c>
      <c r="B764" s="118" t="n"/>
      <c r="C764" s="118" t="n"/>
      <c r="D764" s="118" t="n"/>
      <c r="E764" s="115">
        <f>IF(C764="","",IFERROR(C764/MOTOR!$B$14,0))</f>
        <v/>
      </c>
      <c r="F764" s="116">
        <f>IF(C764="","",IFERROR((C764-MOTOR!$B$8)/MOTOR!$B$11,0))</f>
        <v/>
      </c>
      <c r="G764" s="117">
        <f>IF(C764="","",IF(E764&lt;AYARLAR!$C$11,"AŞIRI DÜŞÜK",IF(E764&lt;AYARLAR!$C$12,"SINIRDA","GÜVENLİ")))</f>
        <v/>
      </c>
      <c r="H764" s="118" t="n"/>
    </row>
    <row r="765" ht="15" customHeight="1" s="64">
      <c r="A765" s="112" t="n">
        <v>760</v>
      </c>
      <c r="B765" s="118" t="n"/>
      <c r="C765" s="118" t="n"/>
      <c r="D765" s="118" t="n"/>
      <c r="E765" s="115">
        <f>IF(C765="","",IFERROR(C765/MOTOR!$B$14,0))</f>
        <v/>
      </c>
      <c r="F765" s="116">
        <f>IF(C765="","",IFERROR((C765-MOTOR!$B$8)/MOTOR!$B$11,0))</f>
        <v/>
      </c>
      <c r="G765" s="117">
        <f>IF(C765="","",IF(E765&lt;AYARLAR!$C$11,"AŞIRI DÜŞÜK",IF(E765&lt;AYARLAR!$C$12,"SINIRDA","GÜVENLİ")))</f>
        <v/>
      </c>
      <c r="H765" s="118" t="n"/>
    </row>
    <row r="766" ht="15" customHeight="1" s="64">
      <c r="A766" s="112" t="n">
        <v>761</v>
      </c>
      <c r="B766" s="118" t="n"/>
      <c r="C766" s="118" t="n"/>
      <c r="D766" s="118" t="n"/>
      <c r="E766" s="115">
        <f>IF(C766="","",IFERROR(C766/MOTOR!$B$14,0))</f>
        <v/>
      </c>
      <c r="F766" s="116">
        <f>IF(C766="","",IFERROR((C766-MOTOR!$B$8)/MOTOR!$B$11,0))</f>
        <v/>
      </c>
      <c r="G766" s="117">
        <f>IF(C766="","",IF(E766&lt;AYARLAR!$C$11,"AŞIRI DÜŞÜK",IF(E766&lt;AYARLAR!$C$12,"SINIRDA","GÜVENLİ")))</f>
        <v/>
      </c>
      <c r="H766" s="118" t="n"/>
    </row>
    <row r="767" ht="15" customHeight="1" s="64">
      <c r="A767" s="112" t="n">
        <v>762</v>
      </c>
      <c r="B767" s="118" t="n"/>
      <c r="C767" s="118" t="n"/>
      <c r="D767" s="118" t="n"/>
      <c r="E767" s="115">
        <f>IF(C767="","",IFERROR(C767/MOTOR!$B$14,0))</f>
        <v/>
      </c>
      <c r="F767" s="116">
        <f>IF(C767="","",IFERROR((C767-MOTOR!$B$8)/MOTOR!$B$11,0))</f>
        <v/>
      </c>
      <c r="G767" s="117">
        <f>IF(C767="","",IF(E767&lt;AYARLAR!$C$11,"AŞIRI DÜŞÜK",IF(E767&lt;AYARLAR!$C$12,"SINIRDA","GÜVENLİ")))</f>
        <v/>
      </c>
      <c r="H767" s="118" t="n"/>
    </row>
    <row r="768" ht="15" customHeight="1" s="64">
      <c r="A768" s="112" t="n">
        <v>763</v>
      </c>
      <c r="B768" s="118" t="n"/>
      <c r="C768" s="118" t="n"/>
      <c r="D768" s="118" t="n"/>
      <c r="E768" s="115">
        <f>IF(C768="","",IFERROR(C768/MOTOR!$B$14,0))</f>
        <v/>
      </c>
      <c r="F768" s="116">
        <f>IF(C768="","",IFERROR((C768-MOTOR!$B$8)/MOTOR!$B$11,0))</f>
        <v/>
      </c>
      <c r="G768" s="117">
        <f>IF(C768="","",IF(E768&lt;AYARLAR!$C$11,"AŞIRI DÜŞÜK",IF(E768&lt;AYARLAR!$C$12,"SINIRDA","GÜVENLİ")))</f>
        <v/>
      </c>
      <c r="H768" s="118" t="n"/>
    </row>
    <row r="769" ht="15" customHeight="1" s="64">
      <c r="A769" s="112" t="n">
        <v>764</v>
      </c>
      <c r="B769" s="118" t="n"/>
      <c r="C769" s="118" t="n"/>
      <c r="D769" s="118" t="n"/>
      <c r="E769" s="115">
        <f>IF(C769="","",IFERROR(C769/MOTOR!$B$14,0))</f>
        <v/>
      </c>
      <c r="F769" s="116">
        <f>IF(C769="","",IFERROR((C769-MOTOR!$B$8)/MOTOR!$B$11,0))</f>
        <v/>
      </c>
      <c r="G769" s="117">
        <f>IF(C769="","",IF(E769&lt;AYARLAR!$C$11,"AŞIRI DÜŞÜK",IF(E769&lt;AYARLAR!$C$12,"SINIRDA","GÜVENLİ")))</f>
        <v/>
      </c>
      <c r="H769" s="118" t="n"/>
    </row>
    <row r="770" ht="15" customHeight="1" s="64">
      <c r="A770" s="112" t="n">
        <v>765</v>
      </c>
      <c r="B770" s="118" t="n"/>
      <c r="C770" s="118" t="n"/>
      <c r="D770" s="118" t="n"/>
      <c r="E770" s="115">
        <f>IF(C770="","",IFERROR(C770/MOTOR!$B$14,0))</f>
        <v/>
      </c>
      <c r="F770" s="116">
        <f>IF(C770="","",IFERROR((C770-MOTOR!$B$8)/MOTOR!$B$11,0))</f>
        <v/>
      </c>
      <c r="G770" s="117">
        <f>IF(C770="","",IF(E770&lt;AYARLAR!$C$11,"AŞIRI DÜŞÜK",IF(E770&lt;AYARLAR!$C$12,"SINIRDA","GÜVENLİ")))</f>
        <v/>
      </c>
      <c r="H770" s="118" t="n"/>
    </row>
    <row r="771" ht="15" customHeight="1" s="64">
      <c r="A771" s="112" t="n">
        <v>766</v>
      </c>
      <c r="B771" s="118" t="n"/>
      <c r="C771" s="118" t="n"/>
      <c r="D771" s="118" t="n"/>
      <c r="E771" s="115">
        <f>IF(C771="","",IFERROR(C771/MOTOR!$B$14,0))</f>
        <v/>
      </c>
      <c r="F771" s="116">
        <f>IF(C771="","",IFERROR((C771-MOTOR!$B$8)/MOTOR!$B$11,0))</f>
        <v/>
      </c>
      <c r="G771" s="117">
        <f>IF(C771="","",IF(E771&lt;AYARLAR!$C$11,"AŞIRI DÜŞÜK",IF(E771&lt;AYARLAR!$C$12,"SINIRDA","GÜVENLİ")))</f>
        <v/>
      </c>
      <c r="H771" s="118" t="n"/>
    </row>
    <row r="772" ht="15" customHeight="1" s="64">
      <c r="A772" s="112" t="n">
        <v>767</v>
      </c>
      <c r="B772" s="118" t="n"/>
      <c r="C772" s="118" t="n"/>
      <c r="D772" s="118" t="n"/>
      <c r="E772" s="115">
        <f>IF(C772="","",IFERROR(C772/MOTOR!$B$14,0))</f>
        <v/>
      </c>
      <c r="F772" s="116">
        <f>IF(C772="","",IFERROR((C772-MOTOR!$B$8)/MOTOR!$B$11,0))</f>
        <v/>
      </c>
      <c r="G772" s="117">
        <f>IF(C772="","",IF(E772&lt;AYARLAR!$C$11,"AŞIRI DÜŞÜK",IF(E772&lt;AYARLAR!$C$12,"SINIRDA","GÜVENLİ")))</f>
        <v/>
      </c>
      <c r="H772" s="118" t="n"/>
    </row>
    <row r="773" ht="15" customHeight="1" s="64">
      <c r="A773" s="112" t="n">
        <v>768</v>
      </c>
      <c r="B773" s="118" t="n"/>
      <c r="C773" s="118" t="n"/>
      <c r="D773" s="118" t="n"/>
      <c r="E773" s="115">
        <f>IF(C773="","",IFERROR(C773/MOTOR!$B$14,0))</f>
        <v/>
      </c>
      <c r="F773" s="116">
        <f>IF(C773="","",IFERROR((C773-MOTOR!$B$8)/MOTOR!$B$11,0))</f>
        <v/>
      </c>
      <c r="G773" s="117">
        <f>IF(C773="","",IF(E773&lt;AYARLAR!$C$11,"AŞIRI DÜŞÜK",IF(E773&lt;AYARLAR!$C$12,"SINIRDA","GÜVENLİ")))</f>
        <v/>
      </c>
      <c r="H773" s="118" t="n"/>
    </row>
    <row r="774" ht="15" customHeight="1" s="64">
      <c r="A774" s="112" t="n">
        <v>769</v>
      </c>
      <c r="B774" s="118" t="n"/>
      <c r="C774" s="118" t="n"/>
      <c r="D774" s="118" t="n"/>
      <c r="E774" s="115">
        <f>IF(C774="","",IFERROR(C774/MOTOR!$B$14,0))</f>
        <v/>
      </c>
      <c r="F774" s="116">
        <f>IF(C774="","",IFERROR((C774-MOTOR!$B$8)/MOTOR!$B$11,0))</f>
        <v/>
      </c>
      <c r="G774" s="117">
        <f>IF(C774="","",IF(E774&lt;AYARLAR!$C$11,"AŞIRI DÜŞÜK",IF(E774&lt;AYARLAR!$C$12,"SINIRDA","GÜVENLİ")))</f>
        <v/>
      </c>
      <c r="H774" s="118" t="n"/>
    </row>
    <row r="775" ht="15" customHeight="1" s="64">
      <c r="A775" s="112" t="n">
        <v>770</v>
      </c>
      <c r="B775" s="118" t="n"/>
      <c r="C775" s="118" t="n"/>
      <c r="D775" s="118" t="n"/>
      <c r="E775" s="115">
        <f>IF(C775="","",IFERROR(C775/MOTOR!$B$14,0))</f>
        <v/>
      </c>
      <c r="F775" s="116">
        <f>IF(C775="","",IFERROR((C775-MOTOR!$B$8)/MOTOR!$B$11,0))</f>
        <v/>
      </c>
      <c r="G775" s="117">
        <f>IF(C775="","",IF(E775&lt;AYARLAR!$C$11,"AŞIRI DÜŞÜK",IF(E775&lt;AYARLAR!$C$12,"SINIRDA","GÜVENLİ")))</f>
        <v/>
      </c>
      <c r="H775" s="118" t="n"/>
    </row>
    <row r="776" ht="15" customHeight="1" s="64">
      <c r="A776" s="112" t="n">
        <v>771</v>
      </c>
      <c r="B776" s="118" t="n"/>
      <c r="C776" s="118" t="n"/>
      <c r="D776" s="118" t="n"/>
      <c r="E776" s="115">
        <f>IF(C776="","",IFERROR(C776/MOTOR!$B$14,0))</f>
        <v/>
      </c>
      <c r="F776" s="116">
        <f>IF(C776="","",IFERROR((C776-MOTOR!$B$8)/MOTOR!$B$11,0))</f>
        <v/>
      </c>
      <c r="G776" s="117">
        <f>IF(C776="","",IF(E776&lt;AYARLAR!$C$11,"AŞIRI DÜŞÜK",IF(E776&lt;AYARLAR!$C$12,"SINIRDA","GÜVENLİ")))</f>
        <v/>
      </c>
      <c r="H776" s="118" t="n"/>
    </row>
    <row r="777" ht="15" customHeight="1" s="64">
      <c r="A777" s="112" t="n">
        <v>772</v>
      </c>
      <c r="B777" s="118" t="n"/>
      <c r="C777" s="118" t="n"/>
      <c r="D777" s="118" t="n"/>
      <c r="E777" s="115">
        <f>IF(C777="","",IFERROR(C777/MOTOR!$B$14,0))</f>
        <v/>
      </c>
      <c r="F777" s="116">
        <f>IF(C777="","",IFERROR((C777-MOTOR!$B$8)/MOTOR!$B$11,0))</f>
        <v/>
      </c>
      <c r="G777" s="117">
        <f>IF(C777="","",IF(E777&lt;AYARLAR!$C$11,"AŞIRI DÜŞÜK",IF(E777&lt;AYARLAR!$C$12,"SINIRDA","GÜVENLİ")))</f>
        <v/>
      </c>
      <c r="H777" s="118" t="n"/>
    </row>
    <row r="778" ht="15" customHeight="1" s="64">
      <c r="A778" s="112" t="n">
        <v>773</v>
      </c>
      <c r="B778" s="118" t="n"/>
      <c r="C778" s="118" t="n"/>
      <c r="D778" s="118" t="n"/>
      <c r="E778" s="115">
        <f>IF(C778="","",IFERROR(C778/MOTOR!$B$14,0))</f>
        <v/>
      </c>
      <c r="F778" s="116">
        <f>IF(C778="","",IFERROR((C778-MOTOR!$B$8)/MOTOR!$B$11,0))</f>
        <v/>
      </c>
      <c r="G778" s="117">
        <f>IF(C778="","",IF(E778&lt;AYARLAR!$C$11,"AŞIRI DÜŞÜK",IF(E778&lt;AYARLAR!$C$12,"SINIRDA","GÜVENLİ")))</f>
        <v/>
      </c>
      <c r="H778" s="118" t="n"/>
    </row>
    <row r="779" ht="15" customHeight="1" s="64">
      <c r="A779" s="112" t="n">
        <v>774</v>
      </c>
      <c r="B779" s="118" t="n"/>
      <c r="C779" s="118" t="n"/>
      <c r="D779" s="118" t="n"/>
      <c r="E779" s="115">
        <f>IF(C779="","",IFERROR(C779/MOTOR!$B$14,0))</f>
        <v/>
      </c>
      <c r="F779" s="116">
        <f>IF(C779="","",IFERROR((C779-MOTOR!$B$8)/MOTOR!$B$11,0))</f>
        <v/>
      </c>
      <c r="G779" s="117">
        <f>IF(C779="","",IF(E779&lt;AYARLAR!$C$11,"AŞIRI DÜŞÜK",IF(E779&lt;AYARLAR!$C$12,"SINIRDA","GÜVENLİ")))</f>
        <v/>
      </c>
      <c r="H779" s="118" t="n"/>
    </row>
    <row r="780" ht="15" customHeight="1" s="64">
      <c r="A780" s="112" t="n">
        <v>775</v>
      </c>
      <c r="B780" s="118" t="n"/>
      <c r="C780" s="118" t="n"/>
      <c r="D780" s="118" t="n"/>
      <c r="E780" s="115">
        <f>IF(C780="","",IFERROR(C780/MOTOR!$B$14,0))</f>
        <v/>
      </c>
      <c r="F780" s="116">
        <f>IF(C780="","",IFERROR((C780-MOTOR!$B$8)/MOTOR!$B$11,0))</f>
        <v/>
      </c>
      <c r="G780" s="117">
        <f>IF(C780="","",IF(E780&lt;AYARLAR!$C$11,"AŞIRI DÜŞÜK",IF(E780&lt;AYARLAR!$C$12,"SINIRDA","GÜVENLİ")))</f>
        <v/>
      </c>
      <c r="H780" s="118" t="n"/>
    </row>
    <row r="781" ht="15" customHeight="1" s="64">
      <c r="A781" s="112" t="n">
        <v>776</v>
      </c>
      <c r="B781" s="118" t="n"/>
      <c r="C781" s="118" t="n"/>
      <c r="D781" s="118" t="n"/>
      <c r="E781" s="115">
        <f>IF(C781="","",IFERROR(C781/MOTOR!$B$14,0))</f>
        <v/>
      </c>
      <c r="F781" s="116">
        <f>IF(C781="","",IFERROR((C781-MOTOR!$B$8)/MOTOR!$B$11,0))</f>
        <v/>
      </c>
      <c r="G781" s="117">
        <f>IF(C781="","",IF(E781&lt;AYARLAR!$C$11,"AŞIRI DÜŞÜK",IF(E781&lt;AYARLAR!$C$12,"SINIRDA","GÜVENLİ")))</f>
        <v/>
      </c>
      <c r="H781" s="118" t="n"/>
    </row>
    <row r="782" ht="15" customHeight="1" s="64">
      <c r="A782" s="112" t="n">
        <v>777</v>
      </c>
      <c r="B782" s="118" t="n"/>
      <c r="C782" s="118" t="n"/>
      <c r="D782" s="118" t="n"/>
      <c r="E782" s="115">
        <f>IF(C782="","",IFERROR(C782/MOTOR!$B$14,0))</f>
        <v/>
      </c>
      <c r="F782" s="116">
        <f>IF(C782="","",IFERROR((C782-MOTOR!$B$8)/MOTOR!$B$11,0))</f>
        <v/>
      </c>
      <c r="G782" s="117">
        <f>IF(C782="","",IF(E782&lt;AYARLAR!$C$11,"AŞIRI DÜŞÜK",IF(E782&lt;AYARLAR!$C$12,"SINIRDA","GÜVENLİ")))</f>
        <v/>
      </c>
      <c r="H782" s="118" t="n"/>
    </row>
    <row r="783" ht="15" customHeight="1" s="64">
      <c r="A783" s="112" t="n">
        <v>778</v>
      </c>
      <c r="B783" s="118" t="n"/>
      <c r="C783" s="118" t="n"/>
      <c r="D783" s="118" t="n"/>
      <c r="E783" s="115">
        <f>IF(C783="","",IFERROR(C783/MOTOR!$B$14,0))</f>
        <v/>
      </c>
      <c r="F783" s="116">
        <f>IF(C783="","",IFERROR((C783-MOTOR!$B$8)/MOTOR!$B$11,0))</f>
        <v/>
      </c>
      <c r="G783" s="117">
        <f>IF(C783="","",IF(E783&lt;AYARLAR!$C$11,"AŞIRI DÜŞÜK",IF(E783&lt;AYARLAR!$C$12,"SINIRDA","GÜVENLİ")))</f>
        <v/>
      </c>
      <c r="H783" s="118" t="n"/>
    </row>
    <row r="784" ht="15" customHeight="1" s="64">
      <c r="A784" s="112" t="n">
        <v>779</v>
      </c>
      <c r="B784" s="118" t="n"/>
      <c r="C784" s="118" t="n"/>
      <c r="D784" s="118" t="n"/>
      <c r="E784" s="115">
        <f>IF(C784="","",IFERROR(C784/MOTOR!$B$14,0))</f>
        <v/>
      </c>
      <c r="F784" s="116">
        <f>IF(C784="","",IFERROR((C784-MOTOR!$B$8)/MOTOR!$B$11,0))</f>
        <v/>
      </c>
      <c r="G784" s="117">
        <f>IF(C784="","",IF(E784&lt;AYARLAR!$C$11,"AŞIRI DÜŞÜK",IF(E784&lt;AYARLAR!$C$12,"SINIRDA","GÜVENLİ")))</f>
        <v/>
      </c>
      <c r="H784" s="118" t="n"/>
    </row>
    <row r="785" ht="15" customHeight="1" s="64">
      <c r="A785" s="112" t="n">
        <v>780</v>
      </c>
      <c r="B785" s="118" t="n"/>
      <c r="C785" s="118" t="n"/>
      <c r="D785" s="118" t="n"/>
      <c r="E785" s="115">
        <f>IF(C785="","",IFERROR(C785/MOTOR!$B$14,0))</f>
        <v/>
      </c>
      <c r="F785" s="116">
        <f>IF(C785="","",IFERROR((C785-MOTOR!$B$8)/MOTOR!$B$11,0))</f>
        <v/>
      </c>
      <c r="G785" s="117">
        <f>IF(C785="","",IF(E785&lt;AYARLAR!$C$11,"AŞIRI DÜŞÜK",IF(E785&lt;AYARLAR!$C$12,"SINIRDA","GÜVENLİ")))</f>
        <v/>
      </c>
      <c r="H785" s="118" t="n"/>
    </row>
    <row r="786" ht="15" customHeight="1" s="64">
      <c r="A786" s="112" t="n">
        <v>781</v>
      </c>
      <c r="B786" s="118" t="n"/>
      <c r="C786" s="118" t="n"/>
      <c r="D786" s="118" t="n"/>
      <c r="E786" s="115">
        <f>IF(C786="","",IFERROR(C786/MOTOR!$B$14,0))</f>
        <v/>
      </c>
      <c r="F786" s="116">
        <f>IF(C786="","",IFERROR((C786-MOTOR!$B$8)/MOTOR!$B$11,0))</f>
        <v/>
      </c>
      <c r="G786" s="117">
        <f>IF(C786="","",IF(E786&lt;AYARLAR!$C$11,"AŞIRI DÜŞÜK",IF(E786&lt;AYARLAR!$C$12,"SINIRDA","GÜVENLİ")))</f>
        <v/>
      </c>
      <c r="H786" s="118" t="n"/>
    </row>
    <row r="787" ht="15" customHeight="1" s="64">
      <c r="A787" s="112" t="n">
        <v>782</v>
      </c>
      <c r="B787" s="118" t="n"/>
      <c r="C787" s="118" t="n"/>
      <c r="D787" s="118" t="n"/>
      <c r="E787" s="115">
        <f>IF(C787="","",IFERROR(C787/MOTOR!$B$14,0))</f>
        <v/>
      </c>
      <c r="F787" s="116">
        <f>IF(C787="","",IFERROR((C787-MOTOR!$B$8)/MOTOR!$B$11,0))</f>
        <v/>
      </c>
      <c r="G787" s="117">
        <f>IF(C787="","",IF(E787&lt;AYARLAR!$C$11,"AŞIRI DÜŞÜK",IF(E787&lt;AYARLAR!$C$12,"SINIRDA","GÜVENLİ")))</f>
        <v/>
      </c>
      <c r="H787" s="118" t="n"/>
    </row>
    <row r="788" ht="15" customHeight="1" s="64">
      <c r="A788" s="112" t="n">
        <v>783</v>
      </c>
      <c r="B788" s="118" t="n"/>
      <c r="C788" s="118" t="n"/>
      <c r="D788" s="118" t="n"/>
      <c r="E788" s="115">
        <f>IF(C788="","",IFERROR(C788/MOTOR!$B$14,0))</f>
        <v/>
      </c>
      <c r="F788" s="116">
        <f>IF(C788="","",IFERROR((C788-MOTOR!$B$8)/MOTOR!$B$11,0))</f>
        <v/>
      </c>
      <c r="G788" s="117">
        <f>IF(C788="","",IF(E788&lt;AYARLAR!$C$11,"AŞIRI DÜŞÜK",IF(E788&lt;AYARLAR!$C$12,"SINIRDA","GÜVENLİ")))</f>
        <v/>
      </c>
      <c r="H788" s="118" t="n"/>
    </row>
    <row r="789" ht="15" customHeight="1" s="64">
      <c r="A789" s="112" t="n">
        <v>784</v>
      </c>
      <c r="B789" s="118" t="n"/>
      <c r="C789" s="118" t="n"/>
      <c r="D789" s="118" t="n"/>
      <c r="E789" s="115">
        <f>IF(C789="","",IFERROR(C789/MOTOR!$B$14,0))</f>
        <v/>
      </c>
      <c r="F789" s="116">
        <f>IF(C789="","",IFERROR((C789-MOTOR!$B$8)/MOTOR!$B$11,0))</f>
        <v/>
      </c>
      <c r="G789" s="117">
        <f>IF(C789="","",IF(E789&lt;AYARLAR!$C$11,"AŞIRI DÜŞÜK",IF(E789&lt;AYARLAR!$C$12,"SINIRDA","GÜVENLİ")))</f>
        <v/>
      </c>
      <c r="H789" s="118" t="n"/>
    </row>
    <row r="790" ht="15" customHeight="1" s="64">
      <c r="A790" s="112" t="n">
        <v>785</v>
      </c>
      <c r="B790" s="118" t="n"/>
      <c r="C790" s="118" t="n"/>
      <c r="D790" s="118" t="n"/>
      <c r="E790" s="115">
        <f>IF(C790="","",IFERROR(C790/MOTOR!$B$14,0))</f>
        <v/>
      </c>
      <c r="F790" s="116">
        <f>IF(C790="","",IFERROR((C790-MOTOR!$B$8)/MOTOR!$B$11,0))</f>
        <v/>
      </c>
      <c r="G790" s="117">
        <f>IF(C790="","",IF(E790&lt;AYARLAR!$C$11,"AŞIRI DÜŞÜK",IF(E790&lt;AYARLAR!$C$12,"SINIRDA","GÜVENLİ")))</f>
        <v/>
      </c>
      <c r="H790" s="118" t="n"/>
    </row>
    <row r="791" ht="15" customHeight="1" s="64">
      <c r="A791" s="112" t="n">
        <v>786</v>
      </c>
      <c r="B791" s="118" t="n"/>
      <c r="C791" s="118" t="n"/>
      <c r="D791" s="118" t="n"/>
      <c r="E791" s="115">
        <f>IF(C791="","",IFERROR(C791/MOTOR!$B$14,0))</f>
        <v/>
      </c>
      <c r="F791" s="116">
        <f>IF(C791="","",IFERROR((C791-MOTOR!$B$8)/MOTOR!$B$11,0))</f>
        <v/>
      </c>
      <c r="G791" s="117">
        <f>IF(C791="","",IF(E791&lt;AYARLAR!$C$11,"AŞIRI DÜŞÜK",IF(E791&lt;AYARLAR!$C$12,"SINIRDA","GÜVENLİ")))</f>
        <v/>
      </c>
      <c r="H791" s="118" t="n"/>
    </row>
    <row r="792" ht="15" customHeight="1" s="64">
      <c r="A792" s="112" t="n">
        <v>787</v>
      </c>
      <c r="B792" s="118" t="n"/>
      <c r="C792" s="118" t="n"/>
      <c r="D792" s="118" t="n"/>
      <c r="E792" s="115">
        <f>IF(C792="","",IFERROR(C792/MOTOR!$B$14,0))</f>
        <v/>
      </c>
      <c r="F792" s="116">
        <f>IF(C792="","",IFERROR((C792-MOTOR!$B$8)/MOTOR!$B$11,0))</f>
        <v/>
      </c>
      <c r="G792" s="117">
        <f>IF(C792="","",IF(E792&lt;AYARLAR!$C$11,"AŞIRI DÜŞÜK",IF(E792&lt;AYARLAR!$C$12,"SINIRDA","GÜVENLİ")))</f>
        <v/>
      </c>
      <c r="H792" s="118" t="n"/>
    </row>
    <row r="793" ht="15" customHeight="1" s="64">
      <c r="A793" s="112" t="n">
        <v>788</v>
      </c>
      <c r="B793" s="118" t="n"/>
      <c r="C793" s="118" t="n"/>
      <c r="D793" s="118" t="n"/>
      <c r="E793" s="115">
        <f>IF(C793="","",IFERROR(C793/MOTOR!$B$14,0))</f>
        <v/>
      </c>
      <c r="F793" s="116">
        <f>IF(C793="","",IFERROR((C793-MOTOR!$B$8)/MOTOR!$B$11,0))</f>
        <v/>
      </c>
      <c r="G793" s="117">
        <f>IF(C793="","",IF(E793&lt;AYARLAR!$C$11,"AŞIRI DÜŞÜK",IF(E793&lt;AYARLAR!$C$12,"SINIRDA","GÜVENLİ")))</f>
        <v/>
      </c>
      <c r="H793" s="118" t="n"/>
    </row>
    <row r="794" ht="15" customHeight="1" s="64">
      <c r="A794" s="112" t="n">
        <v>789</v>
      </c>
      <c r="B794" s="118" t="n"/>
      <c r="C794" s="118" t="n"/>
      <c r="D794" s="118" t="n"/>
      <c r="E794" s="115">
        <f>IF(C794="","",IFERROR(C794/MOTOR!$B$14,0))</f>
        <v/>
      </c>
      <c r="F794" s="116">
        <f>IF(C794="","",IFERROR((C794-MOTOR!$B$8)/MOTOR!$B$11,0))</f>
        <v/>
      </c>
      <c r="G794" s="117">
        <f>IF(C794="","",IF(E794&lt;AYARLAR!$C$11,"AŞIRI DÜŞÜK",IF(E794&lt;AYARLAR!$C$12,"SINIRDA","GÜVENLİ")))</f>
        <v/>
      </c>
      <c r="H794" s="118" t="n"/>
    </row>
    <row r="795" ht="15" customHeight="1" s="64">
      <c r="A795" s="112" t="n">
        <v>790</v>
      </c>
      <c r="B795" s="118" t="n"/>
      <c r="C795" s="118" t="n"/>
      <c r="D795" s="118" t="n"/>
      <c r="E795" s="115">
        <f>IF(C795="","",IFERROR(C795/MOTOR!$B$14,0))</f>
        <v/>
      </c>
      <c r="F795" s="116">
        <f>IF(C795="","",IFERROR((C795-MOTOR!$B$8)/MOTOR!$B$11,0))</f>
        <v/>
      </c>
      <c r="G795" s="117">
        <f>IF(C795="","",IF(E795&lt;AYARLAR!$C$11,"AŞIRI DÜŞÜK",IF(E795&lt;AYARLAR!$C$12,"SINIRDA","GÜVENLİ")))</f>
        <v/>
      </c>
      <c r="H795" s="118" t="n"/>
    </row>
    <row r="796" ht="15" customHeight="1" s="64">
      <c r="A796" s="112" t="n">
        <v>791</v>
      </c>
      <c r="B796" s="118" t="n"/>
      <c r="C796" s="118" t="n"/>
      <c r="D796" s="118" t="n"/>
      <c r="E796" s="115">
        <f>IF(C796="","",IFERROR(C796/MOTOR!$B$14,0))</f>
        <v/>
      </c>
      <c r="F796" s="116">
        <f>IF(C796="","",IFERROR((C796-MOTOR!$B$8)/MOTOR!$B$11,0))</f>
        <v/>
      </c>
      <c r="G796" s="117">
        <f>IF(C796="","",IF(E796&lt;AYARLAR!$C$11,"AŞIRI DÜŞÜK",IF(E796&lt;AYARLAR!$C$12,"SINIRDA","GÜVENLİ")))</f>
        <v/>
      </c>
      <c r="H796" s="118" t="n"/>
    </row>
    <row r="797" ht="15" customHeight="1" s="64">
      <c r="A797" s="112" t="n">
        <v>792</v>
      </c>
      <c r="B797" s="118" t="n"/>
      <c r="C797" s="118" t="n"/>
      <c r="D797" s="118" t="n"/>
      <c r="E797" s="115">
        <f>IF(C797="","",IFERROR(C797/MOTOR!$B$14,0))</f>
        <v/>
      </c>
      <c r="F797" s="116">
        <f>IF(C797="","",IFERROR((C797-MOTOR!$B$8)/MOTOR!$B$11,0))</f>
        <v/>
      </c>
      <c r="G797" s="117">
        <f>IF(C797="","",IF(E797&lt;AYARLAR!$C$11,"AŞIRI DÜŞÜK",IF(E797&lt;AYARLAR!$C$12,"SINIRDA","GÜVENLİ")))</f>
        <v/>
      </c>
      <c r="H797" s="118" t="n"/>
    </row>
    <row r="798" ht="15" customHeight="1" s="64">
      <c r="A798" s="112" t="n">
        <v>793</v>
      </c>
      <c r="B798" s="118" t="n"/>
      <c r="C798" s="118" t="n"/>
      <c r="D798" s="118" t="n"/>
      <c r="E798" s="115">
        <f>IF(C798="","",IFERROR(C798/MOTOR!$B$14,0))</f>
        <v/>
      </c>
      <c r="F798" s="116">
        <f>IF(C798="","",IFERROR((C798-MOTOR!$B$8)/MOTOR!$B$11,0))</f>
        <v/>
      </c>
      <c r="G798" s="117">
        <f>IF(C798="","",IF(E798&lt;AYARLAR!$C$11,"AŞIRI DÜŞÜK",IF(E798&lt;AYARLAR!$C$12,"SINIRDA","GÜVENLİ")))</f>
        <v/>
      </c>
      <c r="H798" s="118" t="n"/>
    </row>
    <row r="799" ht="15" customHeight="1" s="64">
      <c r="A799" s="112" t="n">
        <v>794</v>
      </c>
      <c r="B799" s="118" t="n"/>
      <c r="C799" s="118" t="n"/>
      <c r="D799" s="118" t="n"/>
      <c r="E799" s="115">
        <f>IF(C799="","",IFERROR(C799/MOTOR!$B$14,0))</f>
        <v/>
      </c>
      <c r="F799" s="116">
        <f>IF(C799="","",IFERROR((C799-MOTOR!$B$8)/MOTOR!$B$11,0))</f>
        <v/>
      </c>
      <c r="G799" s="117">
        <f>IF(C799="","",IF(E799&lt;AYARLAR!$C$11,"AŞIRI DÜŞÜK",IF(E799&lt;AYARLAR!$C$12,"SINIRDA","GÜVENLİ")))</f>
        <v/>
      </c>
      <c r="H799" s="118" t="n"/>
    </row>
    <row r="800" ht="15" customHeight="1" s="64">
      <c r="A800" s="112" t="n">
        <v>795</v>
      </c>
      <c r="B800" s="118" t="n"/>
      <c r="C800" s="118" t="n"/>
      <c r="D800" s="118" t="n"/>
      <c r="E800" s="115">
        <f>IF(C800="","",IFERROR(C800/MOTOR!$B$14,0))</f>
        <v/>
      </c>
      <c r="F800" s="116">
        <f>IF(C800="","",IFERROR((C800-MOTOR!$B$8)/MOTOR!$B$11,0))</f>
        <v/>
      </c>
      <c r="G800" s="117">
        <f>IF(C800="","",IF(E800&lt;AYARLAR!$C$11,"AŞIRI DÜŞÜK",IF(E800&lt;AYARLAR!$C$12,"SINIRDA","GÜVENLİ")))</f>
        <v/>
      </c>
      <c r="H800" s="118" t="n"/>
    </row>
    <row r="801" ht="15" customHeight="1" s="64">
      <c r="A801" s="112" t="n">
        <v>796</v>
      </c>
      <c r="B801" s="118" t="n"/>
      <c r="C801" s="118" t="n"/>
      <c r="D801" s="118" t="n"/>
      <c r="E801" s="115">
        <f>IF(C801="","",IFERROR(C801/MOTOR!$B$14,0))</f>
        <v/>
      </c>
      <c r="F801" s="116">
        <f>IF(C801="","",IFERROR((C801-MOTOR!$B$8)/MOTOR!$B$11,0))</f>
        <v/>
      </c>
      <c r="G801" s="117">
        <f>IF(C801="","",IF(E801&lt;AYARLAR!$C$11,"AŞIRI DÜŞÜK",IF(E801&lt;AYARLAR!$C$12,"SINIRDA","GÜVENLİ")))</f>
        <v/>
      </c>
      <c r="H801" s="118" t="n"/>
    </row>
    <row r="802" ht="15" customHeight="1" s="64">
      <c r="A802" s="112" t="n">
        <v>797</v>
      </c>
      <c r="B802" s="118" t="n"/>
      <c r="C802" s="118" t="n"/>
      <c r="D802" s="118" t="n"/>
      <c r="E802" s="115">
        <f>IF(C802="","",IFERROR(C802/MOTOR!$B$14,0))</f>
        <v/>
      </c>
      <c r="F802" s="116">
        <f>IF(C802="","",IFERROR((C802-MOTOR!$B$8)/MOTOR!$B$11,0))</f>
        <v/>
      </c>
      <c r="G802" s="117">
        <f>IF(C802="","",IF(E802&lt;AYARLAR!$C$11,"AŞIRI DÜŞÜK",IF(E802&lt;AYARLAR!$C$12,"SINIRDA","GÜVENLİ")))</f>
        <v/>
      </c>
      <c r="H802" s="118" t="n"/>
    </row>
    <row r="803" ht="15" customHeight="1" s="64">
      <c r="A803" s="112" t="n">
        <v>798</v>
      </c>
      <c r="B803" s="118" t="n"/>
      <c r="C803" s="118" t="n"/>
      <c r="D803" s="118" t="n"/>
      <c r="E803" s="115">
        <f>IF(C803="","",IFERROR(C803/MOTOR!$B$14,0))</f>
        <v/>
      </c>
      <c r="F803" s="116">
        <f>IF(C803="","",IFERROR((C803-MOTOR!$B$8)/MOTOR!$B$11,0))</f>
        <v/>
      </c>
      <c r="G803" s="117">
        <f>IF(C803="","",IF(E803&lt;AYARLAR!$C$11,"AŞIRI DÜŞÜK",IF(E803&lt;AYARLAR!$C$12,"SINIRDA","GÜVENLİ")))</f>
        <v/>
      </c>
      <c r="H803" s="118" t="n"/>
    </row>
    <row r="804" ht="15" customHeight="1" s="64">
      <c r="A804" s="112" t="n">
        <v>799</v>
      </c>
      <c r="B804" s="118" t="n"/>
      <c r="C804" s="118" t="n"/>
      <c r="D804" s="118" t="n"/>
      <c r="E804" s="115">
        <f>IF(C804="","",IFERROR(C804/MOTOR!$B$14,0))</f>
        <v/>
      </c>
      <c r="F804" s="116">
        <f>IF(C804="","",IFERROR((C804-MOTOR!$B$8)/MOTOR!$B$11,0))</f>
        <v/>
      </c>
      <c r="G804" s="117">
        <f>IF(C804="","",IF(E804&lt;AYARLAR!$C$11,"AŞIRI DÜŞÜK",IF(E804&lt;AYARLAR!$C$12,"SINIRDA","GÜVENLİ")))</f>
        <v/>
      </c>
      <c r="H804" s="118" t="n"/>
    </row>
    <row r="805" ht="15" customHeight="1" s="64">
      <c r="A805" s="112" t="n">
        <v>800</v>
      </c>
      <c r="B805" s="118" t="n"/>
      <c r="C805" s="118" t="n"/>
      <c r="D805" s="118" t="n"/>
      <c r="E805" s="115">
        <f>IF(C805="","",IFERROR(C805/MOTOR!$B$14,0))</f>
        <v/>
      </c>
      <c r="F805" s="116">
        <f>IF(C805="","",IFERROR((C805-MOTOR!$B$8)/MOTOR!$B$11,0))</f>
        <v/>
      </c>
      <c r="G805" s="117">
        <f>IF(C805="","",IF(E805&lt;AYARLAR!$C$11,"AŞIRI DÜŞÜK",IF(E805&lt;AYARLAR!$C$12,"SINIRDA","GÜVENLİ")))</f>
        <v/>
      </c>
      <c r="H805" s="118" t="n"/>
    </row>
    <row r="806" ht="15" customHeight="1" s="64">
      <c r="A806" s="112" t="n">
        <v>801</v>
      </c>
      <c r="B806" s="118" t="n"/>
      <c r="C806" s="118" t="n"/>
      <c r="D806" s="118" t="n"/>
      <c r="E806" s="115">
        <f>IF(C806="","",IFERROR(C806/MOTOR!$B$14,0))</f>
        <v/>
      </c>
      <c r="F806" s="116">
        <f>IF(C806="","",IFERROR((C806-MOTOR!$B$8)/MOTOR!$B$11,0))</f>
        <v/>
      </c>
      <c r="G806" s="117">
        <f>IF(C806="","",IF(E806&lt;AYARLAR!$C$11,"AŞIRI DÜŞÜK",IF(E806&lt;AYARLAR!$C$12,"SINIRDA","GÜVENLİ")))</f>
        <v/>
      </c>
      <c r="H806" s="118" t="n"/>
    </row>
    <row r="807" ht="15" customHeight="1" s="64">
      <c r="A807" s="112" t="n">
        <v>802</v>
      </c>
      <c r="B807" s="118" t="n"/>
      <c r="C807" s="118" t="n"/>
      <c r="D807" s="118" t="n"/>
      <c r="E807" s="115">
        <f>IF(C807="","",IFERROR(C807/MOTOR!$B$14,0))</f>
        <v/>
      </c>
      <c r="F807" s="116">
        <f>IF(C807="","",IFERROR((C807-MOTOR!$B$8)/MOTOR!$B$11,0))</f>
        <v/>
      </c>
      <c r="G807" s="117">
        <f>IF(C807="","",IF(E807&lt;AYARLAR!$C$11,"AŞIRI DÜŞÜK",IF(E807&lt;AYARLAR!$C$12,"SINIRDA","GÜVENLİ")))</f>
        <v/>
      </c>
      <c r="H807" s="118" t="n"/>
    </row>
    <row r="808" ht="15" customHeight="1" s="64">
      <c r="A808" s="112" t="n">
        <v>803</v>
      </c>
      <c r="B808" s="118" t="n"/>
      <c r="C808" s="118" t="n"/>
      <c r="D808" s="118" t="n"/>
      <c r="E808" s="115">
        <f>IF(C808="","",IFERROR(C808/MOTOR!$B$14,0))</f>
        <v/>
      </c>
      <c r="F808" s="116">
        <f>IF(C808="","",IFERROR((C808-MOTOR!$B$8)/MOTOR!$B$11,0))</f>
        <v/>
      </c>
      <c r="G808" s="117">
        <f>IF(C808="","",IF(E808&lt;AYARLAR!$C$11,"AŞIRI DÜŞÜK",IF(E808&lt;AYARLAR!$C$12,"SINIRDA","GÜVENLİ")))</f>
        <v/>
      </c>
      <c r="H808" s="118" t="n"/>
    </row>
    <row r="809" ht="15" customHeight="1" s="64">
      <c r="A809" s="112" t="n">
        <v>804</v>
      </c>
      <c r="B809" s="118" t="n"/>
      <c r="C809" s="118" t="n"/>
      <c r="D809" s="118" t="n"/>
      <c r="E809" s="115">
        <f>IF(C809="","",IFERROR(C809/MOTOR!$B$14,0))</f>
        <v/>
      </c>
      <c r="F809" s="116">
        <f>IF(C809="","",IFERROR((C809-MOTOR!$B$8)/MOTOR!$B$11,0))</f>
        <v/>
      </c>
      <c r="G809" s="117">
        <f>IF(C809="","",IF(E809&lt;AYARLAR!$C$11,"AŞIRI DÜŞÜK",IF(E809&lt;AYARLAR!$C$12,"SINIRDA","GÜVENLİ")))</f>
        <v/>
      </c>
      <c r="H809" s="118" t="n"/>
    </row>
    <row r="810" ht="15" customHeight="1" s="64">
      <c r="A810" s="112" t="n">
        <v>805</v>
      </c>
      <c r="B810" s="118" t="n"/>
      <c r="C810" s="118" t="n"/>
      <c r="D810" s="118" t="n"/>
      <c r="E810" s="115">
        <f>IF(C810="","",IFERROR(C810/MOTOR!$B$14,0))</f>
        <v/>
      </c>
      <c r="F810" s="116">
        <f>IF(C810="","",IFERROR((C810-MOTOR!$B$8)/MOTOR!$B$11,0))</f>
        <v/>
      </c>
      <c r="G810" s="117">
        <f>IF(C810="","",IF(E810&lt;AYARLAR!$C$11,"AŞIRI DÜŞÜK",IF(E810&lt;AYARLAR!$C$12,"SINIRDA","GÜVENLİ")))</f>
        <v/>
      </c>
      <c r="H810" s="118" t="n"/>
    </row>
    <row r="811" ht="15" customHeight="1" s="64">
      <c r="A811" s="112" t="n">
        <v>806</v>
      </c>
      <c r="B811" s="118" t="n"/>
      <c r="C811" s="118" t="n"/>
      <c r="D811" s="118" t="n"/>
      <c r="E811" s="115">
        <f>IF(C811="","",IFERROR(C811/MOTOR!$B$14,0))</f>
        <v/>
      </c>
      <c r="F811" s="116">
        <f>IF(C811="","",IFERROR((C811-MOTOR!$B$8)/MOTOR!$B$11,0))</f>
        <v/>
      </c>
      <c r="G811" s="117">
        <f>IF(C811="","",IF(E811&lt;AYARLAR!$C$11,"AŞIRI DÜŞÜK",IF(E811&lt;AYARLAR!$C$12,"SINIRDA","GÜVENLİ")))</f>
        <v/>
      </c>
      <c r="H811" s="118" t="n"/>
    </row>
    <row r="812" ht="15" customHeight="1" s="64">
      <c r="A812" s="112" t="n">
        <v>807</v>
      </c>
      <c r="B812" s="118" t="n"/>
      <c r="C812" s="118" t="n"/>
      <c r="D812" s="118" t="n"/>
      <c r="E812" s="115">
        <f>IF(C812="","",IFERROR(C812/MOTOR!$B$14,0))</f>
        <v/>
      </c>
      <c r="F812" s="116">
        <f>IF(C812="","",IFERROR((C812-MOTOR!$B$8)/MOTOR!$B$11,0))</f>
        <v/>
      </c>
      <c r="G812" s="117">
        <f>IF(C812="","",IF(E812&lt;AYARLAR!$C$11,"AŞIRI DÜŞÜK",IF(E812&lt;AYARLAR!$C$12,"SINIRDA","GÜVENLİ")))</f>
        <v/>
      </c>
      <c r="H812" s="118" t="n"/>
    </row>
    <row r="813" ht="15" customHeight="1" s="64">
      <c r="A813" s="112" t="n">
        <v>808</v>
      </c>
      <c r="B813" s="118" t="n"/>
      <c r="C813" s="118" t="n"/>
      <c r="D813" s="118" t="n"/>
      <c r="E813" s="115">
        <f>IF(C813="","",IFERROR(C813/MOTOR!$B$14,0))</f>
        <v/>
      </c>
      <c r="F813" s="116">
        <f>IF(C813="","",IFERROR((C813-MOTOR!$B$8)/MOTOR!$B$11,0))</f>
        <v/>
      </c>
      <c r="G813" s="117">
        <f>IF(C813="","",IF(E813&lt;AYARLAR!$C$11,"AŞIRI DÜŞÜK",IF(E813&lt;AYARLAR!$C$12,"SINIRDA","GÜVENLİ")))</f>
        <v/>
      </c>
      <c r="H813" s="118" t="n"/>
    </row>
    <row r="814" ht="15" customHeight="1" s="64">
      <c r="A814" s="112" t="n">
        <v>809</v>
      </c>
      <c r="B814" s="118" t="n"/>
      <c r="C814" s="118" t="n"/>
      <c r="D814" s="118" t="n"/>
      <c r="E814" s="115">
        <f>IF(C814="","",IFERROR(C814/MOTOR!$B$14,0))</f>
        <v/>
      </c>
      <c r="F814" s="116">
        <f>IF(C814="","",IFERROR((C814-MOTOR!$B$8)/MOTOR!$B$11,0))</f>
        <v/>
      </c>
      <c r="G814" s="117">
        <f>IF(C814="","",IF(E814&lt;AYARLAR!$C$11,"AŞIRI DÜŞÜK",IF(E814&lt;AYARLAR!$C$12,"SINIRDA","GÜVENLİ")))</f>
        <v/>
      </c>
      <c r="H814" s="118" t="n"/>
    </row>
    <row r="815" ht="15" customHeight="1" s="64">
      <c r="A815" s="112" t="n">
        <v>810</v>
      </c>
      <c r="B815" s="118" t="n"/>
      <c r="C815" s="118" t="n"/>
      <c r="D815" s="118" t="n"/>
      <c r="E815" s="115">
        <f>IF(C815="","",IFERROR(C815/MOTOR!$B$14,0))</f>
        <v/>
      </c>
      <c r="F815" s="116">
        <f>IF(C815="","",IFERROR((C815-MOTOR!$B$8)/MOTOR!$B$11,0))</f>
        <v/>
      </c>
      <c r="G815" s="117">
        <f>IF(C815="","",IF(E815&lt;AYARLAR!$C$11,"AŞIRI DÜŞÜK",IF(E815&lt;AYARLAR!$C$12,"SINIRDA","GÜVENLİ")))</f>
        <v/>
      </c>
      <c r="H815" s="118" t="n"/>
    </row>
    <row r="816" ht="15" customHeight="1" s="64">
      <c r="A816" s="112" t="n">
        <v>811</v>
      </c>
      <c r="B816" s="118" t="n"/>
      <c r="C816" s="118" t="n"/>
      <c r="D816" s="118" t="n"/>
      <c r="E816" s="115">
        <f>IF(C816="","",IFERROR(C816/MOTOR!$B$14,0))</f>
        <v/>
      </c>
      <c r="F816" s="116">
        <f>IF(C816="","",IFERROR((C816-MOTOR!$B$8)/MOTOR!$B$11,0))</f>
        <v/>
      </c>
      <c r="G816" s="117">
        <f>IF(C816="","",IF(E816&lt;AYARLAR!$C$11,"AŞIRI DÜŞÜK",IF(E816&lt;AYARLAR!$C$12,"SINIRDA","GÜVENLİ")))</f>
        <v/>
      </c>
      <c r="H816" s="118" t="n"/>
    </row>
    <row r="817" ht="15" customHeight="1" s="64">
      <c r="A817" s="112" t="n">
        <v>812</v>
      </c>
      <c r="B817" s="118" t="n"/>
      <c r="C817" s="118" t="n"/>
      <c r="D817" s="118" t="n"/>
      <c r="E817" s="115">
        <f>IF(C817="","",IFERROR(C817/MOTOR!$B$14,0))</f>
        <v/>
      </c>
      <c r="F817" s="116">
        <f>IF(C817="","",IFERROR((C817-MOTOR!$B$8)/MOTOR!$B$11,0))</f>
        <v/>
      </c>
      <c r="G817" s="117">
        <f>IF(C817="","",IF(E817&lt;AYARLAR!$C$11,"AŞIRI DÜŞÜK",IF(E817&lt;AYARLAR!$C$12,"SINIRDA","GÜVENLİ")))</f>
        <v/>
      </c>
      <c r="H817" s="118" t="n"/>
    </row>
    <row r="818" ht="15" customHeight="1" s="64">
      <c r="A818" s="112" t="n">
        <v>813</v>
      </c>
      <c r="B818" s="118" t="n"/>
      <c r="C818" s="118" t="n"/>
      <c r="D818" s="118" t="n"/>
      <c r="E818" s="115">
        <f>IF(C818="","",IFERROR(C818/MOTOR!$B$14,0))</f>
        <v/>
      </c>
      <c r="F818" s="116">
        <f>IF(C818="","",IFERROR((C818-MOTOR!$B$8)/MOTOR!$B$11,0))</f>
        <v/>
      </c>
      <c r="G818" s="117">
        <f>IF(C818="","",IF(E818&lt;AYARLAR!$C$11,"AŞIRI DÜŞÜK",IF(E818&lt;AYARLAR!$C$12,"SINIRDA","GÜVENLİ")))</f>
        <v/>
      </c>
      <c r="H818" s="118" t="n"/>
    </row>
    <row r="819" ht="15" customHeight="1" s="64">
      <c r="A819" s="112" t="n">
        <v>814</v>
      </c>
      <c r="B819" s="118" t="n"/>
      <c r="C819" s="118" t="n"/>
      <c r="D819" s="118" t="n"/>
      <c r="E819" s="115">
        <f>IF(C819="","",IFERROR(C819/MOTOR!$B$14,0))</f>
        <v/>
      </c>
      <c r="F819" s="116">
        <f>IF(C819="","",IFERROR((C819-MOTOR!$B$8)/MOTOR!$B$11,0))</f>
        <v/>
      </c>
      <c r="G819" s="117">
        <f>IF(C819="","",IF(E819&lt;AYARLAR!$C$11,"AŞIRI DÜŞÜK",IF(E819&lt;AYARLAR!$C$12,"SINIRDA","GÜVENLİ")))</f>
        <v/>
      </c>
      <c r="H819" s="118" t="n"/>
    </row>
    <row r="820" ht="15" customHeight="1" s="64">
      <c r="A820" s="112" t="n">
        <v>815</v>
      </c>
      <c r="B820" s="118" t="n"/>
      <c r="C820" s="118" t="n"/>
      <c r="D820" s="118" t="n"/>
      <c r="E820" s="115">
        <f>IF(C820="","",IFERROR(C820/MOTOR!$B$14,0))</f>
        <v/>
      </c>
      <c r="F820" s="116">
        <f>IF(C820="","",IFERROR((C820-MOTOR!$B$8)/MOTOR!$B$11,0))</f>
        <v/>
      </c>
      <c r="G820" s="117">
        <f>IF(C820="","",IF(E820&lt;AYARLAR!$C$11,"AŞIRI DÜŞÜK",IF(E820&lt;AYARLAR!$C$12,"SINIRDA","GÜVENLİ")))</f>
        <v/>
      </c>
      <c r="H820" s="118" t="n"/>
    </row>
    <row r="821" ht="15" customHeight="1" s="64">
      <c r="A821" s="112" t="n">
        <v>816</v>
      </c>
      <c r="B821" s="118" t="n"/>
      <c r="C821" s="118" t="n"/>
      <c r="D821" s="118" t="n"/>
      <c r="E821" s="115">
        <f>IF(C821="","",IFERROR(C821/MOTOR!$B$14,0))</f>
        <v/>
      </c>
      <c r="F821" s="116">
        <f>IF(C821="","",IFERROR((C821-MOTOR!$B$8)/MOTOR!$B$11,0))</f>
        <v/>
      </c>
      <c r="G821" s="117">
        <f>IF(C821="","",IF(E821&lt;AYARLAR!$C$11,"AŞIRI DÜŞÜK",IF(E821&lt;AYARLAR!$C$12,"SINIRDA","GÜVENLİ")))</f>
        <v/>
      </c>
      <c r="H821" s="118" t="n"/>
    </row>
    <row r="822" ht="15" customHeight="1" s="64">
      <c r="A822" s="112" t="n">
        <v>817</v>
      </c>
      <c r="B822" s="118" t="n"/>
      <c r="C822" s="118" t="n"/>
      <c r="D822" s="118" t="n"/>
      <c r="E822" s="115">
        <f>IF(C822="","",IFERROR(C822/MOTOR!$B$14,0))</f>
        <v/>
      </c>
      <c r="F822" s="116">
        <f>IF(C822="","",IFERROR((C822-MOTOR!$B$8)/MOTOR!$B$11,0))</f>
        <v/>
      </c>
      <c r="G822" s="117">
        <f>IF(C822="","",IF(E822&lt;AYARLAR!$C$11,"AŞIRI DÜŞÜK",IF(E822&lt;AYARLAR!$C$12,"SINIRDA","GÜVENLİ")))</f>
        <v/>
      </c>
      <c r="H822" s="118" t="n"/>
    </row>
    <row r="823" ht="15" customHeight="1" s="64">
      <c r="A823" s="112" t="n">
        <v>818</v>
      </c>
      <c r="B823" s="118" t="n"/>
      <c r="C823" s="118" t="n"/>
      <c r="D823" s="118" t="n"/>
      <c r="E823" s="115">
        <f>IF(C823="","",IFERROR(C823/MOTOR!$B$14,0))</f>
        <v/>
      </c>
      <c r="F823" s="116">
        <f>IF(C823="","",IFERROR((C823-MOTOR!$B$8)/MOTOR!$B$11,0))</f>
        <v/>
      </c>
      <c r="G823" s="117">
        <f>IF(C823="","",IF(E823&lt;AYARLAR!$C$11,"AŞIRI DÜŞÜK",IF(E823&lt;AYARLAR!$C$12,"SINIRDA","GÜVENLİ")))</f>
        <v/>
      </c>
      <c r="H823" s="118" t="n"/>
    </row>
    <row r="824" ht="15" customHeight="1" s="64">
      <c r="A824" s="112" t="n">
        <v>819</v>
      </c>
      <c r="B824" s="118" t="n"/>
      <c r="C824" s="118" t="n"/>
      <c r="D824" s="118" t="n"/>
      <c r="E824" s="115">
        <f>IF(C824="","",IFERROR(C824/MOTOR!$B$14,0))</f>
        <v/>
      </c>
      <c r="F824" s="116">
        <f>IF(C824="","",IFERROR((C824-MOTOR!$B$8)/MOTOR!$B$11,0))</f>
        <v/>
      </c>
      <c r="G824" s="117">
        <f>IF(C824="","",IF(E824&lt;AYARLAR!$C$11,"AŞIRI DÜŞÜK",IF(E824&lt;AYARLAR!$C$12,"SINIRDA","GÜVENLİ")))</f>
        <v/>
      </c>
      <c r="H824" s="118" t="n"/>
    </row>
    <row r="825" ht="15" customHeight="1" s="64">
      <c r="A825" s="112" t="n">
        <v>820</v>
      </c>
      <c r="B825" s="118" t="n"/>
      <c r="C825" s="118" t="n"/>
      <c r="D825" s="118" t="n"/>
      <c r="E825" s="115">
        <f>IF(C825="","",IFERROR(C825/MOTOR!$B$14,0))</f>
        <v/>
      </c>
      <c r="F825" s="116">
        <f>IF(C825="","",IFERROR((C825-MOTOR!$B$8)/MOTOR!$B$11,0))</f>
        <v/>
      </c>
      <c r="G825" s="117">
        <f>IF(C825="","",IF(E825&lt;AYARLAR!$C$11,"AŞIRI DÜŞÜK",IF(E825&lt;AYARLAR!$C$12,"SINIRDA","GÜVENLİ")))</f>
        <v/>
      </c>
      <c r="H825" s="118" t="n"/>
    </row>
    <row r="826" ht="15" customHeight="1" s="64">
      <c r="A826" s="112" t="n">
        <v>821</v>
      </c>
      <c r="B826" s="118" t="n"/>
      <c r="C826" s="118" t="n"/>
      <c r="D826" s="118" t="n"/>
      <c r="E826" s="115">
        <f>IF(C826="","",IFERROR(C826/MOTOR!$B$14,0))</f>
        <v/>
      </c>
      <c r="F826" s="116">
        <f>IF(C826="","",IFERROR((C826-MOTOR!$B$8)/MOTOR!$B$11,0))</f>
        <v/>
      </c>
      <c r="G826" s="117">
        <f>IF(C826="","",IF(E826&lt;AYARLAR!$C$11,"AŞIRI DÜŞÜK",IF(E826&lt;AYARLAR!$C$12,"SINIRDA","GÜVENLİ")))</f>
        <v/>
      </c>
      <c r="H826" s="118" t="n"/>
    </row>
    <row r="827" ht="15" customHeight="1" s="64">
      <c r="A827" s="112" t="n">
        <v>822</v>
      </c>
      <c r="B827" s="118" t="n"/>
      <c r="C827" s="118" t="n"/>
      <c r="D827" s="118" t="n"/>
      <c r="E827" s="115">
        <f>IF(C827="","",IFERROR(C827/MOTOR!$B$14,0))</f>
        <v/>
      </c>
      <c r="F827" s="116">
        <f>IF(C827="","",IFERROR((C827-MOTOR!$B$8)/MOTOR!$B$11,0))</f>
        <v/>
      </c>
      <c r="G827" s="117">
        <f>IF(C827="","",IF(E827&lt;AYARLAR!$C$11,"AŞIRI DÜŞÜK",IF(E827&lt;AYARLAR!$C$12,"SINIRDA","GÜVENLİ")))</f>
        <v/>
      </c>
      <c r="H827" s="118" t="n"/>
    </row>
    <row r="828" ht="15" customHeight="1" s="64">
      <c r="A828" s="112" t="n">
        <v>823</v>
      </c>
      <c r="B828" s="118" t="n"/>
      <c r="C828" s="118" t="n"/>
      <c r="D828" s="118" t="n"/>
      <c r="E828" s="115">
        <f>IF(C828="","",IFERROR(C828/MOTOR!$B$14,0))</f>
        <v/>
      </c>
      <c r="F828" s="116">
        <f>IF(C828="","",IFERROR((C828-MOTOR!$B$8)/MOTOR!$B$11,0))</f>
        <v/>
      </c>
      <c r="G828" s="117">
        <f>IF(C828="","",IF(E828&lt;AYARLAR!$C$11,"AŞIRI DÜŞÜK",IF(E828&lt;AYARLAR!$C$12,"SINIRDA","GÜVENLİ")))</f>
        <v/>
      </c>
      <c r="H828" s="118" t="n"/>
    </row>
    <row r="829" ht="15" customHeight="1" s="64">
      <c r="A829" s="112" t="n">
        <v>824</v>
      </c>
      <c r="B829" s="118" t="n"/>
      <c r="C829" s="118" t="n"/>
      <c r="D829" s="118" t="n"/>
      <c r="E829" s="115">
        <f>IF(C829="","",IFERROR(C829/MOTOR!$B$14,0))</f>
        <v/>
      </c>
      <c r="F829" s="116">
        <f>IF(C829="","",IFERROR((C829-MOTOR!$B$8)/MOTOR!$B$11,0))</f>
        <v/>
      </c>
      <c r="G829" s="117">
        <f>IF(C829="","",IF(E829&lt;AYARLAR!$C$11,"AŞIRI DÜŞÜK",IF(E829&lt;AYARLAR!$C$12,"SINIRDA","GÜVENLİ")))</f>
        <v/>
      </c>
      <c r="H829" s="118" t="n"/>
    </row>
    <row r="830" ht="15" customHeight="1" s="64">
      <c r="A830" s="112" t="n">
        <v>825</v>
      </c>
      <c r="B830" s="118" t="n"/>
      <c r="C830" s="118" t="n"/>
      <c r="D830" s="118" t="n"/>
      <c r="E830" s="115">
        <f>IF(C830="","",IFERROR(C830/MOTOR!$B$14,0))</f>
        <v/>
      </c>
      <c r="F830" s="116">
        <f>IF(C830="","",IFERROR((C830-MOTOR!$B$8)/MOTOR!$B$11,0))</f>
        <v/>
      </c>
      <c r="G830" s="117">
        <f>IF(C830="","",IF(E830&lt;AYARLAR!$C$11,"AŞIRI DÜŞÜK",IF(E830&lt;AYARLAR!$C$12,"SINIRDA","GÜVENLİ")))</f>
        <v/>
      </c>
      <c r="H830" s="118" t="n"/>
    </row>
    <row r="831" ht="15" customHeight="1" s="64">
      <c r="A831" s="112" t="n">
        <v>826</v>
      </c>
      <c r="B831" s="118" t="n"/>
      <c r="C831" s="118" t="n"/>
      <c r="D831" s="118" t="n"/>
      <c r="E831" s="115">
        <f>IF(C831="","",IFERROR(C831/MOTOR!$B$14,0))</f>
        <v/>
      </c>
      <c r="F831" s="116">
        <f>IF(C831="","",IFERROR((C831-MOTOR!$B$8)/MOTOR!$B$11,0))</f>
        <v/>
      </c>
      <c r="G831" s="117">
        <f>IF(C831="","",IF(E831&lt;AYARLAR!$C$11,"AŞIRI DÜŞÜK",IF(E831&lt;AYARLAR!$C$12,"SINIRDA","GÜVENLİ")))</f>
        <v/>
      </c>
      <c r="H831" s="118" t="n"/>
    </row>
    <row r="832" ht="15" customHeight="1" s="64">
      <c r="A832" s="112" t="n">
        <v>827</v>
      </c>
      <c r="B832" s="118" t="n"/>
      <c r="C832" s="118" t="n"/>
      <c r="D832" s="118" t="n"/>
      <c r="E832" s="115">
        <f>IF(C832="","",IFERROR(C832/MOTOR!$B$14,0))</f>
        <v/>
      </c>
      <c r="F832" s="116">
        <f>IF(C832="","",IFERROR((C832-MOTOR!$B$8)/MOTOR!$B$11,0))</f>
        <v/>
      </c>
      <c r="G832" s="117">
        <f>IF(C832="","",IF(E832&lt;AYARLAR!$C$11,"AŞIRI DÜŞÜK",IF(E832&lt;AYARLAR!$C$12,"SINIRDA","GÜVENLİ")))</f>
        <v/>
      </c>
      <c r="H832" s="118" t="n"/>
    </row>
    <row r="833" ht="15" customHeight="1" s="64">
      <c r="A833" s="112" t="n">
        <v>828</v>
      </c>
      <c r="B833" s="118" t="n"/>
      <c r="C833" s="118" t="n"/>
      <c r="D833" s="118" t="n"/>
      <c r="E833" s="115">
        <f>IF(C833="","",IFERROR(C833/MOTOR!$B$14,0))</f>
        <v/>
      </c>
      <c r="F833" s="116">
        <f>IF(C833="","",IFERROR((C833-MOTOR!$B$8)/MOTOR!$B$11,0))</f>
        <v/>
      </c>
      <c r="G833" s="117">
        <f>IF(C833="","",IF(E833&lt;AYARLAR!$C$11,"AŞIRI DÜŞÜK",IF(E833&lt;AYARLAR!$C$12,"SINIRDA","GÜVENLİ")))</f>
        <v/>
      </c>
      <c r="H833" s="118" t="n"/>
    </row>
    <row r="834" ht="15" customHeight="1" s="64">
      <c r="A834" s="112" t="n">
        <v>829</v>
      </c>
      <c r="B834" s="118" t="n"/>
      <c r="C834" s="118" t="n"/>
      <c r="D834" s="118" t="n"/>
      <c r="E834" s="115">
        <f>IF(C834="","",IFERROR(C834/MOTOR!$B$14,0))</f>
        <v/>
      </c>
      <c r="F834" s="116">
        <f>IF(C834="","",IFERROR((C834-MOTOR!$B$8)/MOTOR!$B$11,0))</f>
        <v/>
      </c>
      <c r="G834" s="117">
        <f>IF(C834="","",IF(E834&lt;AYARLAR!$C$11,"AŞIRI DÜŞÜK",IF(E834&lt;AYARLAR!$C$12,"SINIRDA","GÜVENLİ")))</f>
        <v/>
      </c>
      <c r="H834" s="118" t="n"/>
    </row>
    <row r="835" ht="15" customHeight="1" s="64">
      <c r="A835" s="112" t="n">
        <v>830</v>
      </c>
      <c r="B835" s="118" t="n"/>
      <c r="C835" s="118" t="n"/>
      <c r="D835" s="118" t="n"/>
      <c r="E835" s="115">
        <f>IF(C835="","",IFERROR(C835/MOTOR!$B$14,0))</f>
        <v/>
      </c>
      <c r="F835" s="116">
        <f>IF(C835="","",IFERROR((C835-MOTOR!$B$8)/MOTOR!$B$11,0))</f>
        <v/>
      </c>
      <c r="G835" s="117">
        <f>IF(C835="","",IF(E835&lt;AYARLAR!$C$11,"AŞIRI DÜŞÜK",IF(E835&lt;AYARLAR!$C$12,"SINIRDA","GÜVENLİ")))</f>
        <v/>
      </c>
      <c r="H835" s="118" t="n"/>
    </row>
    <row r="836" ht="15" customHeight="1" s="64">
      <c r="A836" s="112" t="n">
        <v>831</v>
      </c>
      <c r="B836" s="118" t="n"/>
      <c r="C836" s="118" t="n"/>
      <c r="D836" s="118" t="n"/>
      <c r="E836" s="115">
        <f>IF(C836="","",IFERROR(C836/MOTOR!$B$14,0))</f>
        <v/>
      </c>
      <c r="F836" s="116">
        <f>IF(C836="","",IFERROR((C836-MOTOR!$B$8)/MOTOR!$B$11,0))</f>
        <v/>
      </c>
      <c r="G836" s="117">
        <f>IF(C836="","",IF(E836&lt;AYARLAR!$C$11,"AŞIRI DÜŞÜK",IF(E836&lt;AYARLAR!$C$12,"SINIRDA","GÜVENLİ")))</f>
        <v/>
      </c>
      <c r="H836" s="118" t="n"/>
    </row>
    <row r="837" ht="15" customHeight="1" s="64">
      <c r="A837" s="112" t="n">
        <v>832</v>
      </c>
      <c r="B837" s="118" t="n"/>
      <c r="C837" s="118" t="n"/>
      <c r="D837" s="118" t="n"/>
      <c r="E837" s="115">
        <f>IF(C837="","",IFERROR(C837/MOTOR!$B$14,0))</f>
        <v/>
      </c>
      <c r="F837" s="116">
        <f>IF(C837="","",IFERROR((C837-MOTOR!$B$8)/MOTOR!$B$11,0))</f>
        <v/>
      </c>
      <c r="G837" s="117">
        <f>IF(C837="","",IF(E837&lt;AYARLAR!$C$11,"AŞIRI DÜŞÜK",IF(E837&lt;AYARLAR!$C$12,"SINIRDA","GÜVENLİ")))</f>
        <v/>
      </c>
      <c r="H837" s="118" t="n"/>
    </row>
    <row r="838" ht="15" customHeight="1" s="64">
      <c r="A838" s="112" t="n">
        <v>833</v>
      </c>
      <c r="B838" s="118" t="n"/>
      <c r="C838" s="118" t="n"/>
      <c r="D838" s="118" t="n"/>
      <c r="E838" s="115">
        <f>IF(C838="","",IFERROR(C838/MOTOR!$B$14,0))</f>
        <v/>
      </c>
      <c r="F838" s="116">
        <f>IF(C838="","",IFERROR((C838-MOTOR!$B$8)/MOTOR!$B$11,0))</f>
        <v/>
      </c>
      <c r="G838" s="117">
        <f>IF(C838="","",IF(E838&lt;AYARLAR!$C$11,"AŞIRI DÜŞÜK",IF(E838&lt;AYARLAR!$C$12,"SINIRDA","GÜVENLİ")))</f>
        <v/>
      </c>
      <c r="H838" s="118" t="n"/>
    </row>
    <row r="839" ht="15" customHeight="1" s="64">
      <c r="A839" s="112" t="n">
        <v>834</v>
      </c>
      <c r="B839" s="118" t="n"/>
      <c r="C839" s="118" t="n"/>
      <c r="D839" s="118" t="n"/>
      <c r="E839" s="115">
        <f>IF(C839="","",IFERROR(C839/MOTOR!$B$14,0))</f>
        <v/>
      </c>
      <c r="F839" s="116">
        <f>IF(C839="","",IFERROR((C839-MOTOR!$B$8)/MOTOR!$B$11,0))</f>
        <v/>
      </c>
      <c r="G839" s="117">
        <f>IF(C839="","",IF(E839&lt;AYARLAR!$C$11,"AŞIRI DÜŞÜK",IF(E839&lt;AYARLAR!$C$12,"SINIRDA","GÜVENLİ")))</f>
        <v/>
      </c>
      <c r="H839" s="118" t="n"/>
    </row>
    <row r="840" ht="15" customHeight="1" s="64">
      <c r="A840" s="112" t="n">
        <v>835</v>
      </c>
      <c r="B840" s="118" t="n"/>
      <c r="C840" s="118" t="n"/>
      <c r="D840" s="118" t="n"/>
      <c r="E840" s="115">
        <f>IF(C840="","",IFERROR(C840/MOTOR!$B$14,0))</f>
        <v/>
      </c>
      <c r="F840" s="116">
        <f>IF(C840="","",IFERROR((C840-MOTOR!$B$8)/MOTOR!$B$11,0))</f>
        <v/>
      </c>
      <c r="G840" s="117">
        <f>IF(C840="","",IF(E840&lt;AYARLAR!$C$11,"AŞIRI DÜŞÜK",IF(E840&lt;AYARLAR!$C$12,"SINIRDA","GÜVENLİ")))</f>
        <v/>
      </c>
      <c r="H840" s="118" t="n"/>
    </row>
    <row r="841" ht="15" customHeight="1" s="64">
      <c r="A841" s="112" t="n">
        <v>836</v>
      </c>
      <c r="B841" s="118" t="n"/>
      <c r="C841" s="118" t="n"/>
      <c r="D841" s="118" t="n"/>
      <c r="E841" s="115">
        <f>IF(C841="","",IFERROR(C841/MOTOR!$B$14,0))</f>
        <v/>
      </c>
      <c r="F841" s="116">
        <f>IF(C841="","",IFERROR((C841-MOTOR!$B$8)/MOTOR!$B$11,0))</f>
        <v/>
      </c>
      <c r="G841" s="117">
        <f>IF(C841="","",IF(E841&lt;AYARLAR!$C$11,"AŞIRI DÜŞÜK",IF(E841&lt;AYARLAR!$C$12,"SINIRDA","GÜVENLİ")))</f>
        <v/>
      </c>
      <c r="H841" s="118" t="n"/>
    </row>
    <row r="842" ht="15" customHeight="1" s="64">
      <c r="A842" s="112" t="n">
        <v>837</v>
      </c>
      <c r="B842" s="118" t="n"/>
      <c r="C842" s="118" t="n"/>
      <c r="D842" s="118" t="n"/>
      <c r="E842" s="115">
        <f>IF(C842="","",IFERROR(C842/MOTOR!$B$14,0))</f>
        <v/>
      </c>
      <c r="F842" s="116">
        <f>IF(C842="","",IFERROR((C842-MOTOR!$B$8)/MOTOR!$B$11,0))</f>
        <v/>
      </c>
      <c r="G842" s="117">
        <f>IF(C842="","",IF(E842&lt;AYARLAR!$C$11,"AŞIRI DÜŞÜK",IF(E842&lt;AYARLAR!$C$12,"SINIRDA","GÜVENLİ")))</f>
        <v/>
      </c>
      <c r="H842" s="118" t="n"/>
    </row>
    <row r="843" ht="15" customHeight="1" s="64">
      <c r="A843" s="112" t="n">
        <v>838</v>
      </c>
      <c r="B843" s="118" t="n"/>
      <c r="C843" s="118" t="n"/>
      <c r="D843" s="118" t="n"/>
      <c r="E843" s="115">
        <f>IF(C843="","",IFERROR(C843/MOTOR!$B$14,0))</f>
        <v/>
      </c>
      <c r="F843" s="116">
        <f>IF(C843="","",IFERROR((C843-MOTOR!$B$8)/MOTOR!$B$11,0))</f>
        <v/>
      </c>
      <c r="G843" s="117">
        <f>IF(C843="","",IF(E843&lt;AYARLAR!$C$11,"AŞIRI DÜŞÜK",IF(E843&lt;AYARLAR!$C$12,"SINIRDA","GÜVENLİ")))</f>
        <v/>
      </c>
      <c r="H843" s="118" t="n"/>
    </row>
    <row r="844" ht="15" customHeight="1" s="64">
      <c r="A844" s="112" t="n">
        <v>839</v>
      </c>
      <c r="B844" s="118" t="n"/>
      <c r="C844" s="118" t="n"/>
      <c r="D844" s="118" t="n"/>
      <c r="E844" s="115">
        <f>IF(C844="","",IFERROR(C844/MOTOR!$B$14,0))</f>
        <v/>
      </c>
      <c r="F844" s="116">
        <f>IF(C844="","",IFERROR((C844-MOTOR!$B$8)/MOTOR!$B$11,0))</f>
        <v/>
      </c>
      <c r="G844" s="117">
        <f>IF(C844="","",IF(E844&lt;AYARLAR!$C$11,"AŞIRI DÜŞÜK",IF(E844&lt;AYARLAR!$C$12,"SINIRDA","GÜVENLİ")))</f>
        <v/>
      </c>
      <c r="H844" s="118" t="n"/>
    </row>
    <row r="845" ht="15" customHeight="1" s="64">
      <c r="A845" s="112" t="n">
        <v>840</v>
      </c>
      <c r="B845" s="118" t="n"/>
      <c r="C845" s="118" t="n"/>
      <c r="D845" s="118" t="n"/>
      <c r="E845" s="115">
        <f>IF(C845="","",IFERROR(C845/MOTOR!$B$14,0))</f>
        <v/>
      </c>
      <c r="F845" s="116">
        <f>IF(C845="","",IFERROR((C845-MOTOR!$B$8)/MOTOR!$B$11,0))</f>
        <v/>
      </c>
      <c r="G845" s="117">
        <f>IF(C845="","",IF(E845&lt;AYARLAR!$C$11,"AŞIRI DÜŞÜK",IF(E845&lt;AYARLAR!$C$12,"SINIRDA","GÜVENLİ")))</f>
        <v/>
      </c>
      <c r="H845" s="118" t="n"/>
    </row>
    <row r="846" ht="15" customHeight="1" s="64">
      <c r="A846" s="112" t="n">
        <v>841</v>
      </c>
      <c r="B846" s="118" t="n"/>
      <c r="C846" s="118" t="n"/>
      <c r="D846" s="118" t="n"/>
      <c r="E846" s="115">
        <f>IF(C846="","",IFERROR(C846/MOTOR!$B$14,0))</f>
        <v/>
      </c>
      <c r="F846" s="116">
        <f>IF(C846="","",IFERROR((C846-MOTOR!$B$8)/MOTOR!$B$11,0))</f>
        <v/>
      </c>
      <c r="G846" s="117">
        <f>IF(C846="","",IF(E846&lt;AYARLAR!$C$11,"AŞIRI DÜŞÜK",IF(E846&lt;AYARLAR!$C$12,"SINIRDA","GÜVENLİ")))</f>
        <v/>
      </c>
      <c r="H846" s="118" t="n"/>
    </row>
    <row r="847" ht="15" customHeight="1" s="64">
      <c r="A847" s="112" t="n">
        <v>842</v>
      </c>
      <c r="B847" s="118" t="n"/>
      <c r="C847" s="118" t="n"/>
      <c r="D847" s="118" t="n"/>
      <c r="E847" s="115">
        <f>IF(C847="","",IFERROR(C847/MOTOR!$B$14,0))</f>
        <v/>
      </c>
      <c r="F847" s="116">
        <f>IF(C847="","",IFERROR((C847-MOTOR!$B$8)/MOTOR!$B$11,0))</f>
        <v/>
      </c>
      <c r="G847" s="117">
        <f>IF(C847="","",IF(E847&lt;AYARLAR!$C$11,"AŞIRI DÜŞÜK",IF(E847&lt;AYARLAR!$C$12,"SINIRDA","GÜVENLİ")))</f>
        <v/>
      </c>
      <c r="H847" s="118" t="n"/>
    </row>
    <row r="848" ht="15" customHeight="1" s="64">
      <c r="A848" s="112" t="n">
        <v>843</v>
      </c>
      <c r="B848" s="118" t="n"/>
      <c r="C848" s="118" t="n"/>
      <c r="D848" s="118" t="n"/>
      <c r="E848" s="115">
        <f>IF(C848="","",IFERROR(C848/MOTOR!$B$14,0))</f>
        <v/>
      </c>
      <c r="F848" s="116">
        <f>IF(C848="","",IFERROR((C848-MOTOR!$B$8)/MOTOR!$B$11,0))</f>
        <v/>
      </c>
      <c r="G848" s="117">
        <f>IF(C848="","",IF(E848&lt;AYARLAR!$C$11,"AŞIRI DÜŞÜK",IF(E848&lt;AYARLAR!$C$12,"SINIRDA","GÜVENLİ")))</f>
        <v/>
      </c>
      <c r="H848" s="118" t="n"/>
    </row>
    <row r="849" ht="15" customHeight="1" s="64">
      <c r="A849" s="112" t="n">
        <v>844</v>
      </c>
      <c r="B849" s="118" t="n"/>
      <c r="C849" s="118" t="n"/>
      <c r="D849" s="118" t="n"/>
      <c r="E849" s="115">
        <f>IF(C849="","",IFERROR(C849/MOTOR!$B$14,0))</f>
        <v/>
      </c>
      <c r="F849" s="116">
        <f>IF(C849="","",IFERROR((C849-MOTOR!$B$8)/MOTOR!$B$11,0))</f>
        <v/>
      </c>
      <c r="G849" s="117">
        <f>IF(C849="","",IF(E849&lt;AYARLAR!$C$11,"AŞIRI DÜŞÜK",IF(E849&lt;AYARLAR!$C$12,"SINIRDA","GÜVENLİ")))</f>
        <v/>
      </c>
      <c r="H849" s="118" t="n"/>
    </row>
    <row r="850" ht="15" customHeight="1" s="64">
      <c r="A850" s="112" t="n">
        <v>845</v>
      </c>
      <c r="B850" s="118" t="n"/>
      <c r="C850" s="118" t="n"/>
      <c r="D850" s="118" t="n"/>
      <c r="E850" s="115">
        <f>IF(C850="","",IFERROR(C850/MOTOR!$B$14,0))</f>
        <v/>
      </c>
      <c r="F850" s="116">
        <f>IF(C850="","",IFERROR((C850-MOTOR!$B$8)/MOTOR!$B$11,0))</f>
        <v/>
      </c>
      <c r="G850" s="117">
        <f>IF(C850="","",IF(E850&lt;AYARLAR!$C$11,"AŞIRI DÜŞÜK",IF(E850&lt;AYARLAR!$C$12,"SINIRDA","GÜVENLİ")))</f>
        <v/>
      </c>
      <c r="H850" s="118" t="n"/>
    </row>
    <row r="851" ht="15" customHeight="1" s="64">
      <c r="A851" s="112" t="n">
        <v>846</v>
      </c>
      <c r="B851" s="118" t="n"/>
      <c r="C851" s="118" t="n"/>
      <c r="D851" s="118" t="n"/>
      <c r="E851" s="115">
        <f>IF(C851="","",IFERROR(C851/MOTOR!$B$14,0))</f>
        <v/>
      </c>
      <c r="F851" s="116">
        <f>IF(C851="","",IFERROR((C851-MOTOR!$B$8)/MOTOR!$B$11,0))</f>
        <v/>
      </c>
      <c r="G851" s="117">
        <f>IF(C851="","",IF(E851&lt;AYARLAR!$C$11,"AŞIRI DÜŞÜK",IF(E851&lt;AYARLAR!$C$12,"SINIRDA","GÜVENLİ")))</f>
        <v/>
      </c>
      <c r="H851" s="118" t="n"/>
    </row>
    <row r="852" ht="15" customHeight="1" s="64">
      <c r="A852" s="112" t="n">
        <v>847</v>
      </c>
      <c r="B852" s="118" t="n"/>
      <c r="C852" s="118" t="n"/>
      <c r="D852" s="118" t="n"/>
      <c r="E852" s="115">
        <f>IF(C852="","",IFERROR(C852/MOTOR!$B$14,0))</f>
        <v/>
      </c>
      <c r="F852" s="116">
        <f>IF(C852="","",IFERROR((C852-MOTOR!$B$8)/MOTOR!$B$11,0))</f>
        <v/>
      </c>
      <c r="G852" s="117">
        <f>IF(C852="","",IF(E852&lt;AYARLAR!$C$11,"AŞIRI DÜŞÜK",IF(E852&lt;AYARLAR!$C$12,"SINIRDA","GÜVENLİ")))</f>
        <v/>
      </c>
      <c r="H852" s="118" t="n"/>
    </row>
    <row r="853" ht="15" customHeight="1" s="64">
      <c r="A853" s="112" t="n">
        <v>848</v>
      </c>
      <c r="B853" s="118" t="n"/>
      <c r="C853" s="118" t="n"/>
      <c r="D853" s="118" t="n"/>
      <c r="E853" s="115">
        <f>IF(C853="","",IFERROR(C853/MOTOR!$B$14,0))</f>
        <v/>
      </c>
      <c r="F853" s="116">
        <f>IF(C853="","",IFERROR((C853-MOTOR!$B$8)/MOTOR!$B$11,0))</f>
        <v/>
      </c>
      <c r="G853" s="117">
        <f>IF(C853="","",IF(E853&lt;AYARLAR!$C$11,"AŞIRI DÜŞÜK",IF(E853&lt;AYARLAR!$C$12,"SINIRDA","GÜVENLİ")))</f>
        <v/>
      </c>
      <c r="H853" s="118" t="n"/>
    </row>
    <row r="854" ht="15" customHeight="1" s="64">
      <c r="A854" s="112" t="n">
        <v>849</v>
      </c>
      <c r="B854" s="118" t="n"/>
      <c r="C854" s="118" t="n"/>
      <c r="D854" s="118" t="n"/>
      <c r="E854" s="115">
        <f>IF(C854="","",IFERROR(C854/MOTOR!$B$14,0))</f>
        <v/>
      </c>
      <c r="F854" s="116">
        <f>IF(C854="","",IFERROR((C854-MOTOR!$B$8)/MOTOR!$B$11,0))</f>
        <v/>
      </c>
      <c r="G854" s="117">
        <f>IF(C854="","",IF(E854&lt;AYARLAR!$C$11,"AŞIRI DÜŞÜK",IF(E854&lt;AYARLAR!$C$12,"SINIRDA","GÜVENLİ")))</f>
        <v/>
      </c>
      <c r="H854" s="118" t="n"/>
    </row>
    <row r="855" ht="15" customHeight="1" s="64">
      <c r="A855" s="112" t="n">
        <v>850</v>
      </c>
      <c r="B855" s="118" t="n"/>
      <c r="C855" s="118" t="n"/>
      <c r="D855" s="118" t="n"/>
      <c r="E855" s="115">
        <f>IF(C855="","",IFERROR(C855/MOTOR!$B$14,0))</f>
        <v/>
      </c>
      <c r="F855" s="116">
        <f>IF(C855="","",IFERROR((C855-MOTOR!$B$8)/MOTOR!$B$11,0))</f>
        <v/>
      </c>
      <c r="G855" s="117">
        <f>IF(C855="","",IF(E855&lt;AYARLAR!$C$11,"AŞIRI DÜŞÜK",IF(E855&lt;AYARLAR!$C$12,"SINIRDA","GÜVENLİ")))</f>
        <v/>
      </c>
      <c r="H855" s="118" t="n"/>
    </row>
    <row r="856" ht="15" customHeight="1" s="64">
      <c r="A856" s="112" t="n">
        <v>851</v>
      </c>
      <c r="B856" s="118" t="n"/>
      <c r="C856" s="118" t="n"/>
      <c r="D856" s="118" t="n"/>
      <c r="E856" s="115">
        <f>IF(C856="","",IFERROR(C856/MOTOR!$B$14,0))</f>
        <v/>
      </c>
      <c r="F856" s="116">
        <f>IF(C856="","",IFERROR((C856-MOTOR!$B$8)/MOTOR!$B$11,0))</f>
        <v/>
      </c>
      <c r="G856" s="117">
        <f>IF(C856="","",IF(E856&lt;AYARLAR!$C$11,"AŞIRI DÜŞÜK",IF(E856&lt;AYARLAR!$C$12,"SINIRDA","GÜVENLİ")))</f>
        <v/>
      </c>
      <c r="H856" s="118" t="n"/>
    </row>
    <row r="857" ht="15" customHeight="1" s="64">
      <c r="A857" s="112" t="n">
        <v>852</v>
      </c>
      <c r="B857" s="118" t="n"/>
      <c r="C857" s="118" t="n"/>
      <c r="D857" s="118" t="n"/>
      <c r="E857" s="115">
        <f>IF(C857="","",IFERROR(C857/MOTOR!$B$14,0))</f>
        <v/>
      </c>
      <c r="F857" s="116">
        <f>IF(C857="","",IFERROR((C857-MOTOR!$B$8)/MOTOR!$B$11,0))</f>
        <v/>
      </c>
      <c r="G857" s="117">
        <f>IF(C857="","",IF(E857&lt;AYARLAR!$C$11,"AŞIRI DÜŞÜK",IF(E857&lt;AYARLAR!$C$12,"SINIRDA","GÜVENLİ")))</f>
        <v/>
      </c>
      <c r="H857" s="118" t="n"/>
    </row>
    <row r="858" ht="15" customHeight="1" s="64">
      <c r="A858" s="112" t="n">
        <v>853</v>
      </c>
      <c r="B858" s="118" t="n"/>
      <c r="C858" s="118" t="n"/>
      <c r="D858" s="118" t="n"/>
      <c r="E858" s="115">
        <f>IF(C858="","",IFERROR(C858/MOTOR!$B$14,0))</f>
        <v/>
      </c>
      <c r="F858" s="116">
        <f>IF(C858="","",IFERROR((C858-MOTOR!$B$8)/MOTOR!$B$11,0))</f>
        <v/>
      </c>
      <c r="G858" s="117">
        <f>IF(C858="","",IF(E858&lt;AYARLAR!$C$11,"AŞIRI DÜŞÜK",IF(E858&lt;AYARLAR!$C$12,"SINIRDA","GÜVENLİ")))</f>
        <v/>
      </c>
      <c r="H858" s="118" t="n"/>
    </row>
    <row r="859" ht="15" customHeight="1" s="64">
      <c r="A859" s="112" t="n">
        <v>854</v>
      </c>
      <c r="B859" s="118" t="n"/>
      <c r="C859" s="118" t="n"/>
      <c r="D859" s="118" t="n"/>
      <c r="E859" s="115">
        <f>IF(C859="","",IFERROR(C859/MOTOR!$B$14,0))</f>
        <v/>
      </c>
      <c r="F859" s="116">
        <f>IF(C859="","",IFERROR((C859-MOTOR!$B$8)/MOTOR!$B$11,0))</f>
        <v/>
      </c>
      <c r="G859" s="117">
        <f>IF(C859="","",IF(E859&lt;AYARLAR!$C$11,"AŞIRI DÜŞÜK",IF(E859&lt;AYARLAR!$C$12,"SINIRDA","GÜVENLİ")))</f>
        <v/>
      </c>
      <c r="H859" s="118" t="n"/>
    </row>
    <row r="860" ht="15" customHeight="1" s="64">
      <c r="A860" s="112" t="n">
        <v>855</v>
      </c>
      <c r="B860" s="118" t="n"/>
      <c r="C860" s="118" t="n"/>
      <c r="D860" s="118" t="n"/>
      <c r="E860" s="115">
        <f>IF(C860="","",IFERROR(C860/MOTOR!$B$14,0))</f>
        <v/>
      </c>
      <c r="F860" s="116">
        <f>IF(C860="","",IFERROR((C860-MOTOR!$B$8)/MOTOR!$B$11,0))</f>
        <v/>
      </c>
      <c r="G860" s="117">
        <f>IF(C860="","",IF(E860&lt;AYARLAR!$C$11,"AŞIRI DÜŞÜK",IF(E860&lt;AYARLAR!$C$12,"SINIRDA","GÜVENLİ")))</f>
        <v/>
      </c>
      <c r="H860" s="118" t="n"/>
    </row>
    <row r="861" ht="15" customHeight="1" s="64">
      <c r="A861" s="112" t="n">
        <v>856</v>
      </c>
      <c r="B861" s="118" t="n"/>
      <c r="C861" s="118" t="n"/>
      <c r="D861" s="118" t="n"/>
      <c r="E861" s="115">
        <f>IF(C861="","",IFERROR(C861/MOTOR!$B$14,0))</f>
        <v/>
      </c>
      <c r="F861" s="116">
        <f>IF(C861="","",IFERROR((C861-MOTOR!$B$8)/MOTOR!$B$11,0))</f>
        <v/>
      </c>
      <c r="G861" s="117">
        <f>IF(C861="","",IF(E861&lt;AYARLAR!$C$11,"AŞIRI DÜŞÜK",IF(E861&lt;AYARLAR!$C$12,"SINIRDA","GÜVENLİ")))</f>
        <v/>
      </c>
      <c r="H861" s="118" t="n"/>
    </row>
    <row r="862" ht="15" customHeight="1" s="64">
      <c r="A862" s="112" t="n">
        <v>857</v>
      </c>
      <c r="B862" s="118" t="n"/>
      <c r="C862" s="118" t="n"/>
      <c r="D862" s="118" t="n"/>
      <c r="E862" s="115">
        <f>IF(C862="","",IFERROR(C862/MOTOR!$B$14,0))</f>
        <v/>
      </c>
      <c r="F862" s="116">
        <f>IF(C862="","",IFERROR((C862-MOTOR!$B$8)/MOTOR!$B$11,0))</f>
        <v/>
      </c>
      <c r="G862" s="117">
        <f>IF(C862="","",IF(E862&lt;AYARLAR!$C$11,"AŞIRI DÜŞÜK",IF(E862&lt;AYARLAR!$C$12,"SINIRDA","GÜVENLİ")))</f>
        <v/>
      </c>
      <c r="H862" s="118" t="n"/>
    </row>
    <row r="863" ht="15" customHeight="1" s="64">
      <c r="A863" s="112" t="n">
        <v>858</v>
      </c>
      <c r="B863" s="118" t="n"/>
      <c r="C863" s="118" t="n"/>
      <c r="D863" s="118" t="n"/>
      <c r="E863" s="115">
        <f>IF(C863="","",IFERROR(C863/MOTOR!$B$14,0))</f>
        <v/>
      </c>
      <c r="F863" s="116">
        <f>IF(C863="","",IFERROR((C863-MOTOR!$B$8)/MOTOR!$B$11,0))</f>
        <v/>
      </c>
      <c r="G863" s="117">
        <f>IF(C863="","",IF(E863&lt;AYARLAR!$C$11,"AŞIRI DÜŞÜK",IF(E863&lt;AYARLAR!$C$12,"SINIRDA","GÜVENLİ")))</f>
        <v/>
      </c>
      <c r="H863" s="118" t="n"/>
    </row>
    <row r="864" ht="15" customHeight="1" s="64">
      <c r="A864" s="112" t="n">
        <v>859</v>
      </c>
      <c r="B864" s="118" t="n"/>
      <c r="C864" s="118" t="n"/>
      <c r="D864" s="118" t="n"/>
      <c r="E864" s="115">
        <f>IF(C864="","",IFERROR(C864/MOTOR!$B$14,0))</f>
        <v/>
      </c>
      <c r="F864" s="116">
        <f>IF(C864="","",IFERROR((C864-MOTOR!$B$8)/MOTOR!$B$11,0))</f>
        <v/>
      </c>
      <c r="G864" s="117">
        <f>IF(C864="","",IF(E864&lt;AYARLAR!$C$11,"AŞIRI DÜŞÜK",IF(E864&lt;AYARLAR!$C$12,"SINIRDA","GÜVENLİ")))</f>
        <v/>
      </c>
      <c r="H864" s="118" t="n"/>
    </row>
    <row r="865" ht="15" customHeight="1" s="64">
      <c r="A865" s="112" t="n">
        <v>860</v>
      </c>
      <c r="B865" s="118" t="n"/>
      <c r="C865" s="118" t="n"/>
      <c r="D865" s="118" t="n"/>
      <c r="E865" s="115">
        <f>IF(C865="","",IFERROR(C865/MOTOR!$B$14,0))</f>
        <v/>
      </c>
      <c r="F865" s="116">
        <f>IF(C865="","",IFERROR((C865-MOTOR!$B$8)/MOTOR!$B$11,0))</f>
        <v/>
      </c>
      <c r="G865" s="117">
        <f>IF(C865="","",IF(E865&lt;AYARLAR!$C$11,"AŞIRI DÜŞÜK",IF(E865&lt;AYARLAR!$C$12,"SINIRDA","GÜVENLİ")))</f>
        <v/>
      </c>
      <c r="H865" s="118" t="n"/>
    </row>
    <row r="866" ht="15" customHeight="1" s="64">
      <c r="A866" s="112" t="n">
        <v>861</v>
      </c>
      <c r="B866" s="118" t="n"/>
      <c r="C866" s="118" t="n"/>
      <c r="D866" s="118" t="n"/>
      <c r="E866" s="115">
        <f>IF(C866="","",IFERROR(C866/MOTOR!$B$14,0))</f>
        <v/>
      </c>
      <c r="F866" s="116">
        <f>IF(C866="","",IFERROR((C866-MOTOR!$B$8)/MOTOR!$B$11,0))</f>
        <v/>
      </c>
      <c r="G866" s="117">
        <f>IF(C866="","",IF(E866&lt;AYARLAR!$C$11,"AŞIRI DÜŞÜK",IF(E866&lt;AYARLAR!$C$12,"SINIRDA","GÜVENLİ")))</f>
        <v/>
      </c>
      <c r="H866" s="118" t="n"/>
    </row>
    <row r="867" ht="15" customHeight="1" s="64">
      <c r="A867" s="112" t="n">
        <v>862</v>
      </c>
      <c r="B867" s="118" t="n"/>
      <c r="C867" s="118" t="n"/>
      <c r="D867" s="118" t="n"/>
      <c r="E867" s="115">
        <f>IF(C867="","",IFERROR(C867/MOTOR!$B$14,0))</f>
        <v/>
      </c>
      <c r="F867" s="116">
        <f>IF(C867="","",IFERROR((C867-MOTOR!$B$8)/MOTOR!$B$11,0))</f>
        <v/>
      </c>
      <c r="G867" s="117">
        <f>IF(C867="","",IF(E867&lt;AYARLAR!$C$11,"AŞIRI DÜŞÜK",IF(E867&lt;AYARLAR!$C$12,"SINIRDA","GÜVENLİ")))</f>
        <v/>
      </c>
      <c r="H867" s="118" t="n"/>
    </row>
    <row r="868" ht="15" customHeight="1" s="64">
      <c r="A868" s="112" t="n">
        <v>863</v>
      </c>
      <c r="B868" s="118" t="n"/>
      <c r="C868" s="118" t="n"/>
      <c r="D868" s="118" t="n"/>
      <c r="E868" s="115">
        <f>IF(C868="","",IFERROR(C868/MOTOR!$B$14,0))</f>
        <v/>
      </c>
      <c r="F868" s="116">
        <f>IF(C868="","",IFERROR((C868-MOTOR!$B$8)/MOTOR!$B$11,0))</f>
        <v/>
      </c>
      <c r="G868" s="117">
        <f>IF(C868="","",IF(E868&lt;AYARLAR!$C$11,"AŞIRI DÜŞÜK",IF(E868&lt;AYARLAR!$C$12,"SINIRDA","GÜVENLİ")))</f>
        <v/>
      </c>
      <c r="H868" s="118" t="n"/>
    </row>
    <row r="869" ht="15" customHeight="1" s="64">
      <c r="A869" s="112" t="n">
        <v>864</v>
      </c>
      <c r="B869" s="118" t="n"/>
      <c r="C869" s="118" t="n"/>
      <c r="D869" s="118" t="n"/>
      <c r="E869" s="115">
        <f>IF(C869="","",IFERROR(C869/MOTOR!$B$14,0))</f>
        <v/>
      </c>
      <c r="F869" s="116">
        <f>IF(C869="","",IFERROR((C869-MOTOR!$B$8)/MOTOR!$B$11,0))</f>
        <v/>
      </c>
      <c r="G869" s="117">
        <f>IF(C869="","",IF(E869&lt;AYARLAR!$C$11,"AŞIRI DÜŞÜK",IF(E869&lt;AYARLAR!$C$12,"SINIRDA","GÜVENLİ")))</f>
        <v/>
      </c>
      <c r="H869" s="118" t="n"/>
    </row>
    <row r="870" ht="15" customHeight="1" s="64">
      <c r="A870" s="112" t="n">
        <v>865</v>
      </c>
      <c r="B870" s="118" t="n"/>
      <c r="C870" s="118" t="n"/>
      <c r="D870" s="118" t="n"/>
      <c r="E870" s="115">
        <f>IF(C870="","",IFERROR(C870/MOTOR!$B$14,0))</f>
        <v/>
      </c>
      <c r="F870" s="116">
        <f>IF(C870="","",IFERROR((C870-MOTOR!$B$8)/MOTOR!$B$11,0))</f>
        <v/>
      </c>
      <c r="G870" s="117">
        <f>IF(C870="","",IF(E870&lt;AYARLAR!$C$11,"AŞIRI DÜŞÜK",IF(E870&lt;AYARLAR!$C$12,"SINIRDA","GÜVENLİ")))</f>
        <v/>
      </c>
      <c r="H870" s="118" t="n"/>
    </row>
    <row r="871" ht="15" customHeight="1" s="64">
      <c r="A871" s="112" t="n">
        <v>866</v>
      </c>
      <c r="B871" s="118" t="n"/>
      <c r="C871" s="118" t="n"/>
      <c r="D871" s="118" t="n"/>
      <c r="E871" s="115">
        <f>IF(C871="","",IFERROR(C871/MOTOR!$B$14,0))</f>
        <v/>
      </c>
      <c r="F871" s="116">
        <f>IF(C871="","",IFERROR((C871-MOTOR!$B$8)/MOTOR!$B$11,0))</f>
        <v/>
      </c>
      <c r="G871" s="117">
        <f>IF(C871="","",IF(E871&lt;AYARLAR!$C$11,"AŞIRI DÜŞÜK",IF(E871&lt;AYARLAR!$C$12,"SINIRDA","GÜVENLİ")))</f>
        <v/>
      </c>
      <c r="H871" s="118" t="n"/>
    </row>
    <row r="872" ht="15" customHeight="1" s="64">
      <c r="A872" s="112" t="n">
        <v>867</v>
      </c>
      <c r="B872" s="118" t="n"/>
      <c r="C872" s="118" t="n"/>
      <c r="D872" s="118" t="n"/>
      <c r="E872" s="115">
        <f>IF(C872="","",IFERROR(C872/MOTOR!$B$14,0))</f>
        <v/>
      </c>
      <c r="F872" s="116">
        <f>IF(C872="","",IFERROR((C872-MOTOR!$B$8)/MOTOR!$B$11,0))</f>
        <v/>
      </c>
      <c r="G872" s="117">
        <f>IF(C872="","",IF(E872&lt;AYARLAR!$C$11,"AŞIRI DÜŞÜK",IF(E872&lt;AYARLAR!$C$12,"SINIRDA","GÜVENLİ")))</f>
        <v/>
      </c>
      <c r="H872" s="118" t="n"/>
    </row>
    <row r="873" ht="15" customHeight="1" s="64">
      <c r="A873" s="112" t="n">
        <v>868</v>
      </c>
      <c r="B873" s="118" t="n"/>
      <c r="C873" s="118" t="n"/>
      <c r="D873" s="118" t="n"/>
      <c r="E873" s="115">
        <f>IF(C873="","",IFERROR(C873/MOTOR!$B$14,0))</f>
        <v/>
      </c>
      <c r="F873" s="116">
        <f>IF(C873="","",IFERROR((C873-MOTOR!$B$8)/MOTOR!$B$11,0))</f>
        <v/>
      </c>
      <c r="G873" s="117">
        <f>IF(C873="","",IF(E873&lt;AYARLAR!$C$11,"AŞIRI DÜŞÜK",IF(E873&lt;AYARLAR!$C$12,"SINIRDA","GÜVENLİ")))</f>
        <v/>
      </c>
      <c r="H873" s="118" t="n"/>
    </row>
    <row r="874" ht="15" customHeight="1" s="64">
      <c r="A874" s="112" t="n">
        <v>869</v>
      </c>
      <c r="B874" s="118" t="n"/>
      <c r="C874" s="118" t="n"/>
      <c r="D874" s="118" t="n"/>
      <c r="E874" s="115">
        <f>IF(C874="","",IFERROR(C874/MOTOR!$B$14,0))</f>
        <v/>
      </c>
      <c r="F874" s="116">
        <f>IF(C874="","",IFERROR((C874-MOTOR!$B$8)/MOTOR!$B$11,0))</f>
        <v/>
      </c>
      <c r="G874" s="117">
        <f>IF(C874="","",IF(E874&lt;AYARLAR!$C$11,"AŞIRI DÜŞÜK",IF(E874&lt;AYARLAR!$C$12,"SINIRDA","GÜVENLİ")))</f>
        <v/>
      </c>
      <c r="H874" s="118" t="n"/>
    </row>
    <row r="875" ht="15" customHeight="1" s="64">
      <c r="A875" s="112" t="n">
        <v>870</v>
      </c>
      <c r="B875" s="118" t="n"/>
      <c r="C875" s="118" t="n"/>
      <c r="D875" s="118" t="n"/>
      <c r="E875" s="115">
        <f>IF(C875="","",IFERROR(C875/MOTOR!$B$14,0))</f>
        <v/>
      </c>
      <c r="F875" s="116">
        <f>IF(C875="","",IFERROR((C875-MOTOR!$B$8)/MOTOR!$B$11,0))</f>
        <v/>
      </c>
      <c r="G875" s="117">
        <f>IF(C875="","",IF(E875&lt;AYARLAR!$C$11,"AŞIRI DÜŞÜK",IF(E875&lt;AYARLAR!$C$12,"SINIRDA","GÜVENLİ")))</f>
        <v/>
      </c>
      <c r="H875" s="118" t="n"/>
    </row>
    <row r="876" ht="15" customHeight="1" s="64">
      <c r="A876" s="112" t="n">
        <v>871</v>
      </c>
      <c r="B876" s="118" t="n"/>
      <c r="C876" s="118" t="n"/>
      <c r="D876" s="118" t="n"/>
      <c r="E876" s="115">
        <f>IF(C876="","",IFERROR(C876/MOTOR!$B$14,0))</f>
        <v/>
      </c>
      <c r="F876" s="116">
        <f>IF(C876="","",IFERROR((C876-MOTOR!$B$8)/MOTOR!$B$11,0))</f>
        <v/>
      </c>
      <c r="G876" s="117">
        <f>IF(C876="","",IF(E876&lt;AYARLAR!$C$11,"AŞIRI DÜŞÜK",IF(E876&lt;AYARLAR!$C$12,"SINIRDA","GÜVENLİ")))</f>
        <v/>
      </c>
      <c r="H876" s="118" t="n"/>
    </row>
    <row r="877" ht="15" customHeight="1" s="64">
      <c r="A877" s="112" t="n">
        <v>872</v>
      </c>
      <c r="B877" s="118" t="n"/>
      <c r="C877" s="118" t="n"/>
      <c r="D877" s="118" t="n"/>
      <c r="E877" s="115">
        <f>IF(C877="","",IFERROR(C877/MOTOR!$B$14,0))</f>
        <v/>
      </c>
      <c r="F877" s="116">
        <f>IF(C877="","",IFERROR((C877-MOTOR!$B$8)/MOTOR!$B$11,0))</f>
        <v/>
      </c>
      <c r="G877" s="117">
        <f>IF(C877="","",IF(E877&lt;AYARLAR!$C$11,"AŞIRI DÜŞÜK",IF(E877&lt;AYARLAR!$C$12,"SINIRDA","GÜVENLİ")))</f>
        <v/>
      </c>
      <c r="H877" s="118" t="n"/>
    </row>
    <row r="878" ht="15" customHeight="1" s="64">
      <c r="A878" s="112" t="n">
        <v>873</v>
      </c>
      <c r="B878" s="118" t="n"/>
      <c r="C878" s="118" t="n"/>
      <c r="D878" s="118" t="n"/>
      <c r="E878" s="115">
        <f>IF(C878="","",IFERROR(C878/MOTOR!$B$14,0))</f>
        <v/>
      </c>
      <c r="F878" s="116">
        <f>IF(C878="","",IFERROR((C878-MOTOR!$B$8)/MOTOR!$B$11,0))</f>
        <v/>
      </c>
      <c r="G878" s="117">
        <f>IF(C878="","",IF(E878&lt;AYARLAR!$C$11,"AŞIRI DÜŞÜK",IF(E878&lt;AYARLAR!$C$12,"SINIRDA","GÜVENLİ")))</f>
        <v/>
      </c>
      <c r="H878" s="118" t="n"/>
    </row>
    <row r="879" ht="15" customHeight="1" s="64">
      <c r="A879" s="112" t="n">
        <v>874</v>
      </c>
      <c r="B879" s="118" t="n"/>
      <c r="C879" s="118" t="n"/>
      <c r="D879" s="118" t="n"/>
      <c r="E879" s="115">
        <f>IF(C879="","",IFERROR(C879/MOTOR!$B$14,0))</f>
        <v/>
      </c>
      <c r="F879" s="116">
        <f>IF(C879="","",IFERROR((C879-MOTOR!$B$8)/MOTOR!$B$11,0))</f>
        <v/>
      </c>
      <c r="G879" s="117">
        <f>IF(C879="","",IF(E879&lt;AYARLAR!$C$11,"AŞIRI DÜŞÜK",IF(E879&lt;AYARLAR!$C$12,"SINIRDA","GÜVENLİ")))</f>
        <v/>
      </c>
      <c r="H879" s="118" t="n"/>
    </row>
    <row r="880" ht="15" customHeight="1" s="64">
      <c r="A880" s="112" t="n">
        <v>875</v>
      </c>
      <c r="B880" s="118" t="n"/>
      <c r="C880" s="118" t="n"/>
      <c r="D880" s="118" t="n"/>
      <c r="E880" s="115">
        <f>IF(C880="","",IFERROR(C880/MOTOR!$B$14,0))</f>
        <v/>
      </c>
      <c r="F880" s="116">
        <f>IF(C880="","",IFERROR((C880-MOTOR!$B$8)/MOTOR!$B$11,0))</f>
        <v/>
      </c>
      <c r="G880" s="117">
        <f>IF(C880="","",IF(E880&lt;AYARLAR!$C$11,"AŞIRI DÜŞÜK",IF(E880&lt;AYARLAR!$C$12,"SINIRDA","GÜVENLİ")))</f>
        <v/>
      </c>
      <c r="H880" s="118" t="n"/>
    </row>
    <row r="881" ht="15" customHeight="1" s="64">
      <c r="A881" s="112" t="n">
        <v>876</v>
      </c>
      <c r="B881" s="118" t="n"/>
      <c r="C881" s="118" t="n"/>
      <c r="D881" s="118" t="n"/>
      <c r="E881" s="115">
        <f>IF(C881="","",IFERROR(C881/MOTOR!$B$14,0))</f>
        <v/>
      </c>
      <c r="F881" s="116">
        <f>IF(C881="","",IFERROR((C881-MOTOR!$B$8)/MOTOR!$B$11,0))</f>
        <v/>
      </c>
      <c r="G881" s="117">
        <f>IF(C881="","",IF(E881&lt;AYARLAR!$C$11,"AŞIRI DÜŞÜK",IF(E881&lt;AYARLAR!$C$12,"SINIRDA","GÜVENLİ")))</f>
        <v/>
      </c>
      <c r="H881" s="118" t="n"/>
    </row>
    <row r="882" ht="15" customHeight="1" s="64">
      <c r="A882" s="112" t="n">
        <v>877</v>
      </c>
      <c r="B882" s="118" t="n"/>
      <c r="C882" s="118" t="n"/>
      <c r="D882" s="118" t="n"/>
      <c r="E882" s="115">
        <f>IF(C882="","",IFERROR(C882/MOTOR!$B$14,0))</f>
        <v/>
      </c>
      <c r="F882" s="116">
        <f>IF(C882="","",IFERROR((C882-MOTOR!$B$8)/MOTOR!$B$11,0))</f>
        <v/>
      </c>
      <c r="G882" s="117">
        <f>IF(C882="","",IF(E882&lt;AYARLAR!$C$11,"AŞIRI DÜŞÜK",IF(E882&lt;AYARLAR!$C$12,"SINIRDA","GÜVENLİ")))</f>
        <v/>
      </c>
      <c r="H882" s="118" t="n"/>
    </row>
    <row r="883" ht="15" customHeight="1" s="64">
      <c r="A883" s="112" t="n">
        <v>878</v>
      </c>
      <c r="B883" s="118" t="n"/>
      <c r="C883" s="118" t="n"/>
      <c r="D883" s="118" t="n"/>
      <c r="E883" s="115">
        <f>IF(C883="","",IFERROR(C883/MOTOR!$B$14,0))</f>
        <v/>
      </c>
      <c r="F883" s="116">
        <f>IF(C883="","",IFERROR((C883-MOTOR!$B$8)/MOTOR!$B$11,0))</f>
        <v/>
      </c>
      <c r="G883" s="117">
        <f>IF(C883="","",IF(E883&lt;AYARLAR!$C$11,"AŞIRI DÜŞÜK",IF(E883&lt;AYARLAR!$C$12,"SINIRDA","GÜVENLİ")))</f>
        <v/>
      </c>
      <c r="H883" s="118" t="n"/>
    </row>
    <row r="884" ht="15" customHeight="1" s="64">
      <c r="A884" s="112" t="n">
        <v>879</v>
      </c>
      <c r="B884" s="118" t="n"/>
      <c r="C884" s="118" t="n"/>
      <c r="D884" s="118" t="n"/>
      <c r="E884" s="115">
        <f>IF(C884="","",IFERROR(C884/MOTOR!$B$14,0))</f>
        <v/>
      </c>
      <c r="F884" s="116">
        <f>IF(C884="","",IFERROR((C884-MOTOR!$B$8)/MOTOR!$B$11,0))</f>
        <v/>
      </c>
      <c r="G884" s="117">
        <f>IF(C884="","",IF(E884&lt;AYARLAR!$C$11,"AŞIRI DÜŞÜK",IF(E884&lt;AYARLAR!$C$12,"SINIRDA","GÜVENLİ")))</f>
        <v/>
      </c>
      <c r="H884" s="118" t="n"/>
    </row>
    <row r="885" ht="15" customHeight="1" s="64">
      <c r="A885" s="112" t="n">
        <v>880</v>
      </c>
      <c r="B885" s="118" t="n"/>
      <c r="C885" s="118" t="n"/>
      <c r="D885" s="118" t="n"/>
      <c r="E885" s="115">
        <f>IF(C885="","",IFERROR(C885/MOTOR!$B$14,0))</f>
        <v/>
      </c>
      <c r="F885" s="116">
        <f>IF(C885="","",IFERROR((C885-MOTOR!$B$8)/MOTOR!$B$11,0))</f>
        <v/>
      </c>
      <c r="G885" s="117">
        <f>IF(C885="","",IF(E885&lt;AYARLAR!$C$11,"AŞIRI DÜŞÜK",IF(E885&lt;AYARLAR!$C$12,"SINIRDA","GÜVENLİ")))</f>
        <v/>
      </c>
      <c r="H885" s="118" t="n"/>
    </row>
    <row r="886" ht="15" customHeight="1" s="64">
      <c r="A886" s="112" t="n">
        <v>881</v>
      </c>
      <c r="B886" s="118" t="n"/>
      <c r="C886" s="118" t="n"/>
      <c r="D886" s="118" t="n"/>
      <c r="E886" s="115">
        <f>IF(C886="","",IFERROR(C886/MOTOR!$B$14,0))</f>
        <v/>
      </c>
      <c r="F886" s="116">
        <f>IF(C886="","",IFERROR((C886-MOTOR!$B$8)/MOTOR!$B$11,0))</f>
        <v/>
      </c>
      <c r="G886" s="117">
        <f>IF(C886="","",IF(E886&lt;AYARLAR!$C$11,"AŞIRI DÜŞÜK",IF(E886&lt;AYARLAR!$C$12,"SINIRDA","GÜVENLİ")))</f>
        <v/>
      </c>
      <c r="H886" s="118" t="n"/>
    </row>
    <row r="887" ht="15" customHeight="1" s="64">
      <c r="A887" s="112" t="n">
        <v>882</v>
      </c>
      <c r="B887" s="118" t="n"/>
      <c r="C887" s="118" t="n"/>
      <c r="D887" s="118" t="n"/>
      <c r="E887" s="115">
        <f>IF(C887="","",IFERROR(C887/MOTOR!$B$14,0))</f>
        <v/>
      </c>
      <c r="F887" s="116">
        <f>IF(C887="","",IFERROR((C887-MOTOR!$B$8)/MOTOR!$B$11,0))</f>
        <v/>
      </c>
      <c r="G887" s="117">
        <f>IF(C887="","",IF(E887&lt;AYARLAR!$C$11,"AŞIRI DÜŞÜK",IF(E887&lt;AYARLAR!$C$12,"SINIRDA","GÜVENLİ")))</f>
        <v/>
      </c>
      <c r="H887" s="118" t="n"/>
    </row>
    <row r="888" ht="15" customHeight="1" s="64">
      <c r="A888" s="112" t="n">
        <v>883</v>
      </c>
      <c r="B888" s="118" t="n"/>
      <c r="C888" s="118" t="n"/>
      <c r="D888" s="118" t="n"/>
      <c r="E888" s="115">
        <f>IF(C888="","",IFERROR(C888/MOTOR!$B$14,0))</f>
        <v/>
      </c>
      <c r="F888" s="116">
        <f>IF(C888="","",IFERROR((C888-MOTOR!$B$8)/MOTOR!$B$11,0))</f>
        <v/>
      </c>
      <c r="G888" s="117">
        <f>IF(C888="","",IF(E888&lt;AYARLAR!$C$11,"AŞIRI DÜŞÜK",IF(E888&lt;AYARLAR!$C$12,"SINIRDA","GÜVENLİ")))</f>
        <v/>
      </c>
      <c r="H888" s="118" t="n"/>
    </row>
    <row r="889" ht="15" customHeight="1" s="64">
      <c r="A889" s="112" t="n">
        <v>884</v>
      </c>
      <c r="B889" s="118" t="n"/>
      <c r="C889" s="118" t="n"/>
      <c r="D889" s="118" t="n"/>
      <c r="E889" s="115">
        <f>IF(C889="","",IFERROR(C889/MOTOR!$B$14,0))</f>
        <v/>
      </c>
      <c r="F889" s="116">
        <f>IF(C889="","",IFERROR((C889-MOTOR!$B$8)/MOTOR!$B$11,0))</f>
        <v/>
      </c>
      <c r="G889" s="117">
        <f>IF(C889="","",IF(E889&lt;AYARLAR!$C$11,"AŞIRI DÜŞÜK",IF(E889&lt;AYARLAR!$C$12,"SINIRDA","GÜVENLİ")))</f>
        <v/>
      </c>
      <c r="H889" s="118" t="n"/>
    </row>
    <row r="890" ht="15" customHeight="1" s="64">
      <c r="A890" s="112" t="n">
        <v>885</v>
      </c>
      <c r="B890" s="118" t="n"/>
      <c r="C890" s="118" t="n"/>
      <c r="D890" s="118" t="n"/>
      <c r="E890" s="115">
        <f>IF(C890="","",IFERROR(C890/MOTOR!$B$14,0))</f>
        <v/>
      </c>
      <c r="F890" s="116">
        <f>IF(C890="","",IFERROR((C890-MOTOR!$B$8)/MOTOR!$B$11,0))</f>
        <v/>
      </c>
      <c r="G890" s="117">
        <f>IF(C890="","",IF(E890&lt;AYARLAR!$C$11,"AŞIRI DÜŞÜK",IF(E890&lt;AYARLAR!$C$12,"SINIRDA","GÜVENLİ")))</f>
        <v/>
      </c>
      <c r="H890" s="118" t="n"/>
    </row>
    <row r="891" ht="15" customHeight="1" s="64">
      <c r="A891" s="112" t="n">
        <v>886</v>
      </c>
      <c r="B891" s="118" t="n"/>
      <c r="C891" s="118" t="n"/>
      <c r="D891" s="118" t="n"/>
      <c r="E891" s="115">
        <f>IF(C891="","",IFERROR(C891/MOTOR!$B$14,0))</f>
        <v/>
      </c>
      <c r="F891" s="116">
        <f>IF(C891="","",IFERROR((C891-MOTOR!$B$8)/MOTOR!$B$11,0))</f>
        <v/>
      </c>
      <c r="G891" s="117">
        <f>IF(C891="","",IF(E891&lt;AYARLAR!$C$11,"AŞIRI DÜŞÜK",IF(E891&lt;AYARLAR!$C$12,"SINIRDA","GÜVENLİ")))</f>
        <v/>
      </c>
      <c r="H891" s="118" t="n"/>
    </row>
    <row r="892" ht="15" customHeight="1" s="64">
      <c r="A892" s="112" t="n">
        <v>887</v>
      </c>
      <c r="B892" s="118" t="n"/>
      <c r="C892" s="118" t="n"/>
      <c r="D892" s="118" t="n"/>
      <c r="E892" s="115">
        <f>IF(C892="","",IFERROR(C892/MOTOR!$B$14,0))</f>
        <v/>
      </c>
      <c r="F892" s="116">
        <f>IF(C892="","",IFERROR((C892-MOTOR!$B$8)/MOTOR!$B$11,0))</f>
        <v/>
      </c>
      <c r="G892" s="117">
        <f>IF(C892="","",IF(E892&lt;AYARLAR!$C$11,"AŞIRI DÜŞÜK",IF(E892&lt;AYARLAR!$C$12,"SINIRDA","GÜVENLİ")))</f>
        <v/>
      </c>
      <c r="H892" s="118" t="n"/>
    </row>
    <row r="893" ht="15" customHeight="1" s="64">
      <c r="A893" s="112" t="n">
        <v>888</v>
      </c>
      <c r="B893" s="118" t="n"/>
      <c r="C893" s="118" t="n"/>
      <c r="D893" s="118" t="n"/>
      <c r="E893" s="115">
        <f>IF(C893="","",IFERROR(C893/MOTOR!$B$14,0))</f>
        <v/>
      </c>
      <c r="F893" s="116">
        <f>IF(C893="","",IFERROR((C893-MOTOR!$B$8)/MOTOR!$B$11,0))</f>
        <v/>
      </c>
      <c r="G893" s="117">
        <f>IF(C893="","",IF(E893&lt;AYARLAR!$C$11,"AŞIRI DÜŞÜK",IF(E893&lt;AYARLAR!$C$12,"SINIRDA","GÜVENLİ")))</f>
        <v/>
      </c>
      <c r="H893" s="118" t="n"/>
    </row>
    <row r="894" ht="15" customHeight="1" s="64">
      <c r="A894" s="112" t="n">
        <v>889</v>
      </c>
      <c r="B894" s="118" t="n"/>
      <c r="C894" s="118" t="n"/>
      <c r="D894" s="118" t="n"/>
      <c r="E894" s="115">
        <f>IF(C894="","",IFERROR(C894/MOTOR!$B$14,0))</f>
        <v/>
      </c>
      <c r="F894" s="116">
        <f>IF(C894="","",IFERROR((C894-MOTOR!$B$8)/MOTOR!$B$11,0))</f>
        <v/>
      </c>
      <c r="G894" s="117">
        <f>IF(C894="","",IF(E894&lt;AYARLAR!$C$11,"AŞIRI DÜŞÜK",IF(E894&lt;AYARLAR!$C$12,"SINIRDA","GÜVENLİ")))</f>
        <v/>
      </c>
      <c r="H894" s="118" t="n"/>
    </row>
    <row r="895" ht="15" customHeight="1" s="64">
      <c r="A895" s="112" t="n">
        <v>890</v>
      </c>
      <c r="B895" s="118" t="n"/>
      <c r="C895" s="118" t="n"/>
      <c r="D895" s="118" t="n"/>
      <c r="E895" s="115">
        <f>IF(C895="","",IFERROR(C895/MOTOR!$B$14,0))</f>
        <v/>
      </c>
      <c r="F895" s="116">
        <f>IF(C895="","",IFERROR((C895-MOTOR!$B$8)/MOTOR!$B$11,0))</f>
        <v/>
      </c>
      <c r="G895" s="117">
        <f>IF(C895="","",IF(E895&lt;AYARLAR!$C$11,"AŞIRI DÜŞÜK",IF(E895&lt;AYARLAR!$C$12,"SINIRDA","GÜVENLİ")))</f>
        <v/>
      </c>
      <c r="H895" s="118" t="n"/>
    </row>
    <row r="896" ht="15" customHeight="1" s="64">
      <c r="A896" s="112" t="n">
        <v>891</v>
      </c>
      <c r="B896" s="118" t="n"/>
      <c r="C896" s="118" t="n"/>
      <c r="D896" s="118" t="n"/>
      <c r="E896" s="115">
        <f>IF(C896="","",IFERROR(C896/MOTOR!$B$14,0))</f>
        <v/>
      </c>
      <c r="F896" s="116">
        <f>IF(C896="","",IFERROR((C896-MOTOR!$B$8)/MOTOR!$B$11,0))</f>
        <v/>
      </c>
      <c r="G896" s="117">
        <f>IF(C896="","",IF(E896&lt;AYARLAR!$C$11,"AŞIRI DÜŞÜK",IF(E896&lt;AYARLAR!$C$12,"SINIRDA","GÜVENLİ")))</f>
        <v/>
      </c>
      <c r="H896" s="118" t="n"/>
    </row>
    <row r="897" ht="15" customHeight="1" s="64">
      <c r="A897" s="112" t="n">
        <v>892</v>
      </c>
      <c r="B897" s="118" t="n"/>
      <c r="C897" s="118" t="n"/>
      <c r="D897" s="118" t="n"/>
      <c r="E897" s="115">
        <f>IF(C897="","",IFERROR(C897/MOTOR!$B$14,0))</f>
        <v/>
      </c>
      <c r="F897" s="116">
        <f>IF(C897="","",IFERROR((C897-MOTOR!$B$8)/MOTOR!$B$11,0))</f>
        <v/>
      </c>
      <c r="G897" s="117">
        <f>IF(C897="","",IF(E897&lt;AYARLAR!$C$11,"AŞIRI DÜŞÜK",IF(E897&lt;AYARLAR!$C$12,"SINIRDA","GÜVENLİ")))</f>
        <v/>
      </c>
      <c r="H897" s="118" t="n"/>
    </row>
    <row r="898" ht="15" customHeight="1" s="64">
      <c r="A898" s="112" t="n">
        <v>893</v>
      </c>
      <c r="B898" s="118" t="n"/>
      <c r="C898" s="118" t="n"/>
      <c r="D898" s="118" t="n"/>
      <c r="E898" s="115">
        <f>IF(C898="","",IFERROR(C898/MOTOR!$B$14,0))</f>
        <v/>
      </c>
      <c r="F898" s="116">
        <f>IF(C898="","",IFERROR((C898-MOTOR!$B$8)/MOTOR!$B$11,0))</f>
        <v/>
      </c>
      <c r="G898" s="117">
        <f>IF(C898="","",IF(E898&lt;AYARLAR!$C$11,"AŞIRI DÜŞÜK",IF(E898&lt;AYARLAR!$C$12,"SINIRDA","GÜVENLİ")))</f>
        <v/>
      </c>
      <c r="H898" s="118" t="n"/>
    </row>
    <row r="899" ht="15" customHeight="1" s="64">
      <c r="A899" s="112" t="n">
        <v>894</v>
      </c>
      <c r="B899" s="118" t="n"/>
      <c r="C899" s="118" t="n"/>
      <c r="D899" s="118" t="n"/>
      <c r="E899" s="115">
        <f>IF(C899="","",IFERROR(C899/MOTOR!$B$14,0))</f>
        <v/>
      </c>
      <c r="F899" s="116">
        <f>IF(C899="","",IFERROR((C899-MOTOR!$B$8)/MOTOR!$B$11,0))</f>
        <v/>
      </c>
      <c r="G899" s="117">
        <f>IF(C899="","",IF(E899&lt;AYARLAR!$C$11,"AŞIRI DÜŞÜK",IF(E899&lt;AYARLAR!$C$12,"SINIRDA","GÜVENLİ")))</f>
        <v/>
      </c>
      <c r="H899" s="118" t="n"/>
    </row>
    <row r="900" ht="15" customHeight="1" s="64">
      <c r="A900" s="112" t="n">
        <v>895</v>
      </c>
      <c r="B900" s="118" t="n"/>
      <c r="C900" s="118" t="n"/>
      <c r="D900" s="118" t="n"/>
      <c r="E900" s="115">
        <f>IF(C900="","",IFERROR(C900/MOTOR!$B$14,0))</f>
        <v/>
      </c>
      <c r="F900" s="116">
        <f>IF(C900="","",IFERROR((C900-MOTOR!$B$8)/MOTOR!$B$11,0))</f>
        <v/>
      </c>
      <c r="G900" s="117">
        <f>IF(C900="","",IF(E900&lt;AYARLAR!$C$11,"AŞIRI DÜŞÜK",IF(E900&lt;AYARLAR!$C$12,"SINIRDA","GÜVENLİ")))</f>
        <v/>
      </c>
      <c r="H900" s="118" t="n"/>
    </row>
    <row r="901" ht="15" customHeight="1" s="64">
      <c r="A901" s="112" t="n">
        <v>896</v>
      </c>
      <c r="B901" s="118" t="n"/>
      <c r="C901" s="118" t="n"/>
      <c r="D901" s="118" t="n"/>
      <c r="E901" s="115">
        <f>IF(C901="","",IFERROR(C901/MOTOR!$B$14,0))</f>
        <v/>
      </c>
      <c r="F901" s="116">
        <f>IF(C901="","",IFERROR((C901-MOTOR!$B$8)/MOTOR!$B$11,0))</f>
        <v/>
      </c>
      <c r="G901" s="117">
        <f>IF(C901="","",IF(E901&lt;AYARLAR!$C$11,"AŞIRI DÜŞÜK",IF(E901&lt;AYARLAR!$C$12,"SINIRDA","GÜVENLİ")))</f>
        <v/>
      </c>
      <c r="H901" s="118" t="n"/>
    </row>
    <row r="902" ht="15" customHeight="1" s="64">
      <c r="A902" s="112" t="n">
        <v>897</v>
      </c>
      <c r="B902" s="118" t="n"/>
      <c r="C902" s="118" t="n"/>
      <c r="D902" s="118" t="n"/>
      <c r="E902" s="115">
        <f>IF(C902="","",IFERROR(C902/MOTOR!$B$14,0))</f>
        <v/>
      </c>
      <c r="F902" s="116">
        <f>IF(C902="","",IFERROR((C902-MOTOR!$B$8)/MOTOR!$B$11,0))</f>
        <v/>
      </c>
      <c r="G902" s="117">
        <f>IF(C902="","",IF(E902&lt;AYARLAR!$C$11,"AŞIRI DÜŞÜK",IF(E902&lt;AYARLAR!$C$12,"SINIRDA","GÜVENLİ")))</f>
        <v/>
      </c>
      <c r="H902" s="118" t="n"/>
    </row>
    <row r="903" ht="15" customHeight="1" s="64">
      <c r="A903" s="112" t="n">
        <v>898</v>
      </c>
      <c r="B903" s="118" t="n"/>
      <c r="C903" s="118" t="n"/>
      <c r="D903" s="118" t="n"/>
      <c r="E903" s="115">
        <f>IF(C903="","",IFERROR(C903/MOTOR!$B$14,0))</f>
        <v/>
      </c>
      <c r="F903" s="116">
        <f>IF(C903="","",IFERROR((C903-MOTOR!$B$8)/MOTOR!$B$11,0))</f>
        <v/>
      </c>
      <c r="G903" s="117">
        <f>IF(C903="","",IF(E903&lt;AYARLAR!$C$11,"AŞIRI DÜŞÜK",IF(E903&lt;AYARLAR!$C$12,"SINIRDA","GÜVENLİ")))</f>
        <v/>
      </c>
      <c r="H903" s="118" t="n"/>
    </row>
    <row r="904" ht="15" customHeight="1" s="64">
      <c r="A904" s="112" t="n">
        <v>899</v>
      </c>
      <c r="B904" s="118" t="n"/>
      <c r="C904" s="118" t="n"/>
      <c r="D904" s="118" t="n"/>
      <c r="E904" s="115">
        <f>IF(C904="","",IFERROR(C904/MOTOR!$B$14,0))</f>
        <v/>
      </c>
      <c r="F904" s="116">
        <f>IF(C904="","",IFERROR((C904-MOTOR!$B$8)/MOTOR!$B$11,0))</f>
        <v/>
      </c>
      <c r="G904" s="117">
        <f>IF(C904="","",IF(E904&lt;AYARLAR!$C$11,"AŞIRI DÜŞÜK",IF(E904&lt;AYARLAR!$C$12,"SINIRDA","GÜVENLİ")))</f>
        <v/>
      </c>
      <c r="H904" s="118" t="n"/>
    </row>
    <row r="905" ht="15" customHeight="1" s="64">
      <c r="A905" s="112" t="n">
        <v>900</v>
      </c>
      <c r="B905" s="118" t="n"/>
      <c r="C905" s="118" t="n"/>
      <c r="D905" s="118" t="n"/>
      <c r="E905" s="115">
        <f>IF(C905="","",IFERROR(C905/MOTOR!$B$14,0))</f>
        <v/>
      </c>
      <c r="F905" s="116">
        <f>IF(C905="","",IFERROR((C905-MOTOR!$B$8)/MOTOR!$B$11,0))</f>
        <v/>
      </c>
      <c r="G905" s="117">
        <f>IF(C905="","",IF(E905&lt;AYARLAR!$C$11,"AŞIRI DÜŞÜK",IF(E905&lt;AYARLAR!$C$12,"SINIRDA","GÜVENLİ")))</f>
        <v/>
      </c>
      <c r="H905" s="118" t="n"/>
    </row>
    <row r="906" ht="15" customHeight="1" s="64">
      <c r="A906" s="112" t="n">
        <v>901</v>
      </c>
      <c r="B906" s="118" t="n"/>
      <c r="C906" s="118" t="n"/>
      <c r="D906" s="118" t="n"/>
      <c r="E906" s="115">
        <f>IF(C906="","",IFERROR(C906/MOTOR!$B$14,0))</f>
        <v/>
      </c>
      <c r="F906" s="116">
        <f>IF(C906="","",IFERROR((C906-MOTOR!$B$8)/MOTOR!$B$11,0))</f>
        <v/>
      </c>
      <c r="G906" s="117">
        <f>IF(C906="","",IF(E906&lt;AYARLAR!$C$11,"AŞIRI DÜŞÜK",IF(E906&lt;AYARLAR!$C$12,"SINIRDA","GÜVENLİ")))</f>
        <v/>
      </c>
      <c r="H906" s="118" t="n"/>
    </row>
    <row r="907" ht="15" customHeight="1" s="64">
      <c r="A907" s="112" t="n">
        <v>902</v>
      </c>
      <c r="B907" s="118" t="n"/>
      <c r="C907" s="118" t="n"/>
      <c r="D907" s="118" t="n"/>
      <c r="E907" s="115">
        <f>IF(C907="","",IFERROR(C907/MOTOR!$B$14,0))</f>
        <v/>
      </c>
      <c r="F907" s="116">
        <f>IF(C907="","",IFERROR((C907-MOTOR!$B$8)/MOTOR!$B$11,0))</f>
        <v/>
      </c>
      <c r="G907" s="117">
        <f>IF(C907="","",IF(E907&lt;AYARLAR!$C$11,"AŞIRI DÜŞÜK",IF(E907&lt;AYARLAR!$C$12,"SINIRDA","GÜVENLİ")))</f>
        <v/>
      </c>
      <c r="H907" s="118" t="n"/>
    </row>
    <row r="908" ht="15" customHeight="1" s="64">
      <c r="A908" s="112" t="n">
        <v>903</v>
      </c>
      <c r="B908" s="118" t="n"/>
      <c r="C908" s="118" t="n"/>
      <c r="D908" s="118" t="n"/>
      <c r="E908" s="115">
        <f>IF(C908="","",IFERROR(C908/MOTOR!$B$14,0))</f>
        <v/>
      </c>
      <c r="F908" s="116">
        <f>IF(C908="","",IFERROR((C908-MOTOR!$B$8)/MOTOR!$B$11,0))</f>
        <v/>
      </c>
      <c r="G908" s="117">
        <f>IF(C908="","",IF(E908&lt;AYARLAR!$C$11,"AŞIRI DÜŞÜK",IF(E908&lt;AYARLAR!$C$12,"SINIRDA","GÜVENLİ")))</f>
        <v/>
      </c>
      <c r="H908" s="118" t="n"/>
    </row>
    <row r="909" ht="15" customHeight="1" s="64">
      <c r="A909" s="112" t="n">
        <v>904</v>
      </c>
      <c r="B909" s="118" t="n"/>
      <c r="C909" s="118" t="n"/>
      <c r="D909" s="118" t="n"/>
      <c r="E909" s="115">
        <f>IF(C909="","",IFERROR(C909/MOTOR!$B$14,0))</f>
        <v/>
      </c>
      <c r="F909" s="116">
        <f>IF(C909="","",IFERROR((C909-MOTOR!$B$8)/MOTOR!$B$11,0))</f>
        <v/>
      </c>
      <c r="G909" s="117">
        <f>IF(C909="","",IF(E909&lt;AYARLAR!$C$11,"AŞIRI DÜŞÜK",IF(E909&lt;AYARLAR!$C$12,"SINIRDA","GÜVENLİ")))</f>
        <v/>
      </c>
      <c r="H909" s="118" t="n"/>
    </row>
    <row r="910" ht="15" customHeight="1" s="64">
      <c r="A910" s="112" t="n">
        <v>905</v>
      </c>
      <c r="B910" s="118" t="n"/>
      <c r="C910" s="118" t="n"/>
      <c r="D910" s="118" t="n"/>
      <c r="E910" s="115">
        <f>IF(C910="","",IFERROR(C910/MOTOR!$B$14,0))</f>
        <v/>
      </c>
      <c r="F910" s="116">
        <f>IF(C910="","",IFERROR((C910-MOTOR!$B$8)/MOTOR!$B$11,0))</f>
        <v/>
      </c>
      <c r="G910" s="117">
        <f>IF(C910="","",IF(E910&lt;AYARLAR!$C$11,"AŞIRI DÜŞÜK",IF(E910&lt;AYARLAR!$C$12,"SINIRDA","GÜVENLİ")))</f>
        <v/>
      </c>
      <c r="H910" s="118" t="n"/>
    </row>
    <row r="911" ht="15" customHeight="1" s="64">
      <c r="A911" s="112" t="n">
        <v>906</v>
      </c>
      <c r="B911" s="118" t="n"/>
      <c r="C911" s="118" t="n"/>
      <c r="D911" s="118" t="n"/>
      <c r="E911" s="115">
        <f>IF(C911="","",IFERROR(C911/MOTOR!$B$14,0))</f>
        <v/>
      </c>
      <c r="F911" s="116">
        <f>IF(C911="","",IFERROR((C911-MOTOR!$B$8)/MOTOR!$B$11,0))</f>
        <v/>
      </c>
      <c r="G911" s="117">
        <f>IF(C911="","",IF(E911&lt;AYARLAR!$C$11,"AŞIRI DÜŞÜK",IF(E911&lt;AYARLAR!$C$12,"SINIRDA","GÜVENLİ")))</f>
        <v/>
      </c>
      <c r="H911" s="118" t="n"/>
    </row>
    <row r="912" ht="15" customHeight="1" s="64">
      <c r="A912" s="112" t="n">
        <v>907</v>
      </c>
      <c r="B912" s="118" t="n"/>
      <c r="C912" s="118" t="n"/>
      <c r="D912" s="118" t="n"/>
      <c r="E912" s="115">
        <f>IF(C912="","",IFERROR(C912/MOTOR!$B$14,0))</f>
        <v/>
      </c>
      <c r="F912" s="116">
        <f>IF(C912="","",IFERROR((C912-MOTOR!$B$8)/MOTOR!$B$11,0))</f>
        <v/>
      </c>
      <c r="G912" s="117">
        <f>IF(C912="","",IF(E912&lt;AYARLAR!$C$11,"AŞIRI DÜŞÜK",IF(E912&lt;AYARLAR!$C$12,"SINIRDA","GÜVENLİ")))</f>
        <v/>
      </c>
      <c r="H912" s="118" t="n"/>
    </row>
    <row r="913" ht="15" customHeight="1" s="64">
      <c r="A913" s="112" t="n">
        <v>908</v>
      </c>
      <c r="B913" s="118" t="n"/>
      <c r="C913" s="118" t="n"/>
      <c r="D913" s="118" t="n"/>
      <c r="E913" s="115">
        <f>IF(C913="","",IFERROR(C913/MOTOR!$B$14,0))</f>
        <v/>
      </c>
      <c r="F913" s="116">
        <f>IF(C913="","",IFERROR((C913-MOTOR!$B$8)/MOTOR!$B$11,0))</f>
        <v/>
      </c>
      <c r="G913" s="117">
        <f>IF(C913="","",IF(E913&lt;AYARLAR!$C$11,"AŞIRI DÜŞÜK",IF(E913&lt;AYARLAR!$C$12,"SINIRDA","GÜVENLİ")))</f>
        <v/>
      </c>
      <c r="H913" s="118" t="n"/>
    </row>
    <row r="914" ht="15" customHeight="1" s="64">
      <c r="A914" s="112" t="n">
        <v>909</v>
      </c>
      <c r="B914" s="118" t="n"/>
      <c r="C914" s="118" t="n"/>
      <c r="D914" s="118" t="n"/>
      <c r="E914" s="115">
        <f>IF(C914="","",IFERROR(C914/MOTOR!$B$14,0))</f>
        <v/>
      </c>
      <c r="F914" s="116">
        <f>IF(C914="","",IFERROR((C914-MOTOR!$B$8)/MOTOR!$B$11,0))</f>
        <v/>
      </c>
      <c r="G914" s="117">
        <f>IF(C914="","",IF(E914&lt;AYARLAR!$C$11,"AŞIRI DÜŞÜK",IF(E914&lt;AYARLAR!$C$12,"SINIRDA","GÜVENLİ")))</f>
        <v/>
      </c>
      <c r="H914" s="118" t="n"/>
    </row>
    <row r="915" ht="15" customHeight="1" s="64">
      <c r="A915" s="112" t="n">
        <v>910</v>
      </c>
      <c r="B915" s="118" t="n"/>
      <c r="C915" s="118" t="n"/>
      <c r="D915" s="118" t="n"/>
      <c r="E915" s="115">
        <f>IF(C915="","",IFERROR(C915/MOTOR!$B$14,0))</f>
        <v/>
      </c>
      <c r="F915" s="116">
        <f>IF(C915="","",IFERROR((C915-MOTOR!$B$8)/MOTOR!$B$11,0))</f>
        <v/>
      </c>
      <c r="G915" s="117">
        <f>IF(C915="","",IF(E915&lt;AYARLAR!$C$11,"AŞIRI DÜŞÜK",IF(E915&lt;AYARLAR!$C$12,"SINIRDA","GÜVENLİ")))</f>
        <v/>
      </c>
      <c r="H915" s="118" t="n"/>
    </row>
    <row r="916" ht="15" customHeight="1" s="64">
      <c r="A916" s="112" t="n">
        <v>911</v>
      </c>
      <c r="B916" s="118" t="n"/>
      <c r="C916" s="118" t="n"/>
      <c r="D916" s="118" t="n"/>
      <c r="E916" s="115">
        <f>IF(C916="","",IFERROR(C916/MOTOR!$B$14,0))</f>
        <v/>
      </c>
      <c r="F916" s="116">
        <f>IF(C916="","",IFERROR((C916-MOTOR!$B$8)/MOTOR!$B$11,0))</f>
        <v/>
      </c>
      <c r="G916" s="117">
        <f>IF(C916="","",IF(E916&lt;AYARLAR!$C$11,"AŞIRI DÜŞÜK",IF(E916&lt;AYARLAR!$C$12,"SINIRDA","GÜVENLİ")))</f>
        <v/>
      </c>
      <c r="H916" s="118" t="n"/>
    </row>
    <row r="917" ht="15" customHeight="1" s="64">
      <c r="A917" s="112" t="n">
        <v>912</v>
      </c>
      <c r="B917" s="118" t="n"/>
      <c r="C917" s="118" t="n"/>
      <c r="D917" s="118" t="n"/>
      <c r="E917" s="115">
        <f>IF(C917="","",IFERROR(C917/MOTOR!$B$14,0))</f>
        <v/>
      </c>
      <c r="F917" s="116">
        <f>IF(C917="","",IFERROR((C917-MOTOR!$B$8)/MOTOR!$B$11,0))</f>
        <v/>
      </c>
      <c r="G917" s="117">
        <f>IF(C917="","",IF(E917&lt;AYARLAR!$C$11,"AŞIRI DÜŞÜK",IF(E917&lt;AYARLAR!$C$12,"SINIRDA","GÜVENLİ")))</f>
        <v/>
      </c>
      <c r="H917" s="118" t="n"/>
    </row>
    <row r="918" ht="15" customHeight="1" s="64">
      <c r="A918" s="112" t="n">
        <v>913</v>
      </c>
      <c r="B918" s="118" t="n"/>
      <c r="C918" s="118" t="n"/>
      <c r="D918" s="118" t="n"/>
      <c r="E918" s="115">
        <f>IF(C918="","",IFERROR(C918/MOTOR!$B$14,0))</f>
        <v/>
      </c>
      <c r="F918" s="116">
        <f>IF(C918="","",IFERROR((C918-MOTOR!$B$8)/MOTOR!$B$11,0))</f>
        <v/>
      </c>
      <c r="G918" s="117">
        <f>IF(C918="","",IF(E918&lt;AYARLAR!$C$11,"AŞIRI DÜŞÜK",IF(E918&lt;AYARLAR!$C$12,"SINIRDA","GÜVENLİ")))</f>
        <v/>
      </c>
      <c r="H918" s="118" t="n"/>
    </row>
    <row r="919" ht="15" customHeight="1" s="64">
      <c r="A919" s="112" t="n">
        <v>914</v>
      </c>
      <c r="B919" s="118" t="n"/>
      <c r="C919" s="118" t="n"/>
      <c r="D919" s="118" t="n"/>
      <c r="E919" s="115">
        <f>IF(C919="","",IFERROR(C919/MOTOR!$B$14,0))</f>
        <v/>
      </c>
      <c r="F919" s="116">
        <f>IF(C919="","",IFERROR((C919-MOTOR!$B$8)/MOTOR!$B$11,0))</f>
        <v/>
      </c>
      <c r="G919" s="117">
        <f>IF(C919="","",IF(E919&lt;AYARLAR!$C$11,"AŞIRI DÜŞÜK",IF(E919&lt;AYARLAR!$C$12,"SINIRDA","GÜVENLİ")))</f>
        <v/>
      </c>
      <c r="H919" s="118" t="n"/>
    </row>
    <row r="920" ht="15" customHeight="1" s="64">
      <c r="A920" s="112" t="n">
        <v>915</v>
      </c>
      <c r="B920" s="118" t="n"/>
      <c r="C920" s="118" t="n"/>
      <c r="D920" s="118" t="n"/>
      <c r="E920" s="115">
        <f>IF(C920="","",IFERROR(C920/MOTOR!$B$14,0))</f>
        <v/>
      </c>
      <c r="F920" s="116">
        <f>IF(C920="","",IFERROR((C920-MOTOR!$B$8)/MOTOR!$B$11,0))</f>
        <v/>
      </c>
      <c r="G920" s="117">
        <f>IF(C920="","",IF(E920&lt;AYARLAR!$C$11,"AŞIRI DÜŞÜK",IF(E920&lt;AYARLAR!$C$12,"SINIRDA","GÜVENLİ")))</f>
        <v/>
      </c>
      <c r="H920" s="118" t="n"/>
    </row>
    <row r="921" ht="15" customHeight="1" s="64">
      <c r="A921" s="112" t="n">
        <v>916</v>
      </c>
      <c r="B921" s="118" t="n"/>
      <c r="C921" s="118" t="n"/>
      <c r="D921" s="118" t="n"/>
      <c r="E921" s="115">
        <f>IF(C921="","",IFERROR(C921/MOTOR!$B$14,0))</f>
        <v/>
      </c>
      <c r="F921" s="116">
        <f>IF(C921="","",IFERROR((C921-MOTOR!$B$8)/MOTOR!$B$11,0))</f>
        <v/>
      </c>
      <c r="G921" s="117">
        <f>IF(C921="","",IF(E921&lt;AYARLAR!$C$11,"AŞIRI DÜŞÜK",IF(E921&lt;AYARLAR!$C$12,"SINIRDA","GÜVENLİ")))</f>
        <v/>
      </c>
      <c r="H921" s="118" t="n"/>
    </row>
    <row r="922" ht="15" customHeight="1" s="64">
      <c r="A922" s="112" t="n">
        <v>917</v>
      </c>
      <c r="B922" s="118" t="n"/>
      <c r="C922" s="118" t="n"/>
      <c r="D922" s="118" t="n"/>
      <c r="E922" s="115">
        <f>IF(C922="","",IFERROR(C922/MOTOR!$B$14,0))</f>
        <v/>
      </c>
      <c r="F922" s="116">
        <f>IF(C922="","",IFERROR((C922-MOTOR!$B$8)/MOTOR!$B$11,0))</f>
        <v/>
      </c>
      <c r="G922" s="117">
        <f>IF(C922="","",IF(E922&lt;AYARLAR!$C$11,"AŞIRI DÜŞÜK",IF(E922&lt;AYARLAR!$C$12,"SINIRDA","GÜVENLİ")))</f>
        <v/>
      </c>
      <c r="H922" s="118" t="n"/>
    </row>
    <row r="923" ht="15" customHeight="1" s="64">
      <c r="A923" s="112" t="n">
        <v>918</v>
      </c>
      <c r="B923" s="118" t="n"/>
      <c r="C923" s="118" t="n"/>
      <c r="D923" s="118" t="n"/>
      <c r="E923" s="115">
        <f>IF(C923="","",IFERROR(C923/MOTOR!$B$14,0))</f>
        <v/>
      </c>
      <c r="F923" s="116">
        <f>IF(C923="","",IFERROR((C923-MOTOR!$B$8)/MOTOR!$B$11,0))</f>
        <v/>
      </c>
      <c r="G923" s="117">
        <f>IF(C923="","",IF(E923&lt;AYARLAR!$C$11,"AŞIRI DÜŞÜK",IF(E923&lt;AYARLAR!$C$12,"SINIRDA","GÜVENLİ")))</f>
        <v/>
      </c>
      <c r="H923" s="118" t="n"/>
    </row>
    <row r="924" ht="15" customHeight="1" s="64">
      <c r="A924" s="112" t="n">
        <v>919</v>
      </c>
      <c r="B924" s="118" t="n"/>
      <c r="C924" s="118" t="n"/>
      <c r="D924" s="118" t="n"/>
      <c r="E924" s="115">
        <f>IF(C924="","",IFERROR(C924/MOTOR!$B$14,0))</f>
        <v/>
      </c>
      <c r="F924" s="116">
        <f>IF(C924="","",IFERROR((C924-MOTOR!$B$8)/MOTOR!$B$11,0))</f>
        <v/>
      </c>
      <c r="G924" s="117">
        <f>IF(C924="","",IF(E924&lt;AYARLAR!$C$11,"AŞIRI DÜŞÜK",IF(E924&lt;AYARLAR!$C$12,"SINIRDA","GÜVENLİ")))</f>
        <v/>
      </c>
      <c r="H924" s="118" t="n"/>
    </row>
    <row r="925" ht="15" customHeight="1" s="64">
      <c r="A925" s="112" t="n">
        <v>920</v>
      </c>
      <c r="B925" s="118" t="n"/>
      <c r="C925" s="118" t="n"/>
      <c r="D925" s="118" t="n"/>
      <c r="E925" s="115">
        <f>IF(C925="","",IFERROR(C925/MOTOR!$B$14,0))</f>
        <v/>
      </c>
      <c r="F925" s="116">
        <f>IF(C925="","",IFERROR((C925-MOTOR!$B$8)/MOTOR!$B$11,0))</f>
        <v/>
      </c>
      <c r="G925" s="117">
        <f>IF(C925="","",IF(E925&lt;AYARLAR!$C$11,"AŞIRI DÜŞÜK",IF(E925&lt;AYARLAR!$C$12,"SINIRDA","GÜVENLİ")))</f>
        <v/>
      </c>
      <c r="H925" s="118" t="n"/>
    </row>
    <row r="926" ht="15" customHeight="1" s="64">
      <c r="A926" s="112" t="n">
        <v>921</v>
      </c>
      <c r="B926" s="118" t="n"/>
      <c r="C926" s="118" t="n"/>
      <c r="D926" s="118" t="n"/>
      <c r="E926" s="115">
        <f>IF(C926="","",IFERROR(C926/MOTOR!$B$14,0))</f>
        <v/>
      </c>
      <c r="F926" s="116">
        <f>IF(C926="","",IFERROR((C926-MOTOR!$B$8)/MOTOR!$B$11,0))</f>
        <v/>
      </c>
      <c r="G926" s="117">
        <f>IF(C926="","",IF(E926&lt;AYARLAR!$C$11,"AŞIRI DÜŞÜK",IF(E926&lt;AYARLAR!$C$12,"SINIRDA","GÜVENLİ")))</f>
        <v/>
      </c>
      <c r="H926" s="118" t="n"/>
    </row>
    <row r="927" ht="15" customHeight="1" s="64">
      <c r="A927" s="112" t="n">
        <v>922</v>
      </c>
      <c r="B927" s="118" t="n"/>
      <c r="C927" s="118" t="n"/>
      <c r="D927" s="118" t="n"/>
      <c r="E927" s="115">
        <f>IF(C927="","",IFERROR(C927/MOTOR!$B$14,0))</f>
        <v/>
      </c>
      <c r="F927" s="116">
        <f>IF(C927="","",IFERROR((C927-MOTOR!$B$8)/MOTOR!$B$11,0))</f>
        <v/>
      </c>
      <c r="G927" s="117">
        <f>IF(C927="","",IF(E927&lt;AYARLAR!$C$11,"AŞIRI DÜŞÜK",IF(E927&lt;AYARLAR!$C$12,"SINIRDA","GÜVENLİ")))</f>
        <v/>
      </c>
      <c r="H927" s="118" t="n"/>
    </row>
    <row r="928" ht="15" customHeight="1" s="64">
      <c r="A928" s="112" t="n">
        <v>923</v>
      </c>
      <c r="B928" s="118" t="n"/>
      <c r="C928" s="118" t="n"/>
      <c r="D928" s="118" t="n"/>
      <c r="E928" s="115">
        <f>IF(C928="","",IFERROR(C928/MOTOR!$B$14,0))</f>
        <v/>
      </c>
      <c r="F928" s="116">
        <f>IF(C928="","",IFERROR((C928-MOTOR!$B$8)/MOTOR!$B$11,0))</f>
        <v/>
      </c>
      <c r="G928" s="117">
        <f>IF(C928="","",IF(E928&lt;AYARLAR!$C$11,"AŞIRI DÜŞÜK",IF(E928&lt;AYARLAR!$C$12,"SINIRDA","GÜVENLİ")))</f>
        <v/>
      </c>
      <c r="H928" s="118" t="n"/>
    </row>
    <row r="929" ht="15" customHeight="1" s="64">
      <c r="A929" s="112" t="n">
        <v>924</v>
      </c>
      <c r="B929" s="118" t="n"/>
      <c r="C929" s="118" t="n"/>
      <c r="D929" s="118" t="n"/>
      <c r="E929" s="115">
        <f>IF(C929="","",IFERROR(C929/MOTOR!$B$14,0))</f>
        <v/>
      </c>
      <c r="F929" s="116">
        <f>IF(C929="","",IFERROR((C929-MOTOR!$B$8)/MOTOR!$B$11,0))</f>
        <v/>
      </c>
      <c r="G929" s="117">
        <f>IF(C929="","",IF(E929&lt;AYARLAR!$C$11,"AŞIRI DÜŞÜK",IF(E929&lt;AYARLAR!$C$12,"SINIRDA","GÜVENLİ")))</f>
        <v/>
      </c>
      <c r="H929" s="118" t="n"/>
    </row>
    <row r="930" ht="15" customHeight="1" s="64">
      <c r="A930" s="112" t="n">
        <v>925</v>
      </c>
      <c r="B930" s="118" t="n"/>
      <c r="C930" s="118" t="n"/>
      <c r="D930" s="118" t="n"/>
      <c r="E930" s="115">
        <f>IF(C930="","",IFERROR(C930/MOTOR!$B$14,0))</f>
        <v/>
      </c>
      <c r="F930" s="116">
        <f>IF(C930="","",IFERROR((C930-MOTOR!$B$8)/MOTOR!$B$11,0))</f>
        <v/>
      </c>
      <c r="G930" s="117">
        <f>IF(C930="","",IF(E930&lt;AYARLAR!$C$11,"AŞIRI DÜŞÜK",IF(E930&lt;AYARLAR!$C$12,"SINIRDA","GÜVENLİ")))</f>
        <v/>
      </c>
      <c r="H930" s="118" t="n"/>
    </row>
    <row r="931" ht="15" customHeight="1" s="64">
      <c r="A931" s="112" t="n">
        <v>926</v>
      </c>
      <c r="B931" s="118" t="n"/>
      <c r="C931" s="118" t="n"/>
      <c r="D931" s="118" t="n"/>
      <c r="E931" s="115">
        <f>IF(C931="","",IFERROR(C931/MOTOR!$B$14,0))</f>
        <v/>
      </c>
      <c r="F931" s="116">
        <f>IF(C931="","",IFERROR((C931-MOTOR!$B$8)/MOTOR!$B$11,0))</f>
        <v/>
      </c>
      <c r="G931" s="117">
        <f>IF(C931="","",IF(E931&lt;AYARLAR!$C$11,"AŞIRI DÜŞÜK",IF(E931&lt;AYARLAR!$C$12,"SINIRDA","GÜVENLİ")))</f>
        <v/>
      </c>
      <c r="H931" s="118" t="n"/>
    </row>
    <row r="932" ht="15" customHeight="1" s="64">
      <c r="A932" s="112" t="n">
        <v>927</v>
      </c>
      <c r="B932" s="118" t="n"/>
      <c r="C932" s="118" t="n"/>
      <c r="D932" s="118" t="n"/>
      <c r="E932" s="115">
        <f>IF(C932="","",IFERROR(C932/MOTOR!$B$14,0))</f>
        <v/>
      </c>
      <c r="F932" s="116">
        <f>IF(C932="","",IFERROR((C932-MOTOR!$B$8)/MOTOR!$B$11,0))</f>
        <v/>
      </c>
      <c r="G932" s="117">
        <f>IF(C932="","",IF(E932&lt;AYARLAR!$C$11,"AŞIRI DÜŞÜK",IF(E932&lt;AYARLAR!$C$12,"SINIRDA","GÜVENLİ")))</f>
        <v/>
      </c>
      <c r="H932" s="118" t="n"/>
    </row>
    <row r="933" ht="15" customHeight="1" s="64">
      <c r="A933" s="112" t="n">
        <v>928</v>
      </c>
      <c r="B933" s="118" t="n"/>
      <c r="C933" s="118" t="n"/>
      <c r="D933" s="118" t="n"/>
      <c r="E933" s="115">
        <f>IF(C933="","",IFERROR(C933/MOTOR!$B$14,0))</f>
        <v/>
      </c>
      <c r="F933" s="116">
        <f>IF(C933="","",IFERROR((C933-MOTOR!$B$8)/MOTOR!$B$11,0))</f>
        <v/>
      </c>
      <c r="G933" s="117">
        <f>IF(C933="","",IF(E933&lt;AYARLAR!$C$11,"AŞIRI DÜŞÜK",IF(E933&lt;AYARLAR!$C$12,"SINIRDA","GÜVENLİ")))</f>
        <v/>
      </c>
      <c r="H933" s="118" t="n"/>
    </row>
    <row r="934" ht="15" customHeight="1" s="64">
      <c r="A934" s="112" t="n">
        <v>929</v>
      </c>
      <c r="B934" s="118" t="n"/>
      <c r="C934" s="118" t="n"/>
      <c r="D934" s="118" t="n"/>
      <c r="E934" s="115">
        <f>IF(C934="","",IFERROR(C934/MOTOR!$B$14,0))</f>
        <v/>
      </c>
      <c r="F934" s="116">
        <f>IF(C934="","",IFERROR((C934-MOTOR!$B$8)/MOTOR!$B$11,0))</f>
        <v/>
      </c>
      <c r="G934" s="117">
        <f>IF(C934="","",IF(E934&lt;AYARLAR!$C$11,"AŞIRI DÜŞÜK",IF(E934&lt;AYARLAR!$C$12,"SINIRDA","GÜVENLİ")))</f>
        <v/>
      </c>
      <c r="H934" s="118" t="n"/>
    </row>
    <row r="935" ht="15" customHeight="1" s="64">
      <c r="A935" s="112" t="n">
        <v>930</v>
      </c>
      <c r="B935" s="118" t="n"/>
      <c r="C935" s="118" t="n"/>
      <c r="D935" s="118" t="n"/>
      <c r="E935" s="115">
        <f>IF(C935="","",IFERROR(C935/MOTOR!$B$14,0))</f>
        <v/>
      </c>
      <c r="F935" s="116">
        <f>IF(C935="","",IFERROR((C935-MOTOR!$B$8)/MOTOR!$B$11,0))</f>
        <v/>
      </c>
      <c r="G935" s="117">
        <f>IF(C935="","",IF(E935&lt;AYARLAR!$C$11,"AŞIRI DÜŞÜK",IF(E935&lt;AYARLAR!$C$12,"SINIRDA","GÜVENLİ")))</f>
        <v/>
      </c>
      <c r="H935" s="118" t="n"/>
    </row>
    <row r="936" ht="15" customHeight="1" s="64">
      <c r="A936" s="112" t="n">
        <v>931</v>
      </c>
      <c r="B936" s="118" t="n"/>
      <c r="C936" s="118" t="n"/>
      <c r="D936" s="118" t="n"/>
      <c r="E936" s="115">
        <f>IF(C936="","",IFERROR(C936/MOTOR!$B$14,0))</f>
        <v/>
      </c>
      <c r="F936" s="116">
        <f>IF(C936="","",IFERROR((C936-MOTOR!$B$8)/MOTOR!$B$11,0))</f>
        <v/>
      </c>
      <c r="G936" s="117">
        <f>IF(C936="","",IF(E936&lt;AYARLAR!$C$11,"AŞIRI DÜŞÜK",IF(E936&lt;AYARLAR!$C$12,"SINIRDA","GÜVENLİ")))</f>
        <v/>
      </c>
      <c r="H936" s="118" t="n"/>
    </row>
    <row r="937" ht="15" customHeight="1" s="64">
      <c r="A937" s="112" t="n">
        <v>932</v>
      </c>
      <c r="B937" s="118" t="n"/>
      <c r="C937" s="118" t="n"/>
      <c r="D937" s="118" t="n"/>
      <c r="E937" s="115">
        <f>IF(C937="","",IFERROR(C937/MOTOR!$B$14,0))</f>
        <v/>
      </c>
      <c r="F937" s="116">
        <f>IF(C937="","",IFERROR((C937-MOTOR!$B$8)/MOTOR!$B$11,0))</f>
        <v/>
      </c>
      <c r="G937" s="117">
        <f>IF(C937="","",IF(E937&lt;AYARLAR!$C$11,"AŞIRI DÜŞÜK",IF(E937&lt;AYARLAR!$C$12,"SINIRDA","GÜVENLİ")))</f>
        <v/>
      </c>
      <c r="H937" s="118" t="n"/>
    </row>
    <row r="938" ht="15" customHeight="1" s="64">
      <c r="A938" s="112" t="n">
        <v>933</v>
      </c>
      <c r="B938" s="118" t="n"/>
      <c r="C938" s="118" t="n"/>
      <c r="D938" s="118" t="n"/>
      <c r="E938" s="115">
        <f>IF(C938="","",IFERROR(C938/MOTOR!$B$14,0))</f>
        <v/>
      </c>
      <c r="F938" s="116">
        <f>IF(C938="","",IFERROR((C938-MOTOR!$B$8)/MOTOR!$B$11,0))</f>
        <v/>
      </c>
      <c r="G938" s="117">
        <f>IF(C938="","",IF(E938&lt;AYARLAR!$C$11,"AŞIRI DÜŞÜK",IF(E938&lt;AYARLAR!$C$12,"SINIRDA","GÜVENLİ")))</f>
        <v/>
      </c>
      <c r="H938" s="118" t="n"/>
    </row>
    <row r="939" ht="15" customHeight="1" s="64">
      <c r="A939" s="112" t="n">
        <v>934</v>
      </c>
      <c r="B939" s="118" t="n"/>
      <c r="C939" s="118" t="n"/>
      <c r="D939" s="118" t="n"/>
      <c r="E939" s="115">
        <f>IF(C939="","",IFERROR(C939/MOTOR!$B$14,0))</f>
        <v/>
      </c>
      <c r="F939" s="116">
        <f>IF(C939="","",IFERROR((C939-MOTOR!$B$8)/MOTOR!$B$11,0))</f>
        <v/>
      </c>
      <c r="G939" s="117">
        <f>IF(C939="","",IF(E939&lt;AYARLAR!$C$11,"AŞIRI DÜŞÜK",IF(E939&lt;AYARLAR!$C$12,"SINIRDA","GÜVENLİ")))</f>
        <v/>
      </c>
      <c r="H939" s="118" t="n"/>
    </row>
    <row r="940" ht="15" customHeight="1" s="64">
      <c r="A940" s="112" t="n">
        <v>935</v>
      </c>
      <c r="B940" s="118" t="n"/>
      <c r="C940" s="118" t="n"/>
      <c r="D940" s="118" t="n"/>
      <c r="E940" s="115">
        <f>IF(C940="","",IFERROR(C940/MOTOR!$B$14,0))</f>
        <v/>
      </c>
      <c r="F940" s="116">
        <f>IF(C940="","",IFERROR((C940-MOTOR!$B$8)/MOTOR!$B$11,0))</f>
        <v/>
      </c>
      <c r="G940" s="117">
        <f>IF(C940="","",IF(E940&lt;AYARLAR!$C$11,"AŞIRI DÜŞÜK",IF(E940&lt;AYARLAR!$C$12,"SINIRDA","GÜVENLİ")))</f>
        <v/>
      </c>
      <c r="H940" s="118" t="n"/>
    </row>
    <row r="941" ht="15" customHeight="1" s="64">
      <c r="A941" s="112" t="n">
        <v>936</v>
      </c>
      <c r="B941" s="118" t="n"/>
      <c r="C941" s="118" t="n"/>
      <c r="D941" s="118" t="n"/>
      <c r="E941" s="115">
        <f>IF(C941="","",IFERROR(C941/MOTOR!$B$14,0))</f>
        <v/>
      </c>
      <c r="F941" s="116">
        <f>IF(C941="","",IFERROR((C941-MOTOR!$B$8)/MOTOR!$B$11,0))</f>
        <v/>
      </c>
      <c r="G941" s="117">
        <f>IF(C941="","",IF(E941&lt;AYARLAR!$C$11,"AŞIRI DÜŞÜK",IF(E941&lt;AYARLAR!$C$12,"SINIRDA","GÜVENLİ")))</f>
        <v/>
      </c>
      <c r="H941" s="118" t="n"/>
    </row>
    <row r="942" ht="15" customHeight="1" s="64">
      <c r="A942" s="112" t="n">
        <v>937</v>
      </c>
      <c r="B942" s="118" t="n"/>
      <c r="C942" s="118" t="n"/>
      <c r="D942" s="118" t="n"/>
      <c r="E942" s="115">
        <f>IF(C942="","",IFERROR(C942/MOTOR!$B$14,0))</f>
        <v/>
      </c>
      <c r="F942" s="116">
        <f>IF(C942="","",IFERROR((C942-MOTOR!$B$8)/MOTOR!$B$11,0))</f>
        <v/>
      </c>
      <c r="G942" s="117">
        <f>IF(C942="","",IF(E942&lt;AYARLAR!$C$11,"AŞIRI DÜŞÜK",IF(E942&lt;AYARLAR!$C$12,"SINIRDA","GÜVENLİ")))</f>
        <v/>
      </c>
      <c r="H942" s="118" t="n"/>
    </row>
    <row r="943" ht="15" customHeight="1" s="64">
      <c r="A943" s="112" t="n">
        <v>938</v>
      </c>
      <c r="B943" s="118" t="n"/>
      <c r="C943" s="118" t="n"/>
      <c r="D943" s="118" t="n"/>
      <c r="E943" s="115">
        <f>IF(C943="","",IFERROR(C943/MOTOR!$B$14,0))</f>
        <v/>
      </c>
      <c r="F943" s="116">
        <f>IF(C943="","",IFERROR((C943-MOTOR!$B$8)/MOTOR!$B$11,0))</f>
        <v/>
      </c>
      <c r="G943" s="117">
        <f>IF(C943="","",IF(E943&lt;AYARLAR!$C$11,"AŞIRI DÜŞÜK",IF(E943&lt;AYARLAR!$C$12,"SINIRDA","GÜVENLİ")))</f>
        <v/>
      </c>
      <c r="H943" s="118" t="n"/>
    </row>
    <row r="944" ht="15" customHeight="1" s="64">
      <c r="A944" s="112" t="n">
        <v>939</v>
      </c>
      <c r="B944" s="118" t="n"/>
      <c r="C944" s="118" t="n"/>
      <c r="D944" s="118" t="n"/>
      <c r="E944" s="115">
        <f>IF(C944="","",IFERROR(C944/MOTOR!$B$14,0))</f>
        <v/>
      </c>
      <c r="F944" s="116">
        <f>IF(C944="","",IFERROR((C944-MOTOR!$B$8)/MOTOR!$B$11,0))</f>
        <v/>
      </c>
      <c r="G944" s="117">
        <f>IF(C944="","",IF(E944&lt;AYARLAR!$C$11,"AŞIRI DÜŞÜK",IF(E944&lt;AYARLAR!$C$12,"SINIRDA","GÜVENLİ")))</f>
        <v/>
      </c>
      <c r="H944" s="118" t="n"/>
    </row>
    <row r="945" ht="15" customHeight="1" s="64">
      <c r="A945" s="112" t="n">
        <v>940</v>
      </c>
      <c r="B945" s="118" t="n"/>
      <c r="C945" s="118" t="n"/>
      <c r="D945" s="118" t="n"/>
      <c r="E945" s="115">
        <f>IF(C945="","",IFERROR(C945/MOTOR!$B$14,0))</f>
        <v/>
      </c>
      <c r="F945" s="116">
        <f>IF(C945="","",IFERROR((C945-MOTOR!$B$8)/MOTOR!$B$11,0))</f>
        <v/>
      </c>
      <c r="G945" s="117">
        <f>IF(C945="","",IF(E945&lt;AYARLAR!$C$11,"AŞIRI DÜŞÜK",IF(E945&lt;AYARLAR!$C$12,"SINIRDA","GÜVENLİ")))</f>
        <v/>
      </c>
      <c r="H945" s="118" t="n"/>
    </row>
    <row r="946" ht="15" customHeight="1" s="64">
      <c r="A946" s="112" t="n">
        <v>941</v>
      </c>
      <c r="B946" s="118" t="n"/>
      <c r="C946" s="118" t="n"/>
      <c r="D946" s="118" t="n"/>
      <c r="E946" s="115">
        <f>IF(C946="","",IFERROR(C946/MOTOR!$B$14,0))</f>
        <v/>
      </c>
      <c r="F946" s="116">
        <f>IF(C946="","",IFERROR((C946-MOTOR!$B$8)/MOTOR!$B$11,0))</f>
        <v/>
      </c>
      <c r="G946" s="117">
        <f>IF(C946="","",IF(E946&lt;AYARLAR!$C$11,"AŞIRI DÜŞÜK",IF(E946&lt;AYARLAR!$C$12,"SINIRDA","GÜVENLİ")))</f>
        <v/>
      </c>
      <c r="H946" s="118" t="n"/>
    </row>
    <row r="947" ht="15" customHeight="1" s="64">
      <c r="A947" s="112" t="n">
        <v>942</v>
      </c>
      <c r="B947" s="118" t="n"/>
      <c r="C947" s="118" t="n"/>
      <c r="D947" s="118" t="n"/>
      <c r="E947" s="115">
        <f>IF(C947="","",IFERROR(C947/MOTOR!$B$14,0))</f>
        <v/>
      </c>
      <c r="F947" s="116">
        <f>IF(C947="","",IFERROR((C947-MOTOR!$B$8)/MOTOR!$B$11,0))</f>
        <v/>
      </c>
      <c r="G947" s="117">
        <f>IF(C947="","",IF(E947&lt;AYARLAR!$C$11,"AŞIRI DÜŞÜK",IF(E947&lt;AYARLAR!$C$12,"SINIRDA","GÜVENLİ")))</f>
        <v/>
      </c>
      <c r="H947" s="118" t="n"/>
    </row>
    <row r="948" ht="15" customHeight="1" s="64">
      <c r="A948" s="112" t="n">
        <v>943</v>
      </c>
      <c r="B948" s="118" t="n"/>
      <c r="C948" s="118" t="n"/>
      <c r="D948" s="118" t="n"/>
      <c r="E948" s="115">
        <f>IF(C948="","",IFERROR(C948/MOTOR!$B$14,0))</f>
        <v/>
      </c>
      <c r="F948" s="116">
        <f>IF(C948="","",IFERROR((C948-MOTOR!$B$8)/MOTOR!$B$11,0))</f>
        <v/>
      </c>
      <c r="G948" s="117">
        <f>IF(C948="","",IF(E948&lt;AYARLAR!$C$11,"AŞIRI DÜŞÜK",IF(E948&lt;AYARLAR!$C$12,"SINIRDA","GÜVENLİ")))</f>
        <v/>
      </c>
      <c r="H948" s="118" t="n"/>
    </row>
    <row r="949" ht="15" customHeight="1" s="64">
      <c r="A949" s="112" t="n">
        <v>944</v>
      </c>
      <c r="B949" s="118" t="n"/>
      <c r="C949" s="118" t="n"/>
      <c r="D949" s="118" t="n"/>
      <c r="E949" s="115">
        <f>IF(C949="","",IFERROR(C949/MOTOR!$B$14,0))</f>
        <v/>
      </c>
      <c r="F949" s="116">
        <f>IF(C949="","",IFERROR((C949-MOTOR!$B$8)/MOTOR!$B$11,0))</f>
        <v/>
      </c>
      <c r="G949" s="117">
        <f>IF(C949="","",IF(E949&lt;AYARLAR!$C$11,"AŞIRI DÜŞÜK",IF(E949&lt;AYARLAR!$C$12,"SINIRDA","GÜVENLİ")))</f>
        <v/>
      </c>
      <c r="H949" s="118" t="n"/>
    </row>
    <row r="950" ht="15" customHeight="1" s="64">
      <c r="A950" s="112" t="n">
        <v>945</v>
      </c>
      <c r="B950" s="118" t="n"/>
      <c r="C950" s="118" t="n"/>
      <c r="D950" s="118" t="n"/>
      <c r="E950" s="115">
        <f>IF(C950="","",IFERROR(C950/MOTOR!$B$14,0))</f>
        <v/>
      </c>
      <c r="F950" s="116">
        <f>IF(C950="","",IFERROR((C950-MOTOR!$B$8)/MOTOR!$B$11,0))</f>
        <v/>
      </c>
      <c r="G950" s="117">
        <f>IF(C950="","",IF(E950&lt;AYARLAR!$C$11,"AŞIRI DÜŞÜK",IF(E950&lt;AYARLAR!$C$12,"SINIRDA","GÜVENLİ")))</f>
        <v/>
      </c>
      <c r="H950" s="118" t="n"/>
    </row>
    <row r="951" ht="15" customHeight="1" s="64">
      <c r="A951" s="112" t="n">
        <v>946</v>
      </c>
      <c r="B951" s="118" t="n"/>
      <c r="C951" s="118" t="n"/>
      <c r="D951" s="118" t="n"/>
      <c r="E951" s="115">
        <f>IF(C951="","",IFERROR(C951/MOTOR!$B$14,0))</f>
        <v/>
      </c>
      <c r="F951" s="116">
        <f>IF(C951="","",IFERROR((C951-MOTOR!$B$8)/MOTOR!$B$11,0))</f>
        <v/>
      </c>
      <c r="G951" s="117">
        <f>IF(C951="","",IF(E951&lt;AYARLAR!$C$11,"AŞIRI DÜŞÜK",IF(E951&lt;AYARLAR!$C$12,"SINIRDA","GÜVENLİ")))</f>
        <v/>
      </c>
      <c r="H951" s="118" t="n"/>
    </row>
    <row r="952" ht="15" customHeight="1" s="64">
      <c r="A952" s="112" t="n">
        <v>947</v>
      </c>
      <c r="B952" s="118" t="n"/>
      <c r="C952" s="118" t="n"/>
      <c r="D952" s="118" t="n"/>
      <c r="E952" s="115">
        <f>IF(C952="","",IFERROR(C952/MOTOR!$B$14,0))</f>
        <v/>
      </c>
      <c r="F952" s="116">
        <f>IF(C952="","",IFERROR((C952-MOTOR!$B$8)/MOTOR!$B$11,0))</f>
        <v/>
      </c>
      <c r="G952" s="117">
        <f>IF(C952="","",IF(E952&lt;AYARLAR!$C$11,"AŞIRI DÜŞÜK",IF(E952&lt;AYARLAR!$C$12,"SINIRDA","GÜVENLİ")))</f>
        <v/>
      </c>
      <c r="H952" s="118" t="n"/>
    </row>
    <row r="953" ht="15" customHeight="1" s="64">
      <c r="A953" s="112" t="n">
        <v>948</v>
      </c>
      <c r="B953" s="118" t="n"/>
      <c r="C953" s="118" t="n"/>
      <c r="D953" s="118" t="n"/>
      <c r="E953" s="115">
        <f>IF(C953="","",IFERROR(C953/MOTOR!$B$14,0))</f>
        <v/>
      </c>
      <c r="F953" s="116">
        <f>IF(C953="","",IFERROR((C953-MOTOR!$B$8)/MOTOR!$B$11,0))</f>
        <v/>
      </c>
      <c r="G953" s="117">
        <f>IF(C953="","",IF(E953&lt;AYARLAR!$C$11,"AŞIRI DÜŞÜK",IF(E953&lt;AYARLAR!$C$12,"SINIRDA","GÜVENLİ")))</f>
        <v/>
      </c>
      <c r="H953" s="118" t="n"/>
    </row>
    <row r="954" ht="15" customHeight="1" s="64">
      <c r="A954" s="112" t="n">
        <v>949</v>
      </c>
      <c r="B954" s="118" t="n"/>
      <c r="C954" s="118" t="n"/>
      <c r="D954" s="118" t="n"/>
      <c r="E954" s="115">
        <f>IF(C954="","",IFERROR(C954/MOTOR!$B$14,0))</f>
        <v/>
      </c>
      <c r="F954" s="116">
        <f>IF(C954="","",IFERROR((C954-MOTOR!$B$8)/MOTOR!$B$11,0))</f>
        <v/>
      </c>
      <c r="G954" s="117">
        <f>IF(C954="","",IF(E954&lt;AYARLAR!$C$11,"AŞIRI DÜŞÜK",IF(E954&lt;AYARLAR!$C$12,"SINIRDA","GÜVENLİ")))</f>
        <v/>
      </c>
      <c r="H954" s="118" t="n"/>
    </row>
    <row r="955" ht="15" customHeight="1" s="64">
      <c r="A955" s="112" t="n">
        <v>950</v>
      </c>
      <c r="B955" s="118" t="n"/>
      <c r="C955" s="118" t="n"/>
      <c r="D955" s="118" t="n"/>
      <c r="E955" s="115">
        <f>IF(C955="","",IFERROR(C955/MOTOR!$B$14,0))</f>
        <v/>
      </c>
      <c r="F955" s="116">
        <f>IF(C955="","",IFERROR((C955-MOTOR!$B$8)/MOTOR!$B$11,0))</f>
        <v/>
      </c>
      <c r="G955" s="117">
        <f>IF(C955="","",IF(E955&lt;AYARLAR!$C$11,"AŞIRI DÜŞÜK",IF(E955&lt;AYARLAR!$C$12,"SINIRDA","GÜVENLİ")))</f>
        <v/>
      </c>
      <c r="H955" s="118" t="n"/>
    </row>
    <row r="956" ht="15" customHeight="1" s="64">
      <c r="A956" s="112" t="n">
        <v>951</v>
      </c>
      <c r="B956" s="118" t="n"/>
      <c r="C956" s="118" t="n"/>
      <c r="D956" s="118" t="n"/>
      <c r="E956" s="115">
        <f>IF(C956="","",IFERROR(C956/MOTOR!$B$14,0))</f>
        <v/>
      </c>
      <c r="F956" s="116">
        <f>IF(C956="","",IFERROR((C956-MOTOR!$B$8)/MOTOR!$B$11,0))</f>
        <v/>
      </c>
      <c r="G956" s="117">
        <f>IF(C956="","",IF(E956&lt;AYARLAR!$C$11,"AŞIRI DÜŞÜK",IF(E956&lt;AYARLAR!$C$12,"SINIRDA","GÜVENLİ")))</f>
        <v/>
      </c>
      <c r="H956" s="118" t="n"/>
    </row>
    <row r="957" ht="15" customHeight="1" s="64">
      <c r="A957" s="112" t="n">
        <v>952</v>
      </c>
      <c r="B957" s="118" t="n"/>
      <c r="C957" s="118" t="n"/>
      <c r="D957" s="118" t="n"/>
      <c r="E957" s="115">
        <f>IF(C957="","",IFERROR(C957/MOTOR!$B$14,0))</f>
        <v/>
      </c>
      <c r="F957" s="116">
        <f>IF(C957="","",IFERROR((C957-MOTOR!$B$8)/MOTOR!$B$11,0))</f>
        <v/>
      </c>
      <c r="G957" s="117">
        <f>IF(C957="","",IF(E957&lt;AYARLAR!$C$11,"AŞIRI DÜŞÜK",IF(E957&lt;AYARLAR!$C$12,"SINIRDA","GÜVENLİ")))</f>
        <v/>
      </c>
      <c r="H957" s="118" t="n"/>
    </row>
    <row r="958" ht="15" customHeight="1" s="64">
      <c r="A958" s="112" t="n">
        <v>953</v>
      </c>
      <c r="B958" s="118" t="n"/>
      <c r="C958" s="118" t="n"/>
      <c r="D958" s="118" t="n"/>
      <c r="E958" s="115">
        <f>IF(C958="","",IFERROR(C958/MOTOR!$B$14,0))</f>
        <v/>
      </c>
      <c r="F958" s="116">
        <f>IF(C958="","",IFERROR((C958-MOTOR!$B$8)/MOTOR!$B$11,0))</f>
        <v/>
      </c>
      <c r="G958" s="117">
        <f>IF(C958="","",IF(E958&lt;AYARLAR!$C$11,"AŞIRI DÜŞÜK",IF(E958&lt;AYARLAR!$C$12,"SINIRDA","GÜVENLİ")))</f>
        <v/>
      </c>
      <c r="H958" s="118" t="n"/>
    </row>
    <row r="959" ht="15" customHeight="1" s="64">
      <c r="A959" s="112" t="n">
        <v>954</v>
      </c>
      <c r="B959" s="118" t="n"/>
      <c r="C959" s="118" t="n"/>
      <c r="D959" s="118" t="n"/>
      <c r="E959" s="115">
        <f>IF(C959="","",IFERROR(C959/MOTOR!$B$14,0))</f>
        <v/>
      </c>
      <c r="F959" s="116">
        <f>IF(C959="","",IFERROR((C959-MOTOR!$B$8)/MOTOR!$B$11,0))</f>
        <v/>
      </c>
      <c r="G959" s="117">
        <f>IF(C959="","",IF(E959&lt;AYARLAR!$C$11,"AŞIRI DÜŞÜK",IF(E959&lt;AYARLAR!$C$12,"SINIRDA","GÜVENLİ")))</f>
        <v/>
      </c>
      <c r="H959" s="118" t="n"/>
    </row>
    <row r="960" ht="15" customHeight="1" s="64">
      <c r="A960" s="112" t="n">
        <v>955</v>
      </c>
      <c r="B960" s="118" t="n"/>
      <c r="C960" s="118" t="n"/>
      <c r="D960" s="118" t="n"/>
      <c r="E960" s="115">
        <f>IF(C960="","",IFERROR(C960/MOTOR!$B$14,0))</f>
        <v/>
      </c>
      <c r="F960" s="116">
        <f>IF(C960="","",IFERROR((C960-MOTOR!$B$8)/MOTOR!$B$11,0))</f>
        <v/>
      </c>
      <c r="G960" s="117">
        <f>IF(C960="","",IF(E960&lt;AYARLAR!$C$11,"AŞIRI DÜŞÜK",IF(E960&lt;AYARLAR!$C$12,"SINIRDA","GÜVENLİ")))</f>
        <v/>
      </c>
      <c r="H960" s="118" t="n"/>
    </row>
    <row r="961" ht="15" customHeight="1" s="64">
      <c r="A961" s="112" t="n">
        <v>956</v>
      </c>
      <c r="B961" s="118" t="n"/>
      <c r="C961" s="118" t="n"/>
      <c r="D961" s="118" t="n"/>
      <c r="E961" s="115">
        <f>IF(C961="","",IFERROR(C961/MOTOR!$B$14,0))</f>
        <v/>
      </c>
      <c r="F961" s="116">
        <f>IF(C961="","",IFERROR((C961-MOTOR!$B$8)/MOTOR!$B$11,0))</f>
        <v/>
      </c>
      <c r="G961" s="117">
        <f>IF(C961="","",IF(E961&lt;AYARLAR!$C$11,"AŞIRI DÜŞÜK",IF(E961&lt;AYARLAR!$C$12,"SINIRDA","GÜVENLİ")))</f>
        <v/>
      </c>
      <c r="H961" s="118" t="n"/>
    </row>
    <row r="962" ht="15" customHeight="1" s="64">
      <c r="A962" s="112" t="n">
        <v>957</v>
      </c>
      <c r="B962" s="118" t="n"/>
      <c r="C962" s="118" t="n"/>
      <c r="D962" s="118" t="n"/>
      <c r="E962" s="115">
        <f>IF(C962="","",IFERROR(C962/MOTOR!$B$14,0))</f>
        <v/>
      </c>
      <c r="F962" s="116">
        <f>IF(C962="","",IFERROR((C962-MOTOR!$B$8)/MOTOR!$B$11,0))</f>
        <v/>
      </c>
      <c r="G962" s="117">
        <f>IF(C962="","",IF(E962&lt;AYARLAR!$C$11,"AŞIRI DÜŞÜK",IF(E962&lt;AYARLAR!$C$12,"SINIRDA","GÜVENLİ")))</f>
        <v/>
      </c>
      <c r="H962" s="118" t="n"/>
    </row>
    <row r="963" ht="15" customHeight="1" s="64">
      <c r="A963" s="112" t="n">
        <v>958</v>
      </c>
      <c r="B963" s="118" t="n"/>
      <c r="C963" s="118" t="n"/>
      <c r="D963" s="118" t="n"/>
      <c r="E963" s="115">
        <f>IF(C963="","",IFERROR(C963/MOTOR!$B$14,0))</f>
        <v/>
      </c>
      <c r="F963" s="116">
        <f>IF(C963="","",IFERROR((C963-MOTOR!$B$8)/MOTOR!$B$11,0))</f>
        <v/>
      </c>
      <c r="G963" s="117">
        <f>IF(C963="","",IF(E963&lt;AYARLAR!$C$11,"AŞIRI DÜŞÜK",IF(E963&lt;AYARLAR!$C$12,"SINIRDA","GÜVENLİ")))</f>
        <v/>
      </c>
      <c r="H963" s="118" t="n"/>
    </row>
    <row r="964" ht="15" customHeight="1" s="64">
      <c r="A964" s="112" t="n">
        <v>959</v>
      </c>
      <c r="B964" s="118" t="n"/>
      <c r="C964" s="118" t="n"/>
      <c r="D964" s="118" t="n"/>
      <c r="E964" s="115">
        <f>IF(C964="","",IFERROR(C964/MOTOR!$B$14,0))</f>
        <v/>
      </c>
      <c r="F964" s="116">
        <f>IF(C964="","",IFERROR((C964-MOTOR!$B$8)/MOTOR!$B$11,0))</f>
        <v/>
      </c>
      <c r="G964" s="117">
        <f>IF(C964="","",IF(E964&lt;AYARLAR!$C$11,"AŞIRI DÜŞÜK",IF(E964&lt;AYARLAR!$C$12,"SINIRDA","GÜVENLİ")))</f>
        <v/>
      </c>
      <c r="H964" s="118" t="n"/>
    </row>
    <row r="965" ht="15" customHeight="1" s="64">
      <c r="A965" s="112" t="n">
        <v>960</v>
      </c>
      <c r="B965" s="118" t="n"/>
      <c r="C965" s="118" t="n"/>
      <c r="D965" s="118" t="n"/>
      <c r="E965" s="115">
        <f>IF(C965="","",IFERROR(C965/MOTOR!$B$14,0))</f>
        <v/>
      </c>
      <c r="F965" s="116">
        <f>IF(C965="","",IFERROR((C965-MOTOR!$B$8)/MOTOR!$B$11,0))</f>
        <v/>
      </c>
      <c r="G965" s="117">
        <f>IF(C965="","",IF(E965&lt;AYARLAR!$C$11,"AŞIRI DÜŞÜK",IF(E965&lt;AYARLAR!$C$12,"SINIRDA","GÜVENLİ")))</f>
        <v/>
      </c>
      <c r="H965" s="118" t="n"/>
    </row>
    <row r="966" ht="15" customHeight="1" s="64">
      <c r="A966" s="112" t="n">
        <v>961</v>
      </c>
      <c r="B966" s="118" t="n"/>
      <c r="C966" s="118" t="n"/>
      <c r="D966" s="118" t="n"/>
      <c r="E966" s="115">
        <f>IF(C966="","",IFERROR(C966/MOTOR!$B$14,0))</f>
        <v/>
      </c>
      <c r="F966" s="116">
        <f>IF(C966="","",IFERROR((C966-MOTOR!$B$8)/MOTOR!$B$11,0))</f>
        <v/>
      </c>
      <c r="G966" s="117">
        <f>IF(C966="","",IF(E966&lt;AYARLAR!$C$11,"AŞIRI DÜŞÜK",IF(E966&lt;AYARLAR!$C$12,"SINIRDA","GÜVENLİ")))</f>
        <v/>
      </c>
      <c r="H966" s="118" t="n"/>
    </row>
    <row r="967" ht="15" customHeight="1" s="64">
      <c r="A967" s="112" t="n">
        <v>962</v>
      </c>
      <c r="B967" s="118" t="n"/>
      <c r="C967" s="118" t="n"/>
      <c r="D967" s="118" t="n"/>
      <c r="E967" s="115">
        <f>IF(C967="","",IFERROR(C967/MOTOR!$B$14,0))</f>
        <v/>
      </c>
      <c r="F967" s="116">
        <f>IF(C967="","",IFERROR((C967-MOTOR!$B$8)/MOTOR!$B$11,0))</f>
        <v/>
      </c>
      <c r="G967" s="117">
        <f>IF(C967="","",IF(E967&lt;AYARLAR!$C$11,"AŞIRI DÜŞÜK",IF(E967&lt;AYARLAR!$C$12,"SINIRDA","GÜVENLİ")))</f>
        <v/>
      </c>
      <c r="H967" s="118" t="n"/>
    </row>
    <row r="968" ht="15" customHeight="1" s="64">
      <c r="A968" s="112" t="n">
        <v>963</v>
      </c>
      <c r="B968" s="118" t="n"/>
      <c r="C968" s="118" t="n"/>
      <c r="D968" s="118" t="n"/>
      <c r="E968" s="115">
        <f>IF(C968="","",IFERROR(C968/MOTOR!$B$14,0))</f>
        <v/>
      </c>
      <c r="F968" s="116">
        <f>IF(C968="","",IFERROR((C968-MOTOR!$B$8)/MOTOR!$B$11,0))</f>
        <v/>
      </c>
      <c r="G968" s="117">
        <f>IF(C968="","",IF(E968&lt;AYARLAR!$C$11,"AŞIRI DÜŞÜK",IF(E968&lt;AYARLAR!$C$12,"SINIRDA","GÜVENLİ")))</f>
        <v/>
      </c>
      <c r="H968" s="118" t="n"/>
    </row>
    <row r="969" ht="15" customHeight="1" s="64">
      <c r="A969" s="112" t="n">
        <v>964</v>
      </c>
      <c r="B969" s="118" t="n"/>
      <c r="C969" s="118" t="n"/>
      <c r="D969" s="118" t="n"/>
      <c r="E969" s="115">
        <f>IF(C969="","",IFERROR(C969/MOTOR!$B$14,0))</f>
        <v/>
      </c>
      <c r="F969" s="116">
        <f>IF(C969="","",IFERROR((C969-MOTOR!$B$8)/MOTOR!$B$11,0))</f>
        <v/>
      </c>
      <c r="G969" s="117">
        <f>IF(C969="","",IF(E969&lt;AYARLAR!$C$11,"AŞIRI DÜŞÜK",IF(E969&lt;AYARLAR!$C$12,"SINIRDA","GÜVENLİ")))</f>
        <v/>
      </c>
      <c r="H969" s="118" t="n"/>
    </row>
    <row r="970" ht="15" customHeight="1" s="64">
      <c r="A970" s="112" t="n">
        <v>965</v>
      </c>
      <c r="B970" s="118" t="n"/>
      <c r="C970" s="118" t="n"/>
      <c r="D970" s="118" t="n"/>
      <c r="E970" s="115">
        <f>IF(C970="","",IFERROR(C970/MOTOR!$B$14,0))</f>
        <v/>
      </c>
      <c r="F970" s="116">
        <f>IF(C970="","",IFERROR((C970-MOTOR!$B$8)/MOTOR!$B$11,0))</f>
        <v/>
      </c>
      <c r="G970" s="117">
        <f>IF(C970="","",IF(E970&lt;AYARLAR!$C$11,"AŞIRI DÜŞÜK",IF(E970&lt;AYARLAR!$C$12,"SINIRDA","GÜVENLİ")))</f>
        <v/>
      </c>
      <c r="H970" s="118" t="n"/>
    </row>
    <row r="971" ht="15" customHeight="1" s="64">
      <c r="A971" s="112" t="n">
        <v>966</v>
      </c>
      <c r="B971" s="118" t="n"/>
      <c r="C971" s="118" t="n"/>
      <c r="D971" s="118" t="n"/>
      <c r="E971" s="115">
        <f>IF(C971="","",IFERROR(C971/MOTOR!$B$14,0))</f>
        <v/>
      </c>
      <c r="F971" s="116">
        <f>IF(C971="","",IFERROR((C971-MOTOR!$B$8)/MOTOR!$B$11,0))</f>
        <v/>
      </c>
      <c r="G971" s="117">
        <f>IF(C971="","",IF(E971&lt;AYARLAR!$C$11,"AŞIRI DÜŞÜK",IF(E971&lt;AYARLAR!$C$12,"SINIRDA","GÜVENLİ")))</f>
        <v/>
      </c>
      <c r="H971" s="118" t="n"/>
    </row>
    <row r="972" ht="15" customHeight="1" s="64">
      <c r="A972" s="112" t="n">
        <v>967</v>
      </c>
      <c r="B972" s="118" t="n"/>
      <c r="C972" s="118" t="n"/>
      <c r="D972" s="118" t="n"/>
      <c r="E972" s="115">
        <f>IF(C972="","",IFERROR(C972/MOTOR!$B$14,0))</f>
        <v/>
      </c>
      <c r="F972" s="116">
        <f>IF(C972="","",IFERROR((C972-MOTOR!$B$8)/MOTOR!$B$11,0))</f>
        <v/>
      </c>
      <c r="G972" s="117">
        <f>IF(C972="","",IF(E972&lt;AYARLAR!$C$11,"AŞIRI DÜŞÜK",IF(E972&lt;AYARLAR!$C$12,"SINIRDA","GÜVENLİ")))</f>
        <v/>
      </c>
      <c r="H972" s="118" t="n"/>
    </row>
    <row r="973" ht="15" customHeight="1" s="64">
      <c r="A973" s="112" t="n">
        <v>968</v>
      </c>
      <c r="B973" s="118" t="n"/>
      <c r="C973" s="118" t="n"/>
      <c r="D973" s="118" t="n"/>
      <c r="E973" s="115">
        <f>IF(C973="","",IFERROR(C973/MOTOR!$B$14,0))</f>
        <v/>
      </c>
      <c r="F973" s="116">
        <f>IF(C973="","",IFERROR((C973-MOTOR!$B$8)/MOTOR!$B$11,0))</f>
        <v/>
      </c>
      <c r="G973" s="117">
        <f>IF(C973="","",IF(E973&lt;AYARLAR!$C$11,"AŞIRI DÜŞÜK",IF(E973&lt;AYARLAR!$C$12,"SINIRDA","GÜVENLİ")))</f>
        <v/>
      </c>
      <c r="H973" s="118" t="n"/>
    </row>
    <row r="974" ht="15" customHeight="1" s="64">
      <c r="A974" s="112" t="n">
        <v>969</v>
      </c>
      <c r="B974" s="118" t="n"/>
      <c r="C974" s="118" t="n"/>
      <c r="D974" s="118" t="n"/>
      <c r="E974" s="115">
        <f>IF(C974="","",IFERROR(C974/MOTOR!$B$14,0))</f>
        <v/>
      </c>
      <c r="F974" s="116">
        <f>IF(C974="","",IFERROR((C974-MOTOR!$B$8)/MOTOR!$B$11,0))</f>
        <v/>
      </c>
      <c r="G974" s="117">
        <f>IF(C974="","",IF(E974&lt;AYARLAR!$C$11,"AŞIRI DÜŞÜK",IF(E974&lt;AYARLAR!$C$12,"SINIRDA","GÜVENLİ")))</f>
        <v/>
      </c>
      <c r="H974" s="118" t="n"/>
    </row>
    <row r="975" ht="15" customHeight="1" s="64">
      <c r="A975" s="112" t="n">
        <v>970</v>
      </c>
      <c r="B975" s="118" t="n"/>
      <c r="C975" s="118" t="n"/>
      <c r="D975" s="118" t="n"/>
      <c r="E975" s="115">
        <f>IF(C975="","",IFERROR(C975/MOTOR!$B$14,0))</f>
        <v/>
      </c>
      <c r="F975" s="116">
        <f>IF(C975="","",IFERROR((C975-MOTOR!$B$8)/MOTOR!$B$11,0))</f>
        <v/>
      </c>
      <c r="G975" s="117">
        <f>IF(C975="","",IF(E975&lt;AYARLAR!$C$11,"AŞIRI DÜŞÜK",IF(E975&lt;AYARLAR!$C$12,"SINIRDA","GÜVENLİ")))</f>
        <v/>
      </c>
      <c r="H975" s="118" t="n"/>
    </row>
    <row r="976" ht="15" customHeight="1" s="64">
      <c r="A976" s="112" t="n">
        <v>971</v>
      </c>
      <c r="B976" s="118" t="n"/>
      <c r="C976" s="118" t="n"/>
      <c r="D976" s="118" t="n"/>
      <c r="E976" s="115">
        <f>IF(C976="","",IFERROR(C976/MOTOR!$B$14,0))</f>
        <v/>
      </c>
      <c r="F976" s="116">
        <f>IF(C976="","",IFERROR((C976-MOTOR!$B$8)/MOTOR!$B$11,0))</f>
        <v/>
      </c>
      <c r="G976" s="117">
        <f>IF(C976="","",IF(E976&lt;AYARLAR!$C$11,"AŞIRI DÜŞÜK",IF(E976&lt;AYARLAR!$C$12,"SINIRDA","GÜVENLİ")))</f>
        <v/>
      </c>
      <c r="H976" s="118" t="n"/>
    </row>
    <row r="977" ht="15" customHeight="1" s="64">
      <c r="A977" s="112" t="n">
        <v>972</v>
      </c>
      <c r="B977" s="118" t="n"/>
      <c r="C977" s="118" t="n"/>
      <c r="D977" s="118" t="n"/>
      <c r="E977" s="115">
        <f>IF(C977="","",IFERROR(C977/MOTOR!$B$14,0))</f>
        <v/>
      </c>
      <c r="F977" s="116">
        <f>IF(C977="","",IFERROR((C977-MOTOR!$B$8)/MOTOR!$B$11,0))</f>
        <v/>
      </c>
      <c r="G977" s="117">
        <f>IF(C977="","",IF(E977&lt;AYARLAR!$C$11,"AŞIRI DÜŞÜK",IF(E977&lt;AYARLAR!$C$12,"SINIRDA","GÜVENLİ")))</f>
        <v/>
      </c>
      <c r="H977" s="118" t="n"/>
    </row>
    <row r="978" ht="15" customHeight="1" s="64">
      <c r="A978" s="112" t="n">
        <v>973</v>
      </c>
      <c r="B978" s="118" t="n"/>
      <c r="C978" s="118" t="n"/>
      <c r="D978" s="118" t="n"/>
      <c r="E978" s="115">
        <f>IF(C978="","",IFERROR(C978/MOTOR!$B$14,0))</f>
        <v/>
      </c>
      <c r="F978" s="116">
        <f>IF(C978="","",IFERROR((C978-MOTOR!$B$8)/MOTOR!$B$11,0))</f>
        <v/>
      </c>
      <c r="G978" s="117">
        <f>IF(C978="","",IF(E978&lt;AYARLAR!$C$11,"AŞIRI DÜŞÜK",IF(E978&lt;AYARLAR!$C$12,"SINIRDA","GÜVENLİ")))</f>
        <v/>
      </c>
      <c r="H978" s="118" t="n"/>
    </row>
    <row r="979" ht="15" customHeight="1" s="64">
      <c r="A979" s="112" t="n">
        <v>974</v>
      </c>
      <c r="B979" s="118" t="n"/>
      <c r="C979" s="118" t="n"/>
      <c r="D979" s="118" t="n"/>
      <c r="E979" s="115">
        <f>IF(C979="","",IFERROR(C979/MOTOR!$B$14,0))</f>
        <v/>
      </c>
      <c r="F979" s="116">
        <f>IF(C979="","",IFERROR((C979-MOTOR!$B$8)/MOTOR!$B$11,0))</f>
        <v/>
      </c>
      <c r="G979" s="117">
        <f>IF(C979="","",IF(E979&lt;AYARLAR!$C$11,"AŞIRI DÜŞÜK",IF(E979&lt;AYARLAR!$C$12,"SINIRDA","GÜVENLİ")))</f>
        <v/>
      </c>
      <c r="H979" s="118" t="n"/>
    </row>
    <row r="980" ht="15" customHeight="1" s="64">
      <c r="A980" s="112" t="n">
        <v>975</v>
      </c>
      <c r="B980" s="118" t="n"/>
      <c r="C980" s="118" t="n"/>
      <c r="D980" s="118" t="n"/>
      <c r="E980" s="115">
        <f>IF(C980="","",IFERROR(C980/MOTOR!$B$14,0))</f>
        <v/>
      </c>
      <c r="F980" s="116">
        <f>IF(C980="","",IFERROR((C980-MOTOR!$B$8)/MOTOR!$B$11,0))</f>
        <v/>
      </c>
      <c r="G980" s="117">
        <f>IF(C980="","",IF(E980&lt;AYARLAR!$C$11,"AŞIRI DÜŞÜK",IF(E980&lt;AYARLAR!$C$12,"SINIRDA","GÜVENLİ")))</f>
        <v/>
      </c>
      <c r="H980" s="118" t="n"/>
    </row>
    <row r="981" ht="15" customHeight="1" s="64">
      <c r="A981" s="112" t="n">
        <v>976</v>
      </c>
      <c r="B981" s="118" t="n"/>
      <c r="C981" s="118" t="n"/>
      <c r="D981" s="118" t="n"/>
      <c r="E981" s="115">
        <f>IF(C981="","",IFERROR(C981/MOTOR!$B$14,0))</f>
        <v/>
      </c>
      <c r="F981" s="116">
        <f>IF(C981="","",IFERROR((C981-MOTOR!$B$8)/MOTOR!$B$11,0))</f>
        <v/>
      </c>
      <c r="G981" s="117">
        <f>IF(C981="","",IF(E981&lt;AYARLAR!$C$11,"AŞIRI DÜŞÜK",IF(E981&lt;AYARLAR!$C$12,"SINIRDA","GÜVENLİ")))</f>
        <v/>
      </c>
      <c r="H981" s="118" t="n"/>
    </row>
    <row r="982" ht="15" customHeight="1" s="64">
      <c r="A982" s="112" t="n">
        <v>977</v>
      </c>
      <c r="B982" s="118" t="n"/>
      <c r="C982" s="118" t="n"/>
      <c r="D982" s="118" t="n"/>
      <c r="E982" s="115">
        <f>IF(C982="","",IFERROR(C982/MOTOR!$B$14,0))</f>
        <v/>
      </c>
      <c r="F982" s="116">
        <f>IF(C982="","",IFERROR((C982-MOTOR!$B$8)/MOTOR!$B$11,0))</f>
        <v/>
      </c>
      <c r="G982" s="117">
        <f>IF(C982="","",IF(E982&lt;AYARLAR!$C$11,"AŞIRI DÜŞÜK",IF(E982&lt;AYARLAR!$C$12,"SINIRDA","GÜVENLİ")))</f>
        <v/>
      </c>
      <c r="H982" s="118" t="n"/>
    </row>
    <row r="983" ht="15" customHeight="1" s="64">
      <c r="A983" s="112" t="n">
        <v>978</v>
      </c>
      <c r="B983" s="118" t="n"/>
      <c r="C983" s="118" t="n"/>
      <c r="D983" s="118" t="n"/>
      <c r="E983" s="115">
        <f>IF(C983="","",IFERROR(C983/MOTOR!$B$14,0))</f>
        <v/>
      </c>
      <c r="F983" s="116">
        <f>IF(C983="","",IFERROR((C983-MOTOR!$B$8)/MOTOR!$B$11,0))</f>
        <v/>
      </c>
      <c r="G983" s="117">
        <f>IF(C983="","",IF(E983&lt;AYARLAR!$C$11,"AŞIRI DÜŞÜK",IF(E983&lt;AYARLAR!$C$12,"SINIRDA","GÜVENLİ")))</f>
        <v/>
      </c>
      <c r="H983" s="118" t="n"/>
    </row>
    <row r="984" ht="15" customHeight="1" s="64">
      <c r="A984" s="112" t="n">
        <v>979</v>
      </c>
      <c r="B984" s="118" t="n"/>
      <c r="C984" s="118" t="n"/>
      <c r="D984" s="118" t="n"/>
      <c r="E984" s="115">
        <f>IF(C984="","",IFERROR(C984/MOTOR!$B$14,0))</f>
        <v/>
      </c>
      <c r="F984" s="116">
        <f>IF(C984="","",IFERROR((C984-MOTOR!$B$8)/MOTOR!$B$11,0))</f>
        <v/>
      </c>
      <c r="G984" s="117">
        <f>IF(C984="","",IF(E984&lt;AYARLAR!$C$11,"AŞIRI DÜŞÜK",IF(E984&lt;AYARLAR!$C$12,"SINIRDA","GÜVENLİ")))</f>
        <v/>
      </c>
      <c r="H984" s="118" t="n"/>
    </row>
    <row r="985" ht="15" customHeight="1" s="64">
      <c r="A985" s="112" t="n">
        <v>980</v>
      </c>
      <c r="B985" s="118" t="n"/>
      <c r="C985" s="118" t="n"/>
      <c r="D985" s="118" t="n"/>
      <c r="E985" s="115">
        <f>IF(C985="","",IFERROR(C985/MOTOR!$B$14,0))</f>
        <v/>
      </c>
      <c r="F985" s="116">
        <f>IF(C985="","",IFERROR((C985-MOTOR!$B$8)/MOTOR!$B$11,0))</f>
        <v/>
      </c>
      <c r="G985" s="117">
        <f>IF(C985="","",IF(E985&lt;AYARLAR!$C$11,"AŞIRI DÜŞÜK",IF(E985&lt;AYARLAR!$C$12,"SINIRDA","GÜVENLİ")))</f>
        <v/>
      </c>
      <c r="H985" s="118" t="n"/>
    </row>
    <row r="986" ht="15" customHeight="1" s="64">
      <c r="A986" s="112" t="n">
        <v>981</v>
      </c>
      <c r="B986" s="118" t="n"/>
      <c r="C986" s="118" t="n"/>
      <c r="D986" s="118" t="n"/>
      <c r="E986" s="115">
        <f>IF(C986="","",IFERROR(C986/MOTOR!$B$14,0))</f>
        <v/>
      </c>
      <c r="F986" s="116">
        <f>IF(C986="","",IFERROR((C986-MOTOR!$B$8)/MOTOR!$B$11,0))</f>
        <v/>
      </c>
      <c r="G986" s="117">
        <f>IF(C986="","",IF(E986&lt;AYARLAR!$C$11,"AŞIRI DÜŞÜK",IF(E986&lt;AYARLAR!$C$12,"SINIRDA","GÜVENLİ")))</f>
        <v/>
      </c>
      <c r="H986" s="118" t="n"/>
    </row>
    <row r="987" ht="15" customHeight="1" s="64">
      <c r="A987" s="112" t="n">
        <v>982</v>
      </c>
      <c r="B987" s="118" t="n"/>
      <c r="C987" s="118" t="n"/>
      <c r="D987" s="118" t="n"/>
      <c r="E987" s="115">
        <f>IF(C987="","",IFERROR(C987/MOTOR!$B$14,0))</f>
        <v/>
      </c>
      <c r="F987" s="116">
        <f>IF(C987="","",IFERROR((C987-MOTOR!$B$8)/MOTOR!$B$11,0))</f>
        <v/>
      </c>
      <c r="G987" s="117">
        <f>IF(C987="","",IF(E987&lt;AYARLAR!$C$11,"AŞIRI DÜŞÜK",IF(E987&lt;AYARLAR!$C$12,"SINIRDA","GÜVENLİ")))</f>
        <v/>
      </c>
      <c r="H987" s="118" t="n"/>
    </row>
    <row r="988" ht="15" customHeight="1" s="64">
      <c r="A988" s="112" t="n">
        <v>983</v>
      </c>
      <c r="B988" s="118" t="n"/>
      <c r="C988" s="118" t="n"/>
      <c r="D988" s="118" t="n"/>
      <c r="E988" s="115">
        <f>IF(C988="","",IFERROR(C988/MOTOR!$B$14,0))</f>
        <v/>
      </c>
      <c r="F988" s="116">
        <f>IF(C988="","",IFERROR((C988-MOTOR!$B$8)/MOTOR!$B$11,0))</f>
        <v/>
      </c>
      <c r="G988" s="117">
        <f>IF(C988="","",IF(E988&lt;AYARLAR!$C$11,"AŞIRI DÜŞÜK",IF(E988&lt;AYARLAR!$C$12,"SINIRDA","GÜVENLİ")))</f>
        <v/>
      </c>
      <c r="H988" s="118" t="n"/>
    </row>
    <row r="989" ht="15" customHeight="1" s="64">
      <c r="A989" s="112" t="n">
        <v>984</v>
      </c>
      <c r="B989" s="118" t="n"/>
      <c r="C989" s="118" t="n"/>
      <c r="D989" s="118" t="n"/>
      <c r="E989" s="115">
        <f>IF(C989="","",IFERROR(C989/MOTOR!$B$14,0))</f>
        <v/>
      </c>
      <c r="F989" s="116">
        <f>IF(C989="","",IFERROR((C989-MOTOR!$B$8)/MOTOR!$B$11,0))</f>
        <v/>
      </c>
      <c r="G989" s="117">
        <f>IF(C989="","",IF(E989&lt;AYARLAR!$C$11,"AŞIRI DÜŞÜK",IF(E989&lt;AYARLAR!$C$12,"SINIRDA","GÜVENLİ")))</f>
        <v/>
      </c>
      <c r="H989" s="118" t="n"/>
    </row>
    <row r="990" ht="15" customHeight="1" s="64">
      <c r="A990" s="112" t="n">
        <v>985</v>
      </c>
      <c r="B990" s="118" t="n"/>
      <c r="C990" s="118" t="n"/>
      <c r="D990" s="118" t="n"/>
      <c r="E990" s="115">
        <f>IF(C990="","",IFERROR(C990/MOTOR!$B$14,0))</f>
        <v/>
      </c>
      <c r="F990" s="116">
        <f>IF(C990="","",IFERROR((C990-MOTOR!$B$8)/MOTOR!$B$11,0))</f>
        <v/>
      </c>
      <c r="G990" s="117">
        <f>IF(C990="","",IF(E990&lt;AYARLAR!$C$11,"AŞIRI DÜŞÜK",IF(E990&lt;AYARLAR!$C$12,"SINIRDA","GÜVENLİ")))</f>
        <v/>
      </c>
      <c r="H990" s="118" t="n"/>
    </row>
    <row r="991" ht="15" customHeight="1" s="64">
      <c r="A991" s="112" t="n">
        <v>986</v>
      </c>
      <c r="B991" s="118" t="n"/>
      <c r="C991" s="118" t="n"/>
      <c r="D991" s="118" t="n"/>
      <c r="E991" s="115">
        <f>IF(C991="","",IFERROR(C991/MOTOR!$B$14,0))</f>
        <v/>
      </c>
      <c r="F991" s="116">
        <f>IF(C991="","",IFERROR((C991-MOTOR!$B$8)/MOTOR!$B$11,0))</f>
        <v/>
      </c>
      <c r="G991" s="117">
        <f>IF(C991="","",IF(E991&lt;AYARLAR!$C$11,"AŞIRI DÜŞÜK",IF(E991&lt;AYARLAR!$C$12,"SINIRDA","GÜVENLİ")))</f>
        <v/>
      </c>
      <c r="H991" s="118" t="n"/>
    </row>
    <row r="992" ht="15" customHeight="1" s="64">
      <c r="A992" s="112" t="n">
        <v>987</v>
      </c>
      <c r="B992" s="118" t="n"/>
      <c r="C992" s="118" t="n"/>
      <c r="D992" s="118" t="n"/>
      <c r="E992" s="115">
        <f>IF(C992="","",IFERROR(C992/MOTOR!$B$14,0))</f>
        <v/>
      </c>
      <c r="F992" s="116">
        <f>IF(C992="","",IFERROR((C992-MOTOR!$B$8)/MOTOR!$B$11,0))</f>
        <v/>
      </c>
      <c r="G992" s="117">
        <f>IF(C992="","",IF(E992&lt;AYARLAR!$C$11,"AŞIRI DÜŞÜK",IF(E992&lt;AYARLAR!$C$12,"SINIRDA","GÜVENLİ")))</f>
        <v/>
      </c>
      <c r="H992" s="118" t="n"/>
    </row>
    <row r="993" ht="15" customHeight="1" s="64">
      <c r="A993" s="112" t="n">
        <v>988</v>
      </c>
      <c r="B993" s="118" t="n"/>
      <c r="C993" s="118" t="n"/>
      <c r="D993" s="118" t="n"/>
      <c r="E993" s="115">
        <f>IF(C993="","",IFERROR(C993/MOTOR!$B$14,0))</f>
        <v/>
      </c>
      <c r="F993" s="116">
        <f>IF(C993="","",IFERROR((C993-MOTOR!$B$8)/MOTOR!$B$11,0))</f>
        <v/>
      </c>
      <c r="G993" s="117">
        <f>IF(C993="","",IF(E993&lt;AYARLAR!$C$11,"AŞIRI DÜŞÜK",IF(E993&lt;AYARLAR!$C$12,"SINIRDA","GÜVENLİ")))</f>
        <v/>
      </c>
      <c r="H993" s="118" t="n"/>
    </row>
    <row r="994" ht="15" customHeight="1" s="64">
      <c r="A994" s="112" t="n">
        <v>989</v>
      </c>
      <c r="B994" s="118" t="n"/>
      <c r="C994" s="118" t="n"/>
      <c r="D994" s="118" t="n"/>
      <c r="E994" s="115">
        <f>IF(C994="","",IFERROR(C994/MOTOR!$B$14,0))</f>
        <v/>
      </c>
      <c r="F994" s="116">
        <f>IF(C994="","",IFERROR((C994-MOTOR!$B$8)/MOTOR!$B$11,0))</f>
        <v/>
      </c>
      <c r="G994" s="117">
        <f>IF(C994="","",IF(E994&lt;AYARLAR!$C$11,"AŞIRI DÜŞÜK",IF(E994&lt;AYARLAR!$C$12,"SINIRDA","GÜVENLİ")))</f>
        <v/>
      </c>
      <c r="H994" s="118" t="n"/>
    </row>
    <row r="995" ht="15" customHeight="1" s="64">
      <c r="A995" s="112" t="n">
        <v>990</v>
      </c>
      <c r="B995" s="118" t="n"/>
      <c r="C995" s="118" t="n"/>
      <c r="D995" s="118" t="n"/>
      <c r="E995" s="115">
        <f>IF(C995="","",IFERROR(C995/MOTOR!$B$14,0))</f>
        <v/>
      </c>
      <c r="F995" s="116">
        <f>IF(C995="","",IFERROR((C995-MOTOR!$B$8)/MOTOR!$B$11,0))</f>
        <v/>
      </c>
      <c r="G995" s="117">
        <f>IF(C995="","",IF(E995&lt;AYARLAR!$C$11,"AŞIRI DÜŞÜK",IF(E995&lt;AYARLAR!$C$12,"SINIRDA","GÜVENLİ")))</f>
        <v/>
      </c>
      <c r="H995" s="118" t="n"/>
    </row>
    <row r="996" ht="15" customHeight="1" s="64">
      <c r="A996" s="112" t="n">
        <v>991</v>
      </c>
      <c r="B996" s="118" t="n"/>
      <c r="C996" s="118" t="n"/>
      <c r="D996" s="118" t="n"/>
      <c r="E996" s="115">
        <f>IF(C996="","",IFERROR(C996/MOTOR!$B$14,0))</f>
        <v/>
      </c>
      <c r="F996" s="116">
        <f>IF(C996="","",IFERROR((C996-MOTOR!$B$8)/MOTOR!$B$11,0))</f>
        <v/>
      </c>
      <c r="G996" s="117">
        <f>IF(C996="","",IF(E996&lt;AYARLAR!$C$11,"AŞIRI DÜŞÜK",IF(E996&lt;AYARLAR!$C$12,"SINIRDA","GÜVENLİ")))</f>
        <v/>
      </c>
      <c r="H996" s="118" t="n"/>
    </row>
    <row r="997" ht="15" customHeight="1" s="64">
      <c r="A997" s="112" t="n">
        <v>992</v>
      </c>
      <c r="B997" s="118" t="n"/>
      <c r="C997" s="118" t="n"/>
      <c r="D997" s="118" t="n"/>
      <c r="E997" s="115">
        <f>IF(C997="","",IFERROR(C997/MOTOR!$B$14,0))</f>
        <v/>
      </c>
      <c r="F997" s="116">
        <f>IF(C997="","",IFERROR((C997-MOTOR!$B$8)/MOTOR!$B$11,0))</f>
        <v/>
      </c>
      <c r="G997" s="117">
        <f>IF(C997="","",IF(E997&lt;AYARLAR!$C$11,"AŞIRI DÜŞÜK",IF(E997&lt;AYARLAR!$C$12,"SINIRDA","GÜVENLİ")))</f>
        <v/>
      </c>
      <c r="H997" s="118" t="n"/>
    </row>
    <row r="998" ht="15" customHeight="1" s="64">
      <c r="A998" s="112" t="n">
        <v>993</v>
      </c>
      <c r="B998" s="118" t="n"/>
      <c r="C998" s="118" t="n"/>
      <c r="D998" s="118" t="n"/>
      <c r="E998" s="115">
        <f>IF(C998="","",IFERROR(C998/MOTOR!$B$14,0))</f>
        <v/>
      </c>
      <c r="F998" s="116">
        <f>IF(C998="","",IFERROR((C998-MOTOR!$B$8)/MOTOR!$B$11,0))</f>
        <v/>
      </c>
      <c r="G998" s="117">
        <f>IF(C998="","",IF(E998&lt;AYARLAR!$C$11,"AŞIRI DÜŞÜK",IF(E998&lt;AYARLAR!$C$12,"SINIRDA","GÜVENLİ")))</f>
        <v/>
      </c>
      <c r="H998" s="118" t="n"/>
    </row>
    <row r="999" ht="15" customHeight="1" s="64">
      <c r="A999" s="112" t="n">
        <v>994</v>
      </c>
      <c r="B999" s="118" t="n"/>
      <c r="C999" s="118" t="n"/>
      <c r="D999" s="118" t="n"/>
      <c r="E999" s="115">
        <f>IF(C999="","",IFERROR(C999/MOTOR!$B$14,0))</f>
        <v/>
      </c>
      <c r="F999" s="116">
        <f>IF(C999="","",IFERROR((C999-MOTOR!$B$8)/MOTOR!$B$11,0))</f>
        <v/>
      </c>
      <c r="G999" s="117">
        <f>IF(C999="","",IF(E999&lt;AYARLAR!$C$11,"AŞIRI DÜŞÜK",IF(E999&lt;AYARLAR!$C$12,"SINIRDA","GÜVENLİ")))</f>
        <v/>
      </c>
      <c r="H999" s="118" t="n"/>
    </row>
    <row r="1000" ht="15" customHeight="1" s="64">
      <c r="A1000" s="112" t="n">
        <v>995</v>
      </c>
      <c r="B1000" s="118" t="n"/>
      <c r="C1000" s="118" t="n"/>
      <c r="D1000" s="118" t="n"/>
      <c r="E1000" s="115">
        <f>IF(C1000="","",IFERROR(C1000/MOTOR!$B$14,0))</f>
        <v/>
      </c>
      <c r="F1000" s="116">
        <f>IF(C1000="","",IFERROR((C1000-MOTOR!$B$8)/MOTOR!$B$11,0))</f>
        <v/>
      </c>
      <c r="G1000" s="117">
        <f>IF(C1000="","",IF(E1000&lt;AYARLAR!$C$11,"AŞIRI DÜŞÜK",IF(E1000&lt;AYARLAR!$C$12,"SINIRDA","GÜVENLİ")))</f>
        <v/>
      </c>
      <c r="H1000" s="118" t="n"/>
    </row>
    <row r="1001" ht="15" customHeight="1" s="64">
      <c r="A1001" s="112" t="n">
        <v>996</v>
      </c>
      <c r="B1001" s="118" t="n"/>
      <c r="C1001" s="118" t="n"/>
      <c r="D1001" s="118" t="n"/>
      <c r="E1001" s="115">
        <f>IF(C1001="","",IFERROR(C1001/MOTOR!$B$14,0))</f>
        <v/>
      </c>
      <c r="F1001" s="116">
        <f>IF(C1001="","",IFERROR((C1001-MOTOR!$B$8)/MOTOR!$B$11,0))</f>
        <v/>
      </c>
      <c r="G1001" s="117">
        <f>IF(C1001="","",IF(E1001&lt;AYARLAR!$C$11,"AŞIRI DÜŞÜK",IF(E1001&lt;AYARLAR!$C$12,"SINIRDA","GÜVENLİ")))</f>
        <v/>
      </c>
      <c r="H1001" s="118" t="n"/>
    </row>
    <row r="1002" ht="15" customHeight="1" s="64">
      <c r="A1002" s="112" t="n">
        <v>997</v>
      </c>
      <c r="B1002" s="118" t="n"/>
      <c r="C1002" s="118" t="n"/>
      <c r="D1002" s="118" t="n"/>
      <c r="E1002" s="115">
        <f>IF(C1002="","",IFERROR(C1002/MOTOR!$B$14,0))</f>
        <v/>
      </c>
      <c r="F1002" s="116">
        <f>IF(C1002="","",IFERROR((C1002-MOTOR!$B$8)/MOTOR!$B$11,0))</f>
        <v/>
      </c>
      <c r="G1002" s="117">
        <f>IF(C1002="","",IF(E1002&lt;AYARLAR!$C$11,"AŞIRI DÜŞÜK",IF(E1002&lt;AYARLAR!$C$12,"SINIRDA","GÜVENLİ")))</f>
        <v/>
      </c>
      <c r="H1002" s="118" t="n"/>
    </row>
    <row r="1003" ht="15" customHeight="1" s="64">
      <c r="A1003" s="112" t="n">
        <v>998</v>
      </c>
      <c r="B1003" s="118" t="n"/>
      <c r="C1003" s="118" t="n"/>
      <c r="D1003" s="118" t="n"/>
      <c r="E1003" s="115">
        <f>IF(C1003="","",IFERROR(C1003/MOTOR!$B$14,0))</f>
        <v/>
      </c>
      <c r="F1003" s="116">
        <f>IF(C1003="","",IFERROR((C1003-MOTOR!$B$8)/MOTOR!$B$11,0))</f>
        <v/>
      </c>
      <c r="G1003" s="117">
        <f>IF(C1003="","",IF(E1003&lt;AYARLAR!$C$11,"AŞIRI DÜŞÜK",IF(E1003&lt;AYARLAR!$C$12,"SINIRDA","GÜVENLİ")))</f>
        <v/>
      </c>
      <c r="H1003" s="118" t="n"/>
    </row>
    <row r="1004" ht="15" customHeight="1" s="64">
      <c r="A1004" s="112" t="n">
        <v>999</v>
      </c>
      <c r="B1004" s="118" t="n"/>
      <c r="C1004" s="118" t="n"/>
      <c r="D1004" s="118" t="n"/>
      <c r="E1004" s="115">
        <f>IF(C1004="","",IFERROR(C1004/MOTOR!$B$14,0))</f>
        <v/>
      </c>
      <c r="F1004" s="116">
        <f>IF(C1004="","",IFERROR((C1004-MOTOR!$B$8)/MOTOR!$B$11,0))</f>
        <v/>
      </c>
      <c r="G1004" s="117">
        <f>IF(C1004="","",IF(E1004&lt;AYARLAR!$C$11,"AŞIRI DÜŞÜK",IF(E1004&lt;AYARLAR!$C$12,"SINIRDA","GÜVENLİ")))</f>
        <v/>
      </c>
      <c r="H1004" s="118" t="n"/>
    </row>
    <row r="1006" ht="19.5" customHeight="1" s="64">
      <c r="A1006" s="101" t="inlineStr">
        <is>
          <t>Sıra, oran, anomali Z ve durum kolonları hesaplanmıştır; yalnızca sarı kolonlara yazın.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11" text="" percent="0" bottom="0">
      <formula>0</formula>
    </cfRule>
    <cfRule type="dataBar" priority="3">
      <dataBar minLength="10" maxLength="90" showValue="1">
        <cfvo type="min" val="0"/>
        <cfvo type="max" val="0"/>
        <color rgb="FF638EC6"/>
      </dataBar>
    </cfRule>
  </conditionalFormatting>
  <conditionalFormatting sqref="E6:E1004">
    <cfRule type="expression" rank="0" priority="4" equalAverage="0" aboveAverage="0" dxfId="12" text="" percent="0" bottom="0">
      <formula>$E6&lt;AsiriDusukEsik</formula>
    </cfRule>
    <cfRule type="expression" rank="0" priority="5" equalAverage="0" aboveAverage="0" dxfId="13" text="" percent="0" bottom="0">
      <formula>AND($E6&gt;=AsiriDusukEsik,$E6&lt;DikkatEsik)</formula>
    </cfRule>
  </conditionalFormatting>
  <conditionalFormatting sqref="D6:D1004">
    <cfRule type="expression" rank="0" priority="6" equalAverage="0" aboveAverage="0" dxfId="14" text="" percent="0" bottom="0">
      <formula>$D6="HAYIR"</formula>
    </cfRule>
  </conditionalFormatting>
  <conditionalFormatting sqref="F6:F1004">
    <cfRule type="expression" rank="0" priority="7" equalAverage="0" aboveAverage="0" dxfId="12" text="" percent="0" bottom="0">
      <formula>ABS($F6)&gt;AnomaliZEsik</formula>
    </cfRule>
  </conditionalFormatting>
  <conditionalFormatting sqref="G6:G1004">
    <cfRule type="cellIs" rank="0" priority="8" equalAverage="0" operator="equal" aboveAverage="0" dxfId="15" text="" percent="0" bottom="0">
      <formula>"AŞIRI DÜŞÜK"</formula>
    </cfRule>
    <cfRule type="cellIs" rank="0" priority="9" equalAverage="0" operator="equal" aboveAverage="0" dxfId="13" text="" percent="0" bottom="0">
      <formula>"SINIRDA"</formula>
    </cfRule>
    <cfRule type="cellIs" rank="0" priority="10" equalAverage="0" operator="equal" aboveAverage="0" dxfId="16" text="" percent="0" bottom="0">
      <formula>"GÜVENLİ"</formula>
    </cfRule>
  </conditionalFormatting>
  <dataValidations count="3">
    <dataValidation sqref="C6:C1004" showDropDown="0" showInputMessage="1" showErrorMessage="1" allowBlank="1" errorTitle="Hatalı giriş" error="Teklif tutarı negatif olamaz." promptTitle="Teklif Tutarı" prompt="Rakip teklif tutarını TL olarak girin." type="whole" errorStyle="stop" operator="greaterThanOrEqual">
      <formula1>0</formula1>
      <formula2>0</formula2>
    </dataValidation>
    <dataValidation sqref="D6:D1004" showDropDown="0" showInputMessage="1" showErrorMessage="1" allowBlank="1" errorTitle="Hatalı giriş" error="EVET veya HAYIR seçin." promptTitle="Geçerli mi?" prompt="Teklif değerlendirmeye alınıyorsa EVET, değilse HAYIR." type="list" errorStyle="stop" operator="between">
      <formula1>ListeEvetHayir</formula1>
      <formula2>0</formula2>
    </dataValidation>
    <dataValidation sqref="B6:B1004" showDropDown="0" showInputMessage="1" showErrorMessage="1" allowBlank="1" errorTitle="Hatalı giriş" error="Rakip adı metin olmalıdır." promptTitle="Rakip Adı" prompt="Rakip firma adını yazın." type="textLength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2" customWidth="1" style="90" min="1" max="1"/>
    <col width="10" customWidth="1" style="90" min="2" max="3"/>
    <col width="14" customWidth="1" style="90" min="4" max="4"/>
    <col width="17" customWidth="1" style="90" min="5" max="5"/>
    <col width="14" customWidth="1" style="90" min="6" max="6"/>
    <col width="15" customWidth="1" style="90" min="7" max="8"/>
    <col width="13" customWidth="1" style="90" min="9" max="9"/>
    <col width="12" customWidth="1" style="90" min="10" max="11"/>
    <col width="14" customWidth="1" style="90" min="12" max="12"/>
    <col width="20" customWidth="1" style="90" min="13" max="13"/>
  </cols>
  <sheetData>
    <row r="1" ht="25.5" customHeight="1" s="64">
      <c r="A1" s="102" t="inlineStr">
        <is>
          <t>TEKLIF BILESENLERI — AŞIRI DÜŞÜK TEKLİF SAVUNMA ROBOTU</t>
        </is>
      </c>
    </row>
    <row r="3" ht="15" customHeight="1" s="64">
      <c r="A3" s="103" t="inlineStr">
        <is>
          <t>Teklif Bileşenleri (Açıklama Seti)</t>
        </is>
      </c>
    </row>
    <row r="4" ht="41.25" customHeight="1" s="64">
      <c r="A4" s="104" t="inlineStr">
        <is>
          <t>Teklif bedelini oluşturan kalemleri girin. Birim fiyat ile rayiç birim fiyat arasındaki sapma aşırı düşük açıklamasında sorgulanır; dayanak türü seçin.</t>
        </is>
      </c>
    </row>
    <row r="5" ht="30" customHeight="1" s="64">
      <c r="A5" s="111" t="inlineStr">
        <is>
          <t>Kalem Adı</t>
        </is>
      </c>
      <c r="B5" s="111" t="inlineStr">
        <is>
          <t>Birim</t>
        </is>
      </c>
      <c r="C5" s="111" t="inlineStr">
        <is>
          <t>Miktar</t>
        </is>
      </c>
      <c r="D5" s="111" t="inlineStr">
        <is>
          <t>Birim Fiyat (₺)</t>
        </is>
      </c>
      <c r="E5" s="111" t="inlineStr">
        <is>
          <t>Rayiç Birim Fiyat (₺)</t>
        </is>
      </c>
      <c r="F5" s="111" t="inlineStr">
        <is>
          <t>Dayanak Türü</t>
        </is>
      </c>
      <c r="G5" s="111" t="inlineStr">
        <is>
          <t>Tutar (₺)</t>
        </is>
      </c>
      <c r="H5" s="111" t="inlineStr">
        <is>
          <t>Rayiç Tutar (₺)</t>
        </is>
      </c>
      <c r="I5" s="111" t="inlineStr">
        <is>
          <t>Rayiç Sapması</t>
        </is>
      </c>
      <c r="J5" s="111" t="inlineStr">
        <is>
          <t>Risk Bayrağı</t>
        </is>
      </c>
      <c r="K5" s="111" t="inlineStr">
        <is>
          <t>Ağırlık (%)</t>
        </is>
      </c>
      <c r="L5" s="111" t="inlineStr">
        <is>
          <t>Dayanak Tam mı?</t>
        </is>
      </c>
      <c r="M5" s="111" t="inlineStr">
        <is>
          <t>Not</t>
        </is>
      </c>
    </row>
    <row r="6" ht="15" customHeight="1" s="64">
      <c r="A6" s="113" t="inlineStr">
        <is>
          <t>Beton C30</t>
        </is>
      </c>
      <c r="B6" s="113" t="inlineStr">
        <is>
          <t>m³</t>
        </is>
      </c>
      <c r="C6" s="119" t="n">
        <v>1500</v>
      </c>
      <c r="D6" s="114" t="n">
        <v>2100</v>
      </c>
      <c r="E6" s="114" t="n">
        <v>1950</v>
      </c>
      <c r="F6" s="113" t="inlineStr">
        <is>
          <t>Fatura</t>
        </is>
      </c>
      <c r="G6" s="120">
        <f>IF(C6="","",C6*D6)</f>
        <v/>
      </c>
      <c r="H6" s="120">
        <f>IF(C6="","",C6*E6)</f>
        <v/>
      </c>
      <c r="I6" s="115">
        <f>IF(C6="","",IFERROR(D6/(E6+(E6=0))-1,0))</f>
        <v/>
      </c>
      <c r="J6" s="117">
        <f>IF(C6="","",IF(ABS(I6)&gt;AYARLAR!$C$14,"RİSKLİ","NORMAL"))</f>
        <v/>
      </c>
      <c r="K6" s="115">
        <f>IF(G6="","",IFERROR(G6/MOTOR!$B$20,0))</f>
        <v/>
      </c>
      <c r="L6" s="117">
        <f>IF(C6="","",IF(F6="","EKSİK","TAM"))</f>
        <v/>
      </c>
      <c r="M6" s="113" t="inlineStr">
        <is>
          <t>Örnek kalem</t>
        </is>
      </c>
    </row>
    <row r="7" ht="15" customHeight="1" s="64">
      <c r="A7" s="113" t="inlineStr">
        <is>
          <t>Demir Donatı</t>
        </is>
      </c>
      <c r="B7" s="113" t="inlineStr">
        <is>
          <t>ton</t>
        </is>
      </c>
      <c r="C7" s="119" t="n">
        <v>236</v>
      </c>
      <c r="D7" s="114" t="n">
        <v>28500</v>
      </c>
      <c r="E7" s="114" t="n">
        <v>27500</v>
      </c>
      <c r="F7" s="113" t="inlineStr">
        <is>
          <t>Rayiç</t>
        </is>
      </c>
      <c r="G7" s="120">
        <f>IF(C7="","",C7*D7)</f>
        <v/>
      </c>
      <c r="H7" s="120">
        <f>IF(C7="","",C7*E7)</f>
        <v/>
      </c>
      <c r="I7" s="115">
        <f>IF(C7="","",IFERROR(D7/(E7+(E7=0))-1,0))</f>
        <v/>
      </c>
      <c r="J7" s="117">
        <f>IF(C7="","",IF(ABS(I7)&gt;AYARLAR!$C$14,"RİSKLİ","NORMAL"))</f>
        <v/>
      </c>
      <c r="K7" s="115">
        <f>IF(G7="","",IFERROR(G7/MOTOR!$B$20,0))</f>
        <v/>
      </c>
      <c r="L7" s="117">
        <f>IF(C7="","",IF(F7="","EKSİK","TAM"))</f>
        <v/>
      </c>
      <c r="M7" s="113" t="inlineStr">
        <is>
          <t>Örnek kalem</t>
        </is>
      </c>
    </row>
    <row r="8" ht="15" customHeight="1" s="64">
      <c r="A8" s="113" t="inlineStr">
        <is>
          <t>Kalıp İşçiliği</t>
        </is>
      </c>
      <c r="B8" s="113" t="inlineStr">
        <is>
          <t>m²</t>
        </is>
      </c>
      <c r="C8" s="119" t="n">
        <v>4200</v>
      </c>
      <c r="D8" s="114" t="n">
        <v>145</v>
      </c>
      <c r="E8" s="114" t="n">
        <v>138</v>
      </c>
      <c r="F8" s="113" t="inlineStr">
        <is>
          <t>Analiz</t>
        </is>
      </c>
      <c r="G8" s="120">
        <f>IF(C8="","",C8*D8)</f>
        <v/>
      </c>
      <c r="H8" s="120">
        <f>IF(C8="","",C8*E8)</f>
        <v/>
      </c>
      <c r="I8" s="115">
        <f>IF(C8="","",IFERROR(D8/(E8+(E8=0))-1,0))</f>
        <v/>
      </c>
      <c r="J8" s="117">
        <f>IF(C8="","",IF(ABS(I8)&gt;AYARLAR!$C$14,"RİSKLİ","NORMAL"))</f>
        <v/>
      </c>
      <c r="K8" s="115">
        <f>IF(G8="","",IFERROR(G8/MOTOR!$B$20,0))</f>
        <v/>
      </c>
      <c r="L8" s="117">
        <f>IF(C8="","",IF(F8="","EKSİK","TAM"))</f>
        <v/>
      </c>
      <c r="M8" s="113" t="inlineStr">
        <is>
          <t>Örnek kalem</t>
        </is>
      </c>
    </row>
    <row r="9" ht="15" customHeight="1" s="64">
      <c r="A9" s="113" t="inlineStr">
        <is>
          <t>Cephe İskele</t>
        </is>
      </c>
      <c r="B9" s="113" t="inlineStr">
        <is>
          <t>m²</t>
        </is>
      </c>
      <c r="C9" s="119" t="n">
        <v>1800</v>
      </c>
      <c r="D9" s="114" t="n">
        <v>95</v>
      </c>
      <c r="E9" s="114" t="n">
        <v>102</v>
      </c>
      <c r="F9" s="113" t="inlineStr">
        <is>
          <t>Teklif</t>
        </is>
      </c>
      <c r="G9" s="120">
        <f>IF(C9="","",C9*D9)</f>
        <v/>
      </c>
      <c r="H9" s="120">
        <f>IF(C9="","",C9*E9)</f>
        <v/>
      </c>
      <c r="I9" s="115">
        <f>IF(C9="","",IFERROR(D9/(E9+(E9=0))-1,0))</f>
        <v/>
      </c>
      <c r="J9" s="117">
        <f>IF(C9="","",IF(ABS(I9)&gt;AYARLAR!$C$14,"RİSKLİ","NORMAL"))</f>
        <v/>
      </c>
      <c r="K9" s="115">
        <f>IF(G9="","",IFERROR(G9/MOTOR!$B$20,0))</f>
        <v/>
      </c>
      <c r="L9" s="117">
        <f>IF(C9="","",IF(F9="","EKSİK","TAM"))</f>
        <v/>
      </c>
      <c r="M9" s="113" t="inlineStr">
        <is>
          <t>Örnek kalem</t>
        </is>
      </c>
    </row>
    <row r="10" ht="15" customHeight="1" s="64">
      <c r="A10" s="113" t="inlineStr">
        <is>
          <t>Şantiye Şefliği</t>
        </is>
      </c>
      <c r="B10" s="113" t="inlineStr">
        <is>
          <t>işçilik</t>
        </is>
      </c>
      <c r="C10" s="119" t="n">
        <v>4</v>
      </c>
      <c r="D10" s="114" t="n">
        <v>85000</v>
      </c>
      <c r="E10" s="114" t="n">
        <v>82000</v>
      </c>
      <c r="F10" s="113" t="inlineStr">
        <is>
          <t>Yönetmelik</t>
        </is>
      </c>
      <c r="G10" s="120">
        <f>IF(C10="","",C10*D10)</f>
        <v/>
      </c>
      <c r="H10" s="120">
        <f>IF(C10="","",C10*E10)</f>
        <v/>
      </c>
      <c r="I10" s="115">
        <f>IF(C10="","",IFERROR(D10/(E10+(E10=0))-1,0))</f>
        <v/>
      </c>
      <c r="J10" s="117">
        <f>IF(C10="","",IF(ABS(I10)&gt;AYARLAR!$C$14,"RİSKLİ","NORMAL"))</f>
        <v/>
      </c>
      <c r="K10" s="115">
        <f>IF(G10="","",IFERROR(G10/MOTOR!$B$20,0))</f>
        <v/>
      </c>
      <c r="L10" s="117">
        <f>IF(C10="","",IF(F10="","EKSİK","TAM"))</f>
        <v/>
      </c>
      <c r="M10" s="113" t="inlineStr">
        <is>
          <t>Örnek kalem</t>
        </is>
      </c>
    </row>
    <row r="11" ht="15" customHeight="1" s="64">
      <c r="A11" s="113" t="inlineStr">
        <is>
          <t>Kazı İşleri</t>
        </is>
      </c>
      <c r="B11" s="113" t="inlineStr">
        <is>
          <t>m³</t>
        </is>
      </c>
      <c r="C11" s="119" t="n">
        <v>2200</v>
      </c>
      <c r="D11" s="114" t="n">
        <v>88</v>
      </c>
      <c r="E11" s="114" t="n">
        <v>84</v>
      </c>
      <c r="F11" s="113" t="inlineStr">
        <is>
          <t>Analiz</t>
        </is>
      </c>
      <c r="G11" s="120">
        <f>IF(C11="","",C11*D11)</f>
        <v/>
      </c>
      <c r="H11" s="120">
        <f>IF(C11="","",C11*E11)</f>
        <v/>
      </c>
      <c r="I11" s="115">
        <f>IF(C11="","",IFERROR(D11/(E11+(E11=0))-1,0))</f>
        <v/>
      </c>
      <c r="J11" s="117">
        <f>IF(C11="","",IF(ABS(I11)&gt;AYARLAR!$C$14,"RİSKLİ","NORMAL"))</f>
        <v/>
      </c>
      <c r="K11" s="115">
        <f>IF(G11="","",IFERROR(G11/MOTOR!$B$20,0))</f>
        <v/>
      </c>
      <c r="L11" s="117">
        <f>IF(C11="","",IF(F11="","EKSİK","TAM"))</f>
        <v/>
      </c>
      <c r="M11" s="113" t="inlineStr">
        <is>
          <t>Örnek kalem</t>
        </is>
      </c>
    </row>
    <row r="12" ht="15" customHeight="1" s="64">
      <c r="A12" s="113" t="inlineStr">
        <is>
          <t>Betonarme Kalıp</t>
        </is>
      </c>
      <c r="B12" s="113" t="inlineStr">
        <is>
          <t>m²</t>
        </is>
      </c>
      <c r="C12" s="119" t="n">
        <v>3800</v>
      </c>
      <c r="D12" s="114" t="n">
        <v>160</v>
      </c>
      <c r="E12" s="114" t="n">
        <v>152</v>
      </c>
      <c r="F12" s="113" t="inlineStr">
        <is>
          <t>Analiz</t>
        </is>
      </c>
      <c r="G12" s="120">
        <f>IF(C12="","",C12*D12)</f>
        <v/>
      </c>
      <c r="H12" s="120">
        <f>IF(C12="","",C12*E12)</f>
        <v/>
      </c>
      <c r="I12" s="115">
        <f>IF(C12="","",IFERROR(D12/(E12+(E12=0))-1,0))</f>
        <v/>
      </c>
      <c r="J12" s="117">
        <f>IF(C12="","",IF(ABS(I12)&gt;AYARLAR!$C$14,"RİSKLİ","NORMAL"))</f>
        <v/>
      </c>
      <c r="K12" s="115">
        <f>IF(G12="","",IFERROR(G12/MOTOR!$B$20,0))</f>
        <v/>
      </c>
      <c r="L12" s="117">
        <f>IF(C12="","",IF(F12="","EKSİK","TAM"))</f>
        <v/>
      </c>
      <c r="M12" s="113" t="inlineStr">
        <is>
          <t>Örnek kalem</t>
        </is>
      </c>
    </row>
    <row r="13" ht="15" customHeight="1" s="64">
      <c r="A13" s="113" t="inlineStr">
        <is>
          <t>Mermer Döşeme</t>
        </is>
      </c>
      <c r="B13" s="113" t="inlineStr">
        <is>
          <t>m²</t>
        </is>
      </c>
      <c r="C13" s="119" t="n">
        <v>750</v>
      </c>
      <c r="D13" s="114" t="n">
        <v>480</v>
      </c>
      <c r="E13" s="114" t="n">
        <v>460</v>
      </c>
      <c r="F13" s="113" t="inlineStr">
        <is>
          <t>Fatura</t>
        </is>
      </c>
      <c r="G13" s="120">
        <f>IF(C13="","",C13*D13)</f>
        <v/>
      </c>
      <c r="H13" s="120">
        <f>IF(C13="","",C13*E13)</f>
        <v/>
      </c>
      <c r="I13" s="115">
        <f>IF(C13="","",IFERROR(D13/(E13+(E13=0))-1,0))</f>
        <v/>
      </c>
      <c r="J13" s="117">
        <f>IF(C13="","",IF(ABS(I13)&gt;AYARLAR!$C$14,"RİSKLİ","NORMAL"))</f>
        <v/>
      </c>
      <c r="K13" s="115">
        <f>IF(G13="","",IFERROR(G13/MOTOR!$B$20,0))</f>
        <v/>
      </c>
      <c r="L13" s="117">
        <f>IF(C13="","",IF(F13="","EKSİK","TAM"))</f>
        <v/>
      </c>
      <c r="M13" s="113" t="inlineStr">
        <is>
          <t>Örnek kalem</t>
        </is>
      </c>
    </row>
    <row r="14" ht="15" customHeight="1" s="64">
      <c r="A14" s="113" t="inlineStr">
        <is>
          <t>Alçı Sıva</t>
        </is>
      </c>
      <c r="B14" s="113" t="inlineStr">
        <is>
          <t>m²</t>
        </is>
      </c>
      <c r="C14" s="119" t="n">
        <v>5200</v>
      </c>
      <c r="D14" s="114" t="n">
        <v>95</v>
      </c>
      <c r="E14" s="114" t="n">
        <v>90</v>
      </c>
      <c r="F14" s="113" t="inlineStr">
        <is>
          <t>Rayiç</t>
        </is>
      </c>
      <c r="G14" s="120">
        <f>IF(C14="","",C14*D14)</f>
        <v/>
      </c>
      <c r="H14" s="120">
        <f>IF(C14="","",C14*E14)</f>
        <v/>
      </c>
      <c r="I14" s="115">
        <f>IF(C14="","",IFERROR(D14/(E14+(E14=0))-1,0))</f>
        <v/>
      </c>
      <c r="J14" s="117">
        <f>IF(C14="","",IF(ABS(I14)&gt;AYARLAR!$C$14,"RİSKLİ","NORMAL"))</f>
        <v/>
      </c>
      <c r="K14" s="115">
        <f>IF(G14="","",IFERROR(G14/MOTOR!$B$20,0))</f>
        <v/>
      </c>
      <c r="L14" s="117">
        <f>IF(C14="","",IF(F14="","EKSİK","TAM"))</f>
        <v/>
      </c>
      <c r="M14" s="113" t="inlineStr">
        <is>
          <t>Örnek kalem</t>
        </is>
      </c>
    </row>
    <row r="15" ht="15" customHeight="1" s="64">
      <c r="A15" s="113" t="inlineStr">
        <is>
          <t>Asma Tavan</t>
        </is>
      </c>
      <c r="B15" s="113" t="inlineStr">
        <is>
          <t>m²</t>
        </is>
      </c>
      <c r="C15" s="119" t="n">
        <v>1300</v>
      </c>
      <c r="D15" s="114" t="n">
        <v>220</v>
      </c>
      <c r="E15" s="114" t="n">
        <v>215</v>
      </c>
      <c r="F15" s="113" t="inlineStr">
        <is>
          <t>Teklif</t>
        </is>
      </c>
      <c r="G15" s="120">
        <f>IF(C15="","",C15*D15)</f>
        <v/>
      </c>
      <c r="H15" s="120">
        <f>IF(C15="","",C15*E15)</f>
        <v/>
      </c>
      <c r="I15" s="115">
        <f>IF(C15="","",IFERROR(D15/(E15+(E15=0))-1,0))</f>
        <v/>
      </c>
      <c r="J15" s="117">
        <f>IF(C15="","",IF(ABS(I15)&gt;AYARLAR!$C$14,"RİSKLİ","NORMAL"))</f>
        <v/>
      </c>
      <c r="K15" s="115">
        <f>IF(G15="","",IFERROR(G15/MOTOR!$B$20,0))</f>
        <v/>
      </c>
      <c r="L15" s="117">
        <f>IF(C15="","",IF(F15="","EKSİK","TAM"))</f>
        <v/>
      </c>
      <c r="M15" s="113" t="inlineStr">
        <is>
          <t>Örnek kalem</t>
        </is>
      </c>
    </row>
    <row r="16" ht="15" customHeight="1" s="64">
      <c r="A16" s="113" t="inlineStr">
        <is>
          <t>Elektrik Tesisatı</t>
        </is>
      </c>
      <c r="B16" s="113" t="inlineStr">
        <is>
          <t>m²</t>
        </is>
      </c>
      <c r="C16" s="119" t="n">
        <v>6100</v>
      </c>
      <c r="D16" s="114" t="n">
        <v>120</v>
      </c>
      <c r="E16" s="114" t="n">
        <v>115</v>
      </c>
      <c r="F16" s="113" t="inlineStr">
        <is>
          <t>Analiz</t>
        </is>
      </c>
      <c r="G16" s="120">
        <f>IF(C16="","",C16*D16)</f>
        <v/>
      </c>
      <c r="H16" s="120">
        <f>IF(C16="","",C16*E16)</f>
        <v/>
      </c>
      <c r="I16" s="115">
        <f>IF(C16="","",IFERROR(D16/(E16+(E16=0))-1,0))</f>
        <v/>
      </c>
      <c r="J16" s="117">
        <f>IF(C16="","",IF(ABS(I16)&gt;AYARLAR!$C$14,"RİSKLİ","NORMAL"))</f>
        <v/>
      </c>
      <c r="K16" s="115">
        <f>IF(G16="","",IFERROR(G16/MOTOR!$B$20,0))</f>
        <v/>
      </c>
      <c r="L16" s="117">
        <f>IF(C16="","",IF(F16="","EKSİK","TAM"))</f>
        <v/>
      </c>
      <c r="M16" s="113" t="inlineStr">
        <is>
          <t>Örnek kalem</t>
        </is>
      </c>
    </row>
    <row r="17" ht="15" customHeight="1" s="64">
      <c r="A17" s="113" t="inlineStr">
        <is>
          <t>Mekanik Tesisat</t>
        </is>
      </c>
      <c r="B17" s="113" t="inlineStr">
        <is>
          <t>m²</t>
        </is>
      </c>
      <c r="C17" s="119" t="n">
        <v>6100</v>
      </c>
      <c r="D17" s="114" t="n">
        <v>175</v>
      </c>
      <c r="E17" s="114" t="n">
        <v>168</v>
      </c>
      <c r="F17" s="113" t="inlineStr">
        <is>
          <t>Fatura</t>
        </is>
      </c>
      <c r="G17" s="120">
        <f>IF(C17="","",C17*D17)</f>
        <v/>
      </c>
      <c r="H17" s="120">
        <f>IF(C17="","",C17*E17)</f>
        <v/>
      </c>
      <c r="I17" s="115">
        <f>IF(C17="","",IFERROR(D17/(E17+(E17=0))-1,0))</f>
        <v/>
      </c>
      <c r="J17" s="117">
        <f>IF(C17="","",IF(ABS(I17)&gt;AYARLAR!$C$14,"RİSKLİ","NORMAL"))</f>
        <v/>
      </c>
      <c r="K17" s="115">
        <f>IF(G17="","",IFERROR(G17/MOTOR!$B$20,0))</f>
        <v/>
      </c>
      <c r="L17" s="117">
        <f>IF(C17="","",IF(F17="","EKSİK","TAM"))</f>
        <v/>
      </c>
      <c r="M17" s="113" t="inlineStr">
        <is>
          <t>Örnek kalem</t>
        </is>
      </c>
    </row>
    <row r="18" ht="15" customHeight="1" s="64">
      <c r="A18" s="113" t="inlineStr">
        <is>
          <t>Çelik Konstrüksiyon</t>
        </is>
      </c>
      <c r="B18" s="113" t="inlineStr">
        <is>
          <t>ton</t>
        </is>
      </c>
      <c r="C18" s="119" t="n">
        <v>145</v>
      </c>
      <c r="D18" s="114" t="n">
        <v>42000</v>
      </c>
      <c r="E18" s="114" t="n">
        <v>40500</v>
      </c>
      <c r="F18" s="113" t="inlineStr">
        <is>
          <t>Rayiç</t>
        </is>
      </c>
      <c r="G18" s="120">
        <f>IF(C18="","",C18*D18)</f>
        <v/>
      </c>
      <c r="H18" s="120">
        <f>IF(C18="","",C18*E18)</f>
        <v/>
      </c>
      <c r="I18" s="115">
        <f>IF(C18="","",IFERROR(D18/(E18+(E18=0))-1,0))</f>
        <v/>
      </c>
      <c r="J18" s="117">
        <f>IF(C18="","",IF(ABS(I18)&gt;AYARLAR!$C$14,"RİSKLİ","NORMAL"))</f>
        <v/>
      </c>
      <c r="K18" s="115">
        <f>IF(G18="","",IFERROR(G18/MOTOR!$B$20,0))</f>
        <v/>
      </c>
      <c r="L18" s="117">
        <f>IF(C18="","",IF(F18="","EKSİK","TAM"))</f>
        <v/>
      </c>
      <c r="M18" s="113" t="inlineStr">
        <is>
          <t>Örnek kalem</t>
        </is>
      </c>
    </row>
    <row r="19" ht="15" customHeight="1" s="64">
      <c r="A19" s="113" t="inlineStr">
        <is>
          <t>Çatı Kaplama</t>
        </is>
      </c>
      <c r="B19" s="113" t="inlineStr">
        <is>
          <t>m²</t>
        </is>
      </c>
      <c r="C19" s="119" t="n">
        <v>2100</v>
      </c>
      <c r="D19" s="114" t="n">
        <v>130</v>
      </c>
      <c r="E19" s="114" t="n">
        <v>125</v>
      </c>
      <c r="F19" s="113" t="inlineStr">
        <is>
          <t>Teklif</t>
        </is>
      </c>
      <c r="G19" s="120">
        <f>IF(C19="","",C19*D19)</f>
        <v/>
      </c>
      <c r="H19" s="120">
        <f>IF(C19="","",C19*E19)</f>
        <v/>
      </c>
      <c r="I19" s="115">
        <f>IF(C19="","",IFERROR(D19/(E19+(E19=0))-1,0))</f>
        <v/>
      </c>
      <c r="J19" s="117">
        <f>IF(C19="","",IF(ABS(I19)&gt;AYARLAR!$C$14,"RİSKLİ","NORMAL"))</f>
        <v/>
      </c>
      <c r="K19" s="115">
        <f>IF(G19="","",IFERROR(G19/MOTOR!$B$20,0))</f>
        <v/>
      </c>
      <c r="L19" s="117">
        <f>IF(C19="","",IF(F19="","EKSİK","TAM"))</f>
        <v/>
      </c>
      <c r="M19" s="113" t="inlineStr">
        <is>
          <t>Örnek kalem</t>
        </is>
      </c>
    </row>
    <row r="20" ht="15" customHeight="1" s="64">
      <c r="A20" s="118" t="n"/>
      <c r="B20" s="118" t="n"/>
      <c r="C20" s="118" t="n"/>
      <c r="D20" s="118" t="n"/>
      <c r="E20" s="118" t="n"/>
      <c r="F20" s="118" t="n"/>
      <c r="G20" s="120">
        <f>IF(C20="","",C20*D20)</f>
        <v/>
      </c>
      <c r="H20" s="120">
        <f>IF(C20="","",C20*E20)</f>
        <v/>
      </c>
      <c r="I20" s="115">
        <f>IF(C20="","",IFERROR(D20/(E20+(E20=0))-1,0))</f>
        <v/>
      </c>
      <c r="J20" s="117">
        <f>IF(C20="","",IF(ABS(I20)&gt;AYARLAR!$C$14,"RİSKLİ","NORMAL"))</f>
        <v/>
      </c>
      <c r="K20" s="115">
        <f>IF(G20="","",IFERROR(G20/MOTOR!$B$20,0))</f>
        <v/>
      </c>
      <c r="L20" s="117">
        <f>IF(C20="","",IF(F20="","EKSİK","TAM"))</f>
        <v/>
      </c>
      <c r="M20" s="118" t="n"/>
    </row>
    <row r="21" ht="15" customHeight="1" s="64">
      <c r="A21" s="118" t="n"/>
      <c r="B21" s="118" t="n"/>
      <c r="C21" s="118" t="n"/>
      <c r="D21" s="118" t="n"/>
      <c r="E21" s="118" t="n"/>
      <c r="F21" s="118" t="n"/>
      <c r="G21" s="120">
        <f>IF(C21="","",C21*D21)</f>
        <v/>
      </c>
      <c r="H21" s="120">
        <f>IF(C21="","",C21*E21)</f>
        <v/>
      </c>
      <c r="I21" s="115">
        <f>IF(C21="","",IFERROR(D21/(E21+(E21=0))-1,0))</f>
        <v/>
      </c>
      <c r="J21" s="117">
        <f>IF(C21="","",IF(ABS(I21)&gt;AYARLAR!$C$14,"RİSKLİ","NORMAL"))</f>
        <v/>
      </c>
      <c r="K21" s="115">
        <f>IF(G21="","",IFERROR(G21/MOTOR!$B$20,0))</f>
        <v/>
      </c>
      <c r="L21" s="117">
        <f>IF(C21="","",IF(F21="","EKSİK","TAM"))</f>
        <v/>
      </c>
      <c r="M21" s="118" t="n"/>
    </row>
    <row r="22" ht="15" customHeight="1" s="64">
      <c r="A22" s="118" t="n"/>
      <c r="B22" s="118" t="n"/>
      <c r="C22" s="118" t="n"/>
      <c r="D22" s="118" t="n"/>
      <c r="E22" s="118" t="n"/>
      <c r="F22" s="118" t="n"/>
      <c r="G22" s="120">
        <f>IF(C22="","",C22*D22)</f>
        <v/>
      </c>
      <c r="H22" s="120">
        <f>IF(C22="","",C22*E22)</f>
        <v/>
      </c>
      <c r="I22" s="115">
        <f>IF(C22="","",IFERROR(D22/(E22+(E22=0))-1,0))</f>
        <v/>
      </c>
      <c r="J22" s="117">
        <f>IF(C22="","",IF(ABS(I22)&gt;AYARLAR!$C$14,"RİSKLİ","NORMAL"))</f>
        <v/>
      </c>
      <c r="K22" s="115">
        <f>IF(G22="","",IFERROR(G22/MOTOR!$B$20,0))</f>
        <v/>
      </c>
      <c r="L22" s="117">
        <f>IF(C22="","",IF(F22="","EKSİK","TAM"))</f>
        <v/>
      </c>
      <c r="M22" s="118" t="n"/>
    </row>
    <row r="23" ht="15" customHeight="1" s="64">
      <c r="A23" s="118" t="n"/>
      <c r="B23" s="118" t="n"/>
      <c r="C23" s="118" t="n"/>
      <c r="D23" s="118" t="n"/>
      <c r="E23" s="118" t="n"/>
      <c r="F23" s="118" t="n"/>
      <c r="G23" s="120">
        <f>IF(C23="","",C23*D23)</f>
        <v/>
      </c>
      <c r="H23" s="120">
        <f>IF(C23="","",C23*E23)</f>
        <v/>
      </c>
      <c r="I23" s="115">
        <f>IF(C23="","",IFERROR(D23/(E23+(E23=0))-1,0))</f>
        <v/>
      </c>
      <c r="J23" s="117">
        <f>IF(C23="","",IF(ABS(I23)&gt;AYARLAR!$C$14,"RİSKLİ","NORMAL"))</f>
        <v/>
      </c>
      <c r="K23" s="115">
        <f>IF(G23="","",IFERROR(G23/MOTOR!$B$20,0))</f>
        <v/>
      </c>
      <c r="L23" s="117">
        <f>IF(C23="","",IF(F23="","EKSİK","TAM"))</f>
        <v/>
      </c>
      <c r="M23" s="118" t="n"/>
    </row>
    <row r="24" ht="15" customHeight="1" s="64">
      <c r="A24" s="118" t="n"/>
      <c r="B24" s="118" t="n"/>
      <c r="C24" s="118" t="n"/>
      <c r="D24" s="118" t="n"/>
      <c r="E24" s="118" t="n"/>
      <c r="F24" s="118" t="n"/>
      <c r="G24" s="120">
        <f>IF(C24="","",C24*D24)</f>
        <v/>
      </c>
      <c r="H24" s="120">
        <f>IF(C24="","",C24*E24)</f>
        <v/>
      </c>
      <c r="I24" s="115">
        <f>IF(C24="","",IFERROR(D24/(E24+(E24=0))-1,0))</f>
        <v/>
      </c>
      <c r="J24" s="117">
        <f>IF(C24="","",IF(ABS(I24)&gt;AYARLAR!$C$14,"RİSKLİ","NORMAL"))</f>
        <v/>
      </c>
      <c r="K24" s="115">
        <f>IF(G24="","",IFERROR(G24/MOTOR!$B$20,0))</f>
        <v/>
      </c>
      <c r="L24" s="117">
        <f>IF(C24="","",IF(F24="","EKSİK","TAM"))</f>
        <v/>
      </c>
      <c r="M24" s="118" t="n"/>
    </row>
    <row r="25" ht="15" customHeight="1" s="64">
      <c r="A25" s="118" t="n"/>
      <c r="B25" s="118" t="n"/>
      <c r="C25" s="118" t="n"/>
      <c r="D25" s="118" t="n"/>
      <c r="E25" s="118" t="n"/>
      <c r="F25" s="118" t="n"/>
      <c r="G25" s="120">
        <f>IF(C25="","",C25*D25)</f>
        <v/>
      </c>
      <c r="H25" s="120">
        <f>IF(C25="","",C25*E25)</f>
        <v/>
      </c>
      <c r="I25" s="115">
        <f>IF(C25="","",IFERROR(D25/(E25+(E25=0))-1,0))</f>
        <v/>
      </c>
      <c r="J25" s="117">
        <f>IF(C25="","",IF(ABS(I25)&gt;AYARLAR!$C$14,"RİSKLİ","NORMAL"))</f>
        <v/>
      </c>
      <c r="K25" s="115">
        <f>IF(G25="","",IFERROR(G25/MOTOR!$B$20,0))</f>
        <v/>
      </c>
      <c r="L25" s="117">
        <f>IF(C25="","",IF(F25="","EKSİK","TAM"))</f>
        <v/>
      </c>
      <c r="M25" s="118" t="n"/>
    </row>
    <row r="26" ht="15" customHeight="1" s="64">
      <c r="A26" s="118" t="n"/>
      <c r="B26" s="118" t="n"/>
      <c r="C26" s="118" t="n"/>
      <c r="D26" s="118" t="n"/>
      <c r="E26" s="118" t="n"/>
      <c r="F26" s="118" t="n"/>
      <c r="G26" s="120">
        <f>IF(C26="","",C26*D26)</f>
        <v/>
      </c>
      <c r="H26" s="120">
        <f>IF(C26="","",C26*E26)</f>
        <v/>
      </c>
      <c r="I26" s="115">
        <f>IF(C26="","",IFERROR(D26/(E26+(E26=0))-1,0))</f>
        <v/>
      </c>
      <c r="J26" s="117">
        <f>IF(C26="","",IF(ABS(I26)&gt;AYARLAR!$C$14,"RİSKLİ","NORMAL"))</f>
        <v/>
      </c>
      <c r="K26" s="115">
        <f>IF(G26="","",IFERROR(G26/MOTOR!$B$20,0))</f>
        <v/>
      </c>
      <c r="L26" s="117">
        <f>IF(C26="","",IF(F26="","EKSİK","TAM"))</f>
        <v/>
      </c>
      <c r="M26" s="118" t="n"/>
    </row>
    <row r="27" ht="15" customHeight="1" s="64">
      <c r="A27" s="118" t="n"/>
      <c r="B27" s="118" t="n"/>
      <c r="C27" s="118" t="n"/>
      <c r="D27" s="118" t="n"/>
      <c r="E27" s="118" t="n"/>
      <c r="F27" s="118" t="n"/>
      <c r="G27" s="120">
        <f>IF(C27="","",C27*D27)</f>
        <v/>
      </c>
      <c r="H27" s="120">
        <f>IF(C27="","",C27*E27)</f>
        <v/>
      </c>
      <c r="I27" s="115">
        <f>IF(C27="","",IFERROR(D27/(E27+(E27=0))-1,0))</f>
        <v/>
      </c>
      <c r="J27" s="117">
        <f>IF(C27="","",IF(ABS(I27)&gt;AYARLAR!$C$14,"RİSKLİ","NORMAL"))</f>
        <v/>
      </c>
      <c r="K27" s="115">
        <f>IF(G27="","",IFERROR(G27/MOTOR!$B$20,0))</f>
        <v/>
      </c>
      <c r="L27" s="117">
        <f>IF(C27="","",IF(F27="","EKSİK","TAM"))</f>
        <v/>
      </c>
      <c r="M27" s="118" t="n"/>
    </row>
    <row r="28" ht="15" customHeight="1" s="64">
      <c r="A28" s="118" t="n"/>
      <c r="B28" s="118" t="n"/>
      <c r="C28" s="118" t="n"/>
      <c r="D28" s="118" t="n"/>
      <c r="E28" s="118" t="n"/>
      <c r="F28" s="118" t="n"/>
      <c r="G28" s="120">
        <f>IF(C28="","",C28*D28)</f>
        <v/>
      </c>
      <c r="H28" s="120">
        <f>IF(C28="","",C28*E28)</f>
        <v/>
      </c>
      <c r="I28" s="115">
        <f>IF(C28="","",IFERROR(D28/(E28+(E28=0))-1,0))</f>
        <v/>
      </c>
      <c r="J28" s="117">
        <f>IF(C28="","",IF(ABS(I28)&gt;AYARLAR!$C$14,"RİSKLİ","NORMAL"))</f>
        <v/>
      </c>
      <c r="K28" s="115">
        <f>IF(G28="","",IFERROR(G28/MOTOR!$B$20,0))</f>
        <v/>
      </c>
      <c r="L28" s="117">
        <f>IF(C28="","",IF(F28="","EKSİK","TAM"))</f>
        <v/>
      </c>
      <c r="M28" s="118" t="n"/>
    </row>
    <row r="29" ht="15" customHeight="1" s="64">
      <c r="A29" s="118" t="n"/>
      <c r="B29" s="118" t="n"/>
      <c r="C29" s="118" t="n"/>
      <c r="D29" s="118" t="n"/>
      <c r="E29" s="118" t="n"/>
      <c r="F29" s="118" t="n"/>
      <c r="G29" s="120">
        <f>IF(C29="","",C29*D29)</f>
        <v/>
      </c>
      <c r="H29" s="120">
        <f>IF(C29="","",C29*E29)</f>
        <v/>
      </c>
      <c r="I29" s="115">
        <f>IF(C29="","",IFERROR(D29/(E29+(E29=0))-1,0))</f>
        <v/>
      </c>
      <c r="J29" s="117">
        <f>IF(C29="","",IF(ABS(I29)&gt;AYARLAR!$C$14,"RİSKLİ","NORMAL"))</f>
        <v/>
      </c>
      <c r="K29" s="115">
        <f>IF(G29="","",IFERROR(G29/MOTOR!$B$20,0))</f>
        <v/>
      </c>
      <c r="L29" s="117">
        <f>IF(C29="","",IF(F29="","EKSİK","TAM"))</f>
        <v/>
      </c>
      <c r="M29" s="118" t="n"/>
    </row>
    <row r="30" ht="15" customHeight="1" s="64">
      <c r="A30" s="118" t="n"/>
      <c r="B30" s="118" t="n"/>
      <c r="C30" s="118" t="n"/>
      <c r="D30" s="118" t="n"/>
      <c r="E30" s="118" t="n"/>
      <c r="F30" s="118" t="n"/>
      <c r="G30" s="120">
        <f>IF(C30="","",C30*D30)</f>
        <v/>
      </c>
      <c r="H30" s="120">
        <f>IF(C30="","",C30*E30)</f>
        <v/>
      </c>
      <c r="I30" s="115">
        <f>IF(C30="","",IFERROR(D30/(E30+(E30=0))-1,0))</f>
        <v/>
      </c>
      <c r="J30" s="117">
        <f>IF(C30="","",IF(ABS(I30)&gt;AYARLAR!$C$14,"RİSKLİ","NORMAL"))</f>
        <v/>
      </c>
      <c r="K30" s="115">
        <f>IF(G30="","",IFERROR(G30/MOTOR!$B$20,0))</f>
        <v/>
      </c>
      <c r="L30" s="117">
        <f>IF(C30="","",IF(F30="","EKSİK","TAM"))</f>
        <v/>
      </c>
      <c r="M30" s="118" t="n"/>
    </row>
    <row r="31" ht="15" customHeight="1" s="64">
      <c r="A31" s="118" t="n"/>
      <c r="B31" s="118" t="n"/>
      <c r="C31" s="118" t="n"/>
      <c r="D31" s="118" t="n"/>
      <c r="E31" s="118" t="n"/>
      <c r="F31" s="118" t="n"/>
      <c r="G31" s="120">
        <f>IF(C31="","",C31*D31)</f>
        <v/>
      </c>
      <c r="H31" s="120">
        <f>IF(C31="","",C31*E31)</f>
        <v/>
      </c>
      <c r="I31" s="115">
        <f>IF(C31="","",IFERROR(D31/(E31+(E31=0))-1,0))</f>
        <v/>
      </c>
      <c r="J31" s="117">
        <f>IF(C31="","",IF(ABS(I31)&gt;AYARLAR!$C$14,"RİSKLİ","NORMAL"))</f>
        <v/>
      </c>
      <c r="K31" s="115">
        <f>IF(G31="","",IFERROR(G31/MOTOR!$B$20,0))</f>
        <v/>
      </c>
      <c r="L31" s="117">
        <f>IF(C31="","",IF(F31="","EKSİK","TAM"))</f>
        <v/>
      </c>
      <c r="M31" s="118" t="n"/>
    </row>
    <row r="32" ht="15" customHeight="1" s="64">
      <c r="A32" s="118" t="n"/>
      <c r="B32" s="118" t="n"/>
      <c r="C32" s="118" t="n"/>
      <c r="D32" s="118" t="n"/>
      <c r="E32" s="118" t="n"/>
      <c r="F32" s="118" t="n"/>
      <c r="G32" s="120">
        <f>IF(C32="","",C32*D32)</f>
        <v/>
      </c>
      <c r="H32" s="120">
        <f>IF(C32="","",C32*E32)</f>
        <v/>
      </c>
      <c r="I32" s="115">
        <f>IF(C32="","",IFERROR(D32/(E32+(E32=0))-1,0))</f>
        <v/>
      </c>
      <c r="J32" s="117">
        <f>IF(C32="","",IF(ABS(I32)&gt;AYARLAR!$C$14,"RİSKLİ","NORMAL"))</f>
        <v/>
      </c>
      <c r="K32" s="115">
        <f>IF(G32="","",IFERROR(G32/MOTOR!$B$20,0))</f>
        <v/>
      </c>
      <c r="L32" s="117">
        <f>IF(C32="","",IF(F32="","EKSİK","TAM"))</f>
        <v/>
      </c>
      <c r="M32" s="118" t="n"/>
    </row>
    <row r="33" ht="15" customHeight="1" s="64">
      <c r="A33" s="118" t="n"/>
      <c r="B33" s="118" t="n"/>
      <c r="C33" s="118" t="n"/>
      <c r="D33" s="118" t="n"/>
      <c r="E33" s="118" t="n"/>
      <c r="F33" s="118" t="n"/>
      <c r="G33" s="120">
        <f>IF(C33="","",C33*D33)</f>
        <v/>
      </c>
      <c r="H33" s="120">
        <f>IF(C33="","",C33*E33)</f>
        <v/>
      </c>
      <c r="I33" s="115">
        <f>IF(C33="","",IFERROR(D33/(E33+(E33=0))-1,0))</f>
        <v/>
      </c>
      <c r="J33" s="117">
        <f>IF(C33="","",IF(ABS(I33)&gt;AYARLAR!$C$14,"RİSKLİ","NORMAL"))</f>
        <v/>
      </c>
      <c r="K33" s="115">
        <f>IF(G33="","",IFERROR(G33/MOTOR!$B$20,0))</f>
        <v/>
      </c>
      <c r="L33" s="117">
        <f>IF(C33="","",IF(F33="","EKSİK","TAM"))</f>
        <v/>
      </c>
      <c r="M33" s="118" t="n"/>
    </row>
    <row r="34" ht="15" customHeight="1" s="64">
      <c r="A34" s="118" t="n"/>
      <c r="B34" s="118" t="n"/>
      <c r="C34" s="118" t="n"/>
      <c r="D34" s="118" t="n"/>
      <c r="E34" s="118" t="n"/>
      <c r="F34" s="118" t="n"/>
      <c r="G34" s="120">
        <f>IF(C34="","",C34*D34)</f>
        <v/>
      </c>
      <c r="H34" s="120">
        <f>IF(C34="","",C34*E34)</f>
        <v/>
      </c>
      <c r="I34" s="115">
        <f>IF(C34="","",IFERROR(D34/(E34+(E34=0))-1,0))</f>
        <v/>
      </c>
      <c r="J34" s="117">
        <f>IF(C34="","",IF(ABS(I34)&gt;AYARLAR!$C$14,"RİSKLİ","NORMAL"))</f>
        <v/>
      </c>
      <c r="K34" s="115">
        <f>IF(G34="","",IFERROR(G34/MOTOR!$B$20,0))</f>
        <v/>
      </c>
      <c r="L34" s="117">
        <f>IF(C34="","",IF(F34="","EKSİK","TAM"))</f>
        <v/>
      </c>
      <c r="M34" s="118" t="n"/>
    </row>
    <row r="35" ht="15" customHeight="1" s="64">
      <c r="A35" s="118" t="n"/>
      <c r="B35" s="118" t="n"/>
      <c r="C35" s="118" t="n"/>
      <c r="D35" s="118" t="n"/>
      <c r="E35" s="118" t="n"/>
      <c r="F35" s="118" t="n"/>
      <c r="G35" s="120">
        <f>IF(C35="","",C35*D35)</f>
        <v/>
      </c>
      <c r="H35" s="120">
        <f>IF(C35="","",C35*E35)</f>
        <v/>
      </c>
      <c r="I35" s="115">
        <f>IF(C35="","",IFERROR(D35/(E35+(E35=0))-1,0))</f>
        <v/>
      </c>
      <c r="J35" s="117">
        <f>IF(C35="","",IF(ABS(I35)&gt;AYARLAR!$C$14,"RİSKLİ","NORMAL"))</f>
        <v/>
      </c>
      <c r="K35" s="115">
        <f>IF(G35="","",IFERROR(G35/MOTOR!$B$20,0))</f>
        <v/>
      </c>
      <c r="L35" s="117">
        <f>IF(C35="","",IF(F35="","EKSİK","TAM"))</f>
        <v/>
      </c>
      <c r="M35" s="118" t="n"/>
    </row>
    <row r="36" ht="15" customHeight="1" s="64">
      <c r="A36" s="118" t="n"/>
      <c r="B36" s="118" t="n"/>
      <c r="C36" s="118" t="n"/>
      <c r="D36" s="118" t="n"/>
      <c r="E36" s="118" t="n"/>
      <c r="F36" s="118" t="n"/>
      <c r="G36" s="120">
        <f>IF(C36="","",C36*D36)</f>
        <v/>
      </c>
      <c r="H36" s="120">
        <f>IF(C36="","",C36*E36)</f>
        <v/>
      </c>
      <c r="I36" s="115">
        <f>IF(C36="","",IFERROR(D36/(E36+(E36=0))-1,0))</f>
        <v/>
      </c>
      <c r="J36" s="117">
        <f>IF(C36="","",IF(ABS(I36)&gt;AYARLAR!$C$14,"RİSKLİ","NORMAL"))</f>
        <v/>
      </c>
      <c r="K36" s="115">
        <f>IF(G36="","",IFERROR(G36/MOTOR!$B$20,0))</f>
        <v/>
      </c>
      <c r="L36" s="117">
        <f>IF(C36="","",IF(F36="","EKSİK","TAM"))</f>
        <v/>
      </c>
      <c r="M36" s="118" t="n"/>
    </row>
    <row r="37" ht="15" customHeight="1" s="64">
      <c r="A37" s="118" t="n"/>
      <c r="B37" s="118" t="n"/>
      <c r="C37" s="118" t="n"/>
      <c r="D37" s="118" t="n"/>
      <c r="E37" s="118" t="n"/>
      <c r="F37" s="118" t="n"/>
      <c r="G37" s="120">
        <f>IF(C37="","",C37*D37)</f>
        <v/>
      </c>
      <c r="H37" s="120">
        <f>IF(C37="","",C37*E37)</f>
        <v/>
      </c>
      <c r="I37" s="115">
        <f>IF(C37="","",IFERROR(D37/(E37+(E37=0))-1,0))</f>
        <v/>
      </c>
      <c r="J37" s="117">
        <f>IF(C37="","",IF(ABS(I37)&gt;AYARLAR!$C$14,"RİSKLİ","NORMAL"))</f>
        <v/>
      </c>
      <c r="K37" s="115">
        <f>IF(G37="","",IFERROR(G37/MOTOR!$B$20,0))</f>
        <v/>
      </c>
      <c r="L37" s="117">
        <f>IF(C37="","",IF(F37="","EKSİK","TAM"))</f>
        <v/>
      </c>
      <c r="M37" s="118" t="n"/>
    </row>
    <row r="38" ht="15" customHeight="1" s="64">
      <c r="A38" s="118" t="n"/>
      <c r="B38" s="118" t="n"/>
      <c r="C38" s="118" t="n"/>
      <c r="D38" s="118" t="n"/>
      <c r="E38" s="118" t="n"/>
      <c r="F38" s="118" t="n"/>
      <c r="G38" s="120">
        <f>IF(C38="","",C38*D38)</f>
        <v/>
      </c>
      <c r="H38" s="120">
        <f>IF(C38="","",C38*E38)</f>
        <v/>
      </c>
      <c r="I38" s="115">
        <f>IF(C38="","",IFERROR(D38/(E38+(E38=0))-1,0))</f>
        <v/>
      </c>
      <c r="J38" s="117">
        <f>IF(C38="","",IF(ABS(I38)&gt;AYARLAR!$C$14,"RİSKLİ","NORMAL"))</f>
        <v/>
      </c>
      <c r="K38" s="115">
        <f>IF(G38="","",IFERROR(G38/MOTOR!$B$20,0))</f>
        <v/>
      </c>
      <c r="L38" s="117">
        <f>IF(C38="","",IF(F38="","EKSİK","TAM"))</f>
        <v/>
      </c>
      <c r="M38" s="118" t="n"/>
    </row>
    <row r="39" ht="15" customHeight="1" s="64">
      <c r="A39" s="118" t="n"/>
      <c r="B39" s="118" t="n"/>
      <c r="C39" s="118" t="n"/>
      <c r="D39" s="118" t="n"/>
      <c r="E39" s="118" t="n"/>
      <c r="F39" s="118" t="n"/>
      <c r="G39" s="120">
        <f>IF(C39="","",C39*D39)</f>
        <v/>
      </c>
      <c r="H39" s="120">
        <f>IF(C39="","",C39*E39)</f>
        <v/>
      </c>
      <c r="I39" s="115">
        <f>IF(C39="","",IFERROR(D39/(E39+(E39=0))-1,0))</f>
        <v/>
      </c>
      <c r="J39" s="117">
        <f>IF(C39="","",IF(ABS(I39)&gt;AYARLAR!$C$14,"RİSKLİ","NORMAL"))</f>
        <v/>
      </c>
      <c r="K39" s="115">
        <f>IF(G39="","",IFERROR(G39/MOTOR!$B$20,0))</f>
        <v/>
      </c>
      <c r="L39" s="117">
        <f>IF(C39="","",IF(F39="","EKSİK","TAM"))</f>
        <v/>
      </c>
      <c r="M39" s="118" t="n"/>
    </row>
    <row r="40" ht="15" customHeight="1" s="64">
      <c r="A40" s="118" t="n"/>
      <c r="B40" s="118" t="n"/>
      <c r="C40" s="118" t="n"/>
      <c r="D40" s="118" t="n"/>
      <c r="E40" s="118" t="n"/>
      <c r="F40" s="118" t="n"/>
      <c r="G40" s="120">
        <f>IF(C40="","",C40*D40)</f>
        <v/>
      </c>
      <c r="H40" s="120">
        <f>IF(C40="","",C40*E40)</f>
        <v/>
      </c>
      <c r="I40" s="115">
        <f>IF(C40="","",IFERROR(D40/(E40+(E40=0))-1,0))</f>
        <v/>
      </c>
      <c r="J40" s="117">
        <f>IF(C40="","",IF(ABS(I40)&gt;AYARLAR!$C$14,"RİSKLİ","NORMAL"))</f>
        <v/>
      </c>
      <c r="K40" s="115">
        <f>IF(G40="","",IFERROR(G40/MOTOR!$B$20,0))</f>
        <v/>
      </c>
      <c r="L40" s="117">
        <f>IF(C40="","",IF(F40="","EKSİK","TAM"))</f>
        <v/>
      </c>
      <c r="M40" s="118" t="n"/>
    </row>
    <row r="41" ht="15" customHeight="1" s="64">
      <c r="A41" s="118" t="n"/>
      <c r="B41" s="118" t="n"/>
      <c r="C41" s="118" t="n"/>
      <c r="D41" s="118" t="n"/>
      <c r="E41" s="118" t="n"/>
      <c r="F41" s="118" t="n"/>
      <c r="G41" s="120">
        <f>IF(C41="","",C41*D41)</f>
        <v/>
      </c>
      <c r="H41" s="120">
        <f>IF(C41="","",C41*E41)</f>
        <v/>
      </c>
      <c r="I41" s="115">
        <f>IF(C41="","",IFERROR(D41/(E41+(E41=0))-1,0))</f>
        <v/>
      </c>
      <c r="J41" s="117">
        <f>IF(C41="","",IF(ABS(I41)&gt;AYARLAR!$C$14,"RİSKLİ","NORMAL"))</f>
        <v/>
      </c>
      <c r="K41" s="115">
        <f>IF(G41="","",IFERROR(G41/MOTOR!$B$20,0))</f>
        <v/>
      </c>
      <c r="L41" s="117">
        <f>IF(C41="","",IF(F41="","EKSİK","TAM"))</f>
        <v/>
      </c>
      <c r="M41" s="118" t="n"/>
    </row>
    <row r="42" ht="15" customHeight="1" s="64">
      <c r="A42" s="118" t="n"/>
      <c r="B42" s="118" t="n"/>
      <c r="C42" s="118" t="n"/>
      <c r="D42" s="118" t="n"/>
      <c r="E42" s="118" t="n"/>
      <c r="F42" s="118" t="n"/>
      <c r="G42" s="120">
        <f>IF(C42="","",C42*D42)</f>
        <v/>
      </c>
      <c r="H42" s="120">
        <f>IF(C42="","",C42*E42)</f>
        <v/>
      </c>
      <c r="I42" s="115">
        <f>IF(C42="","",IFERROR(D42/(E42+(E42=0))-1,0))</f>
        <v/>
      </c>
      <c r="J42" s="117">
        <f>IF(C42="","",IF(ABS(I42)&gt;AYARLAR!$C$14,"RİSKLİ","NORMAL"))</f>
        <v/>
      </c>
      <c r="K42" s="115">
        <f>IF(G42="","",IFERROR(G42/MOTOR!$B$20,0))</f>
        <v/>
      </c>
      <c r="L42" s="117">
        <f>IF(C42="","",IF(F42="","EKSİK","TAM"))</f>
        <v/>
      </c>
      <c r="M42" s="118" t="n"/>
    </row>
    <row r="43" ht="15" customHeight="1" s="64">
      <c r="A43" s="118" t="n"/>
      <c r="B43" s="118" t="n"/>
      <c r="C43" s="118" t="n"/>
      <c r="D43" s="118" t="n"/>
      <c r="E43" s="118" t="n"/>
      <c r="F43" s="118" t="n"/>
      <c r="G43" s="120">
        <f>IF(C43="","",C43*D43)</f>
        <v/>
      </c>
      <c r="H43" s="120">
        <f>IF(C43="","",C43*E43)</f>
        <v/>
      </c>
      <c r="I43" s="115">
        <f>IF(C43="","",IFERROR(D43/(E43+(E43=0))-1,0))</f>
        <v/>
      </c>
      <c r="J43" s="117">
        <f>IF(C43="","",IF(ABS(I43)&gt;AYARLAR!$C$14,"RİSKLİ","NORMAL"))</f>
        <v/>
      </c>
      <c r="K43" s="115">
        <f>IF(G43="","",IFERROR(G43/MOTOR!$B$20,0))</f>
        <v/>
      </c>
      <c r="L43" s="117">
        <f>IF(C43="","",IF(F43="","EKSİK","TAM"))</f>
        <v/>
      </c>
      <c r="M43" s="118" t="n"/>
    </row>
    <row r="44" ht="15" customHeight="1" s="64">
      <c r="A44" s="118" t="n"/>
      <c r="B44" s="118" t="n"/>
      <c r="C44" s="118" t="n"/>
      <c r="D44" s="118" t="n"/>
      <c r="E44" s="118" t="n"/>
      <c r="F44" s="118" t="n"/>
      <c r="G44" s="120">
        <f>IF(C44="","",C44*D44)</f>
        <v/>
      </c>
      <c r="H44" s="120">
        <f>IF(C44="","",C44*E44)</f>
        <v/>
      </c>
      <c r="I44" s="115">
        <f>IF(C44="","",IFERROR(D44/(E44+(E44=0))-1,0))</f>
        <v/>
      </c>
      <c r="J44" s="117">
        <f>IF(C44="","",IF(ABS(I44)&gt;AYARLAR!$C$14,"RİSKLİ","NORMAL"))</f>
        <v/>
      </c>
      <c r="K44" s="115">
        <f>IF(G44="","",IFERROR(G44/MOTOR!$B$20,0))</f>
        <v/>
      </c>
      <c r="L44" s="117">
        <f>IF(C44="","",IF(F44="","EKSİK","TAM"))</f>
        <v/>
      </c>
      <c r="M44" s="118" t="n"/>
    </row>
    <row r="45" ht="15" customHeight="1" s="64">
      <c r="A45" s="118" t="n"/>
      <c r="B45" s="118" t="n"/>
      <c r="C45" s="118" t="n"/>
      <c r="D45" s="118" t="n"/>
      <c r="E45" s="118" t="n"/>
      <c r="F45" s="118" t="n"/>
      <c r="G45" s="120">
        <f>IF(C45="","",C45*D45)</f>
        <v/>
      </c>
      <c r="H45" s="120">
        <f>IF(C45="","",C45*E45)</f>
        <v/>
      </c>
      <c r="I45" s="115">
        <f>IF(C45="","",IFERROR(D45/(E45+(E45=0))-1,0))</f>
        <v/>
      </c>
      <c r="J45" s="117">
        <f>IF(C45="","",IF(ABS(I45)&gt;AYARLAR!$C$14,"RİSKLİ","NORMAL"))</f>
        <v/>
      </c>
      <c r="K45" s="115">
        <f>IF(G45="","",IFERROR(G45/MOTOR!$B$20,0))</f>
        <v/>
      </c>
      <c r="L45" s="117">
        <f>IF(C45="","",IF(F45="","EKSİK","TAM"))</f>
        <v/>
      </c>
      <c r="M45" s="118" t="n"/>
    </row>
    <row r="46" ht="15" customHeight="1" s="64">
      <c r="A46" s="118" t="n"/>
      <c r="B46" s="118" t="n"/>
      <c r="C46" s="118" t="n"/>
      <c r="D46" s="118" t="n"/>
      <c r="E46" s="118" t="n"/>
      <c r="F46" s="118" t="n"/>
      <c r="G46" s="120">
        <f>IF(C46="","",C46*D46)</f>
        <v/>
      </c>
      <c r="H46" s="120">
        <f>IF(C46="","",C46*E46)</f>
        <v/>
      </c>
      <c r="I46" s="115">
        <f>IF(C46="","",IFERROR(D46/(E46+(E46=0))-1,0))</f>
        <v/>
      </c>
      <c r="J46" s="117">
        <f>IF(C46="","",IF(ABS(I46)&gt;AYARLAR!$C$14,"RİSKLİ","NORMAL"))</f>
        <v/>
      </c>
      <c r="K46" s="115">
        <f>IF(G46="","",IFERROR(G46/MOTOR!$B$20,0))</f>
        <v/>
      </c>
      <c r="L46" s="117">
        <f>IF(C46="","",IF(F46="","EKSİK","TAM"))</f>
        <v/>
      </c>
      <c r="M46" s="118" t="n"/>
    </row>
    <row r="47" ht="15" customHeight="1" s="64">
      <c r="A47" s="118" t="n"/>
      <c r="B47" s="118" t="n"/>
      <c r="C47" s="118" t="n"/>
      <c r="D47" s="118" t="n"/>
      <c r="E47" s="118" t="n"/>
      <c r="F47" s="118" t="n"/>
      <c r="G47" s="120">
        <f>IF(C47="","",C47*D47)</f>
        <v/>
      </c>
      <c r="H47" s="120">
        <f>IF(C47="","",C47*E47)</f>
        <v/>
      </c>
      <c r="I47" s="115">
        <f>IF(C47="","",IFERROR(D47/(E47+(E47=0))-1,0))</f>
        <v/>
      </c>
      <c r="J47" s="117">
        <f>IF(C47="","",IF(ABS(I47)&gt;AYARLAR!$C$14,"RİSKLİ","NORMAL"))</f>
        <v/>
      </c>
      <c r="K47" s="115">
        <f>IF(G47="","",IFERROR(G47/MOTOR!$B$20,0))</f>
        <v/>
      </c>
      <c r="L47" s="117">
        <f>IF(C47="","",IF(F47="","EKSİK","TAM"))</f>
        <v/>
      </c>
      <c r="M47" s="118" t="n"/>
    </row>
    <row r="48" ht="15" customHeight="1" s="64">
      <c r="A48" s="118" t="n"/>
      <c r="B48" s="118" t="n"/>
      <c r="C48" s="118" t="n"/>
      <c r="D48" s="118" t="n"/>
      <c r="E48" s="118" t="n"/>
      <c r="F48" s="118" t="n"/>
      <c r="G48" s="120">
        <f>IF(C48="","",C48*D48)</f>
        <v/>
      </c>
      <c r="H48" s="120">
        <f>IF(C48="","",C48*E48)</f>
        <v/>
      </c>
      <c r="I48" s="115">
        <f>IF(C48="","",IFERROR(D48/(E48+(E48=0))-1,0))</f>
        <v/>
      </c>
      <c r="J48" s="117">
        <f>IF(C48="","",IF(ABS(I48)&gt;AYARLAR!$C$14,"RİSKLİ","NORMAL"))</f>
        <v/>
      </c>
      <c r="K48" s="115">
        <f>IF(G48="","",IFERROR(G48/MOTOR!$B$20,0))</f>
        <v/>
      </c>
      <c r="L48" s="117">
        <f>IF(C48="","",IF(F48="","EKSİK","TAM"))</f>
        <v/>
      </c>
      <c r="M48" s="118" t="n"/>
    </row>
    <row r="49" ht="15" customHeight="1" s="64">
      <c r="A49" s="118" t="n"/>
      <c r="B49" s="118" t="n"/>
      <c r="C49" s="118" t="n"/>
      <c r="D49" s="118" t="n"/>
      <c r="E49" s="118" t="n"/>
      <c r="F49" s="118" t="n"/>
      <c r="G49" s="120">
        <f>IF(C49="","",C49*D49)</f>
        <v/>
      </c>
      <c r="H49" s="120">
        <f>IF(C49="","",C49*E49)</f>
        <v/>
      </c>
      <c r="I49" s="115">
        <f>IF(C49="","",IFERROR(D49/(E49+(E49=0))-1,0))</f>
        <v/>
      </c>
      <c r="J49" s="117">
        <f>IF(C49="","",IF(ABS(I49)&gt;AYARLAR!$C$14,"RİSKLİ","NORMAL"))</f>
        <v/>
      </c>
      <c r="K49" s="115">
        <f>IF(G49="","",IFERROR(G49/MOTOR!$B$20,0))</f>
        <v/>
      </c>
      <c r="L49" s="117">
        <f>IF(C49="","",IF(F49="","EKSİK","TAM"))</f>
        <v/>
      </c>
      <c r="M49" s="118" t="n"/>
    </row>
    <row r="50" ht="15" customHeight="1" s="64">
      <c r="A50" s="118" t="n"/>
      <c r="B50" s="118" t="n"/>
      <c r="C50" s="118" t="n"/>
      <c r="D50" s="118" t="n"/>
      <c r="E50" s="118" t="n"/>
      <c r="F50" s="118" t="n"/>
      <c r="G50" s="120">
        <f>IF(C50="","",C50*D50)</f>
        <v/>
      </c>
      <c r="H50" s="120">
        <f>IF(C50="","",C50*E50)</f>
        <v/>
      </c>
      <c r="I50" s="115">
        <f>IF(C50="","",IFERROR(D50/(E50+(E50=0))-1,0))</f>
        <v/>
      </c>
      <c r="J50" s="117">
        <f>IF(C50="","",IF(ABS(I50)&gt;AYARLAR!$C$14,"RİSKLİ","NORMAL"))</f>
        <v/>
      </c>
      <c r="K50" s="115">
        <f>IF(G50="","",IFERROR(G50/MOTOR!$B$20,0))</f>
        <v/>
      </c>
      <c r="L50" s="117">
        <f>IF(C50="","",IF(F50="","EKSİK","TAM"))</f>
        <v/>
      </c>
      <c r="M50" s="118" t="n"/>
    </row>
    <row r="51" ht="15" customHeight="1" s="64">
      <c r="A51" s="118" t="n"/>
      <c r="B51" s="118" t="n"/>
      <c r="C51" s="118" t="n"/>
      <c r="D51" s="118" t="n"/>
      <c r="E51" s="118" t="n"/>
      <c r="F51" s="118" t="n"/>
      <c r="G51" s="120">
        <f>IF(C51="","",C51*D51)</f>
        <v/>
      </c>
      <c r="H51" s="120">
        <f>IF(C51="","",C51*E51)</f>
        <v/>
      </c>
      <c r="I51" s="115">
        <f>IF(C51="","",IFERROR(D51/(E51+(E51=0))-1,0))</f>
        <v/>
      </c>
      <c r="J51" s="117">
        <f>IF(C51="","",IF(ABS(I51)&gt;AYARLAR!$C$14,"RİSKLİ","NORMAL"))</f>
        <v/>
      </c>
      <c r="K51" s="115">
        <f>IF(G51="","",IFERROR(G51/MOTOR!$B$20,0))</f>
        <v/>
      </c>
      <c r="L51" s="117">
        <f>IF(C51="","",IF(F51="","EKSİK","TAM"))</f>
        <v/>
      </c>
      <c r="M51" s="118" t="n"/>
    </row>
    <row r="52" ht="15" customHeight="1" s="64">
      <c r="A52" s="118" t="n"/>
      <c r="B52" s="118" t="n"/>
      <c r="C52" s="118" t="n"/>
      <c r="D52" s="118" t="n"/>
      <c r="E52" s="118" t="n"/>
      <c r="F52" s="118" t="n"/>
      <c r="G52" s="120">
        <f>IF(C52="","",C52*D52)</f>
        <v/>
      </c>
      <c r="H52" s="120">
        <f>IF(C52="","",C52*E52)</f>
        <v/>
      </c>
      <c r="I52" s="115">
        <f>IF(C52="","",IFERROR(D52/(E52+(E52=0))-1,0))</f>
        <v/>
      </c>
      <c r="J52" s="117">
        <f>IF(C52="","",IF(ABS(I52)&gt;AYARLAR!$C$14,"RİSKLİ","NORMAL"))</f>
        <v/>
      </c>
      <c r="K52" s="115">
        <f>IF(G52="","",IFERROR(G52/MOTOR!$B$20,0))</f>
        <v/>
      </c>
      <c r="L52" s="117">
        <f>IF(C52="","",IF(F52="","EKSİK","TAM"))</f>
        <v/>
      </c>
      <c r="M52" s="118" t="n"/>
    </row>
    <row r="53" ht="15" customHeight="1" s="64">
      <c r="A53" s="118" t="n"/>
      <c r="B53" s="118" t="n"/>
      <c r="C53" s="118" t="n"/>
      <c r="D53" s="118" t="n"/>
      <c r="E53" s="118" t="n"/>
      <c r="F53" s="118" t="n"/>
      <c r="G53" s="120">
        <f>IF(C53="","",C53*D53)</f>
        <v/>
      </c>
      <c r="H53" s="120">
        <f>IF(C53="","",C53*E53)</f>
        <v/>
      </c>
      <c r="I53" s="115">
        <f>IF(C53="","",IFERROR(D53/(E53+(E53=0))-1,0))</f>
        <v/>
      </c>
      <c r="J53" s="117">
        <f>IF(C53="","",IF(ABS(I53)&gt;AYARLAR!$C$14,"RİSKLİ","NORMAL"))</f>
        <v/>
      </c>
      <c r="K53" s="115">
        <f>IF(G53="","",IFERROR(G53/MOTOR!$B$20,0))</f>
        <v/>
      </c>
      <c r="L53" s="117">
        <f>IF(C53="","",IF(F53="","EKSİK","TAM"))</f>
        <v/>
      </c>
      <c r="M53" s="118" t="n"/>
    </row>
    <row r="54" ht="15" customHeight="1" s="64">
      <c r="A54" s="118" t="n"/>
      <c r="B54" s="118" t="n"/>
      <c r="C54" s="118" t="n"/>
      <c r="D54" s="118" t="n"/>
      <c r="E54" s="118" t="n"/>
      <c r="F54" s="118" t="n"/>
      <c r="G54" s="120">
        <f>IF(C54="","",C54*D54)</f>
        <v/>
      </c>
      <c r="H54" s="120">
        <f>IF(C54="","",C54*E54)</f>
        <v/>
      </c>
      <c r="I54" s="115">
        <f>IF(C54="","",IFERROR(D54/(E54+(E54=0))-1,0))</f>
        <v/>
      </c>
      <c r="J54" s="117">
        <f>IF(C54="","",IF(ABS(I54)&gt;AYARLAR!$C$14,"RİSKLİ","NORMAL"))</f>
        <v/>
      </c>
      <c r="K54" s="115">
        <f>IF(G54="","",IFERROR(G54/MOTOR!$B$20,0))</f>
        <v/>
      </c>
      <c r="L54" s="117">
        <f>IF(C54="","",IF(F54="","EKSİK","TAM"))</f>
        <v/>
      </c>
      <c r="M54" s="118" t="n"/>
    </row>
    <row r="55" ht="15" customHeight="1" s="64">
      <c r="A55" s="118" t="n"/>
      <c r="B55" s="118" t="n"/>
      <c r="C55" s="118" t="n"/>
      <c r="D55" s="118" t="n"/>
      <c r="E55" s="118" t="n"/>
      <c r="F55" s="118" t="n"/>
      <c r="G55" s="120">
        <f>IF(C55="","",C55*D55)</f>
        <v/>
      </c>
      <c r="H55" s="120">
        <f>IF(C55="","",C55*E55)</f>
        <v/>
      </c>
      <c r="I55" s="115">
        <f>IF(C55="","",IFERROR(D55/(E55+(E55=0))-1,0))</f>
        <v/>
      </c>
      <c r="J55" s="117">
        <f>IF(C55="","",IF(ABS(I55)&gt;AYARLAR!$C$14,"RİSKLİ","NORMAL"))</f>
        <v/>
      </c>
      <c r="K55" s="115">
        <f>IF(G55="","",IFERROR(G55/MOTOR!$B$20,0))</f>
        <v/>
      </c>
      <c r="L55" s="117">
        <f>IF(C55="","",IF(F55="","EKSİK","TAM"))</f>
        <v/>
      </c>
      <c r="M55" s="118" t="n"/>
    </row>
    <row r="56" ht="15" customHeight="1" s="64">
      <c r="A56" s="118" t="n"/>
      <c r="B56" s="118" t="n"/>
      <c r="C56" s="118" t="n"/>
      <c r="D56" s="118" t="n"/>
      <c r="E56" s="118" t="n"/>
      <c r="F56" s="118" t="n"/>
      <c r="G56" s="120">
        <f>IF(C56="","",C56*D56)</f>
        <v/>
      </c>
      <c r="H56" s="120">
        <f>IF(C56="","",C56*E56)</f>
        <v/>
      </c>
      <c r="I56" s="115">
        <f>IF(C56="","",IFERROR(D56/(E56+(E56=0))-1,0))</f>
        <v/>
      </c>
      <c r="J56" s="117">
        <f>IF(C56="","",IF(ABS(I56)&gt;AYARLAR!$C$14,"RİSKLİ","NORMAL"))</f>
        <v/>
      </c>
      <c r="K56" s="115">
        <f>IF(G56="","",IFERROR(G56/MOTOR!$B$20,0))</f>
        <v/>
      </c>
      <c r="L56" s="117">
        <f>IF(C56="","",IF(F56="","EKSİK","TAM"))</f>
        <v/>
      </c>
      <c r="M56" s="118" t="n"/>
    </row>
    <row r="57" ht="15" customHeight="1" s="64">
      <c r="A57" s="118" t="n"/>
      <c r="B57" s="118" t="n"/>
      <c r="C57" s="118" t="n"/>
      <c r="D57" s="118" t="n"/>
      <c r="E57" s="118" t="n"/>
      <c r="F57" s="118" t="n"/>
      <c r="G57" s="120">
        <f>IF(C57="","",C57*D57)</f>
        <v/>
      </c>
      <c r="H57" s="120">
        <f>IF(C57="","",C57*E57)</f>
        <v/>
      </c>
      <c r="I57" s="115">
        <f>IF(C57="","",IFERROR(D57/(E57+(E57=0))-1,0))</f>
        <v/>
      </c>
      <c r="J57" s="117">
        <f>IF(C57="","",IF(ABS(I57)&gt;AYARLAR!$C$14,"RİSKLİ","NORMAL"))</f>
        <v/>
      </c>
      <c r="K57" s="115">
        <f>IF(G57="","",IFERROR(G57/MOTOR!$B$20,0))</f>
        <v/>
      </c>
      <c r="L57" s="117">
        <f>IF(C57="","",IF(F57="","EKSİK","TAM"))</f>
        <v/>
      </c>
      <c r="M57" s="118" t="n"/>
    </row>
    <row r="58" ht="15" customHeight="1" s="64">
      <c r="A58" s="118" t="n"/>
      <c r="B58" s="118" t="n"/>
      <c r="C58" s="118" t="n"/>
      <c r="D58" s="118" t="n"/>
      <c r="E58" s="118" t="n"/>
      <c r="F58" s="118" t="n"/>
      <c r="G58" s="120">
        <f>IF(C58="","",C58*D58)</f>
        <v/>
      </c>
      <c r="H58" s="120">
        <f>IF(C58="","",C58*E58)</f>
        <v/>
      </c>
      <c r="I58" s="115">
        <f>IF(C58="","",IFERROR(D58/(E58+(E58=0))-1,0))</f>
        <v/>
      </c>
      <c r="J58" s="117">
        <f>IF(C58="","",IF(ABS(I58)&gt;AYARLAR!$C$14,"RİSKLİ","NORMAL"))</f>
        <v/>
      </c>
      <c r="K58" s="115">
        <f>IF(G58="","",IFERROR(G58/MOTOR!$B$20,0))</f>
        <v/>
      </c>
      <c r="L58" s="117">
        <f>IF(C58="","",IF(F58="","EKSİK","TAM"))</f>
        <v/>
      </c>
      <c r="M58" s="118" t="n"/>
    </row>
    <row r="59" ht="15" customHeight="1" s="64">
      <c r="A59" s="118" t="n"/>
      <c r="B59" s="118" t="n"/>
      <c r="C59" s="118" t="n"/>
      <c r="D59" s="118" t="n"/>
      <c r="E59" s="118" t="n"/>
      <c r="F59" s="118" t="n"/>
      <c r="G59" s="120">
        <f>IF(C59="","",C59*D59)</f>
        <v/>
      </c>
      <c r="H59" s="120">
        <f>IF(C59="","",C59*E59)</f>
        <v/>
      </c>
      <c r="I59" s="115">
        <f>IF(C59="","",IFERROR(D59/(E59+(E59=0))-1,0))</f>
        <v/>
      </c>
      <c r="J59" s="117">
        <f>IF(C59="","",IF(ABS(I59)&gt;AYARLAR!$C$14,"RİSKLİ","NORMAL"))</f>
        <v/>
      </c>
      <c r="K59" s="115">
        <f>IF(G59="","",IFERROR(G59/MOTOR!$B$20,0))</f>
        <v/>
      </c>
      <c r="L59" s="117">
        <f>IF(C59="","",IF(F59="","EKSİK","TAM"))</f>
        <v/>
      </c>
      <c r="M59" s="118" t="n"/>
    </row>
    <row r="60" ht="15" customHeight="1" s="64">
      <c r="A60" s="118" t="n"/>
      <c r="B60" s="118" t="n"/>
      <c r="C60" s="118" t="n"/>
      <c r="D60" s="118" t="n"/>
      <c r="E60" s="118" t="n"/>
      <c r="F60" s="118" t="n"/>
      <c r="G60" s="120">
        <f>IF(C60="","",C60*D60)</f>
        <v/>
      </c>
      <c r="H60" s="120">
        <f>IF(C60="","",C60*E60)</f>
        <v/>
      </c>
      <c r="I60" s="115">
        <f>IF(C60="","",IFERROR(D60/(E60+(E60=0))-1,0))</f>
        <v/>
      </c>
      <c r="J60" s="117">
        <f>IF(C60="","",IF(ABS(I60)&gt;AYARLAR!$C$14,"RİSKLİ","NORMAL"))</f>
        <v/>
      </c>
      <c r="K60" s="115">
        <f>IF(G60="","",IFERROR(G60/MOTOR!$B$20,0))</f>
        <v/>
      </c>
      <c r="L60" s="117">
        <f>IF(C60="","",IF(F60="","EKSİK","TAM"))</f>
        <v/>
      </c>
      <c r="M60" s="118" t="n"/>
    </row>
    <row r="61" ht="15" customHeight="1" s="64">
      <c r="A61" s="118" t="n"/>
      <c r="B61" s="118" t="n"/>
      <c r="C61" s="118" t="n"/>
      <c r="D61" s="118" t="n"/>
      <c r="E61" s="118" t="n"/>
      <c r="F61" s="118" t="n"/>
      <c r="G61" s="120">
        <f>IF(C61="","",C61*D61)</f>
        <v/>
      </c>
      <c r="H61" s="120">
        <f>IF(C61="","",C61*E61)</f>
        <v/>
      </c>
      <c r="I61" s="115">
        <f>IF(C61="","",IFERROR(D61/(E61+(E61=0))-1,0))</f>
        <v/>
      </c>
      <c r="J61" s="117">
        <f>IF(C61="","",IF(ABS(I61)&gt;AYARLAR!$C$14,"RİSKLİ","NORMAL"))</f>
        <v/>
      </c>
      <c r="K61" s="115">
        <f>IF(G61="","",IFERROR(G61/MOTOR!$B$20,0))</f>
        <v/>
      </c>
      <c r="L61" s="117">
        <f>IF(C61="","",IF(F61="","EKSİK","TAM"))</f>
        <v/>
      </c>
      <c r="M61" s="118" t="n"/>
    </row>
    <row r="62" ht="15" customHeight="1" s="64">
      <c r="A62" s="118" t="n"/>
      <c r="B62" s="118" t="n"/>
      <c r="C62" s="118" t="n"/>
      <c r="D62" s="118" t="n"/>
      <c r="E62" s="118" t="n"/>
      <c r="F62" s="118" t="n"/>
      <c r="G62" s="120">
        <f>IF(C62="","",C62*D62)</f>
        <v/>
      </c>
      <c r="H62" s="120">
        <f>IF(C62="","",C62*E62)</f>
        <v/>
      </c>
      <c r="I62" s="115">
        <f>IF(C62="","",IFERROR(D62/(E62+(E62=0))-1,0))</f>
        <v/>
      </c>
      <c r="J62" s="117">
        <f>IF(C62="","",IF(ABS(I62)&gt;AYARLAR!$C$14,"RİSKLİ","NORMAL"))</f>
        <v/>
      </c>
      <c r="K62" s="115">
        <f>IF(G62="","",IFERROR(G62/MOTOR!$B$20,0))</f>
        <v/>
      </c>
      <c r="L62" s="117">
        <f>IF(C62="","",IF(F62="","EKSİK","TAM"))</f>
        <v/>
      </c>
      <c r="M62" s="118" t="n"/>
    </row>
    <row r="63" ht="15" customHeight="1" s="64">
      <c r="A63" s="118" t="n"/>
      <c r="B63" s="118" t="n"/>
      <c r="C63" s="118" t="n"/>
      <c r="D63" s="118" t="n"/>
      <c r="E63" s="118" t="n"/>
      <c r="F63" s="118" t="n"/>
      <c r="G63" s="120">
        <f>IF(C63="","",C63*D63)</f>
        <v/>
      </c>
      <c r="H63" s="120">
        <f>IF(C63="","",C63*E63)</f>
        <v/>
      </c>
      <c r="I63" s="115">
        <f>IF(C63="","",IFERROR(D63/(E63+(E63=0))-1,0))</f>
        <v/>
      </c>
      <c r="J63" s="117">
        <f>IF(C63="","",IF(ABS(I63)&gt;AYARLAR!$C$14,"RİSKLİ","NORMAL"))</f>
        <v/>
      </c>
      <c r="K63" s="115">
        <f>IF(G63="","",IFERROR(G63/MOTOR!$B$20,0))</f>
        <v/>
      </c>
      <c r="L63" s="117">
        <f>IF(C63="","",IF(F63="","EKSİK","TAM"))</f>
        <v/>
      </c>
      <c r="M63" s="118" t="n"/>
    </row>
    <row r="64" ht="15" customHeight="1" s="64">
      <c r="A64" s="118" t="n"/>
      <c r="B64" s="118" t="n"/>
      <c r="C64" s="118" t="n"/>
      <c r="D64" s="118" t="n"/>
      <c r="E64" s="118" t="n"/>
      <c r="F64" s="118" t="n"/>
      <c r="G64" s="120">
        <f>IF(C64="","",C64*D64)</f>
        <v/>
      </c>
      <c r="H64" s="120">
        <f>IF(C64="","",C64*E64)</f>
        <v/>
      </c>
      <c r="I64" s="115">
        <f>IF(C64="","",IFERROR(D64/(E64+(E64=0))-1,0))</f>
        <v/>
      </c>
      <c r="J64" s="117">
        <f>IF(C64="","",IF(ABS(I64)&gt;AYARLAR!$C$14,"RİSKLİ","NORMAL"))</f>
        <v/>
      </c>
      <c r="K64" s="115">
        <f>IF(G64="","",IFERROR(G64/MOTOR!$B$20,0))</f>
        <v/>
      </c>
      <c r="L64" s="117">
        <f>IF(C64="","",IF(F64="","EKSİK","TAM"))</f>
        <v/>
      </c>
      <c r="M64" s="118" t="n"/>
    </row>
    <row r="65" ht="15" customHeight="1" s="64">
      <c r="A65" s="118" t="n"/>
      <c r="B65" s="118" t="n"/>
      <c r="C65" s="118" t="n"/>
      <c r="D65" s="118" t="n"/>
      <c r="E65" s="118" t="n"/>
      <c r="F65" s="118" t="n"/>
      <c r="G65" s="120">
        <f>IF(C65="","",C65*D65)</f>
        <v/>
      </c>
      <c r="H65" s="120">
        <f>IF(C65="","",C65*E65)</f>
        <v/>
      </c>
      <c r="I65" s="115">
        <f>IF(C65="","",IFERROR(D65/(E65+(E65=0))-1,0))</f>
        <v/>
      </c>
      <c r="J65" s="117">
        <f>IF(C65="","",IF(ABS(I65)&gt;AYARLAR!$C$14,"RİSKLİ","NORMAL"))</f>
        <v/>
      </c>
      <c r="K65" s="115">
        <f>IF(G65="","",IFERROR(G65/MOTOR!$B$20,0))</f>
        <v/>
      </c>
      <c r="L65" s="117">
        <f>IF(C65="","",IF(F65="","EKSİK","TAM"))</f>
        <v/>
      </c>
      <c r="M65" s="118" t="n"/>
    </row>
    <row r="66" ht="15" customHeight="1" s="64">
      <c r="A66" s="118" t="n"/>
      <c r="B66" s="118" t="n"/>
      <c r="C66" s="118" t="n"/>
      <c r="D66" s="118" t="n"/>
      <c r="E66" s="118" t="n"/>
      <c r="F66" s="118" t="n"/>
      <c r="G66" s="120">
        <f>IF(C66="","",C66*D66)</f>
        <v/>
      </c>
      <c r="H66" s="120">
        <f>IF(C66="","",C66*E66)</f>
        <v/>
      </c>
      <c r="I66" s="115">
        <f>IF(C66="","",IFERROR(D66/(E66+(E66=0))-1,0))</f>
        <v/>
      </c>
      <c r="J66" s="117">
        <f>IF(C66="","",IF(ABS(I66)&gt;AYARLAR!$C$14,"RİSKLİ","NORMAL"))</f>
        <v/>
      </c>
      <c r="K66" s="115">
        <f>IF(G66="","",IFERROR(G66/MOTOR!$B$20,0))</f>
        <v/>
      </c>
      <c r="L66" s="117">
        <f>IF(C66="","",IF(F66="","EKSİK","TAM"))</f>
        <v/>
      </c>
      <c r="M66" s="118" t="n"/>
    </row>
    <row r="67" ht="15" customHeight="1" s="64">
      <c r="A67" s="118" t="n"/>
      <c r="B67" s="118" t="n"/>
      <c r="C67" s="118" t="n"/>
      <c r="D67" s="118" t="n"/>
      <c r="E67" s="118" t="n"/>
      <c r="F67" s="118" t="n"/>
      <c r="G67" s="120">
        <f>IF(C67="","",C67*D67)</f>
        <v/>
      </c>
      <c r="H67" s="120">
        <f>IF(C67="","",C67*E67)</f>
        <v/>
      </c>
      <c r="I67" s="115">
        <f>IF(C67="","",IFERROR(D67/(E67+(E67=0))-1,0))</f>
        <v/>
      </c>
      <c r="J67" s="117">
        <f>IF(C67="","",IF(ABS(I67)&gt;AYARLAR!$C$14,"RİSKLİ","NORMAL"))</f>
        <v/>
      </c>
      <c r="K67" s="115">
        <f>IF(G67="","",IFERROR(G67/MOTOR!$B$20,0))</f>
        <v/>
      </c>
      <c r="L67" s="117">
        <f>IF(C67="","",IF(F67="","EKSİK","TAM"))</f>
        <v/>
      </c>
      <c r="M67" s="118" t="n"/>
    </row>
    <row r="68" ht="15" customHeight="1" s="64">
      <c r="A68" s="118" t="n"/>
      <c r="B68" s="118" t="n"/>
      <c r="C68" s="118" t="n"/>
      <c r="D68" s="118" t="n"/>
      <c r="E68" s="118" t="n"/>
      <c r="F68" s="118" t="n"/>
      <c r="G68" s="120">
        <f>IF(C68="","",C68*D68)</f>
        <v/>
      </c>
      <c r="H68" s="120">
        <f>IF(C68="","",C68*E68)</f>
        <v/>
      </c>
      <c r="I68" s="115">
        <f>IF(C68="","",IFERROR(D68/(E68+(E68=0))-1,0))</f>
        <v/>
      </c>
      <c r="J68" s="117">
        <f>IF(C68="","",IF(ABS(I68)&gt;AYARLAR!$C$14,"RİSKLİ","NORMAL"))</f>
        <v/>
      </c>
      <c r="K68" s="115">
        <f>IF(G68="","",IFERROR(G68/MOTOR!$B$20,0))</f>
        <v/>
      </c>
      <c r="L68" s="117">
        <f>IF(C68="","",IF(F68="","EKSİK","TAM"))</f>
        <v/>
      </c>
      <c r="M68" s="118" t="n"/>
    </row>
    <row r="69" ht="15" customHeight="1" s="64">
      <c r="A69" s="118" t="n"/>
      <c r="B69" s="118" t="n"/>
      <c r="C69" s="118" t="n"/>
      <c r="D69" s="118" t="n"/>
      <c r="E69" s="118" t="n"/>
      <c r="F69" s="118" t="n"/>
      <c r="G69" s="120">
        <f>IF(C69="","",C69*D69)</f>
        <v/>
      </c>
      <c r="H69" s="120">
        <f>IF(C69="","",C69*E69)</f>
        <v/>
      </c>
      <c r="I69" s="115">
        <f>IF(C69="","",IFERROR(D69/(E69+(E69=0))-1,0))</f>
        <v/>
      </c>
      <c r="J69" s="117">
        <f>IF(C69="","",IF(ABS(I69)&gt;AYARLAR!$C$14,"RİSKLİ","NORMAL"))</f>
        <v/>
      </c>
      <c r="K69" s="115">
        <f>IF(G69="","",IFERROR(G69/MOTOR!$B$20,0))</f>
        <v/>
      </c>
      <c r="L69" s="117">
        <f>IF(C69="","",IF(F69="","EKSİK","TAM"))</f>
        <v/>
      </c>
      <c r="M69" s="118" t="n"/>
    </row>
    <row r="70" ht="15" customHeight="1" s="64">
      <c r="A70" s="118" t="n"/>
      <c r="B70" s="118" t="n"/>
      <c r="C70" s="118" t="n"/>
      <c r="D70" s="118" t="n"/>
      <c r="E70" s="118" t="n"/>
      <c r="F70" s="118" t="n"/>
      <c r="G70" s="120">
        <f>IF(C70="","",C70*D70)</f>
        <v/>
      </c>
      <c r="H70" s="120">
        <f>IF(C70="","",C70*E70)</f>
        <v/>
      </c>
      <c r="I70" s="115">
        <f>IF(C70="","",IFERROR(D70/(E70+(E70=0))-1,0))</f>
        <v/>
      </c>
      <c r="J70" s="117">
        <f>IF(C70="","",IF(ABS(I70)&gt;AYARLAR!$C$14,"RİSKLİ","NORMAL"))</f>
        <v/>
      </c>
      <c r="K70" s="115">
        <f>IF(G70="","",IFERROR(G70/MOTOR!$B$20,0))</f>
        <v/>
      </c>
      <c r="L70" s="117">
        <f>IF(C70="","",IF(F70="","EKSİK","TAM"))</f>
        <v/>
      </c>
      <c r="M70" s="118" t="n"/>
    </row>
    <row r="71" ht="15" customHeight="1" s="64">
      <c r="A71" s="118" t="n"/>
      <c r="B71" s="118" t="n"/>
      <c r="C71" s="118" t="n"/>
      <c r="D71" s="118" t="n"/>
      <c r="E71" s="118" t="n"/>
      <c r="F71" s="118" t="n"/>
      <c r="G71" s="120">
        <f>IF(C71="","",C71*D71)</f>
        <v/>
      </c>
      <c r="H71" s="120">
        <f>IF(C71="","",C71*E71)</f>
        <v/>
      </c>
      <c r="I71" s="115">
        <f>IF(C71="","",IFERROR(D71/(E71+(E71=0))-1,0))</f>
        <v/>
      </c>
      <c r="J71" s="117">
        <f>IF(C71="","",IF(ABS(I71)&gt;AYARLAR!$C$14,"RİSKLİ","NORMAL"))</f>
        <v/>
      </c>
      <c r="K71" s="115">
        <f>IF(G71="","",IFERROR(G71/MOTOR!$B$20,0))</f>
        <v/>
      </c>
      <c r="L71" s="117">
        <f>IF(C71="","",IF(F71="","EKSİK","TAM"))</f>
        <v/>
      </c>
      <c r="M71" s="118" t="n"/>
    </row>
    <row r="72" ht="15" customHeight="1" s="64">
      <c r="A72" s="118" t="n"/>
      <c r="B72" s="118" t="n"/>
      <c r="C72" s="118" t="n"/>
      <c r="D72" s="118" t="n"/>
      <c r="E72" s="118" t="n"/>
      <c r="F72" s="118" t="n"/>
      <c r="G72" s="120">
        <f>IF(C72="","",C72*D72)</f>
        <v/>
      </c>
      <c r="H72" s="120">
        <f>IF(C72="","",C72*E72)</f>
        <v/>
      </c>
      <c r="I72" s="115">
        <f>IF(C72="","",IFERROR(D72/(E72+(E72=0))-1,0))</f>
        <v/>
      </c>
      <c r="J72" s="117">
        <f>IF(C72="","",IF(ABS(I72)&gt;AYARLAR!$C$14,"RİSKLİ","NORMAL"))</f>
        <v/>
      </c>
      <c r="K72" s="115">
        <f>IF(G72="","",IFERROR(G72/MOTOR!$B$20,0))</f>
        <v/>
      </c>
      <c r="L72" s="117">
        <f>IF(C72="","",IF(F72="","EKSİK","TAM"))</f>
        <v/>
      </c>
      <c r="M72" s="118" t="n"/>
    </row>
    <row r="73" ht="15" customHeight="1" s="64">
      <c r="A73" s="118" t="n"/>
      <c r="B73" s="118" t="n"/>
      <c r="C73" s="118" t="n"/>
      <c r="D73" s="118" t="n"/>
      <c r="E73" s="118" t="n"/>
      <c r="F73" s="118" t="n"/>
      <c r="G73" s="120">
        <f>IF(C73="","",C73*D73)</f>
        <v/>
      </c>
      <c r="H73" s="120">
        <f>IF(C73="","",C73*E73)</f>
        <v/>
      </c>
      <c r="I73" s="115">
        <f>IF(C73="","",IFERROR(D73/(E73+(E73=0))-1,0))</f>
        <v/>
      </c>
      <c r="J73" s="117">
        <f>IF(C73="","",IF(ABS(I73)&gt;AYARLAR!$C$14,"RİSKLİ","NORMAL"))</f>
        <v/>
      </c>
      <c r="K73" s="115">
        <f>IF(G73="","",IFERROR(G73/MOTOR!$B$20,0))</f>
        <v/>
      </c>
      <c r="L73" s="117">
        <f>IF(C73="","",IF(F73="","EKSİK","TAM"))</f>
        <v/>
      </c>
      <c r="M73" s="118" t="n"/>
    </row>
    <row r="74" ht="15" customHeight="1" s="64">
      <c r="A74" s="118" t="n"/>
      <c r="B74" s="118" t="n"/>
      <c r="C74" s="118" t="n"/>
      <c r="D74" s="118" t="n"/>
      <c r="E74" s="118" t="n"/>
      <c r="F74" s="118" t="n"/>
      <c r="G74" s="120">
        <f>IF(C74="","",C74*D74)</f>
        <v/>
      </c>
      <c r="H74" s="120">
        <f>IF(C74="","",C74*E74)</f>
        <v/>
      </c>
      <c r="I74" s="115">
        <f>IF(C74="","",IFERROR(D74/(E74+(E74=0))-1,0))</f>
        <v/>
      </c>
      <c r="J74" s="117">
        <f>IF(C74="","",IF(ABS(I74)&gt;AYARLAR!$C$14,"RİSKLİ","NORMAL"))</f>
        <v/>
      </c>
      <c r="K74" s="115">
        <f>IF(G74="","",IFERROR(G74/MOTOR!$B$20,0))</f>
        <v/>
      </c>
      <c r="L74" s="117">
        <f>IF(C74="","",IF(F74="","EKSİK","TAM"))</f>
        <v/>
      </c>
      <c r="M74" s="118" t="n"/>
    </row>
    <row r="75" ht="15" customHeight="1" s="64">
      <c r="A75" s="118" t="n"/>
      <c r="B75" s="118" t="n"/>
      <c r="C75" s="118" t="n"/>
      <c r="D75" s="118" t="n"/>
      <c r="E75" s="118" t="n"/>
      <c r="F75" s="118" t="n"/>
      <c r="G75" s="120">
        <f>IF(C75="","",C75*D75)</f>
        <v/>
      </c>
      <c r="H75" s="120">
        <f>IF(C75="","",C75*E75)</f>
        <v/>
      </c>
      <c r="I75" s="115">
        <f>IF(C75="","",IFERROR(D75/(E75+(E75=0))-1,0))</f>
        <v/>
      </c>
      <c r="J75" s="117">
        <f>IF(C75="","",IF(ABS(I75)&gt;AYARLAR!$C$14,"RİSKLİ","NORMAL"))</f>
        <v/>
      </c>
      <c r="K75" s="115">
        <f>IF(G75="","",IFERROR(G75/MOTOR!$B$20,0))</f>
        <v/>
      </c>
      <c r="L75" s="117">
        <f>IF(C75="","",IF(F75="","EKSİK","TAM"))</f>
        <v/>
      </c>
      <c r="M75" s="118" t="n"/>
    </row>
    <row r="76" ht="15" customHeight="1" s="64">
      <c r="A76" s="118" t="n"/>
      <c r="B76" s="118" t="n"/>
      <c r="C76" s="118" t="n"/>
      <c r="D76" s="118" t="n"/>
      <c r="E76" s="118" t="n"/>
      <c r="F76" s="118" t="n"/>
      <c r="G76" s="120">
        <f>IF(C76="","",C76*D76)</f>
        <v/>
      </c>
      <c r="H76" s="120">
        <f>IF(C76="","",C76*E76)</f>
        <v/>
      </c>
      <c r="I76" s="115">
        <f>IF(C76="","",IFERROR(D76/(E76+(E76=0))-1,0))</f>
        <v/>
      </c>
      <c r="J76" s="117">
        <f>IF(C76="","",IF(ABS(I76)&gt;AYARLAR!$C$14,"RİSKLİ","NORMAL"))</f>
        <v/>
      </c>
      <c r="K76" s="115">
        <f>IF(G76="","",IFERROR(G76/MOTOR!$B$20,0))</f>
        <v/>
      </c>
      <c r="L76" s="117">
        <f>IF(C76="","",IF(F76="","EKSİK","TAM"))</f>
        <v/>
      </c>
      <c r="M76" s="118" t="n"/>
    </row>
    <row r="77" ht="15" customHeight="1" s="64">
      <c r="A77" s="118" t="n"/>
      <c r="B77" s="118" t="n"/>
      <c r="C77" s="118" t="n"/>
      <c r="D77" s="118" t="n"/>
      <c r="E77" s="118" t="n"/>
      <c r="F77" s="118" t="n"/>
      <c r="G77" s="120">
        <f>IF(C77="","",C77*D77)</f>
        <v/>
      </c>
      <c r="H77" s="120">
        <f>IF(C77="","",C77*E77)</f>
        <v/>
      </c>
      <c r="I77" s="115">
        <f>IF(C77="","",IFERROR(D77/(E77+(E77=0))-1,0))</f>
        <v/>
      </c>
      <c r="J77" s="117">
        <f>IF(C77="","",IF(ABS(I77)&gt;AYARLAR!$C$14,"RİSKLİ","NORMAL"))</f>
        <v/>
      </c>
      <c r="K77" s="115">
        <f>IF(G77="","",IFERROR(G77/MOTOR!$B$20,0))</f>
        <v/>
      </c>
      <c r="L77" s="117">
        <f>IF(C77="","",IF(F77="","EKSİK","TAM"))</f>
        <v/>
      </c>
      <c r="M77" s="118" t="n"/>
    </row>
    <row r="78" ht="15" customHeight="1" s="64">
      <c r="A78" s="118" t="n"/>
      <c r="B78" s="118" t="n"/>
      <c r="C78" s="118" t="n"/>
      <c r="D78" s="118" t="n"/>
      <c r="E78" s="118" t="n"/>
      <c r="F78" s="118" t="n"/>
      <c r="G78" s="120">
        <f>IF(C78="","",C78*D78)</f>
        <v/>
      </c>
      <c r="H78" s="120">
        <f>IF(C78="","",C78*E78)</f>
        <v/>
      </c>
      <c r="I78" s="115">
        <f>IF(C78="","",IFERROR(D78/(E78+(E78=0))-1,0))</f>
        <v/>
      </c>
      <c r="J78" s="117">
        <f>IF(C78="","",IF(ABS(I78)&gt;AYARLAR!$C$14,"RİSKLİ","NORMAL"))</f>
        <v/>
      </c>
      <c r="K78" s="115">
        <f>IF(G78="","",IFERROR(G78/MOTOR!$B$20,0))</f>
        <v/>
      </c>
      <c r="L78" s="117">
        <f>IF(C78="","",IF(F78="","EKSİK","TAM"))</f>
        <v/>
      </c>
      <c r="M78" s="118" t="n"/>
    </row>
    <row r="79" ht="15" customHeight="1" s="64">
      <c r="A79" s="118" t="n"/>
      <c r="B79" s="118" t="n"/>
      <c r="C79" s="118" t="n"/>
      <c r="D79" s="118" t="n"/>
      <c r="E79" s="118" t="n"/>
      <c r="F79" s="118" t="n"/>
      <c r="G79" s="120">
        <f>IF(C79="","",C79*D79)</f>
        <v/>
      </c>
      <c r="H79" s="120">
        <f>IF(C79="","",C79*E79)</f>
        <v/>
      </c>
      <c r="I79" s="115">
        <f>IF(C79="","",IFERROR(D79/(E79+(E79=0))-1,0))</f>
        <v/>
      </c>
      <c r="J79" s="117">
        <f>IF(C79="","",IF(ABS(I79)&gt;AYARLAR!$C$14,"RİSKLİ","NORMAL"))</f>
        <v/>
      </c>
      <c r="K79" s="115">
        <f>IF(G79="","",IFERROR(G79/MOTOR!$B$20,0))</f>
        <v/>
      </c>
      <c r="L79" s="117">
        <f>IF(C79="","",IF(F79="","EKSİK","TAM"))</f>
        <v/>
      </c>
      <c r="M79" s="118" t="n"/>
    </row>
    <row r="80" ht="15" customHeight="1" s="64">
      <c r="A80" s="118" t="n"/>
      <c r="B80" s="118" t="n"/>
      <c r="C80" s="118" t="n"/>
      <c r="D80" s="118" t="n"/>
      <c r="E80" s="118" t="n"/>
      <c r="F80" s="118" t="n"/>
      <c r="G80" s="120">
        <f>IF(C80="","",C80*D80)</f>
        <v/>
      </c>
      <c r="H80" s="120">
        <f>IF(C80="","",C80*E80)</f>
        <v/>
      </c>
      <c r="I80" s="115">
        <f>IF(C80="","",IFERROR(D80/(E80+(E80=0))-1,0))</f>
        <v/>
      </c>
      <c r="J80" s="117">
        <f>IF(C80="","",IF(ABS(I80)&gt;AYARLAR!$C$14,"RİSKLİ","NORMAL"))</f>
        <v/>
      </c>
      <c r="K80" s="115">
        <f>IF(G80="","",IFERROR(G80/MOTOR!$B$20,0))</f>
        <v/>
      </c>
      <c r="L80" s="117">
        <f>IF(C80="","",IF(F80="","EKSİK","TAM"))</f>
        <v/>
      </c>
      <c r="M80" s="118" t="n"/>
    </row>
    <row r="81" ht="15" customHeight="1" s="64">
      <c r="A81" s="118" t="n"/>
      <c r="B81" s="118" t="n"/>
      <c r="C81" s="118" t="n"/>
      <c r="D81" s="118" t="n"/>
      <c r="E81" s="118" t="n"/>
      <c r="F81" s="118" t="n"/>
      <c r="G81" s="120">
        <f>IF(C81="","",C81*D81)</f>
        <v/>
      </c>
      <c r="H81" s="120">
        <f>IF(C81="","",C81*E81)</f>
        <v/>
      </c>
      <c r="I81" s="115">
        <f>IF(C81="","",IFERROR(D81/(E81+(E81=0))-1,0))</f>
        <v/>
      </c>
      <c r="J81" s="117">
        <f>IF(C81="","",IF(ABS(I81)&gt;AYARLAR!$C$14,"RİSKLİ","NORMAL"))</f>
        <v/>
      </c>
      <c r="K81" s="115">
        <f>IF(G81="","",IFERROR(G81/MOTOR!$B$20,0))</f>
        <v/>
      </c>
      <c r="L81" s="117">
        <f>IF(C81="","",IF(F81="","EKSİK","TAM"))</f>
        <v/>
      </c>
      <c r="M81" s="118" t="n"/>
    </row>
    <row r="82" ht="15" customHeight="1" s="64">
      <c r="A82" s="118" t="n"/>
      <c r="B82" s="118" t="n"/>
      <c r="C82" s="118" t="n"/>
      <c r="D82" s="118" t="n"/>
      <c r="E82" s="118" t="n"/>
      <c r="F82" s="118" t="n"/>
      <c r="G82" s="120">
        <f>IF(C82="","",C82*D82)</f>
        <v/>
      </c>
      <c r="H82" s="120">
        <f>IF(C82="","",C82*E82)</f>
        <v/>
      </c>
      <c r="I82" s="115">
        <f>IF(C82="","",IFERROR(D82/(E82+(E82=0))-1,0))</f>
        <v/>
      </c>
      <c r="J82" s="117">
        <f>IF(C82="","",IF(ABS(I82)&gt;AYARLAR!$C$14,"RİSKLİ","NORMAL"))</f>
        <v/>
      </c>
      <c r="K82" s="115">
        <f>IF(G82="","",IFERROR(G82/MOTOR!$B$20,0))</f>
        <v/>
      </c>
      <c r="L82" s="117">
        <f>IF(C82="","",IF(F82="","EKSİK","TAM"))</f>
        <v/>
      </c>
      <c r="M82" s="118" t="n"/>
    </row>
    <row r="83" ht="15" customHeight="1" s="64">
      <c r="A83" s="118" t="n"/>
      <c r="B83" s="118" t="n"/>
      <c r="C83" s="118" t="n"/>
      <c r="D83" s="118" t="n"/>
      <c r="E83" s="118" t="n"/>
      <c r="F83" s="118" t="n"/>
      <c r="G83" s="120">
        <f>IF(C83="","",C83*D83)</f>
        <v/>
      </c>
      <c r="H83" s="120">
        <f>IF(C83="","",C83*E83)</f>
        <v/>
      </c>
      <c r="I83" s="115">
        <f>IF(C83="","",IFERROR(D83/(E83+(E83=0))-1,0))</f>
        <v/>
      </c>
      <c r="J83" s="117">
        <f>IF(C83="","",IF(ABS(I83)&gt;AYARLAR!$C$14,"RİSKLİ","NORMAL"))</f>
        <v/>
      </c>
      <c r="K83" s="115">
        <f>IF(G83="","",IFERROR(G83/MOTOR!$B$20,0))</f>
        <v/>
      </c>
      <c r="L83" s="117">
        <f>IF(C83="","",IF(F83="","EKSİK","TAM"))</f>
        <v/>
      </c>
      <c r="M83" s="118" t="n"/>
    </row>
    <row r="84" ht="15" customHeight="1" s="64">
      <c r="A84" s="118" t="n"/>
      <c r="B84" s="118" t="n"/>
      <c r="C84" s="118" t="n"/>
      <c r="D84" s="118" t="n"/>
      <c r="E84" s="118" t="n"/>
      <c r="F84" s="118" t="n"/>
      <c r="G84" s="120">
        <f>IF(C84="","",C84*D84)</f>
        <v/>
      </c>
      <c r="H84" s="120">
        <f>IF(C84="","",C84*E84)</f>
        <v/>
      </c>
      <c r="I84" s="115">
        <f>IF(C84="","",IFERROR(D84/(E84+(E84=0))-1,0))</f>
        <v/>
      </c>
      <c r="J84" s="117">
        <f>IF(C84="","",IF(ABS(I84)&gt;AYARLAR!$C$14,"RİSKLİ","NORMAL"))</f>
        <v/>
      </c>
      <c r="K84" s="115">
        <f>IF(G84="","",IFERROR(G84/MOTOR!$B$20,0))</f>
        <v/>
      </c>
      <c r="L84" s="117">
        <f>IF(C84="","",IF(F84="","EKSİK","TAM"))</f>
        <v/>
      </c>
      <c r="M84" s="118" t="n"/>
    </row>
    <row r="85" ht="15" customHeight="1" s="64">
      <c r="A85" s="118" t="n"/>
      <c r="B85" s="118" t="n"/>
      <c r="C85" s="118" t="n"/>
      <c r="D85" s="118" t="n"/>
      <c r="E85" s="118" t="n"/>
      <c r="F85" s="118" t="n"/>
      <c r="G85" s="120">
        <f>IF(C85="","",C85*D85)</f>
        <v/>
      </c>
      <c r="H85" s="120">
        <f>IF(C85="","",C85*E85)</f>
        <v/>
      </c>
      <c r="I85" s="115">
        <f>IF(C85="","",IFERROR(D85/(E85+(E85=0))-1,0))</f>
        <v/>
      </c>
      <c r="J85" s="117">
        <f>IF(C85="","",IF(ABS(I85)&gt;AYARLAR!$C$14,"RİSKLİ","NORMAL"))</f>
        <v/>
      </c>
      <c r="K85" s="115">
        <f>IF(G85="","",IFERROR(G85/MOTOR!$B$20,0))</f>
        <v/>
      </c>
      <c r="L85" s="117">
        <f>IF(C85="","",IF(F85="","EKSİK","TAM"))</f>
        <v/>
      </c>
      <c r="M85" s="118" t="n"/>
    </row>
    <row r="86" ht="15" customHeight="1" s="64">
      <c r="A86" s="118" t="n"/>
      <c r="B86" s="118" t="n"/>
      <c r="C86" s="118" t="n"/>
      <c r="D86" s="118" t="n"/>
      <c r="E86" s="118" t="n"/>
      <c r="F86" s="118" t="n"/>
      <c r="G86" s="120">
        <f>IF(C86="","",C86*D86)</f>
        <v/>
      </c>
      <c r="H86" s="120">
        <f>IF(C86="","",C86*E86)</f>
        <v/>
      </c>
      <c r="I86" s="115">
        <f>IF(C86="","",IFERROR(D86/(E86+(E86=0))-1,0))</f>
        <v/>
      </c>
      <c r="J86" s="117">
        <f>IF(C86="","",IF(ABS(I86)&gt;AYARLAR!$C$14,"RİSKLİ","NORMAL"))</f>
        <v/>
      </c>
      <c r="K86" s="115">
        <f>IF(G86="","",IFERROR(G86/MOTOR!$B$20,0))</f>
        <v/>
      </c>
      <c r="L86" s="117">
        <f>IF(C86="","",IF(F86="","EKSİK","TAM"))</f>
        <v/>
      </c>
      <c r="M86" s="118" t="n"/>
    </row>
    <row r="87" ht="15" customHeight="1" s="64">
      <c r="A87" s="118" t="n"/>
      <c r="B87" s="118" t="n"/>
      <c r="C87" s="118" t="n"/>
      <c r="D87" s="118" t="n"/>
      <c r="E87" s="118" t="n"/>
      <c r="F87" s="118" t="n"/>
      <c r="G87" s="120">
        <f>IF(C87="","",C87*D87)</f>
        <v/>
      </c>
      <c r="H87" s="120">
        <f>IF(C87="","",C87*E87)</f>
        <v/>
      </c>
      <c r="I87" s="115">
        <f>IF(C87="","",IFERROR(D87/(E87+(E87=0))-1,0))</f>
        <v/>
      </c>
      <c r="J87" s="117">
        <f>IF(C87="","",IF(ABS(I87)&gt;AYARLAR!$C$14,"RİSKLİ","NORMAL"))</f>
        <v/>
      </c>
      <c r="K87" s="115">
        <f>IF(G87="","",IFERROR(G87/MOTOR!$B$20,0))</f>
        <v/>
      </c>
      <c r="L87" s="117">
        <f>IF(C87="","",IF(F87="","EKSİK","TAM"))</f>
        <v/>
      </c>
      <c r="M87" s="118" t="n"/>
    </row>
    <row r="88" ht="15" customHeight="1" s="64">
      <c r="A88" s="118" t="n"/>
      <c r="B88" s="118" t="n"/>
      <c r="C88" s="118" t="n"/>
      <c r="D88" s="118" t="n"/>
      <c r="E88" s="118" t="n"/>
      <c r="F88" s="118" t="n"/>
      <c r="G88" s="120">
        <f>IF(C88="","",C88*D88)</f>
        <v/>
      </c>
      <c r="H88" s="120">
        <f>IF(C88="","",C88*E88)</f>
        <v/>
      </c>
      <c r="I88" s="115">
        <f>IF(C88="","",IFERROR(D88/(E88+(E88=0))-1,0))</f>
        <v/>
      </c>
      <c r="J88" s="117">
        <f>IF(C88="","",IF(ABS(I88)&gt;AYARLAR!$C$14,"RİSKLİ","NORMAL"))</f>
        <v/>
      </c>
      <c r="K88" s="115">
        <f>IF(G88="","",IFERROR(G88/MOTOR!$B$20,0))</f>
        <v/>
      </c>
      <c r="L88" s="117">
        <f>IF(C88="","",IF(F88="","EKSİK","TAM"))</f>
        <v/>
      </c>
      <c r="M88" s="118" t="n"/>
    </row>
    <row r="89" ht="15" customHeight="1" s="64">
      <c r="A89" s="118" t="n"/>
      <c r="B89" s="118" t="n"/>
      <c r="C89" s="118" t="n"/>
      <c r="D89" s="118" t="n"/>
      <c r="E89" s="118" t="n"/>
      <c r="F89" s="118" t="n"/>
      <c r="G89" s="120">
        <f>IF(C89="","",C89*D89)</f>
        <v/>
      </c>
      <c r="H89" s="120">
        <f>IF(C89="","",C89*E89)</f>
        <v/>
      </c>
      <c r="I89" s="115">
        <f>IF(C89="","",IFERROR(D89/(E89+(E89=0))-1,0))</f>
        <v/>
      </c>
      <c r="J89" s="117">
        <f>IF(C89="","",IF(ABS(I89)&gt;AYARLAR!$C$14,"RİSKLİ","NORMAL"))</f>
        <v/>
      </c>
      <c r="K89" s="115">
        <f>IF(G89="","",IFERROR(G89/MOTOR!$B$20,0))</f>
        <v/>
      </c>
      <c r="L89" s="117">
        <f>IF(C89="","",IF(F89="","EKSİK","TAM"))</f>
        <v/>
      </c>
      <c r="M89" s="118" t="n"/>
    </row>
    <row r="90" ht="15" customHeight="1" s="64">
      <c r="A90" s="118" t="n"/>
      <c r="B90" s="118" t="n"/>
      <c r="C90" s="118" t="n"/>
      <c r="D90" s="118" t="n"/>
      <c r="E90" s="118" t="n"/>
      <c r="F90" s="118" t="n"/>
      <c r="G90" s="120">
        <f>IF(C90="","",C90*D90)</f>
        <v/>
      </c>
      <c r="H90" s="120">
        <f>IF(C90="","",C90*E90)</f>
        <v/>
      </c>
      <c r="I90" s="115">
        <f>IF(C90="","",IFERROR(D90/(E90+(E90=0))-1,0))</f>
        <v/>
      </c>
      <c r="J90" s="117">
        <f>IF(C90="","",IF(ABS(I90)&gt;AYARLAR!$C$14,"RİSKLİ","NORMAL"))</f>
        <v/>
      </c>
      <c r="K90" s="115">
        <f>IF(G90="","",IFERROR(G90/MOTOR!$B$20,0))</f>
        <v/>
      </c>
      <c r="L90" s="117">
        <f>IF(C90="","",IF(F90="","EKSİK","TAM"))</f>
        <v/>
      </c>
      <c r="M90" s="118" t="n"/>
    </row>
    <row r="91" ht="15" customHeight="1" s="64">
      <c r="A91" s="118" t="n"/>
      <c r="B91" s="118" t="n"/>
      <c r="C91" s="118" t="n"/>
      <c r="D91" s="118" t="n"/>
      <c r="E91" s="118" t="n"/>
      <c r="F91" s="118" t="n"/>
      <c r="G91" s="120">
        <f>IF(C91="","",C91*D91)</f>
        <v/>
      </c>
      <c r="H91" s="120">
        <f>IF(C91="","",C91*E91)</f>
        <v/>
      </c>
      <c r="I91" s="115">
        <f>IF(C91="","",IFERROR(D91/(E91+(E91=0))-1,0))</f>
        <v/>
      </c>
      <c r="J91" s="117">
        <f>IF(C91="","",IF(ABS(I91)&gt;AYARLAR!$C$14,"RİSKLİ","NORMAL"))</f>
        <v/>
      </c>
      <c r="K91" s="115">
        <f>IF(G91="","",IFERROR(G91/MOTOR!$B$20,0))</f>
        <v/>
      </c>
      <c r="L91" s="117">
        <f>IF(C91="","",IF(F91="","EKSİK","TAM"))</f>
        <v/>
      </c>
      <c r="M91" s="118" t="n"/>
    </row>
    <row r="92" ht="15" customHeight="1" s="64">
      <c r="A92" s="118" t="n"/>
      <c r="B92" s="118" t="n"/>
      <c r="C92" s="118" t="n"/>
      <c r="D92" s="118" t="n"/>
      <c r="E92" s="118" t="n"/>
      <c r="F92" s="118" t="n"/>
      <c r="G92" s="120">
        <f>IF(C92="","",C92*D92)</f>
        <v/>
      </c>
      <c r="H92" s="120">
        <f>IF(C92="","",C92*E92)</f>
        <v/>
      </c>
      <c r="I92" s="115">
        <f>IF(C92="","",IFERROR(D92/(E92+(E92=0))-1,0))</f>
        <v/>
      </c>
      <c r="J92" s="117">
        <f>IF(C92="","",IF(ABS(I92)&gt;AYARLAR!$C$14,"RİSKLİ","NORMAL"))</f>
        <v/>
      </c>
      <c r="K92" s="115">
        <f>IF(G92="","",IFERROR(G92/MOTOR!$B$20,0))</f>
        <v/>
      </c>
      <c r="L92" s="117">
        <f>IF(C92="","",IF(F92="","EKSİK","TAM"))</f>
        <v/>
      </c>
      <c r="M92" s="118" t="n"/>
    </row>
    <row r="93" ht="15" customHeight="1" s="64">
      <c r="A93" s="118" t="n"/>
      <c r="B93" s="118" t="n"/>
      <c r="C93" s="118" t="n"/>
      <c r="D93" s="118" t="n"/>
      <c r="E93" s="118" t="n"/>
      <c r="F93" s="118" t="n"/>
      <c r="G93" s="120">
        <f>IF(C93="","",C93*D93)</f>
        <v/>
      </c>
      <c r="H93" s="120">
        <f>IF(C93="","",C93*E93)</f>
        <v/>
      </c>
      <c r="I93" s="115">
        <f>IF(C93="","",IFERROR(D93/(E93+(E93=0))-1,0))</f>
        <v/>
      </c>
      <c r="J93" s="117">
        <f>IF(C93="","",IF(ABS(I93)&gt;AYARLAR!$C$14,"RİSKLİ","NORMAL"))</f>
        <v/>
      </c>
      <c r="K93" s="115">
        <f>IF(G93="","",IFERROR(G93/MOTOR!$B$20,0))</f>
        <v/>
      </c>
      <c r="L93" s="117">
        <f>IF(C93="","",IF(F93="","EKSİK","TAM"))</f>
        <v/>
      </c>
      <c r="M93" s="118" t="n"/>
    </row>
    <row r="94" ht="15" customHeight="1" s="64">
      <c r="A94" s="118" t="n"/>
      <c r="B94" s="118" t="n"/>
      <c r="C94" s="118" t="n"/>
      <c r="D94" s="118" t="n"/>
      <c r="E94" s="118" t="n"/>
      <c r="F94" s="118" t="n"/>
      <c r="G94" s="120">
        <f>IF(C94="","",C94*D94)</f>
        <v/>
      </c>
      <c r="H94" s="120">
        <f>IF(C94="","",C94*E94)</f>
        <v/>
      </c>
      <c r="I94" s="115">
        <f>IF(C94="","",IFERROR(D94/(E94+(E94=0))-1,0))</f>
        <v/>
      </c>
      <c r="J94" s="117">
        <f>IF(C94="","",IF(ABS(I94)&gt;AYARLAR!$C$14,"RİSKLİ","NORMAL"))</f>
        <v/>
      </c>
      <c r="K94" s="115">
        <f>IF(G94="","",IFERROR(G94/MOTOR!$B$20,0))</f>
        <v/>
      </c>
      <c r="L94" s="117">
        <f>IF(C94="","",IF(F94="","EKSİK","TAM"))</f>
        <v/>
      </c>
      <c r="M94" s="118" t="n"/>
    </row>
    <row r="95" ht="15" customHeight="1" s="64">
      <c r="A95" s="118" t="n"/>
      <c r="B95" s="118" t="n"/>
      <c r="C95" s="118" t="n"/>
      <c r="D95" s="118" t="n"/>
      <c r="E95" s="118" t="n"/>
      <c r="F95" s="118" t="n"/>
      <c r="G95" s="120">
        <f>IF(C95="","",C95*D95)</f>
        <v/>
      </c>
      <c r="H95" s="120">
        <f>IF(C95="","",C95*E95)</f>
        <v/>
      </c>
      <c r="I95" s="115">
        <f>IF(C95="","",IFERROR(D95/(E95+(E95=0))-1,0))</f>
        <v/>
      </c>
      <c r="J95" s="117">
        <f>IF(C95="","",IF(ABS(I95)&gt;AYARLAR!$C$14,"RİSKLİ","NORMAL"))</f>
        <v/>
      </c>
      <c r="K95" s="115">
        <f>IF(G95="","",IFERROR(G95/MOTOR!$B$20,0))</f>
        <v/>
      </c>
      <c r="L95" s="117">
        <f>IF(C95="","",IF(F95="","EKSİK","TAM"))</f>
        <v/>
      </c>
      <c r="M95" s="118" t="n"/>
    </row>
    <row r="96" ht="15" customHeight="1" s="64">
      <c r="A96" s="118" t="n"/>
      <c r="B96" s="118" t="n"/>
      <c r="C96" s="118" t="n"/>
      <c r="D96" s="118" t="n"/>
      <c r="E96" s="118" t="n"/>
      <c r="F96" s="118" t="n"/>
      <c r="G96" s="120">
        <f>IF(C96="","",C96*D96)</f>
        <v/>
      </c>
      <c r="H96" s="120">
        <f>IF(C96="","",C96*E96)</f>
        <v/>
      </c>
      <c r="I96" s="115">
        <f>IF(C96="","",IFERROR(D96/(E96+(E96=0))-1,0))</f>
        <v/>
      </c>
      <c r="J96" s="117">
        <f>IF(C96="","",IF(ABS(I96)&gt;AYARLAR!$C$14,"RİSKLİ","NORMAL"))</f>
        <v/>
      </c>
      <c r="K96" s="115">
        <f>IF(G96="","",IFERROR(G96/MOTOR!$B$20,0))</f>
        <v/>
      </c>
      <c r="L96" s="117">
        <f>IF(C96="","",IF(F96="","EKSİK","TAM"))</f>
        <v/>
      </c>
      <c r="M96" s="118" t="n"/>
    </row>
    <row r="97" ht="15" customHeight="1" s="64">
      <c r="A97" s="118" t="n"/>
      <c r="B97" s="118" t="n"/>
      <c r="C97" s="118" t="n"/>
      <c r="D97" s="118" t="n"/>
      <c r="E97" s="118" t="n"/>
      <c r="F97" s="118" t="n"/>
      <c r="G97" s="120">
        <f>IF(C97="","",C97*D97)</f>
        <v/>
      </c>
      <c r="H97" s="120">
        <f>IF(C97="","",C97*E97)</f>
        <v/>
      </c>
      <c r="I97" s="115">
        <f>IF(C97="","",IFERROR(D97/(E97+(E97=0))-1,0))</f>
        <v/>
      </c>
      <c r="J97" s="117">
        <f>IF(C97="","",IF(ABS(I97)&gt;AYARLAR!$C$14,"RİSKLİ","NORMAL"))</f>
        <v/>
      </c>
      <c r="K97" s="115">
        <f>IF(G97="","",IFERROR(G97/MOTOR!$B$20,0))</f>
        <v/>
      </c>
      <c r="L97" s="117">
        <f>IF(C97="","",IF(F97="","EKSİK","TAM"))</f>
        <v/>
      </c>
      <c r="M97" s="118" t="n"/>
    </row>
    <row r="98" ht="15" customHeight="1" s="64">
      <c r="A98" s="118" t="n"/>
      <c r="B98" s="118" t="n"/>
      <c r="C98" s="118" t="n"/>
      <c r="D98" s="118" t="n"/>
      <c r="E98" s="118" t="n"/>
      <c r="F98" s="118" t="n"/>
      <c r="G98" s="120">
        <f>IF(C98="","",C98*D98)</f>
        <v/>
      </c>
      <c r="H98" s="120">
        <f>IF(C98="","",C98*E98)</f>
        <v/>
      </c>
      <c r="I98" s="115">
        <f>IF(C98="","",IFERROR(D98/(E98+(E98=0))-1,0))</f>
        <v/>
      </c>
      <c r="J98" s="117">
        <f>IF(C98="","",IF(ABS(I98)&gt;AYARLAR!$C$14,"RİSKLİ","NORMAL"))</f>
        <v/>
      </c>
      <c r="K98" s="115">
        <f>IF(G98="","",IFERROR(G98/MOTOR!$B$20,0))</f>
        <v/>
      </c>
      <c r="L98" s="117">
        <f>IF(C98="","",IF(F98="","EKSİK","TAM"))</f>
        <v/>
      </c>
      <c r="M98" s="118" t="n"/>
    </row>
    <row r="99" ht="15" customHeight="1" s="64">
      <c r="A99" s="118" t="n"/>
      <c r="B99" s="118" t="n"/>
      <c r="C99" s="118" t="n"/>
      <c r="D99" s="118" t="n"/>
      <c r="E99" s="118" t="n"/>
      <c r="F99" s="118" t="n"/>
      <c r="G99" s="120">
        <f>IF(C99="","",C99*D99)</f>
        <v/>
      </c>
      <c r="H99" s="120">
        <f>IF(C99="","",C99*E99)</f>
        <v/>
      </c>
      <c r="I99" s="115">
        <f>IF(C99="","",IFERROR(D99/(E99+(E99=0))-1,0))</f>
        <v/>
      </c>
      <c r="J99" s="117">
        <f>IF(C99="","",IF(ABS(I99)&gt;AYARLAR!$C$14,"RİSKLİ","NORMAL"))</f>
        <v/>
      </c>
      <c r="K99" s="115">
        <f>IF(G99="","",IFERROR(G99/MOTOR!$B$20,0))</f>
        <v/>
      </c>
      <c r="L99" s="117">
        <f>IF(C99="","",IF(F99="","EKSİK","TAM"))</f>
        <v/>
      </c>
      <c r="M99" s="118" t="n"/>
    </row>
    <row r="100" ht="15" customHeight="1" s="64">
      <c r="A100" s="118" t="n"/>
      <c r="B100" s="118" t="n"/>
      <c r="C100" s="118" t="n"/>
      <c r="D100" s="118" t="n"/>
      <c r="E100" s="118" t="n"/>
      <c r="F100" s="118" t="n"/>
      <c r="G100" s="120">
        <f>IF(C100="","",C100*D100)</f>
        <v/>
      </c>
      <c r="H100" s="120">
        <f>IF(C100="","",C100*E100)</f>
        <v/>
      </c>
      <c r="I100" s="115">
        <f>IF(C100="","",IFERROR(D100/(E100+(E100=0))-1,0))</f>
        <v/>
      </c>
      <c r="J100" s="117">
        <f>IF(C100="","",IF(ABS(I100)&gt;AYARLAR!$C$14,"RİSKLİ","NORMAL"))</f>
        <v/>
      </c>
      <c r="K100" s="115">
        <f>IF(G100="","",IFERROR(G100/MOTOR!$B$20,0))</f>
        <v/>
      </c>
      <c r="L100" s="117">
        <f>IF(C100="","",IF(F100="","EKSİK","TAM"))</f>
        <v/>
      </c>
      <c r="M100" s="118" t="n"/>
    </row>
    <row r="101" ht="15" customHeight="1" s="64">
      <c r="A101" s="118" t="n"/>
      <c r="B101" s="118" t="n"/>
      <c r="C101" s="118" t="n"/>
      <c r="D101" s="118" t="n"/>
      <c r="E101" s="118" t="n"/>
      <c r="F101" s="118" t="n"/>
      <c r="G101" s="120">
        <f>IF(C101="","",C101*D101)</f>
        <v/>
      </c>
      <c r="H101" s="120">
        <f>IF(C101="","",C101*E101)</f>
        <v/>
      </c>
      <c r="I101" s="115">
        <f>IF(C101="","",IFERROR(D101/(E101+(E101=0))-1,0))</f>
        <v/>
      </c>
      <c r="J101" s="117">
        <f>IF(C101="","",IF(ABS(I101)&gt;AYARLAR!$C$14,"RİSKLİ","NORMAL"))</f>
        <v/>
      </c>
      <c r="K101" s="115">
        <f>IF(G101="","",IFERROR(G101/MOTOR!$B$20,0))</f>
        <v/>
      </c>
      <c r="L101" s="117">
        <f>IF(C101="","",IF(F101="","EKSİK","TAM"))</f>
        <v/>
      </c>
      <c r="M101" s="118" t="n"/>
    </row>
    <row r="102" ht="15" customHeight="1" s="64">
      <c r="A102" s="118" t="n"/>
      <c r="B102" s="118" t="n"/>
      <c r="C102" s="118" t="n"/>
      <c r="D102" s="118" t="n"/>
      <c r="E102" s="118" t="n"/>
      <c r="F102" s="118" t="n"/>
      <c r="G102" s="120">
        <f>IF(C102="","",C102*D102)</f>
        <v/>
      </c>
      <c r="H102" s="120">
        <f>IF(C102="","",C102*E102)</f>
        <v/>
      </c>
      <c r="I102" s="115">
        <f>IF(C102="","",IFERROR(D102/(E102+(E102=0))-1,0))</f>
        <v/>
      </c>
      <c r="J102" s="117">
        <f>IF(C102="","",IF(ABS(I102)&gt;AYARLAR!$C$14,"RİSKLİ","NORMAL"))</f>
        <v/>
      </c>
      <c r="K102" s="115">
        <f>IF(G102="","",IFERROR(G102/MOTOR!$B$20,0))</f>
        <v/>
      </c>
      <c r="L102" s="117">
        <f>IF(C102="","",IF(F102="","EKSİK","TAM"))</f>
        <v/>
      </c>
      <c r="M102" s="118" t="n"/>
    </row>
    <row r="103" ht="15" customHeight="1" s="64">
      <c r="A103" s="118" t="n"/>
      <c r="B103" s="118" t="n"/>
      <c r="C103" s="118" t="n"/>
      <c r="D103" s="118" t="n"/>
      <c r="E103" s="118" t="n"/>
      <c r="F103" s="118" t="n"/>
      <c r="G103" s="120">
        <f>IF(C103="","",C103*D103)</f>
        <v/>
      </c>
      <c r="H103" s="120">
        <f>IF(C103="","",C103*E103)</f>
        <v/>
      </c>
      <c r="I103" s="115">
        <f>IF(C103="","",IFERROR(D103/(E103+(E103=0))-1,0))</f>
        <v/>
      </c>
      <c r="J103" s="117">
        <f>IF(C103="","",IF(ABS(I103)&gt;AYARLAR!$C$14,"RİSKLİ","NORMAL"))</f>
        <v/>
      </c>
      <c r="K103" s="115">
        <f>IF(G103="","",IFERROR(G103/MOTOR!$B$20,0))</f>
        <v/>
      </c>
      <c r="L103" s="117">
        <f>IF(C103="","",IF(F103="","EKSİK","TAM"))</f>
        <v/>
      </c>
      <c r="M103" s="118" t="n"/>
    </row>
    <row r="104" ht="15" customHeight="1" s="64">
      <c r="A104" s="118" t="n"/>
      <c r="B104" s="118" t="n"/>
      <c r="C104" s="118" t="n"/>
      <c r="D104" s="118" t="n"/>
      <c r="E104" s="118" t="n"/>
      <c r="F104" s="118" t="n"/>
      <c r="G104" s="120">
        <f>IF(C104="","",C104*D104)</f>
        <v/>
      </c>
      <c r="H104" s="120">
        <f>IF(C104="","",C104*E104)</f>
        <v/>
      </c>
      <c r="I104" s="115">
        <f>IF(C104="","",IFERROR(D104/(E104+(E104=0))-1,0))</f>
        <v/>
      </c>
      <c r="J104" s="117">
        <f>IF(C104="","",IF(ABS(I104)&gt;AYARLAR!$C$14,"RİSKLİ","NORMAL"))</f>
        <v/>
      </c>
      <c r="K104" s="115">
        <f>IF(G104="","",IFERROR(G104/MOTOR!$B$20,0))</f>
        <v/>
      </c>
      <c r="L104" s="117">
        <f>IF(C104="","",IF(F104="","EKSİK","TAM"))</f>
        <v/>
      </c>
      <c r="M104" s="118" t="n"/>
    </row>
    <row r="105" ht="15" customHeight="1" s="64">
      <c r="A105" s="118" t="n"/>
      <c r="B105" s="118" t="n"/>
      <c r="C105" s="118" t="n"/>
      <c r="D105" s="118" t="n"/>
      <c r="E105" s="118" t="n"/>
      <c r="F105" s="118" t="n"/>
      <c r="G105" s="120">
        <f>IF(C105="","",C105*D105)</f>
        <v/>
      </c>
      <c r="H105" s="120">
        <f>IF(C105="","",C105*E105)</f>
        <v/>
      </c>
      <c r="I105" s="115">
        <f>IF(C105="","",IFERROR(D105/(E105+(E105=0))-1,0))</f>
        <v/>
      </c>
      <c r="J105" s="117">
        <f>IF(C105="","",IF(ABS(I105)&gt;AYARLAR!$C$14,"RİSKLİ","NORMAL"))</f>
        <v/>
      </c>
      <c r="K105" s="115">
        <f>IF(G105="","",IFERROR(G105/MOTOR!$B$20,0))</f>
        <v/>
      </c>
      <c r="L105" s="117">
        <f>IF(C105="","",IF(F105="","EKSİK","TAM"))</f>
        <v/>
      </c>
      <c r="M105" s="118" t="n"/>
    </row>
    <row r="106" ht="15" customHeight="1" s="64">
      <c r="A106" s="118" t="n"/>
      <c r="B106" s="118" t="n"/>
      <c r="C106" s="118" t="n"/>
      <c r="D106" s="118" t="n"/>
      <c r="E106" s="118" t="n"/>
      <c r="F106" s="118" t="n"/>
      <c r="G106" s="120">
        <f>IF(C106="","",C106*D106)</f>
        <v/>
      </c>
      <c r="H106" s="120">
        <f>IF(C106="","",C106*E106)</f>
        <v/>
      </c>
      <c r="I106" s="115">
        <f>IF(C106="","",IFERROR(D106/(E106+(E106=0))-1,0))</f>
        <v/>
      </c>
      <c r="J106" s="117">
        <f>IF(C106="","",IF(ABS(I106)&gt;AYARLAR!$C$14,"RİSKLİ","NORMAL"))</f>
        <v/>
      </c>
      <c r="K106" s="115">
        <f>IF(G106="","",IFERROR(G106/MOTOR!$B$20,0))</f>
        <v/>
      </c>
      <c r="L106" s="117">
        <f>IF(C106="","",IF(F106="","EKSİK","TAM"))</f>
        <v/>
      </c>
      <c r="M106" s="118" t="n"/>
    </row>
    <row r="107" ht="15" customHeight="1" s="64">
      <c r="A107" s="118" t="n"/>
      <c r="B107" s="118" t="n"/>
      <c r="C107" s="118" t="n"/>
      <c r="D107" s="118" t="n"/>
      <c r="E107" s="118" t="n"/>
      <c r="F107" s="118" t="n"/>
      <c r="G107" s="120">
        <f>IF(C107="","",C107*D107)</f>
        <v/>
      </c>
      <c r="H107" s="120">
        <f>IF(C107="","",C107*E107)</f>
        <v/>
      </c>
      <c r="I107" s="115">
        <f>IF(C107="","",IFERROR(D107/(E107+(E107=0))-1,0))</f>
        <v/>
      </c>
      <c r="J107" s="117">
        <f>IF(C107="","",IF(ABS(I107)&gt;AYARLAR!$C$14,"RİSKLİ","NORMAL"))</f>
        <v/>
      </c>
      <c r="K107" s="115">
        <f>IF(G107="","",IFERROR(G107/MOTOR!$B$20,0))</f>
        <v/>
      </c>
      <c r="L107" s="117">
        <f>IF(C107="","",IF(F107="","EKSİK","TAM"))</f>
        <v/>
      </c>
      <c r="M107" s="118" t="n"/>
    </row>
    <row r="108" ht="15" customHeight="1" s="64">
      <c r="A108" s="118" t="n"/>
      <c r="B108" s="118" t="n"/>
      <c r="C108" s="118" t="n"/>
      <c r="D108" s="118" t="n"/>
      <c r="E108" s="118" t="n"/>
      <c r="F108" s="118" t="n"/>
      <c r="G108" s="120">
        <f>IF(C108="","",C108*D108)</f>
        <v/>
      </c>
      <c r="H108" s="120">
        <f>IF(C108="","",C108*E108)</f>
        <v/>
      </c>
      <c r="I108" s="115">
        <f>IF(C108="","",IFERROR(D108/(E108+(E108=0))-1,0))</f>
        <v/>
      </c>
      <c r="J108" s="117">
        <f>IF(C108="","",IF(ABS(I108)&gt;AYARLAR!$C$14,"RİSKLİ","NORMAL"))</f>
        <v/>
      </c>
      <c r="K108" s="115">
        <f>IF(G108="","",IFERROR(G108/MOTOR!$B$20,0))</f>
        <v/>
      </c>
      <c r="L108" s="117">
        <f>IF(C108="","",IF(F108="","EKSİK","TAM"))</f>
        <v/>
      </c>
      <c r="M108" s="118" t="n"/>
    </row>
    <row r="109" ht="15" customHeight="1" s="64">
      <c r="A109" s="118" t="n"/>
      <c r="B109" s="118" t="n"/>
      <c r="C109" s="118" t="n"/>
      <c r="D109" s="118" t="n"/>
      <c r="E109" s="118" t="n"/>
      <c r="F109" s="118" t="n"/>
      <c r="G109" s="120">
        <f>IF(C109="","",C109*D109)</f>
        <v/>
      </c>
      <c r="H109" s="120">
        <f>IF(C109="","",C109*E109)</f>
        <v/>
      </c>
      <c r="I109" s="115">
        <f>IF(C109="","",IFERROR(D109/(E109+(E109=0))-1,0))</f>
        <v/>
      </c>
      <c r="J109" s="117">
        <f>IF(C109="","",IF(ABS(I109)&gt;AYARLAR!$C$14,"RİSKLİ","NORMAL"))</f>
        <v/>
      </c>
      <c r="K109" s="115">
        <f>IF(G109="","",IFERROR(G109/MOTOR!$B$20,0))</f>
        <v/>
      </c>
      <c r="L109" s="117">
        <f>IF(C109="","",IF(F109="","EKSİK","TAM"))</f>
        <v/>
      </c>
      <c r="M109" s="118" t="n"/>
    </row>
    <row r="110" ht="15" customHeight="1" s="64">
      <c r="A110" s="118" t="n"/>
      <c r="B110" s="118" t="n"/>
      <c r="C110" s="118" t="n"/>
      <c r="D110" s="118" t="n"/>
      <c r="E110" s="118" t="n"/>
      <c r="F110" s="118" t="n"/>
      <c r="G110" s="120">
        <f>IF(C110="","",C110*D110)</f>
        <v/>
      </c>
      <c r="H110" s="120">
        <f>IF(C110="","",C110*E110)</f>
        <v/>
      </c>
      <c r="I110" s="115">
        <f>IF(C110="","",IFERROR(D110/(E110+(E110=0))-1,0))</f>
        <v/>
      </c>
      <c r="J110" s="117">
        <f>IF(C110="","",IF(ABS(I110)&gt;AYARLAR!$C$14,"RİSKLİ","NORMAL"))</f>
        <v/>
      </c>
      <c r="K110" s="115">
        <f>IF(G110="","",IFERROR(G110/MOTOR!$B$20,0))</f>
        <v/>
      </c>
      <c r="L110" s="117">
        <f>IF(C110="","",IF(F110="","EKSİK","TAM"))</f>
        <v/>
      </c>
      <c r="M110" s="118" t="n"/>
    </row>
    <row r="111" ht="15" customHeight="1" s="64">
      <c r="A111" s="118" t="n"/>
      <c r="B111" s="118" t="n"/>
      <c r="C111" s="118" t="n"/>
      <c r="D111" s="118" t="n"/>
      <c r="E111" s="118" t="n"/>
      <c r="F111" s="118" t="n"/>
      <c r="G111" s="120">
        <f>IF(C111="","",C111*D111)</f>
        <v/>
      </c>
      <c r="H111" s="120">
        <f>IF(C111="","",C111*E111)</f>
        <v/>
      </c>
      <c r="I111" s="115">
        <f>IF(C111="","",IFERROR(D111/(E111+(E111=0))-1,0))</f>
        <v/>
      </c>
      <c r="J111" s="117">
        <f>IF(C111="","",IF(ABS(I111)&gt;AYARLAR!$C$14,"RİSKLİ","NORMAL"))</f>
        <v/>
      </c>
      <c r="K111" s="115">
        <f>IF(G111="","",IFERROR(G111/MOTOR!$B$20,0))</f>
        <v/>
      </c>
      <c r="L111" s="117">
        <f>IF(C111="","",IF(F111="","EKSİK","TAM"))</f>
        <v/>
      </c>
      <c r="M111" s="118" t="n"/>
    </row>
    <row r="112" ht="15" customHeight="1" s="64">
      <c r="A112" s="118" t="n"/>
      <c r="B112" s="118" t="n"/>
      <c r="C112" s="118" t="n"/>
      <c r="D112" s="118" t="n"/>
      <c r="E112" s="118" t="n"/>
      <c r="F112" s="118" t="n"/>
      <c r="G112" s="120">
        <f>IF(C112="","",C112*D112)</f>
        <v/>
      </c>
      <c r="H112" s="120">
        <f>IF(C112="","",C112*E112)</f>
        <v/>
      </c>
      <c r="I112" s="115">
        <f>IF(C112="","",IFERROR(D112/(E112+(E112=0))-1,0))</f>
        <v/>
      </c>
      <c r="J112" s="117">
        <f>IF(C112="","",IF(ABS(I112)&gt;AYARLAR!$C$14,"RİSKLİ","NORMAL"))</f>
        <v/>
      </c>
      <c r="K112" s="115">
        <f>IF(G112="","",IFERROR(G112/MOTOR!$B$20,0))</f>
        <v/>
      </c>
      <c r="L112" s="117">
        <f>IF(C112="","",IF(F112="","EKSİK","TAM"))</f>
        <v/>
      </c>
      <c r="M112" s="118" t="n"/>
    </row>
    <row r="113" ht="15" customHeight="1" s="64">
      <c r="A113" s="118" t="n"/>
      <c r="B113" s="118" t="n"/>
      <c r="C113" s="118" t="n"/>
      <c r="D113" s="118" t="n"/>
      <c r="E113" s="118" t="n"/>
      <c r="F113" s="118" t="n"/>
      <c r="G113" s="120">
        <f>IF(C113="","",C113*D113)</f>
        <v/>
      </c>
      <c r="H113" s="120">
        <f>IF(C113="","",C113*E113)</f>
        <v/>
      </c>
      <c r="I113" s="115">
        <f>IF(C113="","",IFERROR(D113/(E113+(E113=0))-1,0))</f>
        <v/>
      </c>
      <c r="J113" s="117">
        <f>IF(C113="","",IF(ABS(I113)&gt;AYARLAR!$C$14,"RİSKLİ","NORMAL"))</f>
        <v/>
      </c>
      <c r="K113" s="115">
        <f>IF(G113="","",IFERROR(G113/MOTOR!$B$20,0))</f>
        <v/>
      </c>
      <c r="L113" s="117">
        <f>IF(C113="","",IF(F113="","EKSİK","TAM"))</f>
        <v/>
      </c>
      <c r="M113" s="118" t="n"/>
    </row>
    <row r="114" ht="15" customHeight="1" s="64">
      <c r="A114" s="118" t="n"/>
      <c r="B114" s="118" t="n"/>
      <c r="C114" s="118" t="n"/>
      <c r="D114" s="118" t="n"/>
      <c r="E114" s="118" t="n"/>
      <c r="F114" s="118" t="n"/>
      <c r="G114" s="120">
        <f>IF(C114="","",C114*D114)</f>
        <v/>
      </c>
      <c r="H114" s="120">
        <f>IF(C114="","",C114*E114)</f>
        <v/>
      </c>
      <c r="I114" s="115">
        <f>IF(C114="","",IFERROR(D114/(E114+(E114=0))-1,0))</f>
        <v/>
      </c>
      <c r="J114" s="117">
        <f>IF(C114="","",IF(ABS(I114)&gt;AYARLAR!$C$14,"RİSKLİ","NORMAL"))</f>
        <v/>
      </c>
      <c r="K114" s="115">
        <f>IF(G114="","",IFERROR(G114/MOTOR!$B$20,0))</f>
        <v/>
      </c>
      <c r="L114" s="117">
        <f>IF(C114="","",IF(F114="","EKSİK","TAM"))</f>
        <v/>
      </c>
      <c r="M114" s="118" t="n"/>
    </row>
    <row r="115" ht="15" customHeight="1" s="64">
      <c r="A115" s="118" t="n"/>
      <c r="B115" s="118" t="n"/>
      <c r="C115" s="118" t="n"/>
      <c r="D115" s="118" t="n"/>
      <c r="E115" s="118" t="n"/>
      <c r="F115" s="118" t="n"/>
      <c r="G115" s="120">
        <f>IF(C115="","",C115*D115)</f>
        <v/>
      </c>
      <c r="H115" s="120">
        <f>IF(C115="","",C115*E115)</f>
        <v/>
      </c>
      <c r="I115" s="115">
        <f>IF(C115="","",IFERROR(D115/(E115+(E115=0))-1,0))</f>
        <v/>
      </c>
      <c r="J115" s="117">
        <f>IF(C115="","",IF(ABS(I115)&gt;AYARLAR!$C$14,"RİSKLİ","NORMAL"))</f>
        <v/>
      </c>
      <c r="K115" s="115">
        <f>IF(G115="","",IFERROR(G115/MOTOR!$B$20,0))</f>
        <v/>
      </c>
      <c r="L115" s="117">
        <f>IF(C115="","",IF(F115="","EKSİK","TAM"))</f>
        <v/>
      </c>
      <c r="M115" s="118" t="n"/>
    </row>
    <row r="116" ht="15" customHeight="1" s="64">
      <c r="A116" s="118" t="n"/>
      <c r="B116" s="118" t="n"/>
      <c r="C116" s="118" t="n"/>
      <c r="D116" s="118" t="n"/>
      <c r="E116" s="118" t="n"/>
      <c r="F116" s="118" t="n"/>
      <c r="G116" s="120">
        <f>IF(C116="","",C116*D116)</f>
        <v/>
      </c>
      <c r="H116" s="120">
        <f>IF(C116="","",C116*E116)</f>
        <v/>
      </c>
      <c r="I116" s="115">
        <f>IF(C116="","",IFERROR(D116/(E116+(E116=0))-1,0))</f>
        <v/>
      </c>
      <c r="J116" s="117">
        <f>IF(C116="","",IF(ABS(I116)&gt;AYARLAR!$C$14,"RİSKLİ","NORMAL"))</f>
        <v/>
      </c>
      <c r="K116" s="115">
        <f>IF(G116="","",IFERROR(G116/MOTOR!$B$20,0))</f>
        <v/>
      </c>
      <c r="L116" s="117">
        <f>IF(C116="","",IF(F116="","EKSİK","TAM"))</f>
        <v/>
      </c>
      <c r="M116" s="118" t="n"/>
    </row>
    <row r="117" ht="15" customHeight="1" s="64">
      <c r="A117" s="118" t="n"/>
      <c r="B117" s="118" t="n"/>
      <c r="C117" s="118" t="n"/>
      <c r="D117" s="118" t="n"/>
      <c r="E117" s="118" t="n"/>
      <c r="F117" s="118" t="n"/>
      <c r="G117" s="120">
        <f>IF(C117="","",C117*D117)</f>
        <v/>
      </c>
      <c r="H117" s="120">
        <f>IF(C117="","",C117*E117)</f>
        <v/>
      </c>
      <c r="I117" s="115">
        <f>IF(C117="","",IFERROR(D117/(E117+(E117=0))-1,0))</f>
        <v/>
      </c>
      <c r="J117" s="117">
        <f>IF(C117="","",IF(ABS(I117)&gt;AYARLAR!$C$14,"RİSKLİ","NORMAL"))</f>
        <v/>
      </c>
      <c r="K117" s="115">
        <f>IF(G117="","",IFERROR(G117/MOTOR!$B$20,0))</f>
        <v/>
      </c>
      <c r="L117" s="117">
        <f>IF(C117="","",IF(F117="","EKSİK","TAM"))</f>
        <v/>
      </c>
      <c r="M117" s="118" t="n"/>
    </row>
    <row r="118" ht="15" customHeight="1" s="64">
      <c r="A118" s="118" t="n"/>
      <c r="B118" s="118" t="n"/>
      <c r="C118" s="118" t="n"/>
      <c r="D118" s="118" t="n"/>
      <c r="E118" s="118" t="n"/>
      <c r="F118" s="118" t="n"/>
      <c r="G118" s="120">
        <f>IF(C118="","",C118*D118)</f>
        <v/>
      </c>
      <c r="H118" s="120">
        <f>IF(C118="","",C118*E118)</f>
        <v/>
      </c>
      <c r="I118" s="115">
        <f>IF(C118="","",IFERROR(D118/(E118+(E118=0))-1,0))</f>
        <v/>
      </c>
      <c r="J118" s="117">
        <f>IF(C118="","",IF(ABS(I118)&gt;AYARLAR!$C$14,"RİSKLİ","NORMAL"))</f>
        <v/>
      </c>
      <c r="K118" s="115">
        <f>IF(G118="","",IFERROR(G118/MOTOR!$B$20,0))</f>
        <v/>
      </c>
      <c r="L118" s="117">
        <f>IF(C118="","",IF(F118="","EKSİK","TAM"))</f>
        <v/>
      </c>
      <c r="M118" s="118" t="n"/>
    </row>
    <row r="119" ht="15" customHeight="1" s="64">
      <c r="A119" s="118" t="n"/>
      <c r="B119" s="118" t="n"/>
      <c r="C119" s="118" t="n"/>
      <c r="D119" s="118" t="n"/>
      <c r="E119" s="118" t="n"/>
      <c r="F119" s="118" t="n"/>
      <c r="G119" s="120">
        <f>IF(C119="","",C119*D119)</f>
        <v/>
      </c>
      <c r="H119" s="120">
        <f>IF(C119="","",C119*E119)</f>
        <v/>
      </c>
      <c r="I119" s="115">
        <f>IF(C119="","",IFERROR(D119/(E119+(E119=0))-1,0))</f>
        <v/>
      </c>
      <c r="J119" s="117">
        <f>IF(C119="","",IF(ABS(I119)&gt;AYARLAR!$C$14,"RİSKLİ","NORMAL"))</f>
        <v/>
      </c>
      <c r="K119" s="115">
        <f>IF(G119="","",IFERROR(G119/MOTOR!$B$20,0))</f>
        <v/>
      </c>
      <c r="L119" s="117">
        <f>IF(C119="","",IF(F119="","EKSİK","TAM"))</f>
        <v/>
      </c>
      <c r="M119" s="118" t="n"/>
    </row>
    <row r="120" ht="15" customHeight="1" s="64">
      <c r="A120" s="118" t="n"/>
      <c r="B120" s="118" t="n"/>
      <c r="C120" s="118" t="n"/>
      <c r="D120" s="118" t="n"/>
      <c r="E120" s="118" t="n"/>
      <c r="F120" s="118" t="n"/>
      <c r="G120" s="120">
        <f>IF(C120="","",C120*D120)</f>
        <v/>
      </c>
      <c r="H120" s="120">
        <f>IF(C120="","",C120*E120)</f>
        <v/>
      </c>
      <c r="I120" s="115">
        <f>IF(C120="","",IFERROR(D120/(E120+(E120=0))-1,0))</f>
        <v/>
      </c>
      <c r="J120" s="117">
        <f>IF(C120="","",IF(ABS(I120)&gt;AYARLAR!$C$14,"RİSKLİ","NORMAL"))</f>
        <v/>
      </c>
      <c r="K120" s="115">
        <f>IF(G120="","",IFERROR(G120/MOTOR!$B$20,0))</f>
        <v/>
      </c>
      <c r="L120" s="117">
        <f>IF(C120="","",IF(F120="","EKSİK","TAM"))</f>
        <v/>
      </c>
      <c r="M120" s="118" t="n"/>
    </row>
    <row r="121" ht="15" customHeight="1" s="64">
      <c r="A121" s="118" t="n"/>
      <c r="B121" s="118" t="n"/>
      <c r="C121" s="118" t="n"/>
      <c r="D121" s="118" t="n"/>
      <c r="E121" s="118" t="n"/>
      <c r="F121" s="118" t="n"/>
      <c r="G121" s="120">
        <f>IF(C121="","",C121*D121)</f>
        <v/>
      </c>
      <c r="H121" s="120">
        <f>IF(C121="","",C121*E121)</f>
        <v/>
      </c>
      <c r="I121" s="115">
        <f>IF(C121="","",IFERROR(D121/(E121+(E121=0))-1,0))</f>
        <v/>
      </c>
      <c r="J121" s="117">
        <f>IF(C121="","",IF(ABS(I121)&gt;AYARLAR!$C$14,"RİSKLİ","NORMAL"))</f>
        <v/>
      </c>
      <c r="K121" s="115">
        <f>IF(G121="","",IFERROR(G121/MOTOR!$B$20,0))</f>
        <v/>
      </c>
      <c r="L121" s="117">
        <f>IF(C121="","",IF(F121="","EKSİK","TAM"))</f>
        <v/>
      </c>
      <c r="M121" s="118" t="n"/>
    </row>
    <row r="122" ht="15" customHeight="1" s="64">
      <c r="A122" s="118" t="n"/>
      <c r="B122" s="118" t="n"/>
      <c r="C122" s="118" t="n"/>
      <c r="D122" s="118" t="n"/>
      <c r="E122" s="118" t="n"/>
      <c r="F122" s="118" t="n"/>
      <c r="G122" s="120">
        <f>IF(C122="","",C122*D122)</f>
        <v/>
      </c>
      <c r="H122" s="120">
        <f>IF(C122="","",C122*E122)</f>
        <v/>
      </c>
      <c r="I122" s="115">
        <f>IF(C122="","",IFERROR(D122/(E122+(E122=0))-1,0))</f>
        <v/>
      </c>
      <c r="J122" s="117">
        <f>IF(C122="","",IF(ABS(I122)&gt;AYARLAR!$C$14,"RİSKLİ","NORMAL"))</f>
        <v/>
      </c>
      <c r="K122" s="115">
        <f>IF(G122="","",IFERROR(G122/MOTOR!$B$20,0))</f>
        <v/>
      </c>
      <c r="L122" s="117">
        <f>IF(C122="","",IF(F122="","EKSİK","TAM"))</f>
        <v/>
      </c>
      <c r="M122" s="118" t="n"/>
    </row>
    <row r="123" ht="15" customHeight="1" s="64">
      <c r="A123" s="118" t="n"/>
      <c r="B123" s="118" t="n"/>
      <c r="C123" s="118" t="n"/>
      <c r="D123" s="118" t="n"/>
      <c r="E123" s="118" t="n"/>
      <c r="F123" s="118" t="n"/>
      <c r="G123" s="120">
        <f>IF(C123="","",C123*D123)</f>
        <v/>
      </c>
      <c r="H123" s="120">
        <f>IF(C123="","",C123*E123)</f>
        <v/>
      </c>
      <c r="I123" s="115">
        <f>IF(C123="","",IFERROR(D123/(E123+(E123=0))-1,0))</f>
        <v/>
      </c>
      <c r="J123" s="117">
        <f>IF(C123="","",IF(ABS(I123)&gt;AYARLAR!$C$14,"RİSKLİ","NORMAL"))</f>
        <v/>
      </c>
      <c r="K123" s="115">
        <f>IF(G123="","",IFERROR(G123/MOTOR!$B$20,0))</f>
        <v/>
      </c>
      <c r="L123" s="117">
        <f>IF(C123="","",IF(F123="","EKSİK","TAM"))</f>
        <v/>
      </c>
      <c r="M123" s="118" t="n"/>
    </row>
    <row r="124" ht="15" customHeight="1" s="64">
      <c r="A124" s="118" t="n"/>
      <c r="B124" s="118" t="n"/>
      <c r="C124" s="118" t="n"/>
      <c r="D124" s="118" t="n"/>
      <c r="E124" s="118" t="n"/>
      <c r="F124" s="118" t="n"/>
      <c r="G124" s="120">
        <f>IF(C124="","",C124*D124)</f>
        <v/>
      </c>
      <c r="H124" s="120">
        <f>IF(C124="","",C124*E124)</f>
        <v/>
      </c>
      <c r="I124" s="115">
        <f>IF(C124="","",IFERROR(D124/(E124+(E124=0))-1,0))</f>
        <v/>
      </c>
      <c r="J124" s="117">
        <f>IF(C124="","",IF(ABS(I124)&gt;AYARLAR!$C$14,"RİSKLİ","NORMAL"))</f>
        <v/>
      </c>
      <c r="K124" s="115">
        <f>IF(G124="","",IFERROR(G124/MOTOR!$B$20,0))</f>
        <v/>
      </c>
      <c r="L124" s="117">
        <f>IF(C124="","",IF(F124="","EKSİK","TAM"))</f>
        <v/>
      </c>
      <c r="M124" s="118" t="n"/>
    </row>
    <row r="125" ht="15" customHeight="1" s="64">
      <c r="A125" s="118" t="n"/>
      <c r="B125" s="118" t="n"/>
      <c r="C125" s="118" t="n"/>
      <c r="D125" s="118" t="n"/>
      <c r="E125" s="118" t="n"/>
      <c r="F125" s="118" t="n"/>
      <c r="G125" s="120">
        <f>IF(C125="","",C125*D125)</f>
        <v/>
      </c>
      <c r="H125" s="120">
        <f>IF(C125="","",C125*E125)</f>
        <v/>
      </c>
      <c r="I125" s="115">
        <f>IF(C125="","",IFERROR(D125/(E125+(E125=0))-1,0))</f>
        <v/>
      </c>
      <c r="J125" s="117">
        <f>IF(C125="","",IF(ABS(I125)&gt;AYARLAR!$C$14,"RİSKLİ","NORMAL"))</f>
        <v/>
      </c>
      <c r="K125" s="115">
        <f>IF(G125="","",IFERROR(G125/MOTOR!$B$20,0))</f>
        <v/>
      </c>
      <c r="L125" s="117">
        <f>IF(C125="","",IF(F125="","EKSİK","TAM"))</f>
        <v/>
      </c>
      <c r="M125" s="118" t="n"/>
    </row>
    <row r="126" ht="15" customHeight="1" s="64">
      <c r="A126" s="118" t="n"/>
      <c r="B126" s="118" t="n"/>
      <c r="C126" s="118" t="n"/>
      <c r="D126" s="118" t="n"/>
      <c r="E126" s="118" t="n"/>
      <c r="F126" s="118" t="n"/>
      <c r="G126" s="120">
        <f>IF(C126="","",C126*D126)</f>
        <v/>
      </c>
      <c r="H126" s="120">
        <f>IF(C126="","",C126*E126)</f>
        <v/>
      </c>
      <c r="I126" s="115">
        <f>IF(C126="","",IFERROR(D126/(E126+(E126=0))-1,0))</f>
        <v/>
      </c>
      <c r="J126" s="117">
        <f>IF(C126="","",IF(ABS(I126)&gt;AYARLAR!$C$14,"RİSKLİ","NORMAL"))</f>
        <v/>
      </c>
      <c r="K126" s="115">
        <f>IF(G126="","",IFERROR(G126/MOTOR!$B$20,0))</f>
        <v/>
      </c>
      <c r="L126" s="117">
        <f>IF(C126="","",IF(F126="","EKSİK","TAM"))</f>
        <v/>
      </c>
      <c r="M126" s="118" t="n"/>
    </row>
    <row r="127" ht="15" customHeight="1" s="64">
      <c r="A127" s="118" t="n"/>
      <c r="B127" s="118" t="n"/>
      <c r="C127" s="118" t="n"/>
      <c r="D127" s="118" t="n"/>
      <c r="E127" s="118" t="n"/>
      <c r="F127" s="118" t="n"/>
      <c r="G127" s="120">
        <f>IF(C127="","",C127*D127)</f>
        <v/>
      </c>
      <c r="H127" s="120">
        <f>IF(C127="","",C127*E127)</f>
        <v/>
      </c>
      <c r="I127" s="115">
        <f>IF(C127="","",IFERROR(D127/(E127+(E127=0))-1,0))</f>
        <v/>
      </c>
      <c r="J127" s="117">
        <f>IF(C127="","",IF(ABS(I127)&gt;AYARLAR!$C$14,"RİSKLİ","NORMAL"))</f>
        <v/>
      </c>
      <c r="K127" s="115">
        <f>IF(G127="","",IFERROR(G127/MOTOR!$B$20,0))</f>
        <v/>
      </c>
      <c r="L127" s="117">
        <f>IF(C127="","",IF(F127="","EKSİK","TAM"))</f>
        <v/>
      </c>
      <c r="M127" s="118" t="n"/>
    </row>
    <row r="128" ht="15" customHeight="1" s="64">
      <c r="A128" s="118" t="n"/>
      <c r="B128" s="118" t="n"/>
      <c r="C128" s="118" t="n"/>
      <c r="D128" s="118" t="n"/>
      <c r="E128" s="118" t="n"/>
      <c r="F128" s="118" t="n"/>
      <c r="G128" s="120">
        <f>IF(C128="","",C128*D128)</f>
        <v/>
      </c>
      <c r="H128" s="120">
        <f>IF(C128="","",C128*E128)</f>
        <v/>
      </c>
      <c r="I128" s="115">
        <f>IF(C128="","",IFERROR(D128/(E128+(E128=0))-1,0))</f>
        <v/>
      </c>
      <c r="J128" s="117">
        <f>IF(C128="","",IF(ABS(I128)&gt;AYARLAR!$C$14,"RİSKLİ","NORMAL"))</f>
        <v/>
      </c>
      <c r="K128" s="115">
        <f>IF(G128="","",IFERROR(G128/MOTOR!$B$20,0))</f>
        <v/>
      </c>
      <c r="L128" s="117">
        <f>IF(C128="","",IF(F128="","EKSİK","TAM"))</f>
        <v/>
      </c>
      <c r="M128" s="118" t="n"/>
    </row>
    <row r="129" ht="15" customHeight="1" s="64">
      <c r="A129" s="118" t="n"/>
      <c r="B129" s="118" t="n"/>
      <c r="C129" s="118" t="n"/>
      <c r="D129" s="118" t="n"/>
      <c r="E129" s="118" t="n"/>
      <c r="F129" s="118" t="n"/>
      <c r="G129" s="120">
        <f>IF(C129="","",C129*D129)</f>
        <v/>
      </c>
      <c r="H129" s="120">
        <f>IF(C129="","",C129*E129)</f>
        <v/>
      </c>
      <c r="I129" s="115">
        <f>IF(C129="","",IFERROR(D129/(E129+(E129=0))-1,0))</f>
        <v/>
      </c>
      <c r="J129" s="117">
        <f>IF(C129="","",IF(ABS(I129)&gt;AYARLAR!$C$14,"RİSKLİ","NORMAL"))</f>
        <v/>
      </c>
      <c r="K129" s="115">
        <f>IF(G129="","",IFERROR(G129/MOTOR!$B$20,0))</f>
        <v/>
      </c>
      <c r="L129" s="117">
        <f>IF(C129="","",IF(F129="","EKSİK","TAM"))</f>
        <v/>
      </c>
      <c r="M129" s="118" t="n"/>
    </row>
    <row r="130" ht="15" customHeight="1" s="64">
      <c r="A130" s="118" t="n"/>
      <c r="B130" s="118" t="n"/>
      <c r="C130" s="118" t="n"/>
      <c r="D130" s="118" t="n"/>
      <c r="E130" s="118" t="n"/>
      <c r="F130" s="118" t="n"/>
      <c r="G130" s="120">
        <f>IF(C130="","",C130*D130)</f>
        <v/>
      </c>
      <c r="H130" s="120">
        <f>IF(C130="","",C130*E130)</f>
        <v/>
      </c>
      <c r="I130" s="115">
        <f>IF(C130="","",IFERROR(D130/(E130+(E130=0))-1,0))</f>
        <v/>
      </c>
      <c r="J130" s="117">
        <f>IF(C130="","",IF(ABS(I130)&gt;AYARLAR!$C$14,"RİSKLİ","NORMAL"))</f>
        <v/>
      </c>
      <c r="K130" s="115">
        <f>IF(G130="","",IFERROR(G130/MOTOR!$B$20,0))</f>
        <v/>
      </c>
      <c r="L130" s="117">
        <f>IF(C130="","",IF(F130="","EKSİK","TAM"))</f>
        <v/>
      </c>
      <c r="M130" s="118" t="n"/>
    </row>
    <row r="131" ht="15" customHeight="1" s="64">
      <c r="A131" s="118" t="n"/>
      <c r="B131" s="118" t="n"/>
      <c r="C131" s="118" t="n"/>
      <c r="D131" s="118" t="n"/>
      <c r="E131" s="118" t="n"/>
      <c r="F131" s="118" t="n"/>
      <c r="G131" s="120">
        <f>IF(C131="","",C131*D131)</f>
        <v/>
      </c>
      <c r="H131" s="120">
        <f>IF(C131="","",C131*E131)</f>
        <v/>
      </c>
      <c r="I131" s="115">
        <f>IF(C131="","",IFERROR(D131/(E131+(E131=0))-1,0))</f>
        <v/>
      </c>
      <c r="J131" s="117">
        <f>IF(C131="","",IF(ABS(I131)&gt;AYARLAR!$C$14,"RİSKLİ","NORMAL"))</f>
        <v/>
      </c>
      <c r="K131" s="115">
        <f>IF(G131="","",IFERROR(G131/MOTOR!$B$20,0))</f>
        <v/>
      </c>
      <c r="L131" s="117">
        <f>IF(C131="","",IF(F131="","EKSİK","TAM"))</f>
        <v/>
      </c>
      <c r="M131" s="118" t="n"/>
    </row>
    <row r="132" ht="15" customHeight="1" s="64">
      <c r="A132" s="118" t="n"/>
      <c r="B132" s="118" t="n"/>
      <c r="C132" s="118" t="n"/>
      <c r="D132" s="118" t="n"/>
      <c r="E132" s="118" t="n"/>
      <c r="F132" s="118" t="n"/>
      <c r="G132" s="120">
        <f>IF(C132="","",C132*D132)</f>
        <v/>
      </c>
      <c r="H132" s="120">
        <f>IF(C132="","",C132*E132)</f>
        <v/>
      </c>
      <c r="I132" s="115">
        <f>IF(C132="","",IFERROR(D132/(E132+(E132=0))-1,0))</f>
        <v/>
      </c>
      <c r="J132" s="117">
        <f>IF(C132="","",IF(ABS(I132)&gt;AYARLAR!$C$14,"RİSKLİ","NORMAL"))</f>
        <v/>
      </c>
      <c r="K132" s="115">
        <f>IF(G132="","",IFERROR(G132/MOTOR!$B$20,0))</f>
        <v/>
      </c>
      <c r="L132" s="117">
        <f>IF(C132="","",IF(F132="","EKSİK","TAM"))</f>
        <v/>
      </c>
      <c r="M132" s="118" t="n"/>
    </row>
    <row r="133" ht="15" customHeight="1" s="64">
      <c r="A133" s="118" t="n"/>
      <c r="B133" s="118" t="n"/>
      <c r="C133" s="118" t="n"/>
      <c r="D133" s="118" t="n"/>
      <c r="E133" s="118" t="n"/>
      <c r="F133" s="118" t="n"/>
      <c r="G133" s="120">
        <f>IF(C133="","",C133*D133)</f>
        <v/>
      </c>
      <c r="H133" s="120">
        <f>IF(C133="","",C133*E133)</f>
        <v/>
      </c>
      <c r="I133" s="115">
        <f>IF(C133="","",IFERROR(D133/(E133+(E133=0))-1,0))</f>
        <v/>
      </c>
      <c r="J133" s="117">
        <f>IF(C133="","",IF(ABS(I133)&gt;AYARLAR!$C$14,"RİSKLİ","NORMAL"))</f>
        <v/>
      </c>
      <c r="K133" s="115">
        <f>IF(G133="","",IFERROR(G133/MOTOR!$B$20,0))</f>
        <v/>
      </c>
      <c r="L133" s="117">
        <f>IF(C133="","",IF(F133="","EKSİK","TAM"))</f>
        <v/>
      </c>
      <c r="M133" s="118" t="n"/>
    </row>
    <row r="134" ht="15" customHeight="1" s="64">
      <c r="A134" s="118" t="n"/>
      <c r="B134" s="118" t="n"/>
      <c r="C134" s="118" t="n"/>
      <c r="D134" s="118" t="n"/>
      <c r="E134" s="118" t="n"/>
      <c r="F134" s="118" t="n"/>
      <c r="G134" s="120">
        <f>IF(C134="","",C134*D134)</f>
        <v/>
      </c>
      <c r="H134" s="120">
        <f>IF(C134="","",C134*E134)</f>
        <v/>
      </c>
      <c r="I134" s="115">
        <f>IF(C134="","",IFERROR(D134/(E134+(E134=0))-1,0))</f>
        <v/>
      </c>
      <c r="J134" s="117">
        <f>IF(C134="","",IF(ABS(I134)&gt;AYARLAR!$C$14,"RİSKLİ","NORMAL"))</f>
        <v/>
      </c>
      <c r="K134" s="115">
        <f>IF(G134="","",IFERROR(G134/MOTOR!$B$20,0))</f>
        <v/>
      </c>
      <c r="L134" s="117">
        <f>IF(C134="","",IF(F134="","EKSİK","TAM"))</f>
        <v/>
      </c>
      <c r="M134" s="118" t="n"/>
    </row>
    <row r="135" ht="15" customHeight="1" s="64">
      <c r="A135" s="118" t="n"/>
      <c r="B135" s="118" t="n"/>
      <c r="C135" s="118" t="n"/>
      <c r="D135" s="118" t="n"/>
      <c r="E135" s="118" t="n"/>
      <c r="F135" s="118" t="n"/>
      <c r="G135" s="120">
        <f>IF(C135="","",C135*D135)</f>
        <v/>
      </c>
      <c r="H135" s="120">
        <f>IF(C135="","",C135*E135)</f>
        <v/>
      </c>
      <c r="I135" s="115">
        <f>IF(C135="","",IFERROR(D135/(E135+(E135=0))-1,0))</f>
        <v/>
      </c>
      <c r="J135" s="117">
        <f>IF(C135="","",IF(ABS(I135)&gt;AYARLAR!$C$14,"RİSKLİ","NORMAL"))</f>
        <v/>
      </c>
      <c r="K135" s="115">
        <f>IF(G135="","",IFERROR(G135/MOTOR!$B$20,0))</f>
        <v/>
      </c>
      <c r="L135" s="117">
        <f>IF(C135="","",IF(F135="","EKSİK","TAM"))</f>
        <v/>
      </c>
      <c r="M135" s="118" t="n"/>
    </row>
    <row r="136" ht="15" customHeight="1" s="64">
      <c r="A136" s="118" t="n"/>
      <c r="B136" s="118" t="n"/>
      <c r="C136" s="118" t="n"/>
      <c r="D136" s="118" t="n"/>
      <c r="E136" s="118" t="n"/>
      <c r="F136" s="118" t="n"/>
      <c r="G136" s="120">
        <f>IF(C136="","",C136*D136)</f>
        <v/>
      </c>
      <c r="H136" s="120">
        <f>IF(C136="","",C136*E136)</f>
        <v/>
      </c>
      <c r="I136" s="115">
        <f>IF(C136="","",IFERROR(D136/(E136+(E136=0))-1,0))</f>
        <v/>
      </c>
      <c r="J136" s="117">
        <f>IF(C136="","",IF(ABS(I136)&gt;AYARLAR!$C$14,"RİSKLİ","NORMAL"))</f>
        <v/>
      </c>
      <c r="K136" s="115">
        <f>IF(G136="","",IFERROR(G136/MOTOR!$B$20,0))</f>
        <v/>
      </c>
      <c r="L136" s="117">
        <f>IF(C136="","",IF(F136="","EKSİK","TAM"))</f>
        <v/>
      </c>
      <c r="M136" s="118" t="n"/>
    </row>
    <row r="137" ht="15" customHeight="1" s="64">
      <c r="A137" s="118" t="n"/>
      <c r="B137" s="118" t="n"/>
      <c r="C137" s="118" t="n"/>
      <c r="D137" s="118" t="n"/>
      <c r="E137" s="118" t="n"/>
      <c r="F137" s="118" t="n"/>
      <c r="G137" s="120">
        <f>IF(C137="","",C137*D137)</f>
        <v/>
      </c>
      <c r="H137" s="120">
        <f>IF(C137="","",C137*E137)</f>
        <v/>
      </c>
      <c r="I137" s="115">
        <f>IF(C137="","",IFERROR(D137/(E137+(E137=0))-1,0))</f>
        <v/>
      </c>
      <c r="J137" s="117">
        <f>IF(C137="","",IF(ABS(I137)&gt;AYARLAR!$C$14,"RİSKLİ","NORMAL"))</f>
        <v/>
      </c>
      <c r="K137" s="115">
        <f>IF(G137="","",IFERROR(G137/MOTOR!$B$20,0))</f>
        <v/>
      </c>
      <c r="L137" s="117">
        <f>IF(C137="","",IF(F137="","EKSİK","TAM"))</f>
        <v/>
      </c>
      <c r="M137" s="118" t="n"/>
    </row>
    <row r="138" ht="15" customHeight="1" s="64">
      <c r="A138" s="118" t="n"/>
      <c r="B138" s="118" t="n"/>
      <c r="C138" s="118" t="n"/>
      <c r="D138" s="118" t="n"/>
      <c r="E138" s="118" t="n"/>
      <c r="F138" s="118" t="n"/>
      <c r="G138" s="120">
        <f>IF(C138="","",C138*D138)</f>
        <v/>
      </c>
      <c r="H138" s="120">
        <f>IF(C138="","",C138*E138)</f>
        <v/>
      </c>
      <c r="I138" s="115">
        <f>IF(C138="","",IFERROR(D138/(E138+(E138=0))-1,0))</f>
        <v/>
      </c>
      <c r="J138" s="117">
        <f>IF(C138="","",IF(ABS(I138)&gt;AYARLAR!$C$14,"RİSKLİ","NORMAL"))</f>
        <v/>
      </c>
      <c r="K138" s="115">
        <f>IF(G138="","",IFERROR(G138/MOTOR!$B$20,0))</f>
        <v/>
      </c>
      <c r="L138" s="117">
        <f>IF(C138="","",IF(F138="","EKSİK","TAM"))</f>
        <v/>
      </c>
      <c r="M138" s="118" t="n"/>
    </row>
    <row r="139" ht="15" customHeight="1" s="64">
      <c r="A139" s="118" t="n"/>
      <c r="B139" s="118" t="n"/>
      <c r="C139" s="118" t="n"/>
      <c r="D139" s="118" t="n"/>
      <c r="E139" s="118" t="n"/>
      <c r="F139" s="118" t="n"/>
      <c r="G139" s="120">
        <f>IF(C139="","",C139*D139)</f>
        <v/>
      </c>
      <c r="H139" s="120">
        <f>IF(C139="","",C139*E139)</f>
        <v/>
      </c>
      <c r="I139" s="115">
        <f>IF(C139="","",IFERROR(D139/(E139+(E139=0))-1,0))</f>
        <v/>
      </c>
      <c r="J139" s="117">
        <f>IF(C139="","",IF(ABS(I139)&gt;AYARLAR!$C$14,"RİSKLİ","NORMAL"))</f>
        <v/>
      </c>
      <c r="K139" s="115">
        <f>IF(G139="","",IFERROR(G139/MOTOR!$B$20,0))</f>
        <v/>
      </c>
      <c r="L139" s="117">
        <f>IF(C139="","",IF(F139="","EKSİK","TAM"))</f>
        <v/>
      </c>
      <c r="M139" s="118" t="n"/>
    </row>
    <row r="140" ht="15" customHeight="1" s="64">
      <c r="A140" s="118" t="n"/>
      <c r="B140" s="118" t="n"/>
      <c r="C140" s="118" t="n"/>
      <c r="D140" s="118" t="n"/>
      <c r="E140" s="118" t="n"/>
      <c r="F140" s="118" t="n"/>
      <c r="G140" s="120">
        <f>IF(C140="","",C140*D140)</f>
        <v/>
      </c>
      <c r="H140" s="120">
        <f>IF(C140="","",C140*E140)</f>
        <v/>
      </c>
      <c r="I140" s="115">
        <f>IF(C140="","",IFERROR(D140/(E140+(E140=0))-1,0))</f>
        <v/>
      </c>
      <c r="J140" s="117">
        <f>IF(C140="","",IF(ABS(I140)&gt;AYARLAR!$C$14,"RİSKLİ","NORMAL"))</f>
        <v/>
      </c>
      <c r="K140" s="115">
        <f>IF(G140="","",IFERROR(G140/MOTOR!$B$20,0))</f>
        <v/>
      </c>
      <c r="L140" s="117">
        <f>IF(C140="","",IF(F140="","EKSİK","TAM"))</f>
        <v/>
      </c>
      <c r="M140" s="118" t="n"/>
    </row>
    <row r="141" ht="15" customHeight="1" s="64">
      <c r="A141" s="118" t="n"/>
      <c r="B141" s="118" t="n"/>
      <c r="C141" s="118" t="n"/>
      <c r="D141" s="118" t="n"/>
      <c r="E141" s="118" t="n"/>
      <c r="F141" s="118" t="n"/>
      <c r="G141" s="120">
        <f>IF(C141="","",C141*D141)</f>
        <v/>
      </c>
      <c r="H141" s="120">
        <f>IF(C141="","",C141*E141)</f>
        <v/>
      </c>
      <c r="I141" s="115">
        <f>IF(C141="","",IFERROR(D141/(E141+(E141=0))-1,0))</f>
        <v/>
      </c>
      <c r="J141" s="117">
        <f>IF(C141="","",IF(ABS(I141)&gt;AYARLAR!$C$14,"RİSKLİ","NORMAL"))</f>
        <v/>
      </c>
      <c r="K141" s="115">
        <f>IF(G141="","",IFERROR(G141/MOTOR!$B$20,0))</f>
        <v/>
      </c>
      <c r="L141" s="117">
        <f>IF(C141="","",IF(F141="","EKSİK","TAM"))</f>
        <v/>
      </c>
      <c r="M141" s="118" t="n"/>
    </row>
    <row r="142" ht="15" customHeight="1" s="64">
      <c r="A142" s="118" t="n"/>
      <c r="B142" s="118" t="n"/>
      <c r="C142" s="118" t="n"/>
      <c r="D142" s="118" t="n"/>
      <c r="E142" s="118" t="n"/>
      <c r="F142" s="118" t="n"/>
      <c r="G142" s="120">
        <f>IF(C142="","",C142*D142)</f>
        <v/>
      </c>
      <c r="H142" s="120">
        <f>IF(C142="","",C142*E142)</f>
        <v/>
      </c>
      <c r="I142" s="115">
        <f>IF(C142="","",IFERROR(D142/(E142+(E142=0))-1,0))</f>
        <v/>
      </c>
      <c r="J142" s="117">
        <f>IF(C142="","",IF(ABS(I142)&gt;AYARLAR!$C$14,"RİSKLİ","NORMAL"))</f>
        <v/>
      </c>
      <c r="K142" s="115">
        <f>IF(G142="","",IFERROR(G142/MOTOR!$B$20,0))</f>
        <v/>
      </c>
      <c r="L142" s="117">
        <f>IF(C142="","",IF(F142="","EKSİK","TAM"))</f>
        <v/>
      </c>
      <c r="M142" s="118" t="n"/>
    </row>
    <row r="143" ht="15" customHeight="1" s="64">
      <c r="A143" s="118" t="n"/>
      <c r="B143" s="118" t="n"/>
      <c r="C143" s="118" t="n"/>
      <c r="D143" s="118" t="n"/>
      <c r="E143" s="118" t="n"/>
      <c r="F143" s="118" t="n"/>
      <c r="G143" s="120">
        <f>IF(C143="","",C143*D143)</f>
        <v/>
      </c>
      <c r="H143" s="120">
        <f>IF(C143="","",C143*E143)</f>
        <v/>
      </c>
      <c r="I143" s="115">
        <f>IF(C143="","",IFERROR(D143/(E143+(E143=0))-1,0))</f>
        <v/>
      </c>
      <c r="J143" s="117">
        <f>IF(C143="","",IF(ABS(I143)&gt;AYARLAR!$C$14,"RİSKLİ","NORMAL"))</f>
        <v/>
      </c>
      <c r="K143" s="115">
        <f>IF(G143="","",IFERROR(G143/MOTOR!$B$20,0))</f>
        <v/>
      </c>
      <c r="L143" s="117">
        <f>IF(C143="","",IF(F143="","EKSİK","TAM"))</f>
        <v/>
      </c>
      <c r="M143" s="118" t="n"/>
    </row>
    <row r="144" ht="15" customHeight="1" s="64">
      <c r="A144" s="118" t="n"/>
      <c r="B144" s="118" t="n"/>
      <c r="C144" s="118" t="n"/>
      <c r="D144" s="118" t="n"/>
      <c r="E144" s="118" t="n"/>
      <c r="F144" s="118" t="n"/>
      <c r="G144" s="120">
        <f>IF(C144="","",C144*D144)</f>
        <v/>
      </c>
      <c r="H144" s="120">
        <f>IF(C144="","",C144*E144)</f>
        <v/>
      </c>
      <c r="I144" s="115">
        <f>IF(C144="","",IFERROR(D144/(E144+(E144=0))-1,0))</f>
        <v/>
      </c>
      <c r="J144" s="117">
        <f>IF(C144="","",IF(ABS(I144)&gt;AYARLAR!$C$14,"RİSKLİ","NORMAL"))</f>
        <v/>
      </c>
      <c r="K144" s="115">
        <f>IF(G144="","",IFERROR(G144/MOTOR!$B$20,0))</f>
        <v/>
      </c>
      <c r="L144" s="117">
        <f>IF(C144="","",IF(F144="","EKSİK","TAM"))</f>
        <v/>
      </c>
      <c r="M144" s="118" t="n"/>
    </row>
    <row r="145" ht="15" customHeight="1" s="64">
      <c r="A145" s="118" t="n"/>
      <c r="B145" s="118" t="n"/>
      <c r="C145" s="118" t="n"/>
      <c r="D145" s="118" t="n"/>
      <c r="E145" s="118" t="n"/>
      <c r="F145" s="118" t="n"/>
      <c r="G145" s="120">
        <f>IF(C145="","",C145*D145)</f>
        <v/>
      </c>
      <c r="H145" s="120">
        <f>IF(C145="","",C145*E145)</f>
        <v/>
      </c>
      <c r="I145" s="115">
        <f>IF(C145="","",IFERROR(D145/(E145+(E145=0))-1,0))</f>
        <v/>
      </c>
      <c r="J145" s="117">
        <f>IF(C145="","",IF(ABS(I145)&gt;AYARLAR!$C$14,"RİSKLİ","NORMAL"))</f>
        <v/>
      </c>
      <c r="K145" s="115">
        <f>IF(G145="","",IFERROR(G145/MOTOR!$B$20,0))</f>
        <v/>
      </c>
      <c r="L145" s="117">
        <f>IF(C145="","",IF(F145="","EKSİK","TAM"))</f>
        <v/>
      </c>
      <c r="M145" s="118" t="n"/>
    </row>
    <row r="146" ht="15" customHeight="1" s="64">
      <c r="A146" s="118" t="n"/>
      <c r="B146" s="118" t="n"/>
      <c r="C146" s="118" t="n"/>
      <c r="D146" s="118" t="n"/>
      <c r="E146" s="118" t="n"/>
      <c r="F146" s="118" t="n"/>
      <c r="G146" s="120">
        <f>IF(C146="","",C146*D146)</f>
        <v/>
      </c>
      <c r="H146" s="120">
        <f>IF(C146="","",C146*E146)</f>
        <v/>
      </c>
      <c r="I146" s="115">
        <f>IF(C146="","",IFERROR(D146/(E146+(E146=0))-1,0))</f>
        <v/>
      </c>
      <c r="J146" s="117">
        <f>IF(C146="","",IF(ABS(I146)&gt;AYARLAR!$C$14,"RİSKLİ","NORMAL"))</f>
        <v/>
      </c>
      <c r="K146" s="115">
        <f>IF(G146="","",IFERROR(G146/MOTOR!$B$20,0))</f>
        <v/>
      </c>
      <c r="L146" s="117">
        <f>IF(C146="","",IF(F146="","EKSİK","TAM"))</f>
        <v/>
      </c>
      <c r="M146" s="118" t="n"/>
    </row>
    <row r="147" ht="15" customHeight="1" s="64">
      <c r="A147" s="118" t="n"/>
      <c r="B147" s="118" t="n"/>
      <c r="C147" s="118" t="n"/>
      <c r="D147" s="118" t="n"/>
      <c r="E147" s="118" t="n"/>
      <c r="F147" s="118" t="n"/>
      <c r="G147" s="120">
        <f>IF(C147="","",C147*D147)</f>
        <v/>
      </c>
      <c r="H147" s="120">
        <f>IF(C147="","",C147*E147)</f>
        <v/>
      </c>
      <c r="I147" s="115">
        <f>IF(C147="","",IFERROR(D147/(E147+(E147=0))-1,0))</f>
        <v/>
      </c>
      <c r="J147" s="117">
        <f>IF(C147="","",IF(ABS(I147)&gt;AYARLAR!$C$14,"RİSKLİ","NORMAL"))</f>
        <v/>
      </c>
      <c r="K147" s="115">
        <f>IF(G147="","",IFERROR(G147/MOTOR!$B$20,0))</f>
        <v/>
      </c>
      <c r="L147" s="117">
        <f>IF(C147="","",IF(F147="","EKSİK","TAM"))</f>
        <v/>
      </c>
      <c r="M147" s="118" t="n"/>
    </row>
    <row r="148" ht="15" customHeight="1" s="64">
      <c r="A148" s="118" t="n"/>
      <c r="B148" s="118" t="n"/>
      <c r="C148" s="118" t="n"/>
      <c r="D148" s="118" t="n"/>
      <c r="E148" s="118" t="n"/>
      <c r="F148" s="118" t="n"/>
      <c r="G148" s="120">
        <f>IF(C148="","",C148*D148)</f>
        <v/>
      </c>
      <c r="H148" s="120">
        <f>IF(C148="","",C148*E148)</f>
        <v/>
      </c>
      <c r="I148" s="115">
        <f>IF(C148="","",IFERROR(D148/(E148+(E148=0))-1,0))</f>
        <v/>
      </c>
      <c r="J148" s="117">
        <f>IF(C148="","",IF(ABS(I148)&gt;AYARLAR!$C$14,"RİSKLİ","NORMAL"))</f>
        <v/>
      </c>
      <c r="K148" s="115">
        <f>IF(G148="","",IFERROR(G148/MOTOR!$B$20,0))</f>
        <v/>
      </c>
      <c r="L148" s="117">
        <f>IF(C148="","",IF(F148="","EKSİK","TAM"))</f>
        <v/>
      </c>
      <c r="M148" s="118" t="n"/>
    </row>
    <row r="149" ht="15" customHeight="1" s="64">
      <c r="A149" s="118" t="n"/>
      <c r="B149" s="118" t="n"/>
      <c r="C149" s="118" t="n"/>
      <c r="D149" s="118" t="n"/>
      <c r="E149" s="118" t="n"/>
      <c r="F149" s="118" t="n"/>
      <c r="G149" s="120">
        <f>IF(C149="","",C149*D149)</f>
        <v/>
      </c>
      <c r="H149" s="120">
        <f>IF(C149="","",C149*E149)</f>
        <v/>
      </c>
      <c r="I149" s="115">
        <f>IF(C149="","",IFERROR(D149/(E149+(E149=0))-1,0))</f>
        <v/>
      </c>
      <c r="J149" s="117">
        <f>IF(C149="","",IF(ABS(I149)&gt;AYARLAR!$C$14,"RİSKLİ","NORMAL"))</f>
        <v/>
      </c>
      <c r="K149" s="115">
        <f>IF(G149="","",IFERROR(G149/MOTOR!$B$20,0))</f>
        <v/>
      </c>
      <c r="L149" s="117">
        <f>IF(C149="","",IF(F149="","EKSİK","TAM"))</f>
        <v/>
      </c>
      <c r="M149" s="118" t="n"/>
    </row>
    <row r="150" ht="15" customHeight="1" s="64">
      <c r="A150" s="118" t="n"/>
      <c r="B150" s="118" t="n"/>
      <c r="C150" s="118" t="n"/>
      <c r="D150" s="118" t="n"/>
      <c r="E150" s="118" t="n"/>
      <c r="F150" s="118" t="n"/>
      <c r="G150" s="120">
        <f>IF(C150="","",C150*D150)</f>
        <v/>
      </c>
      <c r="H150" s="120">
        <f>IF(C150="","",C150*E150)</f>
        <v/>
      </c>
      <c r="I150" s="115">
        <f>IF(C150="","",IFERROR(D150/(E150+(E150=0))-1,0))</f>
        <v/>
      </c>
      <c r="J150" s="117">
        <f>IF(C150="","",IF(ABS(I150)&gt;AYARLAR!$C$14,"RİSKLİ","NORMAL"))</f>
        <v/>
      </c>
      <c r="K150" s="115">
        <f>IF(G150="","",IFERROR(G150/MOTOR!$B$20,0))</f>
        <v/>
      </c>
      <c r="L150" s="117">
        <f>IF(C150="","",IF(F150="","EKSİK","TAM"))</f>
        <v/>
      </c>
      <c r="M150" s="118" t="n"/>
    </row>
    <row r="151" ht="15" customHeight="1" s="64">
      <c r="A151" s="118" t="n"/>
      <c r="B151" s="118" t="n"/>
      <c r="C151" s="118" t="n"/>
      <c r="D151" s="118" t="n"/>
      <c r="E151" s="118" t="n"/>
      <c r="F151" s="118" t="n"/>
      <c r="G151" s="120">
        <f>IF(C151="","",C151*D151)</f>
        <v/>
      </c>
      <c r="H151" s="120">
        <f>IF(C151="","",C151*E151)</f>
        <v/>
      </c>
      <c r="I151" s="115">
        <f>IF(C151="","",IFERROR(D151/(E151+(E151=0))-1,0))</f>
        <v/>
      </c>
      <c r="J151" s="117">
        <f>IF(C151="","",IF(ABS(I151)&gt;AYARLAR!$C$14,"RİSKLİ","NORMAL"))</f>
        <v/>
      </c>
      <c r="K151" s="115">
        <f>IF(G151="","",IFERROR(G151/MOTOR!$B$20,0))</f>
        <v/>
      </c>
      <c r="L151" s="117">
        <f>IF(C151="","",IF(F151="","EKSİK","TAM"))</f>
        <v/>
      </c>
      <c r="M151" s="118" t="n"/>
    </row>
    <row r="152" ht="15" customHeight="1" s="64">
      <c r="A152" s="118" t="n"/>
      <c r="B152" s="118" t="n"/>
      <c r="C152" s="118" t="n"/>
      <c r="D152" s="118" t="n"/>
      <c r="E152" s="118" t="n"/>
      <c r="F152" s="118" t="n"/>
      <c r="G152" s="120">
        <f>IF(C152="","",C152*D152)</f>
        <v/>
      </c>
      <c r="H152" s="120">
        <f>IF(C152="","",C152*E152)</f>
        <v/>
      </c>
      <c r="I152" s="115">
        <f>IF(C152="","",IFERROR(D152/(E152+(E152=0))-1,0))</f>
        <v/>
      </c>
      <c r="J152" s="117">
        <f>IF(C152="","",IF(ABS(I152)&gt;AYARLAR!$C$14,"RİSKLİ","NORMAL"))</f>
        <v/>
      </c>
      <c r="K152" s="115">
        <f>IF(G152="","",IFERROR(G152/MOTOR!$B$20,0))</f>
        <v/>
      </c>
      <c r="L152" s="117">
        <f>IF(C152="","",IF(F152="","EKSİK","TAM"))</f>
        <v/>
      </c>
      <c r="M152" s="118" t="n"/>
    </row>
    <row r="153" ht="15" customHeight="1" s="64">
      <c r="A153" s="118" t="n"/>
      <c r="B153" s="118" t="n"/>
      <c r="C153" s="118" t="n"/>
      <c r="D153" s="118" t="n"/>
      <c r="E153" s="118" t="n"/>
      <c r="F153" s="118" t="n"/>
      <c r="G153" s="120">
        <f>IF(C153="","",C153*D153)</f>
        <v/>
      </c>
      <c r="H153" s="120">
        <f>IF(C153="","",C153*E153)</f>
        <v/>
      </c>
      <c r="I153" s="115">
        <f>IF(C153="","",IFERROR(D153/(E153+(E153=0))-1,0))</f>
        <v/>
      </c>
      <c r="J153" s="117">
        <f>IF(C153="","",IF(ABS(I153)&gt;AYARLAR!$C$14,"RİSKLİ","NORMAL"))</f>
        <v/>
      </c>
      <c r="K153" s="115">
        <f>IF(G153="","",IFERROR(G153/MOTOR!$B$20,0))</f>
        <v/>
      </c>
      <c r="L153" s="117">
        <f>IF(C153="","",IF(F153="","EKSİK","TAM"))</f>
        <v/>
      </c>
      <c r="M153" s="118" t="n"/>
    </row>
    <row r="154" ht="15" customHeight="1" s="64">
      <c r="A154" s="118" t="n"/>
      <c r="B154" s="118" t="n"/>
      <c r="C154" s="118" t="n"/>
      <c r="D154" s="118" t="n"/>
      <c r="E154" s="118" t="n"/>
      <c r="F154" s="118" t="n"/>
      <c r="G154" s="120">
        <f>IF(C154="","",C154*D154)</f>
        <v/>
      </c>
      <c r="H154" s="120">
        <f>IF(C154="","",C154*E154)</f>
        <v/>
      </c>
      <c r="I154" s="115">
        <f>IF(C154="","",IFERROR(D154/(E154+(E154=0))-1,0))</f>
        <v/>
      </c>
      <c r="J154" s="117">
        <f>IF(C154="","",IF(ABS(I154)&gt;AYARLAR!$C$14,"RİSKLİ","NORMAL"))</f>
        <v/>
      </c>
      <c r="K154" s="115">
        <f>IF(G154="","",IFERROR(G154/MOTOR!$B$20,0))</f>
        <v/>
      </c>
      <c r="L154" s="117">
        <f>IF(C154="","",IF(F154="","EKSİK","TAM"))</f>
        <v/>
      </c>
      <c r="M154" s="118" t="n"/>
    </row>
    <row r="155" ht="15" customHeight="1" s="64">
      <c r="A155" s="118" t="n"/>
      <c r="B155" s="118" t="n"/>
      <c r="C155" s="118" t="n"/>
      <c r="D155" s="118" t="n"/>
      <c r="E155" s="118" t="n"/>
      <c r="F155" s="118" t="n"/>
      <c r="G155" s="120">
        <f>IF(C155="","",C155*D155)</f>
        <v/>
      </c>
      <c r="H155" s="120">
        <f>IF(C155="","",C155*E155)</f>
        <v/>
      </c>
      <c r="I155" s="115">
        <f>IF(C155="","",IFERROR(D155/(E155+(E155=0))-1,0))</f>
        <v/>
      </c>
      <c r="J155" s="117">
        <f>IF(C155="","",IF(ABS(I155)&gt;AYARLAR!$C$14,"RİSKLİ","NORMAL"))</f>
        <v/>
      </c>
      <c r="K155" s="115">
        <f>IF(G155="","",IFERROR(G155/MOTOR!$B$20,0))</f>
        <v/>
      </c>
      <c r="L155" s="117">
        <f>IF(C155="","",IF(F155="","EKSİK","TAM"))</f>
        <v/>
      </c>
      <c r="M155" s="118" t="n"/>
    </row>
    <row r="156" ht="15" customHeight="1" s="64">
      <c r="A156" s="118" t="n"/>
      <c r="B156" s="118" t="n"/>
      <c r="C156" s="118" t="n"/>
      <c r="D156" s="118" t="n"/>
      <c r="E156" s="118" t="n"/>
      <c r="F156" s="118" t="n"/>
      <c r="G156" s="120">
        <f>IF(C156="","",C156*D156)</f>
        <v/>
      </c>
      <c r="H156" s="120">
        <f>IF(C156="","",C156*E156)</f>
        <v/>
      </c>
      <c r="I156" s="115">
        <f>IF(C156="","",IFERROR(D156/(E156+(E156=0))-1,0))</f>
        <v/>
      </c>
      <c r="J156" s="117">
        <f>IF(C156="","",IF(ABS(I156)&gt;AYARLAR!$C$14,"RİSKLİ","NORMAL"))</f>
        <v/>
      </c>
      <c r="K156" s="115">
        <f>IF(G156="","",IFERROR(G156/MOTOR!$B$20,0))</f>
        <v/>
      </c>
      <c r="L156" s="117">
        <f>IF(C156="","",IF(F156="","EKSİK","TAM"))</f>
        <v/>
      </c>
      <c r="M156" s="118" t="n"/>
    </row>
    <row r="157" ht="15" customHeight="1" s="64">
      <c r="A157" s="118" t="n"/>
      <c r="B157" s="118" t="n"/>
      <c r="C157" s="118" t="n"/>
      <c r="D157" s="118" t="n"/>
      <c r="E157" s="118" t="n"/>
      <c r="F157" s="118" t="n"/>
      <c r="G157" s="120">
        <f>IF(C157="","",C157*D157)</f>
        <v/>
      </c>
      <c r="H157" s="120">
        <f>IF(C157="","",C157*E157)</f>
        <v/>
      </c>
      <c r="I157" s="115">
        <f>IF(C157="","",IFERROR(D157/(E157+(E157=0))-1,0))</f>
        <v/>
      </c>
      <c r="J157" s="117">
        <f>IF(C157="","",IF(ABS(I157)&gt;AYARLAR!$C$14,"RİSKLİ","NORMAL"))</f>
        <v/>
      </c>
      <c r="K157" s="115">
        <f>IF(G157="","",IFERROR(G157/MOTOR!$B$20,0))</f>
        <v/>
      </c>
      <c r="L157" s="117">
        <f>IF(C157="","",IF(F157="","EKSİK","TAM"))</f>
        <v/>
      </c>
      <c r="M157" s="118" t="n"/>
    </row>
    <row r="158" ht="15" customHeight="1" s="64">
      <c r="A158" s="118" t="n"/>
      <c r="B158" s="118" t="n"/>
      <c r="C158" s="118" t="n"/>
      <c r="D158" s="118" t="n"/>
      <c r="E158" s="118" t="n"/>
      <c r="F158" s="118" t="n"/>
      <c r="G158" s="120">
        <f>IF(C158="","",C158*D158)</f>
        <v/>
      </c>
      <c r="H158" s="120">
        <f>IF(C158="","",C158*E158)</f>
        <v/>
      </c>
      <c r="I158" s="115">
        <f>IF(C158="","",IFERROR(D158/(E158+(E158=0))-1,0))</f>
        <v/>
      </c>
      <c r="J158" s="117">
        <f>IF(C158="","",IF(ABS(I158)&gt;AYARLAR!$C$14,"RİSKLİ","NORMAL"))</f>
        <v/>
      </c>
      <c r="K158" s="115">
        <f>IF(G158="","",IFERROR(G158/MOTOR!$B$20,0))</f>
        <v/>
      </c>
      <c r="L158" s="117">
        <f>IF(C158="","",IF(F158="","EKSİK","TAM"))</f>
        <v/>
      </c>
      <c r="M158" s="118" t="n"/>
    </row>
    <row r="159" ht="15" customHeight="1" s="64">
      <c r="A159" s="118" t="n"/>
      <c r="B159" s="118" t="n"/>
      <c r="C159" s="118" t="n"/>
      <c r="D159" s="118" t="n"/>
      <c r="E159" s="118" t="n"/>
      <c r="F159" s="118" t="n"/>
      <c r="G159" s="120">
        <f>IF(C159="","",C159*D159)</f>
        <v/>
      </c>
      <c r="H159" s="120">
        <f>IF(C159="","",C159*E159)</f>
        <v/>
      </c>
      <c r="I159" s="115">
        <f>IF(C159="","",IFERROR(D159/(E159+(E159=0))-1,0))</f>
        <v/>
      </c>
      <c r="J159" s="117">
        <f>IF(C159="","",IF(ABS(I159)&gt;AYARLAR!$C$14,"RİSKLİ","NORMAL"))</f>
        <v/>
      </c>
      <c r="K159" s="115">
        <f>IF(G159="","",IFERROR(G159/MOTOR!$B$20,0))</f>
        <v/>
      </c>
      <c r="L159" s="117">
        <f>IF(C159="","",IF(F159="","EKSİK","TAM"))</f>
        <v/>
      </c>
      <c r="M159" s="118" t="n"/>
    </row>
    <row r="160" ht="15" customHeight="1" s="64">
      <c r="A160" s="118" t="n"/>
      <c r="B160" s="118" t="n"/>
      <c r="C160" s="118" t="n"/>
      <c r="D160" s="118" t="n"/>
      <c r="E160" s="118" t="n"/>
      <c r="F160" s="118" t="n"/>
      <c r="G160" s="120">
        <f>IF(C160="","",C160*D160)</f>
        <v/>
      </c>
      <c r="H160" s="120">
        <f>IF(C160="","",C160*E160)</f>
        <v/>
      </c>
      <c r="I160" s="115">
        <f>IF(C160="","",IFERROR(D160/(E160+(E160=0))-1,0))</f>
        <v/>
      </c>
      <c r="J160" s="117">
        <f>IF(C160="","",IF(ABS(I160)&gt;AYARLAR!$C$14,"RİSKLİ","NORMAL"))</f>
        <v/>
      </c>
      <c r="K160" s="115">
        <f>IF(G160="","",IFERROR(G160/MOTOR!$B$20,0))</f>
        <v/>
      </c>
      <c r="L160" s="117">
        <f>IF(C160="","",IF(F160="","EKSİK","TAM"))</f>
        <v/>
      </c>
      <c r="M160" s="118" t="n"/>
    </row>
    <row r="161" ht="15" customHeight="1" s="64">
      <c r="A161" s="118" t="n"/>
      <c r="B161" s="118" t="n"/>
      <c r="C161" s="118" t="n"/>
      <c r="D161" s="118" t="n"/>
      <c r="E161" s="118" t="n"/>
      <c r="F161" s="118" t="n"/>
      <c r="G161" s="120">
        <f>IF(C161="","",C161*D161)</f>
        <v/>
      </c>
      <c r="H161" s="120">
        <f>IF(C161="","",C161*E161)</f>
        <v/>
      </c>
      <c r="I161" s="115">
        <f>IF(C161="","",IFERROR(D161/(E161+(E161=0))-1,0))</f>
        <v/>
      </c>
      <c r="J161" s="117">
        <f>IF(C161="","",IF(ABS(I161)&gt;AYARLAR!$C$14,"RİSKLİ","NORMAL"))</f>
        <v/>
      </c>
      <c r="K161" s="115">
        <f>IF(G161="","",IFERROR(G161/MOTOR!$B$20,0))</f>
        <v/>
      </c>
      <c r="L161" s="117">
        <f>IF(C161="","",IF(F161="","EKSİK","TAM"))</f>
        <v/>
      </c>
      <c r="M161" s="118" t="n"/>
    </row>
    <row r="162" ht="15" customHeight="1" s="64">
      <c r="A162" s="118" t="n"/>
      <c r="B162" s="118" t="n"/>
      <c r="C162" s="118" t="n"/>
      <c r="D162" s="118" t="n"/>
      <c r="E162" s="118" t="n"/>
      <c r="F162" s="118" t="n"/>
      <c r="G162" s="120">
        <f>IF(C162="","",C162*D162)</f>
        <v/>
      </c>
      <c r="H162" s="120">
        <f>IF(C162="","",C162*E162)</f>
        <v/>
      </c>
      <c r="I162" s="115">
        <f>IF(C162="","",IFERROR(D162/(E162+(E162=0))-1,0))</f>
        <v/>
      </c>
      <c r="J162" s="117">
        <f>IF(C162="","",IF(ABS(I162)&gt;AYARLAR!$C$14,"RİSKLİ","NORMAL"))</f>
        <v/>
      </c>
      <c r="K162" s="115">
        <f>IF(G162="","",IFERROR(G162/MOTOR!$B$20,0))</f>
        <v/>
      </c>
      <c r="L162" s="117">
        <f>IF(C162="","",IF(F162="","EKSİK","TAM"))</f>
        <v/>
      </c>
      <c r="M162" s="118" t="n"/>
    </row>
    <row r="163" ht="15" customHeight="1" s="64">
      <c r="A163" s="118" t="n"/>
      <c r="B163" s="118" t="n"/>
      <c r="C163" s="118" t="n"/>
      <c r="D163" s="118" t="n"/>
      <c r="E163" s="118" t="n"/>
      <c r="F163" s="118" t="n"/>
      <c r="G163" s="120">
        <f>IF(C163="","",C163*D163)</f>
        <v/>
      </c>
      <c r="H163" s="120">
        <f>IF(C163="","",C163*E163)</f>
        <v/>
      </c>
      <c r="I163" s="115">
        <f>IF(C163="","",IFERROR(D163/(E163+(E163=0))-1,0))</f>
        <v/>
      </c>
      <c r="J163" s="117">
        <f>IF(C163="","",IF(ABS(I163)&gt;AYARLAR!$C$14,"RİSKLİ","NORMAL"))</f>
        <v/>
      </c>
      <c r="K163" s="115">
        <f>IF(G163="","",IFERROR(G163/MOTOR!$B$20,0))</f>
        <v/>
      </c>
      <c r="L163" s="117">
        <f>IF(C163="","",IF(F163="","EKSİK","TAM"))</f>
        <v/>
      </c>
      <c r="M163" s="118" t="n"/>
    </row>
    <row r="164" ht="15" customHeight="1" s="64">
      <c r="A164" s="118" t="n"/>
      <c r="B164" s="118" t="n"/>
      <c r="C164" s="118" t="n"/>
      <c r="D164" s="118" t="n"/>
      <c r="E164" s="118" t="n"/>
      <c r="F164" s="118" t="n"/>
      <c r="G164" s="120">
        <f>IF(C164="","",C164*D164)</f>
        <v/>
      </c>
      <c r="H164" s="120">
        <f>IF(C164="","",C164*E164)</f>
        <v/>
      </c>
      <c r="I164" s="115">
        <f>IF(C164="","",IFERROR(D164/(E164+(E164=0))-1,0))</f>
        <v/>
      </c>
      <c r="J164" s="117">
        <f>IF(C164="","",IF(ABS(I164)&gt;AYARLAR!$C$14,"RİSKLİ","NORMAL"))</f>
        <v/>
      </c>
      <c r="K164" s="115">
        <f>IF(G164="","",IFERROR(G164/MOTOR!$B$20,0))</f>
        <v/>
      </c>
      <c r="L164" s="117">
        <f>IF(C164="","",IF(F164="","EKSİK","TAM"))</f>
        <v/>
      </c>
      <c r="M164" s="118" t="n"/>
    </row>
    <row r="165" ht="15" customHeight="1" s="64">
      <c r="A165" s="118" t="n"/>
      <c r="B165" s="118" t="n"/>
      <c r="C165" s="118" t="n"/>
      <c r="D165" s="118" t="n"/>
      <c r="E165" s="118" t="n"/>
      <c r="F165" s="118" t="n"/>
      <c r="G165" s="120">
        <f>IF(C165="","",C165*D165)</f>
        <v/>
      </c>
      <c r="H165" s="120">
        <f>IF(C165="","",C165*E165)</f>
        <v/>
      </c>
      <c r="I165" s="115">
        <f>IF(C165="","",IFERROR(D165/(E165+(E165=0))-1,0))</f>
        <v/>
      </c>
      <c r="J165" s="117">
        <f>IF(C165="","",IF(ABS(I165)&gt;AYARLAR!$C$14,"RİSKLİ","NORMAL"))</f>
        <v/>
      </c>
      <c r="K165" s="115">
        <f>IF(G165="","",IFERROR(G165/MOTOR!$B$20,0))</f>
        <v/>
      </c>
      <c r="L165" s="117">
        <f>IF(C165="","",IF(F165="","EKSİK","TAM"))</f>
        <v/>
      </c>
      <c r="M165" s="118" t="n"/>
    </row>
    <row r="166" ht="15" customHeight="1" s="64">
      <c r="A166" s="118" t="n"/>
      <c r="B166" s="118" t="n"/>
      <c r="C166" s="118" t="n"/>
      <c r="D166" s="118" t="n"/>
      <c r="E166" s="118" t="n"/>
      <c r="F166" s="118" t="n"/>
      <c r="G166" s="120">
        <f>IF(C166="","",C166*D166)</f>
        <v/>
      </c>
      <c r="H166" s="120">
        <f>IF(C166="","",C166*E166)</f>
        <v/>
      </c>
      <c r="I166" s="115">
        <f>IF(C166="","",IFERROR(D166/(E166+(E166=0))-1,0))</f>
        <v/>
      </c>
      <c r="J166" s="117">
        <f>IF(C166="","",IF(ABS(I166)&gt;AYARLAR!$C$14,"RİSKLİ","NORMAL"))</f>
        <v/>
      </c>
      <c r="K166" s="115">
        <f>IF(G166="","",IFERROR(G166/MOTOR!$B$20,0))</f>
        <v/>
      </c>
      <c r="L166" s="117">
        <f>IF(C166="","",IF(F166="","EKSİK","TAM"))</f>
        <v/>
      </c>
      <c r="M166" s="118" t="n"/>
    </row>
    <row r="167" ht="15" customHeight="1" s="64">
      <c r="A167" s="118" t="n"/>
      <c r="B167" s="118" t="n"/>
      <c r="C167" s="118" t="n"/>
      <c r="D167" s="118" t="n"/>
      <c r="E167" s="118" t="n"/>
      <c r="F167" s="118" t="n"/>
      <c r="G167" s="120">
        <f>IF(C167="","",C167*D167)</f>
        <v/>
      </c>
      <c r="H167" s="120">
        <f>IF(C167="","",C167*E167)</f>
        <v/>
      </c>
      <c r="I167" s="115">
        <f>IF(C167="","",IFERROR(D167/(E167+(E167=0))-1,0))</f>
        <v/>
      </c>
      <c r="J167" s="117">
        <f>IF(C167="","",IF(ABS(I167)&gt;AYARLAR!$C$14,"RİSKLİ","NORMAL"))</f>
        <v/>
      </c>
      <c r="K167" s="115">
        <f>IF(G167="","",IFERROR(G167/MOTOR!$B$20,0))</f>
        <v/>
      </c>
      <c r="L167" s="117">
        <f>IF(C167="","",IF(F167="","EKSİK","TAM"))</f>
        <v/>
      </c>
      <c r="M167" s="118" t="n"/>
    </row>
    <row r="168" ht="15" customHeight="1" s="64">
      <c r="A168" s="118" t="n"/>
      <c r="B168" s="118" t="n"/>
      <c r="C168" s="118" t="n"/>
      <c r="D168" s="118" t="n"/>
      <c r="E168" s="118" t="n"/>
      <c r="F168" s="118" t="n"/>
      <c r="G168" s="120">
        <f>IF(C168="","",C168*D168)</f>
        <v/>
      </c>
      <c r="H168" s="120">
        <f>IF(C168="","",C168*E168)</f>
        <v/>
      </c>
      <c r="I168" s="115">
        <f>IF(C168="","",IFERROR(D168/(E168+(E168=0))-1,0))</f>
        <v/>
      </c>
      <c r="J168" s="117">
        <f>IF(C168="","",IF(ABS(I168)&gt;AYARLAR!$C$14,"RİSKLİ","NORMAL"))</f>
        <v/>
      </c>
      <c r="K168" s="115">
        <f>IF(G168="","",IFERROR(G168/MOTOR!$B$20,0))</f>
        <v/>
      </c>
      <c r="L168" s="117">
        <f>IF(C168="","",IF(F168="","EKSİK","TAM"))</f>
        <v/>
      </c>
      <c r="M168" s="118" t="n"/>
    </row>
    <row r="169" ht="15" customHeight="1" s="64">
      <c r="A169" s="118" t="n"/>
      <c r="B169" s="118" t="n"/>
      <c r="C169" s="118" t="n"/>
      <c r="D169" s="118" t="n"/>
      <c r="E169" s="118" t="n"/>
      <c r="F169" s="118" t="n"/>
      <c r="G169" s="120">
        <f>IF(C169="","",C169*D169)</f>
        <v/>
      </c>
      <c r="H169" s="120">
        <f>IF(C169="","",C169*E169)</f>
        <v/>
      </c>
      <c r="I169" s="115">
        <f>IF(C169="","",IFERROR(D169/(E169+(E169=0))-1,0))</f>
        <v/>
      </c>
      <c r="J169" s="117">
        <f>IF(C169="","",IF(ABS(I169)&gt;AYARLAR!$C$14,"RİSKLİ","NORMAL"))</f>
        <v/>
      </c>
      <c r="K169" s="115">
        <f>IF(G169="","",IFERROR(G169/MOTOR!$B$20,0))</f>
        <v/>
      </c>
      <c r="L169" s="117">
        <f>IF(C169="","",IF(F169="","EKSİK","TAM"))</f>
        <v/>
      </c>
      <c r="M169" s="118" t="n"/>
    </row>
    <row r="170" ht="15" customHeight="1" s="64">
      <c r="A170" s="118" t="n"/>
      <c r="B170" s="118" t="n"/>
      <c r="C170" s="118" t="n"/>
      <c r="D170" s="118" t="n"/>
      <c r="E170" s="118" t="n"/>
      <c r="F170" s="118" t="n"/>
      <c r="G170" s="120">
        <f>IF(C170="","",C170*D170)</f>
        <v/>
      </c>
      <c r="H170" s="120">
        <f>IF(C170="","",C170*E170)</f>
        <v/>
      </c>
      <c r="I170" s="115">
        <f>IF(C170="","",IFERROR(D170/(E170+(E170=0))-1,0))</f>
        <v/>
      </c>
      <c r="J170" s="117">
        <f>IF(C170="","",IF(ABS(I170)&gt;AYARLAR!$C$14,"RİSKLİ","NORMAL"))</f>
        <v/>
      </c>
      <c r="K170" s="115">
        <f>IF(G170="","",IFERROR(G170/MOTOR!$B$20,0))</f>
        <v/>
      </c>
      <c r="L170" s="117">
        <f>IF(C170="","",IF(F170="","EKSİK","TAM"))</f>
        <v/>
      </c>
      <c r="M170" s="118" t="n"/>
    </row>
    <row r="171" ht="15" customHeight="1" s="64">
      <c r="A171" s="118" t="n"/>
      <c r="B171" s="118" t="n"/>
      <c r="C171" s="118" t="n"/>
      <c r="D171" s="118" t="n"/>
      <c r="E171" s="118" t="n"/>
      <c r="F171" s="118" t="n"/>
      <c r="G171" s="120">
        <f>IF(C171="","",C171*D171)</f>
        <v/>
      </c>
      <c r="H171" s="120">
        <f>IF(C171="","",C171*E171)</f>
        <v/>
      </c>
      <c r="I171" s="115">
        <f>IF(C171="","",IFERROR(D171/(E171+(E171=0))-1,0))</f>
        <v/>
      </c>
      <c r="J171" s="117">
        <f>IF(C171="","",IF(ABS(I171)&gt;AYARLAR!$C$14,"RİSKLİ","NORMAL"))</f>
        <v/>
      </c>
      <c r="K171" s="115">
        <f>IF(G171="","",IFERROR(G171/MOTOR!$B$20,0))</f>
        <v/>
      </c>
      <c r="L171" s="117">
        <f>IF(C171="","",IF(F171="","EKSİK","TAM"))</f>
        <v/>
      </c>
      <c r="M171" s="118" t="n"/>
    </row>
    <row r="172" ht="15" customHeight="1" s="64">
      <c r="A172" s="118" t="n"/>
      <c r="B172" s="118" t="n"/>
      <c r="C172" s="118" t="n"/>
      <c r="D172" s="118" t="n"/>
      <c r="E172" s="118" t="n"/>
      <c r="F172" s="118" t="n"/>
      <c r="G172" s="120">
        <f>IF(C172="","",C172*D172)</f>
        <v/>
      </c>
      <c r="H172" s="120">
        <f>IF(C172="","",C172*E172)</f>
        <v/>
      </c>
      <c r="I172" s="115">
        <f>IF(C172="","",IFERROR(D172/(E172+(E172=0))-1,0))</f>
        <v/>
      </c>
      <c r="J172" s="117">
        <f>IF(C172="","",IF(ABS(I172)&gt;AYARLAR!$C$14,"RİSKLİ","NORMAL"))</f>
        <v/>
      </c>
      <c r="K172" s="115">
        <f>IF(G172="","",IFERROR(G172/MOTOR!$B$20,0))</f>
        <v/>
      </c>
      <c r="L172" s="117">
        <f>IF(C172="","",IF(F172="","EKSİK","TAM"))</f>
        <v/>
      </c>
      <c r="M172" s="118" t="n"/>
    </row>
    <row r="173" ht="15" customHeight="1" s="64">
      <c r="A173" s="118" t="n"/>
      <c r="B173" s="118" t="n"/>
      <c r="C173" s="118" t="n"/>
      <c r="D173" s="118" t="n"/>
      <c r="E173" s="118" t="n"/>
      <c r="F173" s="118" t="n"/>
      <c r="G173" s="120">
        <f>IF(C173="","",C173*D173)</f>
        <v/>
      </c>
      <c r="H173" s="120">
        <f>IF(C173="","",C173*E173)</f>
        <v/>
      </c>
      <c r="I173" s="115">
        <f>IF(C173="","",IFERROR(D173/(E173+(E173=0))-1,0))</f>
        <v/>
      </c>
      <c r="J173" s="117">
        <f>IF(C173="","",IF(ABS(I173)&gt;AYARLAR!$C$14,"RİSKLİ","NORMAL"))</f>
        <v/>
      </c>
      <c r="K173" s="115">
        <f>IF(G173="","",IFERROR(G173/MOTOR!$B$20,0))</f>
        <v/>
      </c>
      <c r="L173" s="117">
        <f>IF(C173="","",IF(F173="","EKSİK","TAM"))</f>
        <v/>
      </c>
      <c r="M173" s="118" t="n"/>
    </row>
    <row r="174" ht="15" customHeight="1" s="64">
      <c r="A174" s="118" t="n"/>
      <c r="B174" s="118" t="n"/>
      <c r="C174" s="118" t="n"/>
      <c r="D174" s="118" t="n"/>
      <c r="E174" s="118" t="n"/>
      <c r="F174" s="118" t="n"/>
      <c r="G174" s="120">
        <f>IF(C174="","",C174*D174)</f>
        <v/>
      </c>
      <c r="H174" s="120">
        <f>IF(C174="","",C174*E174)</f>
        <v/>
      </c>
      <c r="I174" s="115">
        <f>IF(C174="","",IFERROR(D174/(E174+(E174=0))-1,0))</f>
        <v/>
      </c>
      <c r="J174" s="117">
        <f>IF(C174="","",IF(ABS(I174)&gt;AYARLAR!$C$14,"RİSKLİ","NORMAL"))</f>
        <v/>
      </c>
      <c r="K174" s="115">
        <f>IF(G174="","",IFERROR(G174/MOTOR!$B$20,0))</f>
        <v/>
      </c>
      <c r="L174" s="117">
        <f>IF(C174="","",IF(F174="","EKSİK","TAM"))</f>
        <v/>
      </c>
      <c r="M174" s="118" t="n"/>
    </row>
    <row r="175" ht="15" customHeight="1" s="64">
      <c r="A175" s="118" t="n"/>
      <c r="B175" s="118" t="n"/>
      <c r="C175" s="118" t="n"/>
      <c r="D175" s="118" t="n"/>
      <c r="E175" s="118" t="n"/>
      <c r="F175" s="118" t="n"/>
      <c r="G175" s="120">
        <f>IF(C175="","",C175*D175)</f>
        <v/>
      </c>
      <c r="H175" s="120">
        <f>IF(C175="","",C175*E175)</f>
        <v/>
      </c>
      <c r="I175" s="115">
        <f>IF(C175="","",IFERROR(D175/(E175+(E175=0))-1,0))</f>
        <v/>
      </c>
      <c r="J175" s="117">
        <f>IF(C175="","",IF(ABS(I175)&gt;AYARLAR!$C$14,"RİSKLİ","NORMAL"))</f>
        <v/>
      </c>
      <c r="K175" s="115">
        <f>IF(G175="","",IFERROR(G175/MOTOR!$B$20,0))</f>
        <v/>
      </c>
      <c r="L175" s="117">
        <f>IF(C175="","",IF(F175="","EKSİK","TAM"))</f>
        <v/>
      </c>
      <c r="M175" s="118" t="n"/>
    </row>
    <row r="176" ht="15" customHeight="1" s="64">
      <c r="A176" s="118" t="n"/>
      <c r="B176" s="118" t="n"/>
      <c r="C176" s="118" t="n"/>
      <c r="D176" s="118" t="n"/>
      <c r="E176" s="118" t="n"/>
      <c r="F176" s="118" t="n"/>
      <c r="G176" s="120">
        <f>IF(C176="","",C176*D176)</f>
        <v/>
      </c>
      <c r="H176" s="120">
        <f>IF(C176="","",C176*E176)</f>
        <v/>
      </c>
      <c r="I176" s="115">
        <f>IF(C176="","",IFERROR(D176/(E176+(E176=0))-1,0))</f>
        <v/>
      </c>
      <c r="J176" s="117">
        <f>IF(C176="","",IF(ABS(I176)&gt;AYARLAR!$C$14,"RİSKLİ","NORMAL"))</f>
        <v/>
      </c>
      <c r="K176" s="115">
        <f>IF(G176="","",IFERROR(G176/MOTOR!$B$20,0))</f>
        <v/>
      </c>
      <c r="L176" s="117">
        <f>IF(C176="","",IF(F176="","EKSİK","TAM"))</f>
        <v/>
      </c>
      <c r="M176" s="118" t="n"/>
    </row>
    <row r="177" ht="15" customHeight="1" s="64">
      <c r="A177" s="118" t="n"/>
      <c r="B177" s="118" t="n"/>
      <c r="C177" s="118" t="n"/>
      <c r="D177" s="118" t="n"/>
      <c r="E177" s="118" t="n"/>
      <c r="F177" s="118" t="n"/>
      <c r="G177" s="120">
        <f>IF(C177="","",C177*D177)</f>
        <v/>
      </c>
      <c r="H177" s="120">
        <f>IF(C177="","",C177*E177)</f>
        <v/>
      </c>
      <c r="I177" s="115">
        <f>IF(C177="","",IFERROR(D177/(E177+(E177=0))-1,0))</f>
        <v/>
      </c>
      <c r="J177" s="117">
        <f>IF(C177="","",IF(ABS(I177)&gt;AYARLAR!$C$14,"RİSKLİ","NORMAL"))</f>
        <v/>
      </c>
      <c r="K177" s="115">
        <f>IF(G177="","",IFERROR(G177/MOTOR!$B$20,0))</f>
        <v/>
      </c>
      <c r="L177" s="117">
        <f>IF(C177="","",IF(F177="","EKSİK","TAM"))</f>
        <v/>
      </c>
      <c r="M177" s="118" t="n"/>
    </row>
    <row r="178" ht="15" customHeight="1" s="64">
      <c r="A178" s="118" t="n"/>
      <c r="B178" s="118" t="n"/>
      <c r="C178" s="118" t="n"/>
      <c r="D178" s="118" t="n"/>
      <c r="E178" s="118" t="n"/>
      <c r="F178" s="118" t="n"/>
      <c r="G178" s="120">
        <f>IF(C178="","",C178*D178)</f>
        <v/>
      </c>
      <c r="H178" s="120">
        <f>IF(C178="","",C178*E178)</f>
        <v/>
      </c>
      <c r="I178" s="115">
        <f>IF(C178="","",IFERROR(D178/(E178+(E178=0))-1,0))</f>
        <v/>
      </c>
      <c r="J178" s="117">
        <f>IF(C178="","",IF(ABS(I178)&gt;AYARLAR!$C$14,"RİSKLİ","NORMAL"))</f>
        <v/>
      </c>
      <c r="K178" s="115">
        <f>IF(G178="","",IFERROR(G178/MOTOR!$B$20,0))</f>
        <v/>
      </c>
      <c r="L178" s="117">
        <f>IF(C178="","",IF(F178="","EKSİK","TAM"))</f>
        <v/>
      </c>
      <c r="M178" s="118" t="n"/>
    </row>
    <row r="179" ht="15" customHeight="1" s="64">
      <c r="A179" s="118" t="n"/>
      <c r="B179" s="118" t="n"/>
      <c r="C179" s="118" t="n"/>
      <c r="D179" s="118" t="n"/>
      <c r="E179" s="118" t="n"/>
      <c r="F179" s="118" t="n"/>
      <c r="G179" s="120">
        <f>IF(C179="","",C179*D179)</f>
        <v/>
      </c>
      <c r="H179" s="120">
        <f>IF(C179="","",C179*E179)</f>
        <v/>
      </c>
      <c r="I179" s="115">
        <f>IF(C179="","",IFERROR(D179/(E179+(E179=0))-1,0))</f>
        <v/>
      </c>
      <c r="J179" s="117">
        <f>IF(C179="","",IF(ABS(I179)&gt;AYARLAR!$C$14,"RİSKLİ","NORMAL"))</f>
        <v/>
      </c>
      <c r="K179" s="115">
        <f>IF(G179="","",IFERROR(G179/MOTOR!$B$20,0))</f>
        <v/>
      </c>
      <c r="L179" s="117">
        <f>IF(C179="","",IF(F179="","EKSİK","TAM"))</f>
        <v/>
      </c>
      <c r="M179" s="118" t="n"/>
    </row>
    <row r="180" ht="15" customHeight="1" s="64">
      <c r="A180" s="118" t="n"/>
      <c r="B180" s="118" t="n"/>
      <c r="C180" s="118" t="n"/>
      <c r="D180" s="118" t="n"/>
      <c r="E180" s="118" t="n"/>
      <c r="F180" s="118" t="n"/>
      <c r="G180" s="120">
        <f>IF(C180="","",C180*D180)</f>
        <v/>
      </c>
      <c r="H180" s="120">
        <f>IF(C180="","",C180*E180)</f>
        <v/>
      </c>
      <c r="I180" s="115">
        <f>IF(C180="","",IFERROR(D180/(E180+(E180=0))-1,0))</f>
        <v/>
      </c>
      <c r="J180" s="117">
        <f>IF(C180="","",IF(ABS(I180)&gt;AYARLAR!$C$14,"RİSKLİ","NORMAL"))</f>
        <v/>
      </c>
      <c r="K180" s="115">
        <f>IF(G180="","",IFERROR(G180/MOTOR!$B$20,0))</f>
        <v/>
      </c>
      <c r="L180" s="117">
        <f>IF(C180="","",IF(F180="","EKSİK","TAM"))</f>
        <v/>
      </c>
      <c r="M180" s="118" t="n"/>
    </row>
    <row r="181" ht="15" customHeight="1" s="64">
      <c r="A181" s="118" t="n"/>
      <c r="B181" s="118" t="n"/>
      <c r="C181" s="118" t="n"/>
      <c r="D181" s="118" t="n"/>
      <c r="E181" s="118" t="n"/>
      <c r="F181" s="118" t="n"/>
      <c r="G181" s="120">
        <f>IF(C181="","",C181*D181)</f>
        <v/>
      </c>
      <c r="H181" s="120">
        <f>IF(C181="","",C181*E181)</f>
        <v/>
      </c>
      <c r="I181" s="115">
        <f>IF(C181="","",IFERROR(D181/(E181+(E181=0))-1,0))</f>
        <v/>
      </c>
      <c r="J181" s="117">
        <f>IF(C181="","",IF(ABS(I181)&gt;AYARLAR!$C$14,"RİSKLİ","NORMAL"))</f>
        <v/>
      </c>
      <c r="K181" s="115">
        <f>IF(G181="","",IFERROR(G181/MOTOR!$B$20,0))</f>
        <v/>
      </c>
      <c r="L181" s="117">
        <f>IF(C181="","",IF(F181="","EKSİK","TAM"))</f>
        <v/>
      </c>
      <c r="M181" s="118" t="n"/>
    </row>
    <row r="182" ht="15" customHeight="1" s="64">
      <c r="A182" s="118" t="n"/>
      <c r="B182" s="118" t="n"/>
      <c r="C182" s="118" t="n"/>
      <c r="D182" s="118" t="n"/>
      <c r="E182" s="118" t="n"/>
      <c r="F182" s="118" t="n"/>
      <c r="G182" s="120">
        <f>IF(C182="","",C182*D182)</f>
        <v/>
      </c>
      <c r="H182" s="120">
        <f>IF(C182="","",C182*E182)</f>
        <v/>
      </c>
      <c r="I182" s="115">
        <f>IF(C182="","",IFERROR(D182/(E182+(E182=0))-1,0))</f>
        <v/>
      </c>
      <c r="J182" s="117">
        <f>IF(C182="","",IF(ABS(I182)&gt;AYARLAR!$C$14,"RİSKLİ","NORMAL"))</f>
        <v/>
      </c>
      <c r="K182" s="115">
        <f>IF(G182="","",IFERROR(G182/MOTOR!$B$20,0))</f>
        <v/>
      </c>
      <c r="L182" s="117">
        <f>IF(C182="","",IF(F182="","EKSİK","TAM"))</f>
        <v/>
      </c>
      <c r="M182" s="118" t="n"/>
    </row>
    <row r="183" ht="15" customHeight="1" s="64">
      <c r="A183" s="118" t="n"/>
      <c r="B183" s="118" t="n"/>
      <c r="C183" s="118" t="n"/>
      <c r="D183" s="118" t="n"/>
      <c r="E183" s="118" t="n"/>
      <c r="F183" s="118" t="n"/>
      <c r="G183" s="120">
        <f>IF(C183="","",C183*D183)</f>
        <v/>
      </c>
      <c r="H183" s="120">
        <f>IF(C183="","",C183*E183)</f>
        <v/>
      </c>
      <c r="I183" s="115">
        <f>IF(C183="","",IFERROR(D183/(E183+(E183=0))-1,0))</f>
        <v/>
      </c>
      <c r="J183" s="117">
        <f>IF(C183="","",IF(ABS(I183)&gt;AYARLAR!$C$14,"RİSKLİ","NORMAL"))</f>
        <v/>
      </c>
      <c r="K183" s="115">
        <f>IF(G183="","",IFERROR(G183/MOTOR!$B$20,0))</f>
        <v/>
      </c>
      <c r="L183" s="117">
        <f>IF(C183="","",IF(F183="","EKSİK","TAM"))</f>
        <v/>
      </c>
      <c r="M183" s="118" t="n"/>
    </row>
    <row r="184" ht="15" customHeight="1" s="64">
      <c r="A184" s="118" t="n"/>
      <c r="B184" s="118" t="n"/>
      <c r="C184" s="118" t="n"/>
      <c r="D184" s="118" t="n"/>
      <c r="E184" s="118" t="n"/>
      <c r="F184" s="118" t="n"/>
      <c r="G184" s="120">
        <f>IF(C184="","",C184*D184)</f>
        <v/>
      </c>
      <c r="H184" s="120">
        <f>IF(C184="","",C184*E184)</f>
        <v/>
      </c>
      <c r="I184" s="115">
        <f>IF(C184="","",IFERROR(D184/(E184+(E184=0))-1,0))</f>
        <v/>
      </c>
      <c r="J184" s="117">
        <f>IF(C184="","",IF(ABS(I184)&gt;AYARLAR!$C$14,"RİSKLİ","NORMAL"))</f>
        <v/>
      </c>
      <c r="K184" s="115">
        <f>IF(G184="","",IFERROR(G184/MOTOR!$B$20,0))</f>
        <v/>
      </c>
      <c r="L184" s="117">
        <f>IF(C184="","",IF(F184="","EKSİK","TAM"))</f>
        <v/>
      </c>
      <c r="M184" s="118" t="n"/>
    </row>
    <row r="185" ht="15" customHeight="1" s="64">
      <c r="A185" s="118" t="n"/>
      <c r="B185" s="118" t="n"/>
      <c r="C185" s="118" t="n"/>
      <c r="D185" s="118" t="n"/>
      <c r="E185" s="118" t="n"/>
      <c r="F185" s="118" t="n"/>
      <c r="G185" s="120">
        <f>IF(C185="","",C185*D185)</f>
        <v/>
      </c>
      <c r="H185" s="120">
        <f>IF(C185="","",C185*E185)</f>
        <v/>
      </c>
      <c r="I185" s="115">
        <f>IF(C185="","",IFERROR(D185/(E185+(E185=0))-1,0))</f>
        <v/>
      </c>
      <c r="J185" s="117">
        <f>IF(C185="","",IF(ABS(I185)&gt;AYARLAR!$C$14,"RİSKLİ","NORMAL"))</f>
        <v/>
      </c>
      <c r="K185" s="115">
        <f>IF(G185="","",IFERROR(G185/MOTOR!$B$20,0))</f>
        <v/>
      </c>
      <c r="L185" s="117">
        <f>IF(C185="","",IF(F185="","EKSİK","TAM"))</f>
        <v/>
      </c>
      <c r="M185" s="118" t="n"/>
    </row>
    <row r="186" ht="15" customHeight="1" s="64">
      <c r="A186" s="118" t="n"/>
      <c r="B186" s="118" t="n"/>
      <c r="C186" s="118" t="n"/>
      <c r="D186" s="118" t="n"/>
      <c r="E186" s="118" t="n"/>
      <c r="F186" s="118" t="n"/>
      <c r="G186" s="120">
        <f>IF(C186="","",C186*D186)</f>
        <v/>
      </c>
      <c r="H186" s="120">
        <f>IF(C186="","",C186*E186)</f>
        <v/>
      </c>
      <c r="I186" s="115">
        <f>IF(C186="","",IFERROR(D186/(E186+(E186=0))-1,0))</f>
        <v/>
      </c>
      <c r="J186" s="117">
        <f>IF(C186="","",IF(ABS(I186)&gt;AYARLAR!$C$14,"RİSKLİ","NORMAL"))</f>
        <v/>
      </c>
      <c r="K186" s="115">
        <f>IF(G186="","",IFERROR(G186/MOTOR!$B$20,0))</f>
        <v/>
      </c>
      <c r="L186" s="117">
        <f>IF(C186="","",IF(F186="","EKSİK","TAM"))</f>
        <v/>
      </c>
      <c r="M186" s="118" t="n"/>
    </row>
    <row r="187" ht="15" customHeight="1" s="64">
      <c r="A187" s="118" t="n"/>
      <c r="B187" s="118" t="n"/>
      <c r="C187" s="118" t="n"/>
      <c r="D187" s="118" t="n"/>
      <c r="E187" s="118" t="n"/>
      <c r="F187" s="118" t="n"/>
      <c r="G187" s="120">
        <f>IF(C187="","",C187*D187)</f>
        <v/>
      </c>
      <c r="H187" s="120">
        <f>IF(C187="","",C187*E187)</f>
        <v/>
      </c>
      <c r="I187" s="115">
        <f>IF(C187="","",IFERROR(D187/(E187+(E187=0))-1,0))</f>
        <v/>
      </c>
      <c r="J187" s="117">
        <f>IF(C187="","",IF(ABS(I187)&gt;AYARLAR!$C$14,"RİSKLİ","NORMAL"))</f>
        <v/>
      </c>
      <c r="K187" s="115">
        <f>IF(G187="","",IFERROR(G187/MOTOR!$B$20,0))</f>
        <v/>
      </c>
      <c r="L187" s="117">
        <f>IF(C187="","",IF(F187="","EKSİK","TAM"))</f>
        <v/>
      </c>
      <c r="M187" s="118" t="n"/>
    </row>
    <row r="188" ht="15" customHeight="1" s="64">
      <c r="A188" s="118" t="n"/>
      <c r="B188" s="118" t="n"/>
      <c r="C188" s="118" t="n"/>
      <c r="D188" s="118" t="n"/>
      <c r="E188" s="118" t="n"/>
      <c r="F188" s="118" t="n"/>
      <c r="G188" s="120">
        <f>IF(C188="","",C188*D188)</f>
        <v/>
      </c>
      <c r="H188" s="120">
        <f>IF(C188="","",C188*E188)</f>
        <v/>
      </c>
      <c r="I188" s="115">
        <f>IF(C188="","",IFERROR(D188/(E188+(E188=0))-1,0))</f>
        <v/>
      </c>
      <c r="J188" s="117">
        <f>IF(C188="","",IF(ABS(I188)&gt;AYARLAR!$C$14,"RİSKLİ","NORMAL"))</f>
        <v/>
      </c>
      <c r="K188" s="115">
        <f>IF(G188="","",IFERROR(G188/MOTOR!$B$20,0))</f>
        <v/>
      </c>
      <c r="L188" s="117">
        <f>IF(C188="","",IF(F188="","EKSİK","TAM"))</f>
        <v/>
      </c>
      <c r="M188" s="118" t="n"/>
    </row>
    <row r="189" ht="15" customHeight="1" s="64">
      <c r="A189" s="118" t="n"/>
      <c r="B189" s="118" t="n"/>
      <c r="C189" s="118" t="n"/>
      <c r="D189" s="118" t="n"/>
      <c r="E189" s="118" t="n"/>
      <c r="F189" s="118" t="n"/>
      <c r="G189" s="120">
        <f>IF(C189="","",C189*D189)</f>
        <v/>
      </c>
      <c r="H189" s="120">
        <f>IF(C189="","",C189*E189)</f>
        <v/>
      </c>
      <c r="I189" s="115">
        <f>IF(C189="","",IFERROR(D189/(E189+(E189=0))-1,0))</f>
        <v/>
      </c>
      <c r="J189" s="117">
        <f>IF(C189="","",IF(ABS(I189)&gt;AYARLAR!$C$14,"RİSKLİ","NORMAL"))</f>
        <v/>
      </c>
      <c r="K189" s="115">
        <f>IF(G189="","",IFERROR(G189/MOTOR!$B$20,0))</f>
        <v/>
      </c>
      <c r="L189" s="117">
        <f>IF(C189="","",IF(F189="","EKSİK","TAM"))</f>
        <v/>
      </c>
      <c r="M189" s="118" t="n"/>
    </row>
    <row r="190" ht="15" customHeight="1" s="64">
      <c r="A190" s="118" t="n"/>
      <c r="B190" s="118" t="n"/>
      <c r="C190" s="118" t="n"/>
      <c r="D190" s="118" t="n"/>
      <c r="E190" s="118" t="n"/>
      <c r="F190" s="118" t="n"/>
      <c r="G190" s="120">
        <f>IF(C190="","",C190*D190)</f>
        <v/>
      </c>
      <c r="H190" s="120">
        <f>IF(C190="","",C190*E190)</f>
        <v/>
      </c>
      <c r="I190" s="115">
        <f>IF(C190="","",IFERROR(D190/(E190+(E190=0))-1,0))</f>
        <v/>
      </c>
      <c r="J190" s="117">
        <f>IF(C190="","",IF(ABS(I190)&gt;AYARLAR!$C$14,"RİSKLİ","NORMAL"))</f>
        <v/>
      </c>
      <c r="K190" s="115">
        <f>IF(G190="","",IFERROR(G190/MOTOR!$B$20,0))</f>
        <v/>
      </c>
      <c r="L190" s="117">
        <f>IF(C190="","",IF(F190="","EKSİK","TAM"))</f>
        <v/>
      </c>
      <c r="M190" s="118" t="n"/>
    </row>
    <row r="191" ht="15" customHeight="1" s="64">
      <c r="A191" s="118" t="n"/>
      <c r="B191" s="118" t="n"/>
      <c r="C191" s="118" t="n"/>
      <c r="D191" s="118" t="n"/>
      <c r="E191" s="118" t="n"/>
      <c r="F191" s="118" t="n"/>
      <c r="G191" s="120">
        <f>IF(C191="","",C191*D191)</f>
        <v/>
      </c>
      <c r="H191" s="120">
        <f>IF(C191="","",C191*E191)</f>
        <v/>
      </c>
      <c r="I191" s="115">
        <f>IF(C191="","",IFERROR(D191/(E191+(E191=0))-1,0))</f>
        <v/>
      </c>
      <c r="J191" s="117">
        <f>IF(C191="","",IF(ABS(I191)&gt;AYARLAR!$C$14,"RİSKLİ","NORMAL"))</f>
        <v/>
      </c>
      <c r="K191" s="115">
        <f>IF(G191="","",IFERROR(G191/MOTOR!$B$20,0))</f>
        <v/>
      </c>
      <c r="L191" s="117">
        <f>IF(C191="","",IF(F191="","EKSİK","TAM"))</f>
        <v/>
      </c>
      <c r="M191" s="118" t="n"/>
    </row>
    <row r="192" ht="15" customHeight="1" s="64">
      <c r="A192" s="118" t="n"/>
      <c r="B192" s="118" t="n"/>
      <c r="C192" s="118" t="n"/>
      <c r="D192" s="118" t="n"/>
      <c r="E192" s="118" t="n"/>
      <c r="F192" s="118" t="n"/>
      <c r="G192" s="120">
        <f>IF(C192="","",C192*D192)</f>
        <v/>
      </c>
      <c r="H192" s="120">
        <f>IF(C192="","",C192*E192)</f>
        <v/>
      </c>
      <c r="I192" s="115">
        <f>IF(C192="","",IFERROR(D192/(E192+(E192=0))-1,0))</f>
        <v/>
      </c>
      <c r="J192" s="117">
        <f>IF(C192="","",IF(ABS(I192)&gt;AYARLAR!$C$14,"RİSKLİ","NORMAL"))</f>
        <v/>
      </c>
      <c r="K192" s="115">
        <f>IF(G192="","",IFERROR(G192/MOTOR!$B$20,0))</f>
        <v/>
      </c>
      <c r="L192" s="117">
        <f>IF(C192="","",IF(F192="","EKSİK","TAM"))</f>
        <v/>
      </c>
      <c r="M192" s="118" t="n"/>
    </row>
    <row r="193" ht="15" customHeight="1" s="64">
      <c r="A193" s="118" t="n"/>
      <c r="B193" s="118" t="n"/>
      <c r="C193" s="118" t="n"/>
      <c r="D193" s="118" t="n"/>
      <c r="E193" s="118" t="n"/>
      <c r="F193" s="118" t="n"/>
      <c r="G193" s="120">
        <f>IF(C193="","",C193*D193)</f>
        <v/>
      </c>
      <c r="H193" s="120">
        <f>IF(C193="","",C193*E193)</f>
        <v/>
      </c>
      <c r="I193" s="115">
        <f>IF(C193="","",IFERROR(D193/(E193+(E193=0))-1,0))</f>
        <v/>
      </c>
      <c r="J193" s="117">
        <f>IF(C193="","",IF(ABS(I193)&gt;AYARLAR!$C$14,"RİSKLİ","NORMAL"))</f>
        <v/>
      </c>
      <c r="K193" s="115">
        <f>IF(G193="","",IFERROR(G193/MOTOR!$B$20,0))</f>
        <v/>
      </c>
      <c r="L193" s="117">
        <f>IF(C193="","",IF(F193="","EKSİK","TAM"))</f>
        <v/>
      </c>
      <c r="M193" s="118" t="n"/>
    </row>
    <row r="194" ht="15" customHeight="1" s="64">
      <c r="A194" s="118" t="n"/>
      <c r="B194" s="118" t="n"/>
      <c r="C194" s="118" t="n"/>
      <c r="D194" s="118" t="n"/>
      <c r="E194" s="118" t="n"/>
      <c r="F194" s="118" t="n"/>
      <c r="G194" s="120">
        <f>IF(C194="","",C194*D194)</f>
        <v/>
      </c>
      <c r="H194" s="120">
        <f>IF(C194="","",C194*E194)</f>
        <v/>
      </c>
      <c r="I194" s="115">
        <f>IF(C194="","",IFERROR(D194/(E194+(E194=0))-1,0))</f>
        <v/>
      </c>
      <c r="J194" s="117">
        <f>IF(C194="","",IF(ABS(I194)&gt;AYARLAR!$C$14,"RİSKLİ","NORMAL"))</f>
        <v/>
      </c>
      <c r="K194" s="115">
        <f>IF(G194="","",IFERROR(G194/MOTOR!$B$20,0))</f>
        <v/>
      </c>
      <c r="L194" s="117">
        <f>IF(C194="","",IF(F194="","EKSİK","TAM"))</f>
        <v/>
      </c>
      <c r="M194" s="118" t="n"/>
    </row>
    <row r="195" ht="15" customHeight="1" s="64">
      <c r="A195" s="118" t="n"/>
      <c r="B195" s="118" t="n"/>
      <c r="C195" s="118" t="n"/>
      <c r="D195" s="118" t="n"/>
      <c r="E195" s="118" t="n"/>
      <c r="F195" s="118" t="n"/>
      <c r="G195" s="120">
        <f>IF(C195="","",C195*D195)</f>
        <v/>
      </c>
      <c r="H195" s="120">
        <f>IF(C195="","",C195*E195)</f>
        <v/>
      </c>
      <c r="I195" s="115">
        <f>IF(C195="","",IFERROR(D195/(E195+(E195=0))-1,0))</f>
        <v/>
      </c>
      <c r="J195" s="117">
        <f>IF(C195="","",IF(ABS(I195)&gt;AYARLAR!$C$14,"RİSKLİ","NORMAL"))</f>
        <v/>
      </c>
      <c r="K195" s="115">
        <f>IF(G195="","",IFERROR(G195/MOTOR!$B$20,0))</f>
        <v/>
      </c>
      <c r="L195" s="117">
        <f>IF(C195="","",IF(F195="","EKSİK","TAM"))</f>
        <v/>
      </c>
      <c r="M195" s="118" t="n"/>
    </row>
    <row r="196" ht="15" customHeight="1" s="64">
      <c r="A196" s="118" t="n"/>
      <c r="B196" s="118" t="n"/>
      <c r="C196" s="118" t="n"/>
      <c r="D196" s="118" t="n"/>
      <c r="E196" s="118" t="n"/>
      <c r="F196" s="118" t="n"/>
      <c r="G196" s="120">
        <f>IF(C196="","",C196*D196)</f>
        <v/>
      </c>
      <c r="H196" s="120">
        <f>IF(C196="","",C196*E196)</f>
        <v/>
      </c>
      <c r="I196" s="115">
        <f>IF(C196="","",IFERROR(D196/(E196+(E196=0))-1,0))</f>
        <v/>
      </c>
      <c r="J196" s="117">
        <f>IF(C196="","",IF(ABS(I196)&gt;AYARLAR!$C$14,"RİSKLİ","NORMAL"))</f>
        <v/>
      </c>
      <c r="K196" s="115">
        <f>IF(G196="","",IFERROR(G196/MOTOR!$B$20,0))</f>
        <v/>
      </c>
      <c r="L196" s="117">
        <f>IF(C196="","",IF(F196="","EKSİK","TAM"))</f>
        <v/>
      </c>
      <c r="M196" s="118" t="n"/>
    </row>
    <row r="197" ht="15" customHeight="1" s="64">
      <c r="A197" s="118" t="n"/>
      <c r="B197" s="118" t="n"/>
      <c r="C197" s="118" t="n"/>
      <c r="D197" s="118" t="n"/>
      <c r="E197" s="118" t="n"/>
      <c r="F197" s="118" t="n"/>
      <c r="G197" s="120">
        <f>IF(C197="","",C197*D197)</f>
        <v/>
      </c>
      <c r="H197" s="120">
        <f>IF(C197="","",C197*E197)</f>
        <v/>
      </c>
      <c r="I197" s="115">
        <f>IF(C197="","",IFERROR(D197/(E197+(E197=0))-1,0))</f>
        <v/>
      </c>
      <c r="J197" s="117">
        <f>IF(C197="","",IF(ABS(I197)&gt;AYARLAR!$C$14,"RİSKLİ","NORMAL"))</f>
        <v/>
      </c>
      <c r="K197" s="115">
        <f>IF(G197="","",IFERROR(G197/MOTOR!$B$20,0))</f>
        <v/>
      </c>
      <c r="L197" s="117">
        <f>IF(C197="","",IF(F197="","EKSİK","TAM"))</f>
        <v/>
      </c>
      <c r="M197" s="118" t="n"/>
    </row>
    <row r="198" ht="15" customHeight="1" s="64">
      <c r="A198" s="118" t="n"/>
      <c r="B198" s="118" t="n"/>
      <c r="C198" s="118" t="n"/>
      <c r="D198" s="118" t="n"/>
      <c r="E198" s="118" t="n"/>
      <c r="F198" s="118" t="n"/>
      <c r="G198" s="120">
        <f>IF(C198="","",C198*D198)</f>
        <v/>
      </c>
      <c r="H198" s="120">
        <f>IF(C198="","",C198*E198)</f>
        <v/>
      </c>
      <c r="I198" s="115">
        <f>IF(C198="","",IFERROR(D198/(E198+(E198=0))-1,0))</f>
        <v/>
      </c>
      <c r="J198" s="117">
        <f>IF(C198="","",IF(ABS(I198)&gt;AYARLAR!$C$14,"RİSKLİ","NORMAL"))</f>
        <v/>
      </c>
      <c r="K198" s="115">
        <f>IF(G198="","",IFERROR(G198/MOTOR!$B$20,0))</f>
        <v/>
      </c>
      <c r="L198" s="117">
        <f>IF(C198="","",IF(F198="","EKSİK","TAM"))</f>
        <v/>
      </c>
      <c r="M198" s="118" t="n"/>
    </row>
    <row r="199" ht="15" customHeight="1" s="64">
      <c r="A199" s="118" t="n"/>
      <c r="B199" s="118" t="n"/>
      <c r="C199" s="118" t="n"/>
      <c r="D199" s="118" t="n"/>
      <c r="E199" s="118" t="n"/>
      <c r="F199" s="118" t="n"/>
      <c r="G199" s="120">
        <f>IF(C199="","",C199*D199)</f>
        <v/>
      </c>
      <c r="H199" s="120">
        <f>IF(C199="","",C199*E199)</f>
        <v/>
      </c>
      <c r="I199" s="115">
        <f>IF(C199="","",IFERROR(D199/(E199+(E199=0))-1,0))</f>
        <v/>
      </c>
      <c r="J199" s="117">
        <f>IF(C199="","",IF(ABS(I199)&gt;AYARLAR!$C$14,"RİSKLİ","NORMAL"))</f>
        <v/>
      </c>
      <c r="K199" s="115">
        <f>IF(G199="","",IFERROR(G199/MOTOR!$B$20,0))</f>
        <v/>
      </c>
      <c r="L199" s="117">
        <f>IF(C199="","",IF(F199="","EKSİK","TAM"))</f>
        <v/>
      </c>
      <c r="M199" s="118" t="n"/>
    </row>
    <row r="200" ht="15" customHeight="1" s="64">
      <c r="A200" s="118" t="n"/>
      <c r="B200" s="118" t="n"/>
      <c r="C200" s="118" t="n"/>
      <c r="D200" s="118" t="n"/>
      <c r="E200" s="118" t="n"/>
      <c r="F200" s="118" t="n"/>
      <c r="G200" s="120">
        <f>IF(C200="","",C200*D200)</f>
        <v/>
      </c>
      <c r="H200" s="120">
        <f>IF(C200="","",C200*E200)</f>
        <v/>
      </c>
      <c r="I200" s="115">
        <f>IF(C200="","",IFERROR(D200/(E200+(E200=0))-1,0))</f>
        <v/>
      </c>
      <c r="J200" s="117">
        <f>IF(C200="","",IF(ABS(I200)&gt;AYARLAR!$C$14,"RİSKLİ","NORMAL"))</f>
        <v/>
      </c>
      <c r="K200" s="115">
        <f>IF(G200="","",IFERROR(G200/MOTOR!$B$20,0))</f>
        <v/>
      </c>
      <c r="L200" s="117">
        <f>IF(C200="","",IF(F200="","EKSİK","TAM"))</f>
        <v/>
      </c>
      <c r="M200" s="118" t="n"/>
    </row>
    <row r="201" ht="15" customHeight="1" s="64">
      <c r="A201" s="118" t="n"/>
      <c r="B201" s="118" t="n"/>
      <c r="C201" s="118" t="n"/>
      <c r="D201" s="118" t="n"/>
      <c r="E201" s="118" t="n"/>
      <c r="F201" s="118" t="n"/>
      <c r="G201" s="120">
        <f>IF(C201="","",C201*D201)</f>
        <v/>
      </c>
      <c r="H201" s="120">
        <f>IF(C201="","",C201*E201)</f>
        <v/>
      </c>
      <c r="I201" s="115">
        <f>IF(C201="","",IFERROR(D201/(E201+(E201=0))-1,0))</f>
        <v/>
      </c>
      <c r="J201" s="117">
        <f>IF(C201="","",IF(ABS(I201)&gt;AYARLAR!$C$14,"RİSKLİ","NORMAL"))</f>
        <v/>
      </c>
      <c r="K201" s="115">
        <f>IF(G201="","",IFERROR(G201/MOTOR!$B$20,0))</f>
        <v/>
      </c>
      <c r="L201" s="117">
        <f>IF(C201="","",IF(F201="","EKSİK","TAM"))</f>
        <v/>
      </c>
      <c r="M201" s="118" t="n"/>
    </row>
    <row r="202" ht="15" customHeight="1" s="64">
      <c r="A202" s="118" t="n"/>
      <c r="B202" s="118" t="n"/>
      <c r="C202" s="118" t="n"/>
      <c r="D202" s="118" t="n"/>
      <c r="E202" s="118" t="n"/>
      <c r="F202" s="118" t="n"/>
      <c r="G202" s="120">
        <f>IF(C202="","",C202*D202)</f>
        <v/>
      </c>
      <c r="H202" s="120">
        <f>IF(C202="","",C202*E202)</f>
        <v/>
      </c>
      <c r="I202" s="115">
        <f>IF(C202="","",IFERROR(D202/(E202+(E202=0))-1,0))</f>
        <v/>
      </c>
      <c r="J202" s="117">
        <f>IF(C202="","",IF(ABS(I202)&gt;AYARLAR!$C$14,"RİSKLİ","NORMAL"))</f>
        <v/>
      </c>
      <c r="K202" s="115">
        <f>IF(G202="","",IFERROR(G202/MOTOR!$B$20,0))</f>
        <v/>
      </c>
      <c r="L202" s="117">
        <f>IF(C202="","",IF(F202="","EKSİK","TAM"))</f>
        <v/>
      </c>
      <c r="M202" s="118" t="n"/>
    </row>
    <row r="203" ht="15" customHeight="1" s="64">
      <c r="A203" s="118" t="n"/>
      <c r="B203" s="118" t="n"/>
      <c r="C203" s="118" t="n"/>
      <c r="D203" s="118" t="n"/>
      <c r="E203" s="118" t="n"/>
      <c r="F203" s="118" t="n"/>
      <c r="G203" s="120">
        <f>IF(C203="","",C203*D203)</f>
        <v/>
      </c>
      <c r="H203" s="120">
        <f>IF(C203="","",C203*E203)</f>
        <v/>
      </c>
      <c r="I203" s="115">
        <f>IF(C203="","",IFERROR(D203/(E203+(E203=0))-1,0))</f>
        <v/>
      </c>
      <c r="J203" s="117">
        <f>IF(C203="","",IF(ABS(I203)&gt;AYARLAR!$C$14,"RİSKLİ","NORMAL"))</f>
        <v/>
      </c>
      <c r="K203" s="115">
        <f>IF(G203="","",IFERROR(G203/MOTOR!$B$20,0))</f>
        <v/>
      </c>
      <c r="L203" s="117">
        <f>IF(C203="","",IF(F203="","EKSİK","TAM"))</f>
        <v/>
      </c>
      <c r="M203" s="118" t="n"/>
    </row>
    <row r="204" ht="15" customHeight="1" s="64">
      <c r="A204" s="118" t="n"/>
      <c r="B204" s="118" t="n"/>
      <c r="C204" s="118" t="n"/>
      <c r="D204" s="118" t="n"/>
      <c r="E204" s="118" t="n"/>
      <c r="F204" s="118" t="n"/>
      <c r="G204" s="120">
        <f>IF(C204="","",C204*D204)</f>
        <v/>
      </c>
      <c r="H204" s="120">
        <f>IF(C204="","",C204*E204)</f>
        <v/>
      </c>
      <c r="I204" s="115">
        <f>IF(C204="","",IFERROR(D204/(E204+(E204=0))-1,0))</f>
        <v/>
      </c>
      <c r="J204" s="117">
        <f>IF(C204="","",IF(ABS(I204)&gt;AYARLAR!$C$14,"RİSKLİ","NORMAL"))</f>
        <v/>
      </c>
      <c r="K204" s="115">
        <f>IF(G204="","",IFERROR(G204/MOTOR!$B$20,0))</f>
        <v/>
      </c>
      <c r="L204" s="117">
        <f>IF(C204="","",IF(F204="","EKSİK","TAM"))</f>
        <v/>
      </c>
      <c r="M204" s="118" t="n"/>
    </row>
    <row r="205" ht="15" customHeight="1" s="64">
      <c r="A205" s="118" t="n"/>
      <c r="B205" s="118" t="n"/>
      <c r="C205" s="118" t="n"/>
      <c r="D205" s="118" t="n"/>
      <c r="E205" s="118" t="n"/>
      <c r="F205" s="118" t="n"/>
      <c r="G205" s="120">
        <f>IF(C205="","",C205*D205)</f>
        <v/>
      </c>
      <c r="H205" s="120">
        <f>IF(C205="","",C205*E205)</f>
        <v/>
      </c>
      <c r="I205" s="115">
        <f>IF(C205="","",IFERROR(D205/(E205+(E205=0))-1,0))</f>
        <v/>
      </c>
      <c r="J205" s="117">
        <f>IF(C205="","",IF(ABS(I205)&gt;AYARLAR!$C$14,"RİSKLİ","NORMAL"))</f>
        <v/>
      </c>
      <c r="K205" s="115">
        <f>IF(G205="","",IFERROR(G205/MOTOR!$B$20,0))</f>
        <v/>
      </c>
      <c r="L205" s="117">
        <f>IF(C205="","",IF(F205="","EKSİK","TAM"))</f>
        <v/>
      </c>
      <c r="M205" s="118" t="n"/>
    </row>
    <row r="206" ht="15" customHeight="1" s="64">
      <c r="A206" s="118" t="n"/>
      <c r="B206" s="118" t="n"/>
      <c r="C206" s="118" t="n"/>
      <c r="D206" s="118" t="n"/>
      <c r="E206" s="118" t="n"/>
      <c r="F206" s="118" t="n"/>
      <c r="G206" s="120">
        <f>IF(C206="","",C206*D206)</f>
        <v/>
      </c>
      <c r="H206" s="120">
        <f>IF(C206="","",C206*E206)</f>
        <v/>
      </c>
      <c r="I206" s="115">
        <f>IF(C206="","",IFERROR(D206/(E206+(E206=0))-1,0))</f>
        <v/>
      </c>
      <c r="J206" s="117">
        <f>IF(C206="","",IF(ABS(I206)&gt;AYARLAR!$C$14,"RİSKLİ","NORMAL"))</f>
        <v/>
      </c>
      <c r="K206" s="115">
        <f>IF(G206="","",IFERROR(G206/MOTOR!$B$20,0))</f>
        <v/>
      </c>
      <c r="L206" s="117">
        <f>IF(C206="","",IF(F206="","EKSİK","TAM"))</f>
        <v/>
      </c>
      <c r="M206" s="118" t="n"/>
    </row>
    <row r="207" ht="15" customHeight="1" s="64">
      <c r="A207" s="118" t="n"/>
      <c r="B207" s="118" t="n"/>
      <c r="C207" s="118" t="n"/>
      <c r="D207" s="118" t="n"/>
      <c r="E207" s="118" t="n"/>
      <c r="F207" s="118" t="n"/>
      <c r="G207" s="120">
        <f>IF(C207="","",C207*D207)</f>
        <v/>
      </c>
      <c r="H207" s="120">
        <f>IF(C207="","",C207*E207)</f>
        <v/>
      </c>
      <c r="I207" s="115">
        <f>IF(C207="","",IFERROR(D207/(E207+(E207=0))-1,0))</f>
        <v/>
      </c>
      <c r="J207" s="117">
        <f>IF(C207="","",IF(ABS(I207)&gt;AYARLAR!$C$14,"RİSKLİ","NORMAL"))</f>
        <v/>
      </c>
      <c r="K207" s="115">
        <f>IF(G207="","",IFERROR(G207/MOTOR!$B$20,0))</f>
        <v/>
      </c>
      <c r="L207" s="117">
        <f>IF(C207="","",IF(F207="","EKSİK","TAM"))</f>
        <v/>
      </c>
      <c r="M207" s="118" t="n"/>
    </row>
    <row r="208" ht="15" customHeight="1" s="64">
      <c r="A208" s="118" t="n"/>
      <c r="B208" s="118" t="n"/>
      <c r="C208" s="118" t="n"/>
      <c r="D208" s="118" t="n"/>
      <c r="E208" s="118" t="n"/>
      <c r="F208" s="118" t="n"/>
      <c r="G208" s="120">
        <f>IF(C208="","",C208*D208)</f>
        <v/>
      </c>
      <c r="H208" s="120">
        <f>IF(C208="","",C208*E208)</f>
        <v/>
      </c>
      <c r="I208" s="115">
        <f>IF(C208="","",IFERROR(D208/(E208+(E208=0))-1,0))</f>
        <v/>
      </c>
      <c r="J208" s="117">
        <f>IF(C208="","",IF(ABS(I208)&gt;AYARLAR!$C$14,"RİSKLİ","NORMAL"))</f>
        <v/>
      </c>
      <c r="K208" s="115">
        <f>IF(G208="","",IFERROR(G208/MOTOR!$B$20,0))</f>
        <v/>
      </c>
      <c r="L208" s="117">
        <f>IF(C208="","",IF(F208="","EKSİK","TAM"))</f>
        <v/>
      </c>
      <c r="M208" s="118" t="n"/>
    </row>
    <row r="209" ht="15" customHeight="1" s="64">
      <c r="A209" s="118" t="n"/>
      <c r="B209" s="118" t="n"/>
      <c r="C209" s="118" t="n"/>
      <c r="D209" s="118" t="n"/>
      <c r="E209" s="118" t="n"/>
      <c r="F209" s="118" t="n"/>
      <c r="G209" s="120">
        <f>IF(C209="","",C209*D209)</f>
        <v/>
      </c>
      <c r="H209" s="120">
        <f>IF(C209="","",C209*E209)</f>
        <v/>
      </c>
      <c r="I209" s="115">
        <f>IF(C209="","",IFERROR(D209/(E209+(E209=0))-1,0))</f>
        <v/>
      </c>
      <c r="J209" s="117">
        <f>IF(C209="","",IF(ABS(I209)&gt;AYARLAR!$C$14,"RİSKLİ","NORMAL"))</f>
        <v/>
      </c>
      <c r="K209" s="115">
        <f>IF(G209="","",IFERROR(G209/MOTOR!$B$20,0))</f>
        <v/>
      </c>
      <c r="L209" s="117">
        <f>IF(C209="","",IF(F209="","EKSİK","TAM"))</f>
        <v/>
      </c>
      <c r="M209" s="118" t="n"/>
    </row>
    <row r="210" ht="15" customHeight="1" s="64">
      <c r="A210" s="118" t="n"/>
      <c r="B210" s="118" t="n"/>
      <c r="C210" s="118" t="n"/>
      <c r="D210" s="118" t="n"/>
      <c r="E210" s="118" t="n"/>
      <c r="F210" s="118" t="n"/>
      <c r="G210" s="120">
        <f>IF(C210="","",C210*D210)</f>
        <v/>
      </c>
      <c r="H210" s="120">
        <f>IF(C210="","",C210*E210)</f>
        <v/>
      </c>
      <c r="I210" s="115">
        <f>IF(C210="","",IFERROR(D210/(E210+(E210=0))-1,0))</f>
        <v/>
      </c>
      <c r="J210" s="117">
        <f>IF(C210="","",IF(ABS(I210)&gt;AYARLAR!$C$14,"RİSKLİ","NORMAL"))</f>
        <v/>
      </c>
      <c r="K210" s="115">
        <f>IF(G210="","",IFERROR(G210/MOTOR!$B$20,0))</f>
        <v/>
      </c>
      <c r="L210" s="117">
        <f>IF(C210="","",IF(F210="","EKSİK","TAM"))</f>
        <v/>
      </c>
      <c r="M210" s="118" t="n"/>
    </row>
    <row r="211" ht="15" customHeight="1" s="64">
      <c r="A211" s="118" t="n"/>
      <c r="B211" s="118" t="n"/>
      <c r="C211" s="118" t="n"/>
      <c r="D211" s="118" t="n"/>
      <c r="E211" s="118" t="n"/>
      <c r="F211" s="118" t="n"/>
      <c r="G211" s="120">
        <f>IF(C211="","",C211*D211)</f>
        <v/>
      </c>
      <c r="H211" s="120">
        <f>IF(C211="","",C211*E211)</f>
        <v/>
      </c>
      <c r="I211" s="115">
        <f>IF(C211="","",IFERROR(D211/(E211+(E211=0))-1,0))</f>
        <v/>
      </c>
      <c r="J211" s="117">
        <f>IF(C211="","",IF(ABS(I211)&gt;AYARLAR!$C$14,"RİSKLİ","NORMAL"))</f>
        <v/>
      </c>
      <c r="K211" s="115">
        <f>IF(G211="","",IFERROR(G211/MOTOR!$B$20,0))</f>
        <v/>
      </c>
      <c r="L211" s="117">
        <f>IF(C211="","",IF(F211="","EKSİK","TAM"))</f>
        <v/>
      </c>
      <c r="M211" s="118" t="n"/>
    </row>
    <row r="212" ht="15" customHeight="1" s="64">
      <c r="A212" s="118" t="n"/>
      <c r="B212" s="118" t="n"/>
      <c r="C212" s="118" t="n"/>
      <c r="D212" s="118" t="n"/>
      <c r="E212" s="118" t="n"/>
      <c r="F212" s="118" t="n"/>
      <c r="G212" s="120">
        <f>IF(C212="","",C212*D212)</f>
        <v/>
      </c>
      <c r="H212" s="120">
        <f>IF(C212="","",C212*E212)</f>
        <v/>
      </c>
      <c r="I212" s="115">
        <f>IF(C212="","",IFERROR(D212/(E212+(E212=0))-1,0))</f>
        <v/>
      </c>
      <c r="J212" s="117">
        <f>IF(C212="","",IF(ABS(I212)&gt;AYARLAR!$C$14,"RİSKLİ","NORMAL"))</f>
        <v/>
      </c>
      <c r="K212" s="115">
        <f>IF(G212="","",IFERROR(G212/MOTOR!$B$20,0))</f>
        <v/>
      </c>
      <c r="L212" s="117">
        <f>IF(C212="","",IF(F212="","EKSİK","TAM"))</f>
        <v/>
      </c>
      <c r="M212" s="118" t="n"/>
    </row>
    <row r="213" ht="15" customHeight="1" s="64">
      <c r="A213" s="118" t="n"/>
      <c r="B213" s="118" t="n"/>
      <c r="C213" s="118" t="n"/>
      <c r="D213" s="118" t="n"/>
      <c r="E213" s="118" t="n"/>
      <c r="F213" s="118" t="n"/>
      <c r="G213" s="120">
        <f>IF(C213="","",C213*D213)</f>
        <v/>
      </c>
      <c r="H213" s="120">
        <f>IF(C213="","",C213*E213)</f>
        <v/>
      </c>
      <c r="I213" s="115">
        <f>IF(C213="","",IFERROR(D213/(E213+(E213=0))-1,0))</f>
        <v/>
      </c>
      <c r="J213" s="117">
        <f>IF(C213="","",IF(ABS(I213)&gt;AYARLAR!$C$14,"RİSKLİ","NORMAL"))</f>
        <v/>
      </c>
      <c r="K213" s="115">
        <f>IF(G213="","",IFERROR(G213/MOTOR!$B$20,0))</f>
        <v/>
      </c>
      <c r="L213" s="117">
        <f>IF(C213="","",IF(F213="","EKSİK","TAM"))</f>
        <v/>
      </c>
      <c r="M213" s="118" t="n"/>
    </row>
    <row r="214" ht="15" customHeight="1" s="64">
      <c r="A214" s="118" t="n"/>
      <c r="B214" s="118" t="n"/>
      <c r="C214" s="118" t="n"/>
      <c r="D214" s="118" t="n"/>
      <c r="E214" s="118" t="n"/>
      <c r="F214" s="118" t="n"/>
      <c r="G214" s="120">
        <f>IF(C214="","",C214*D214)</f>
        <v/>
      </c>
      <c r="H214" s="120">
        <f>IF(C214="","",C214*E214)</f>
        <v/>
      </c>
      <c r="I214" s="115">
        <f>IF(C214="","",IFERROR(D214/(E214+(E214=0))-1,0))</f>
        <v/>
      </c>
      <c r="J214" s="117">
        <f>IF(C214="","",IF(ABS(I214)&gt;AYARLAR!$C$14,"RİSKLİ","NORMAL"))</f>
        <v/>
      </c>
      <c r="K214" s="115">
        <f>IF(G214="","",IFERROR(G214/MOTOR!$B$20,0))</f>
        <v/>
      </c>
      <c r="L214" s="117">
        <f>IF(C214="","",IF(F214="","EKSİK","TAM"))</f>
        <v/>
      </c>
      <c r="M214" s="118" t="n"/>
    </row>
    <row r="215" ht="15" customHeight="1" s="64">
      <c r="A215" s="118" t="n"/>
      <c r="B215" s="118" t="n"/>
      <c r="C215" s="118" t="n"/>
      <c r="D215" s="118" t="n"/>
      <c r="E215" s="118" t="n"/>
      <c r="F215" s="118" t="n"/>
      <c r="G215" s="120">
        <f>IF(C215="","",C215*D215)</f>
        <v/>
      </c>
      <c r="H215" s="120">
        <f>IF(C215="","",C215*E215)</f>
        <v/>
      </c>
      <c r="I215" s="115">
        <f>IF(C215="","",IFERROR(D215/(E215+(E215=0))-1,0))</f>
        <v/>
      </c>
      <c r="J215" s="117">
        <f>IF(C215="","",IF(ABS(I215)&gt;AYARLAR!$C$14,"RİSKLİ","NORMAL"))</f>
        <v/>
      </c>
      <c r="K215" s="115">
        <f>IF(G215="","",IFERROR(G215/MOTOR!$B$20,0))</f>
        <v/>
      </c>
      <c r="L215" s="117">
        <f>IF(C215="","",IF(F215="","EKSİK","TAM"))</f>
        <v/>
      </c>
      <c r="M215" s="118" t="n"/>
    </row>
    <row r="216" ht="15" customHeight="1" s="64">
      <c r="A216" s="118" t="n"/>
      <c r="B216" s="118" t="n"/>
      <c r="C216" s="118" t="n"/>
      <c r="D216" s="118" t="n"/>
      <c r="E216" s="118" t="n"/>
      <c r="F216" s="118" t="n"/>
      <c r="G216" s="120">
        <f>IF(C216="","",C216*D216)</f>
        <v/>
      </c>
      <c r="H216" s="120">
        <f>IF(C216="","",C216*E216)</f>
        <v/>
      </c>
      <c r="I216" s="115">
        <f>IF(C216="","",IFERROR(D216/(E216+(E216=0))-1,0))</f>
        <v/>
      </c>
      <c r="J216" s="117">
        <f>IF(C216="","",IF(ABS(I216)&gt;AYARLAR!$C$14,"RİSKLİ","NORMAL"))</f>
        <v/>
      </c>
      <c r="K216" s="115">
        <f>IF(G216="","",IFERROR(G216/MOTOR!$B$20,0))</f>
        <v/>
      </c>
      <c r="L216" s="117">
        <f>IF(C216="","",IF(F216="","EKSİK","TAM"))</f>
        <v/>
      </c>
      <c r="M216" s="118" t="n"/>
    </row>
    <row r="217" ht="15" customHeight="1" s="64">
      <c r="A217" s="118" t="n"/>
      <c r="B217" s="118" t="n"/>
      <c r="C217" s="118" t="n"/>
      <c r="D217" s="118" t="n"/>
      <c r="E217" s="118" t="n"/>
      <c r="F217" s="118" t="n"/>
      <c r="G217" s="120">
        <f>IF(C217="","",C217*D217)</f>
        <v/>
      </c>
      <c r="H217" s="120">
        <f>IF(C217="","",C217*E217)</f>
        <v/>
      </c>
      <c r="I217" s="115">
        <f>IF(C217="","",IFERROR(D217/(E217+(E217=0))-1,0))</f>
        <v/>
      </c>
      <c r="J217" s="117">
        <f>IF(C217="","",IF(ABS(I217)&gt;AYARLAR!$C$14,"RİSKLİ","NORMAL"))</f>
        <v/>
      </c>
      <c r="K217" s="115">
        <f>IF(G217="","",IFERROR(G217/MOTOR!$B$20,0))</f>
        <v/>
      </c>
      <c r="L217" s="117">
        <f>IF(C217="","",IF(F217="","EKSİK","TAM"))</f>
        <v/>
      </c>
      <c r="M217" s="118" t="n"/>
    </row>
    <row r="218" ht="15" customHeight="1" s="64">
      <c r="A218" s="118" t="n"/>
      <c r="B218" s="118" t="n"/>
      <c r="C218" s="118" t="n"/>
      <c r="D218" s="118" t="n"/>
      <c r="E218" s="118" t="n"/>
      <c r="F218" s="118" t="n"/>
      <c r="G218" s="120">
        <f>IF(C218="","",C218*D218)</f>
        <v/>
      </c>
      <c r="H218" s="120">
        <f>IF(C218="","",C218*E218)</f>
        <v/>
      </c>
      <c r="I218" s="115">
        <f>IF(C218="","",IFERROR(D218/(E218+(E218=0))-1,0))</f>
        <v/>
      </c>
      <c r="J218" s="117">
        <f>IF(C218="","",IF(ABS(I218)&gt;AYARLAR!$C$14,"RİSKLİ","NORMAL"))</f>
        <v/>
      </c>
      <c r="K218" s="115">
        <f>IF(G218="","",IFERROR(G218/MOTOR!$B$20,0))</f>
        <v/>
      </c>
      <c r="L218" s="117">
        <f>IF(C218="","",IF(F218="","EKSİK","TAM"))</f>
        <v/>
      </c>
      <c r="M218" s="118" t="n"/>
    </row>
    <row r="219" ht="15" customHeight="1" s="64">
      <c r="A219" s="118" t="n"/>
      <c r="B219" s="118" t="n"/>
      <c r="C219" s="118" t="n"/>
      <c r="D219" s="118" t="n"/>
      <c r="E219" s="118" t="n"/>
      <c r="F219" s="118" t="n"/>
      <c r="G219" s="120">
        <f>IF(C219="","",C219*D219)</f>
        <v/>
      </c>
      <c r="H219" s="120">
        <f>IF(C219="","",C219*E219)</f>
        <v/>
      </c>
      <c r="I219" s="115">
        <f>IF(C219="","",IFERROR(D219/(E219+(E219=0))-1,0))</f>
        <v/>
      </c>
      <c r="J219" s="117">
        <f>IF(C219="","",IF(ABS(I219)&gt;AYARLAR!$C$14,"RİSKLİ","NORMAL"))</f>
        <v/>
      </c>
      <c r="K219" s="115">
        <f>IF(G219="","",IFERROR(G219/MOTOR!$B$20,0))</f>
        <v/>
      </c>
      <c r="L219" s="117">
        <f>IF(C219="","",IF(F219="","EKSİK","TAM"))</f>
        <v/>
      </c>
      <c r="M219" s="118" t="n"/>
    </row>
    <row r="220" ht="15" customHeight="1" s="64">
      <c r="A220" s="118" t="n"/>
      <c r="B220" s="118" t="n"/>
      <c r="C220" s="118" t="n"/>
      <c r="D220" s="118" t="n"/>
      <c r="E220" s="118" t="n"/>
      <c r="F220" s="118" t="n"/>
      <c r="G220" s="120">
        <f>IF(C220="","",C220*D220)</f>
        <v/>
      </c>
      <c r="H220" s="120">
        <f>IF(C220="","",C220*E220)</f>
        <v/>
      </c>
      <c r="I220" s="115">
        <f>IF(C220="","",IFERROR(D220/(E220+(E220=0))-1,0))</f>
        <v/>
      </c>
      <c r="J220" s="117">
        <f>IF(C220="","",IF(ABS(I220)&gt;AYARLAR!$C$14,"RİSKLİ","NORMAL"))</f>
        <v/>
      </c>
      <c r="K220" s="115">
        <f>IF(G220="","",IFERROR(G220/MOTOR!$B$20,0))</f>
        <v/>
      </c>
      <c r="L220" s="117">
        <f>IF(C220="","",IF(F220="","EKSİK","TAM"))</f>
        <v/>
      </c>
      <c r="M220" s="118" t="n"/>
    </row>
    <row r="221" ht="15" customHeight="1" s="64">
      <c r="A221" s="118" t="n"/>
      <c r="B221" s="118" t="n"/>
      <c r="C221" s="118" t="n"/>
      <c r="D221" s="118" t="n"/>
      <c r="E221" s="118" t="n"/>
      <c r="F221" s="118" t="n"/>
      <c r="G221" s="120">
        <f>IF(C221="","",C221*D221)</f>
        <v/>
      </c>
      <c r="H221" s="120">
        <f>IF(C221="","",C221*E221)</f>
        <v/>
      </c>
      <c r="I221" s="115">
        <f>IF(C221="","",IFERROR(D221/(E221+(E221=0))-1,0))</f>
        <v/>
      </c>
      <c r="J221" s="117">
        <f>IF(C221="","",IF(ABS(I221)&gt;AYARLAR!$C$14,"RİSKLİ","NORMAL"))</f>
        <v/>
      </c>
      <c r="K221" s="115">
        <f>IF(G221="","",IFERROR(G221/MOTOR!$B$20,0))</f>
        <v/>
      </c>
      <c r="L221" s="117">
        <f>IF(C221="","",IF(F221="","EKSİK","TAM"))</f>
        <v/>
      </c>
      <c r="M221" s="118" t="n"/>
    </row>
    <row r="222" ht="15" customHeight="1" s="64">
      <c r="A222" s="118" t="n"/>
      <c r="B222" s="118" t="n"/>
      <c r="C222" s="118" t="n"/>
      <c r="D222" s="118" t="n"/>
      <c r="E222" s="118" t="n"/>
      <c r="F222" s="118" t="n"/>
      <c r="G222" s="120">
        <f>IF(C222="","",C222*D222)</f>
        <v/>
      </c>
      <c r="H222" s="120">
        <f>IF(C222="","",C222*E222)</f>
        <v/>
      </c>
      <c r="I222" s="115">
        <f>IF(C222="","",IFERROR(D222/(E222+(E222=0))-1,0))</f>
        <v/>
      </c>
      <c r="J222" s="117">
        <f>IF(C222="","",IF(ABS(I222)&gt;AYARLAR!$C$14,"RİSKLİ","NORMAL"))</f>
        <v/>
      </c>
      <c r="K222" s="115">
        <f>IF(G222="","",IFERROR(G222/MOTOR!$B$20,0))</f>
        <v/>
      </c>
      <c r="L222" s="117">
        <f>IF(C222="","",IF(F222="","EKSİK","TAM"))</f>
        <v/>
      </c>
      <c r="M222" s="118" t="n"/>
    </row>
    <row r="223" ht="15" customHeight="1" s="64">
      <c r="A223" s="118" t="n"/>
      <c r="B223" s="118" t="n"/>
      <c r="C223" s="118" t="n"/>
      <c r="D223" s="118" t="n"/>
      <c r="E223" s="118" t="n"/>
      <c r="F223" s="118" t="n"/>
      <c r="G223" s="120">
        <f>IF(C223="","",C223*D223)</f>
        <v/>
      </c>
      <c r="H223" s="120">
        <f>IF(C223="","",C223*E223)</f>
        <v/>
      </c>
      <c r="I223" s="115">
        <f>IF(C223="","",IFERROR(D223/(E223+(E223=0))-1,0))</f>
        <v/>
      </c>
      <c r="J223" s="117">
        <f>IF(C223="","",IF(ABS(I223)&gt;AYARLAR!$C$14,"RİSKLİ","NORMAL"))</f>
        <v/>
      </c>
      <c r="K223" s="115">
        <f>IF(G223="","",IFERROR(G223/MOTOR!$B$20,0))</f>
        <v/>
      </c>
      <c r="L223" s="117">
        <f>IF(C223="","",IF(F223="","EKSİK","TAM"))</f>
        <v/>
      </c>
      <c r="M223" s="118" t="n"/>
    </row>
    <row r="224" ht="15" customHeight="1" s="64">
      <c r="A224" s="118" t="n"/>
      <c r="B224" s="118" t="n"/>
      <c r="C224" s="118" t="n"/>
      <c r="D224" s="118" t="n"/>
      <c r="E224" s="118" t="n"/>
      <c r="F224" s="118" t="n"/>
      <c r="G224" s="120">
        <f>IF(C224="","",C224*D224)</f>
        <v/>
      </c>
      <c r="H224" s="120">
        <f>IF(C224="","",C224*E224)</f>
        <v/>
      </c>
      <c r="I224" s="115">
        <f>IF(C224="","",IFERROR(D224/(E224+(E224=0))-1,0))</f>
        <v/>
      </c>
      <c r="J224" s="117">
        <f>IF(C224="","",IF(ABS(I224)&gt;AYARLAR!$C$14,"RİSKLİ","NORMAL"))</f>
        <v/>
      </c>
      <c r="K224" s="115">
        <f>IF(G224="","",IFERROR(G224/MOTOR!$B$20,0))</f>
        <v/>
      </c>
      <c r="L224" s="117">
        <f>IF(C224="","",IF(F224="","EKSİK","TAM"))</f>
        <v/>
      </c>
      <c r="M224" s="118" t="n"/>
    </row>
    <row r="225" ht="15" customHeight="1" s="64">
      <c r="A225" s="118" t="n"/>
      <c r="B225" s="118" t="n"/>
      <c r="C225" s="118" t="n"/>
      <c r="D225" s="118" t="n"/>
      <c r="E225" s="118" t="n"/>
      <c r="F225" s="118" t="n"/>
      <c r="G225" s="120">
        <f>IF(C225="","",C225*D225)</f>
        <v/>
      </c>
      <c r="H225" s="120">
        <f>IF(C225="","",C225*E225)</f>
        <v/>
      </c>
      <c r="I225" s="115">
        <f>IF(C225="","",IFERROR(D225/(E225+(E225=0))-1,0))</f>
        <v/>
      </c>
      <c r="J225" s="117">
        <f>IF(C225="","",IF(ABS(I225)&gt;AYARLAR!$C$14,"RİSKLİ","NORMAL"))</f>
        <v/>
      </c>
      <c r="K225" s="115">
        <f>IF(G225="","",IFERROR(G225/MOTOR!$B$20,0))</f>
        <v/>
      </c>
      <c r="L225" s="117">
        <f>IF(C225="","",IF(F225="","EKSİK","TAM"))</f>
        <v/>
      </c>
      <c r="M225" s="118" t="n"/>
    </row>
    <row r="226" ht="15" customHeight="1" s="64">
      <c r="A226" s="118" t="n"/>
      <c r="B226" s="118" t="n"/>
      <c r="C226" s="118" t="n"/>
      <c r="D226" s="118" t="n"/>
      <c r="E226" s="118" t="n"/>
      <c r="F226" s="118" t="n"/>
      <c r="G226" s="120">
        <f>IF(C226="","",C226*D226)</f>
        <v/>
      </c>
      <c r="H226" s="120">
        <f>IF(C226="","",C226*E226)</f>
        <v/>
      </c>
      <c r="I226" s="115">
        <f>IF(C226="","",IFERROR(D226/(E226+(E226=0))-1,0))</f>
        <v/>
      </c>
      <c r="J226" s="117">
        <f>IF(C226="","",IF(ABS(I226)&gt;AYARLAR!$C$14,"RİSKLİ","NORMAL"))</f>
        <v/>
      </c>
      <c r="K226" s="115">
        <f>IF(G226="","",IFERROR(G226/MOTOR!$B$20,0))</f>
        <v/>
      </c>
      <c r="L226" s="117">
        <f>IF(C226="","",IF(F226="","EKSİK","TAM"))</f>
        <v/>
      </c>
      <c r="M226" s="118" t="n"/>
    </row>
    <row r="227" ht="15" customHeight="1" s="64">
      <c r="A227" s="118" t="n"/>
      <c r="B227" s="118" t="n"/>
      <c r="C227" s="118" t="n"/>
      <c r="D227" s="118" t="n"/>
      <c r="E227" s="118" t="n"/>
      <c r="F227" s="118" t="n"/>
      <c r="G227" s="120">
        <f>IF(C227="","",C227*D227)</f>
        <v/>
      </c>
      <c r="H227" s="120">
        <f>IF(C227="","",C227*E227)</f>
        <v/>
      </c>
      <c r="I227" s="115">
        <f>IF(C227="","",IFERROR(D227/(E227+(E227=0))-1,0))</f>
        <v/>
      </c>
      <c r="J227" s="117">
        <f>IF(C227="","",IF(ABS(I227)&gt;AYARLAR!$C$14,"RİSKLİ","NORMAL"))</f>
        <v/>
      </c>
      <c r="K227" s="115">
        <f>IF(G227="","",IFERROR(G227/MOTOR!$B$20,0))</f>
        <v/>
      </c>
      <c r="L227" s="117">
        <f>IF(C227="","",IF(F227="","EKSİK","TAM"))</f>
        <v/>
      </c>
      <c r="M227" s="118" t="n"/>
    </row>
    <row r="228" ht="15" customHeight="1" s="64">
      <c r="A228" s="118" t="n"/>
      <c r="B228" s="118" t="n"/>
      <c r="C228" s="118" t="n"/>
      <c r="D228" s="118" t="n"/>
      <c r="E228" s="118" t="n"/>
      <c r="F228" s="118" t="n"/>
      <c r="G228" s="120">
        <f>IF(C228="","",C228*D228)</f>
        <v/>
      </c>
      <c r="H228" s="120">
        <f>IF(C228="","",C228*E228)</f>
        <v/>
      </c>
      <c r="I228" s="115">
        <f>IF(C228="","",IFERROR(D228/(E228+(E228=0))-1,0))</f>
        <v/>
      </c>
      <c r="J228" s="117">
        <f>IF(C228="","",IF(ABS(I228)&gt;AYARLAR!$C$14,"RİSKLİ","NORMAL"))</f>
        <v/>
      </c>
      <c r="K228" s="115">
        <f>IF(G228="","",IFERROR(G228/MOTOR!$B$20,0))</f>
        <v/>
      </c>
      <c r="L228" s="117">
        <f>IF(C228="","",IF(F228="","EKSİK","TAM"))</f>
        <v/>
      </c>
      <c r="M228" s="118" t="n"/>
    </row>
    <row r="229" ht="15" customHeight="1" s="64">
      <c r="A229" s="118" t="n"/>
      <c r="B229" s="118" t="n"/>
      <c r="C229" s="118" t="n"/>
      <c r="D229" s="118" t="n"/>
      <c r="E229" s="118" t="n"/>
      <c r="F229" s="118" t="n"/>
      <c r="G229" s="120">
        <f>IF(C229="","",C229*D229)</f>
        <v/>
      </c>
      <c r="H229" s="120">
        <f>IF(C229="","",C229*E229)</f>
        <v/>
      </c>
      <c r="I229" s="115">
        <f>IF(C229="","",IFERROR(D229/(E229+(E229=0))-1,0))</f>
        <v/>
      </c>
      <c r="J229" s="117">
        <f>IF(C229="","",IF(ABS(I229)&gt;AYARLAR!$C$14,"RİSKLİ","NORMAL"))</f>
        <v/>
      </c>
      <c r="K229" s="115">
        <f>IF(G229="","",IFERROR(G229/MOTOR!$B$20,0))</f>
        <v/>
      </c>
      <c r="L229" s="117">
        <f>IF(C229="","",IF(F229="","EKSİK","TAM"))</f>
        <v/>
      </c>
      <c r="M229" s="118" t="n"/>
    </row>
    <row r="230" ht="15" customHeight="1" s="64">
      <c r="A230" s="118" t="n"/>
      <c r="B230" s="118" t="n"/>
      <c r="C230" s="118" t="n"/>
      <c r="D230" s="118" t="n"/>
      <c r="E230" s="118" t="n"/>
      <c r="F230" s="118" t="n"/>
      <c r="G230" s="120">
        <f>IF(C230="","",C230*D230)</f>
        <v/>
      </c>
      <c r="H230" s="120">
        <f>IF(C230="","",C230*E230)</f>
        <v/>
      </c>
      <c r="I230" s="115">
        <f>IF(C230="","",IFERROR(D230/(E230+(E230=0))-1,0))</f>
        <v/>
      </c>
      <c r="J230" s="117">
        <f>IF(C230="","",IF(ABS(I230)&gt;AYARLAR!$C$14,"RİSKLİ","NORMAL"))</f>
        <v/>
      </c>
      <c r="K230" s="115">
        <f>IF(G230="","",IFERROR(G230/MOTOR!$B$20,0))</f>
        <v/>
      </c>
      <c r="L230" s="117">
        <f>IF(C230="","",IF(F230="","EKSİK","TAM"))</f>
        <v/>
      </c>
      <c r="M230" s="118" t="n"/>
    </row>
    <row r="231" ht="15" customHeight="1" s="64">
      <c r="A231" s="118" t="n"/>
      <c r="B231" s="118" t="n"/>
      <c r="C231" s="118" t="n"/>
      <c r="D231" s="118" t="n"/>
      <c r="E231" s="118" t="n"/>
      <c r="F231" s="118" t="n"/>
      <c r="G231" s="120">
        <f>IF(C231="","",C231*D231)</f>
        <v/>
      </c>
      <c r="H231" s="120">
        <f>IF(C231="","",C231*E231)</f>
        <v/>
      </c>
      <c r="I231" s="115">
        <f>IF(C231="","",IFERROR(D231/(E231+(E231=0))-1,0))</f>
        <v/>
      </c>
      <c r="J231" s="117">
        <f>IF(C231="","",IF(ABS(I231)&gt;AYARLAR!$C$14,"RİSKLİ","NORMAL"))</f>
        <v/>
      </c>
      <c r="K231" s="115">
        <f>IF(G231="","",IFERROR(G231/MOTOR!$B$20,0))</f>
        <v/>
      </c>
      <c r="L231" s="117">
        <f>IF(C231="","",IF(F231="","EKSİK","TAM"))</f>
        <v/>
      </c>
      <c r="M231" s="118" t="n"/>
    </row>
    <row r="232" ht="15" customHeight="1" s="64">
      <c r="A232" s="118" t="n"/>
      <c r="B232" s="118" t="n"/>
      <c r="C232" s="118" t="n"/>
      <c r="D232" s="118" t="n"/>
      <c r="E232" s="118" t="n"/>
      <c r="F232" s="118" t="n"/>
      <c r="G232" s="120">
        <f>IF(C232="","",C232*D232)</f>
        <v/>
      </c>
      <c r="H232" s="120">
        <f>IF(C232="","",C232*E232)</f>
        <v/>
      </c>
      <c r="I232" s="115">
        <f>IF(C232="","",IFERROR(D232/(E232+(E232=0))-1,0))</f>
        <v/>
      </c>
      <c r="J232" s="117">
        <f>IF(C232="","",IF(ABS(I232)&gt;AYARLAR!$C$14,"RİSKLİ","NORMAL"))</f>
        <v/>
      </c>
      <c r="K232" s="115">
        <f>IF(G232="","",IFERROR(G232/MOTOR!$B$20,0))</f>
        <v/>
      </c>
      <c r="L232" s="117">
        <f>IF(C232="","",IF(F232="","EKSİK","TAM"))</f>
        <v/>
      </c>
      <c r="M232" s="118" t="n"/>
    </row>
    <row r="233" ht="15" customHeight="1" s="64">
      <c r="A233" s="118" t="n"/>
      <c r="B233" s="118" t="n"/>
      <c r="C233" s="118" t="n"/>
      <c r="D233" s="118" t="n"/>
      <c r="E233" s="118" t="n"/>
      <c r="F233" s="118" t="n"/>
      <c r="G233" s="120">
        <f>IF(C233="","",C233*D233)</f>
        <v/>
      </c>
      <c r="H233" s="120">
        <f>IF(C233="","",C233*E233)</f>
        <v/>
      </c>
      <c r="I233" s="115">
        <f>IF(C233="","",IFERROR(D233/(E233+(E233=0))-1,0))</f>
        <v/>
      </c>
      <c r="J233" s="117">
        <f>IF(C233="","",IF(ABS(I233)&gt;AYARLAR!$C$14,"RİSKLİ","NORMAL"))</f>
        <v/>
      </c>
      <c r="K233" s="115">
        <f>IF(G233="","",IFERROR(G233/MOTOR!$B$20,0))</f>
        <v/>
      </c>
      <c r="L233" s="117">
        <f>IF(C233="","",IF(F233="","EKSİK","TAM"))</f>
        <v/>
      </c>
      <c r="M233" s="118" t="n"/>
    </row>
    <row r="234" ht="15" customHeight="1" s="64">
      <c r="A234" s="118" t="n"/>
      <c r="B234" s="118" t="n"/>
      <c r="C234" s="118" t="n"/>
      <c r="D234" s="118" t="n"/>
      <c r="E234" s="118" t="n"/>
      <c r="F234" s="118" t="n"/>
      <c r="G234" s="120">
        <f>IF(C234="","",C234*D234)</f>
        <v/>
      </c>
      <c r="H234" s="120">
        <f>IF(C234="","",C234*E234)</f>
        <v/>
      </c>
      <c r="I234" s="115">
        <f>IF(C234="","",IFERROR(D234/(E234+(E234=0))-1,0))</f>
        <v/>
      </c>
      <c r="J234" s="117">
        <f>IF(C234="","",IF(ABS(I234)&gt;AYARLAR!$C$14,"RİSKLİ","NORMAL"))</f>
        <v/>
      </c>
      <c r="K234" s="115">
        <f>IF(G234="","",IFERROR(G234/MOTOR!$B$20,0))</f>
        <v/>
      </c>
      <c r="L234" s="117">
        <f>IF(C234="","",IF(F234="","EKSİK","TAM"))</f>
        <v/>
      </c>
      <c r="M234" s="118" t="n"/>
    </row>
    <row r="235" ht="15" customHeight="1" s="64">
      <c r="A235" s="118" t="n"/>
      <c r="B235" s="118" t="n"/>
      <c r="C235" s="118" t="n"/>
      <c r="D235" s="118" t="n"/>
      <c r="E235" s="118" t="n"/>
      <c r="F235" s="118" t="n"/>
      <c r="G235" s="120">
        <f>IF(C235="","",C235*D235)</f>
        <v/>
      </c>
      <c r="H235" s="120">
        <f>IF(C235="","",C235*E235)</f>
        <v/>
      </c>
      <c r="I235" s="115">
        <f>IF(C235="","",IFERROR(D235/(E235+(E235=0))-1,0))</f>
        <v/>
      </c>
      <c r="J235" s="117">
        <f>IF(C235="","",IF(ABS(I235)&gt;AYARLAR!$C$14,"RİSKLİ","NORMAL"))</f>
        <v/>
      </c>
      <c r="K235" s="115">
        <f>IF(G235="","",IFERROR(G235/MOTOR!$B$20,0))</f>
        <v/>
      </c>
      <c r="L235" s="117">
        <f>IF(C235="","",IF(F235="","EKSİK","TAM"))</f>
        <v/>
      </c>
      <c r="M235" s="118" t="n"/>
    </row>
    <row r="236" ht="15" customHeight="1" s="64">
      <c r="A236" s="118" t="n"/>
      <c r="B236" s="118" t="n"/>
      <c r="C236" s="118" t="n"/>
      <c r="D236" s="118" t="n"/>
      <c r="E236" s="118" t="n"/>
      <c r="F236" s="118" t="n"/>
      <c r="G236" s="120">
        <f>IF(C236="","",C236*D236)</f>
        <v/>
      </c>
      <c r="H236" s="120">
        <f>IF(C236="","",C236*E236)</f>
        <v/>
      </c>
      <c r="I236" s="115">
        <f>IF(C236="","",IFERROR(D236/(E236+(E236=0))-1,0))</f>
        <v/>
      </c>
      <c r="J236" s="117">
        <f>IF(C236="","",IF(ABS(I236)&gt;AYARLAR!$C$14,"RİSKLİ","NORMAL"))</f>
        <v/>
      </c>
      <c r="K236" s="115">
        <f>IF(G236="","",IFERROR(G236/MOTOR!$B$20,0))</f>
        <v/>
      </c>
      <c r="L236" s="117">
        <f>IF(C236="","",IF(F236="","EKSİK","TAM"))</f>
        <v/>
      </c>
      <c r="M236" s="118" t="n"/>
    </row>
    <row r="237" ht="15" customHeight="1" s="64">
      <c r="A237" s="118" t="n"/>
      <c r="B237" s="118" t="n"/>
      <c r="C237" s="118" t="n"/>
      <c r="D237" s="118" t="n"/>
      <c r="E237" s="118" t="n"/>
      <c r="F237" s="118" t="n"/>
      <c r="G237" s="120">
        <f>IF(C237="","",C237*D237)</f>
        <v/>
      </c>
      <c r="H237" s="120">
        <f>IF(C237="","",C237*E237)</f>
        <v/>
      </c>
      <c r="I237" s="115">
        <f>IF(C237="","",IFERROR(D237/(E237+(E237=0))-1,0))</f>
        <v/>
      </c>
      <c r="J237" s="117">
        <f>IF(C237="","",IF(ABS(I237)&gt;AYARLAR!$C$14,"RİSKLİ","NORMAL"))</f>
        <v/>
      </c>
      <c r="K237" s="115">
        <f>IF(G237="","",IFERROR(G237/MOTOR!$B$20,0))</f>
        <v/>
      </c>
      <c r="L237" s="117">
        <f>IF(C237="","",IF(F237="","EKSİK","TAM"))</f>
        <v/>
      </c>
      <c r="M237" s="118" t="n"/>
    </row>
    <row r="238" ht="15" customHeight="1" s="64">
      <c r="A238" s="118" t="n"/>
      <c r="B238" s="118" t="n"/>
      <c r="C238" s="118" t="n"/>
      <c r="D238" s="118" t="n"/>
      <c r="E238" s="118" t="n"/>
      <c r="F238" s="118" t="n"/>
      <c r="G238" s="120">
        <f>IF(C238="","",C238*D238)</f>
        <v/>
      </c>
      <c r="H238" s="120">
        <f>IF(C238="","",C238*E238)</f>
        <v/>
      </c>
      <c r="I238" s="115">
        <f>IF(C238="","",IFERROR(D238/(E238+(E238=0))-1,0))</f>
        <v/>
      </c>
      <c r="J238" s="117">
        <f>IF(C238="","",IF(ABS(I238)&gt;AYARLAR!$C$14,"RİSKLİ","NORMAL"))</f>
        <v/>
      </c>
      <c r="K238" s="115">
        <f>IF(G238="","",IFERROR(G238/MOTOR!$B$20,0))</f>
        <v/>
      </c>
      <c r="L238" s="117">
        <f>IF(C238="","",IF(F238="","EKSİK","TAM"))</f>
        <v/>
      </c>
      <c r="M238" s="118" t="n"/>
    </row>
    <row r="239" ht="15" customHeight="1" s="64">
      <c r="A239" s="118" t="n"/>
      <c r="B239" s="118" t="n"/>
      <c r="C239" s="118" t="n"/>
      <c r="D239" s="118" t="n"/>
      <c r="E239" s="118" t="n"/>
      <c r="F239" s="118" t="n"/>
      <c r="G239" s="120">
        <f>IF(C239="","",C239*D239)</f>
        <v/>
      </c>
      <c r="H239" s="120">
        <f>IF(C239="","",C239*E239)</f>
        <v/>
      </c>
      <c r="I239" s="115">
        <f>IF(C239="","",IFERROR(D239/(E239+(E239=0))-1,0))</f>
        <v/>
      </c>
      <c r="J239" s="117">
        <f>IF(C239="","",IF(ABS(I239)&gt;AYARLAR!$C$14,"RİSKLİ","NORMAL"))</f>
        <v/>
      </c>
      <c r="K239" s="115">
        <f>IF(G239="","",IFERROR(G239/MOTOR!$B$20,0))</f>
        <v/>
      </c>
      <c r="L239" s="117">
        <f>IF(C239="","",IF(F239="","EKSİK","TAM"))</f>
        <v/>
      </c>
      <c r="M239" s="118" t="n"/>
    </row>
    <row r="240" ht="15" customHeight="1" s="64">
      <c r="A240" s="118" t="n"/>
      <c r="B240" s="118" t="n"/>
      <c r="C240" s="118" t="n"/>
      <c r="D240" s="118" t="n"/>
      <c r="E240" s="118" t="n"/>
      <c r="F240" s="118" t="n"/>
      <c r="G240" s="120">
        <f>IF(C240="","",C240*D240)</f>
        <v/>
      </c>
      <c r="H240" s="120">
        <f>IF(C240="","",C240*E240)</f>
        <v/>
      </c>
      <c r="I240" s="115">
        <f>IF(C240="","",IFERROR(D240/(E240+(E240=0))-1,0))</f>
        <v/>
      </c>
      <c r="J240" s="117">
        <f>IF(C240="","",IF(ABS(I240)&gt;AYARLAR!$C$14,"RİSKLİ","NORMAL"))</f>
        <v/>
      </c>
      <c r="K240" s="115">
        <f>IF(G240="","",IFERROR(G240/MOTOR!$B$20,0))</f>
        <v/>
      </c>
      <c r="L240" s="117">
        <f>IF(C240="","",IF(F240="","EKSİK","TAM"))</f>
        <v/>
      </c>
      <c r="M240" s="118" t="n"/>
    </row>
    <row r="241" ht="15" customHeight="1" s="64">
      <c r="A241" s="118" t="n"/>
      <c r="B241" s="118" t="n"/>
      <c r="C241" s="118" t="n"/>
      <c r="D241" s="118" t="n"/>
      <c r="E241" s="118" t="n"/>
      <c r="F241" s="118" t="n"/>
      <c r="G241" s="120">
        <f>IF(C241="","",C241*D241)</f>
        <v/>
      </c>
      <c r="H241" s="120">
        <f>IF(C241="","",C241*E241)</f>
        <v/>
      </c>
      <c r="I241" s="115">
        <f>IF(C241="","",IFERROR(D241/(E241+(E241=0))-1,0))</f>
        <v/>
      </c>
      <c r="J241" s="117">
        <f>IF(C241="","",IF(ABS(I241)&gt;AYARLAR!$C$14,"RİSKLİ","NORMAL"))</f>
        <v/>
      </c>
      <c r="K241" s="115">
        <f>IF(G241="","",IFERROR(G241/MOTOR!$B$20,0))</f>
        <v/>
      </c>
      <c r="L241" s="117">
        <f>IF(C241="","",IF(F241="","EKSİK","TAM"))</f>
        <v/>
      </c>
      <c r="M241" s="118" t="n"/>
    </row>
    <row r="242" ht="15" customHeight="1" s="64">
      <c r="A242" s="118" t="n"/>
      <c r="B242" s="118" t="n"/>
      <c r="C242" s="118" t="n"/>
      <c r="D242" s="118" t="n"/>
      <c r="E242" s="118" t="n"/>
      <c r="F242" s="118" t="n"/>
      <c r="G242" s="120">
        <f>IF(C242="","",C242*D242)</f>
        <v/>
      </c>
      <c r="H242" s="120">
        <f>IF(C242="","",C242*E242)</f>
        <v/>
      </c>
      <c r="I242" s="115">
        <f>IF(C242="","",IFERROR(D242/(E242+(E242=0))-1,0))</f>
        <v/>
      </c>
      <c r="J242" s="117">
        <f>IF(C242="","",IF(ABS(I242)&gt;AYARLAR!$C$14,"RİSKLİ","NORMAL"))</f>
        <v/>
      </c>
      <c r="K242" s="115">
        <f>IF(G242="","",IFERROR(G242/MOTOR!$B$20,0))</f>
        <v/>
      </c>
      <c r="L242" s="117">
        <f>IF(C242="","",IF(F242="","EKSİK","TAM"))</f>
        <v/>
      </c>
      <c r="M242" s="118" t="n"/>
    </row>
    <row r="243" ht="15" customHeight="1" s="64">
      <c r="A243" s="118" t="n"/>
      <c r="B243" s="118" t="n"/>
      <c r="C243" s="118" t="n"/>
      <c r="D243" s="118" t="n"/>
      <c r="E243" s="118" t="n"/>
      <c r="F243" s="118" t="n"/>
      <c r="G243" s="120">
        <f>IF(C243="","",C243*D243)</f>
        <v/>
      </c>
      <c r="H243" s="120">
        <f>IF(C243="","",C243*E243)</f>
        <v/>
      </c>
      <c r="I243" s="115">
        <f>IF(C243="","",IFERROR(D243/(E243+(E243=0))-1,0))</f>
        <v/>
      </c>
      <c r="J243" s="117">
        <f>IF(C243="","",IF(ABS(I243)&gt;AYARLAR!$C$14,"RİSKLİ","NORMAL"))</f>
        <v/>
      </c>
      <c r="K243" s="115">
        <f>IF(G243="","",IFERROR(G243/MOTOR!$B$20,0))</f>
        <v/>
      </c>
      <c r="L243" s="117">
        <f>IF(C243="","",IF(F243="","EKSİK","TAM"))</f>
        <v/>
      </c>
      <c r="M243" s="118" t="n"/>
    </row>
    <row r="244" ht="15" customHeight="1" s="64">
      <c r="A244" s="118" t="n"/>
      <c r="B244" s="118" t="n"/>
      <c r="C244" s="118" t="n"/>
      <c r="D244" s="118" t="n"/>
      <c r="E244" s="118" t="n"/>
      <c r="F244" s="118" t="n"/>
      <c r="G244" s="120">
        <f>IF(C244="","",C244*D244)</f>
        <v/>
      </c>
      <c r="H244" s="120">
        <f>IF(C244="","",C244*E244)</f>
        <v/>
      </c>
      <c r="I244" s="115">
        <f>IF(C244="","",IFERROR(D244/(E244+(E244=0))-1,0))</f>
        <v/>
      </c>
      <c r="J244" s="117">
        <f>IF(C244="","",IF(ABS(I244)&gt;AYARLAR!$C$14,"RİSKLİ","NORMAL"))</f>
        <v/>
      </c>
      <c r="K244" s="115">
        <f>IF(G244="","",IFERROR(G244/MOTOR!$B$20,0))</f>
        <v/>
      </c>
      <c r="L244" s="117">
        <f>IF(C244="","",IF(F244="","EKSİK","TAM"))</f>
        <v/>
      </c>
      <c r="M244" s="118" t="n"/>
    </row>
    <row r="245" ht="15" customHeight="1" s="64">
      <c r="A245" s="118" t="n"/>
      <c r="B245" s="118" t="n"/>
      <c r="C245" s="118" t="n"/>
      <c r="D245" s="118" t="n"/>
      <c r="E245" s="118" t="n"/>
      <c r="F245" s="118" t="n"/>
      <c r="G245" s="120">
        <f>IF(C245="","",C245*D245)</f>
        <v/>
      </c>
      <c r="H245" s="120">
        <f>IF(C245="","",C245*E245)</f>
        <v/>
      </c>
      <c r="I245" s="115">
        <f>IF(C245="","",IFERROR(D245/(E245+(E245=0))-1,0))</f>
        <v/>
      </c>
      <c r="J245" s="117">
        <f>IF(C245="","",IF(ABS(I245)&gt;AYARLAR!$C$14,"RİSKLİ","NORMAL"))</f>
        <v/>
      </c>
      <c r="K245" s="115">
        <f>IF(G245="","",IFERROR(G245/MOTOR!$B$20,0))</f>
        <v/>
      </c>
      <c r="L245" s="117">
        <f>IF(C245="","",IF(F245="","EKSİK","TAM"))</f>
        <v/>
      </c>
      <c r="M245" s="118" t="n"/>
    </row>
    <row r="246" ht="15" customHeight="1" s="64">
      <c r="A246" s="118" t="n"/>
      <c r="B246" s="118" t="n"/>
      <c r="C246" s="118" t="n"/>
      <c r="D246" s="118" t="n"/>
      <c r="E246" s="118" t="n"/>
      <c r="F246" s="118" t="n"/>
      <c r="G246" s="120">
        <f>IF(C246="","",C246*D246)</f>
        <v/>
      </c>
      <c r="H246" s="120">
        <f>IF(C246="","",C246*E246)</f>
        <v/>
      </c>
      <c r="I246" s="115">
        <f>IF(C246="","",IFERROR(D246/(E246+(E246=0))-1,0))</f>
        <v/>
      </c>
      <c r="J246" s="117">
        <f>IF(C246="","",IF(ABS(I246)&gt;AYARLAR!$C$14,"RİSKLİ","NORMAL"))</f>
        <v/>
      </c>
      <c r="K246" s="115">
        <f>IF(G246="","",IFERROR(G246/MOTOR!$B$20,0))</f>
        <v/>
      </c>
      <c r="L246" s="117">
        <f>IF(C246="","",IF(F246="","EKSİK","TAM"))</f>
        <v/>
      </c>
      <c r="M246" s="118" t="n"/>
    </row>
    <row r="247" ht="15" customHeight="1" s="64">
      <c r="A247" s="118" t="n"/>
      <c r="B247" s="118" t="n"/>
      <c r="C247" s="118" t="n"/>
      <c r="D247" s="118" t="n"/>
      <c r="E247" s="118" t="n"/>
      <c r="F247" s="118" t="n"/>
      <c r="G247" s="120">
        <f>IF(C247="","",C247*D247)</f>
        <v/>
      </c>
      <c r="H247" s="120">
        <f>IF(C247="","",C247*E247)</f>
        <v/>
      </c>
      <c r="I247" s="115">
        <f>IF(C247="","",IFERROR(D247/(E247+(E247=0))-1,0))</f>
        <v/>
      </c>
      <c r="J247" s="117">
        <f>IF(C247="","",IF(ABS(I247)&gt;AYARLAR!$C$14,"RİSKLİ","NORMAL"))</f>
        <v/>
      </c>
      <c r="K247" s="115">
        <f>IF(G247="","",IFERROR(G247/MOTOR!$B$20,0))</f>
        <v/>
      </c>
      <c r="L247" s="117">
        <f>IF(C247="","",IF(F247="","EKSİK","TAM"))</f>
        <v/>
      </c>
      <c r="M247" s="118" t="n"/>
    </row>
    <row r="248" ht="15" customHeight="1" s="64">
      <c r="A248" s="118" t="n"/>
      <c r="B248" s="118" t="n"/>
      <c r="C248" s="118" t="n"/>
      <c r="D248" s="118" t="n"/>
      <c r="E248" s="118" t="n"/>
      <c r="F248" s="118" t="n"/>
      <c r="G248" s="120">
        <f>IF(C248="","",C248*D248)</f>
        <v/>
      </c>
      <c r="H248" s="120">
        <f>IF(C248="","",C248*E248)</f>
        <v/>
      </c>
      <c r="I248" s="115">
        <f>IF(C248="","",IFERROR(D248/(E248+(E248=0))-1,0))</f>
        <v/>
      </c>
      <c r="J248" s="117">
        <f>IF(C248="","",IF(ABS(I248)&gt;AYARLAR!$C$14,"RİSKLİ","NORMAL"))</f>
        <v/>
      </c>
      <c r="K248" s="115">
        <f>IF(G248="","",IFERROR(G248/MOTOR!$B$20,0))</f>
        <v/>
      </c>
      <c r="L248" s="117">
        <f>IF(C248="","",IF(F248="","EKSİK","TAM"))</f>
        <v/>
      </c>
      <c r="M248" s="118" t="n"/>
    </row>
    <row r="249" ht="15" customHeight="1" s="64">
      <c r="A249" s="118" t="n"/>
      <c r="B249" s="118" t="n"/>
      <c r="C249" s="118" t="n"/>
      <c r="D249" s="118" t="n"/>
      <c r="E249" s="118" t="n"/>
      <c r="F249" s="118" t="n"/>
      <c r="G249" s="120">
        <f>IF(C249="","",C249*D249)</f>
        <v/>
      </c>
      <c r="H249" s="120">
        <f>IF(C249="","",C249*E249)</f>
        <v/>
      </c>
      <c r="I249" s="115">
        <f>IF(C249="","",IFERROR(D249/(E249+(E249=0))-1,0))</f>
        <v/>
      </c>
      <c r="J249" s="117">
        <f>IF(C249="","",IF(ABS(I249)&gt;AYARLAR!$C$14,"RİSKLİ","NORMAL"))</f>
        <v/>
      </c>
      <c r="K249" s="115">
        <f>IF(G249="","",IFERROR(G249/MOTOR!$B$20,0))</f>
        <v/>
      </c>
      <c r="L249" s="117">
        <f>IF(C249="","",IF(F249="","EKSİK","TAM"))</f>
        <v/>
      </c>
      <c r="M249" s="118" t="n"/>
    </row>
    <row r="250" ht="15" customHeight="1" s="64">
      <c r="A250" s="118" t="n"/>
      <c r="B250" s="118" t="n"/>
      <c r="C250" s="118" t="n"/>
      <c r="D250" s="118" t="n"/>
      <c r="E250" s="118" t="n"/>
      <c r="F250" s="118" t="n"/>
      <c r="G250" s="120">
        <f>IF(C250="","",C250*D250)</f>
        <v/>
      </c>
      <c r="H250" s="120">
        <f>IF(C250="","",C250*E250)</f>
        <v/>
      </c>
      <c r="I250" s="115">
        <f>IF(C250="","",IFERROR(D250/(E250+(E250=0))-1,0))</f>
        <v/>
      </c>
      <c r="J250" s="117">
        <f>IF(C250="","",IF(ABS(I250)&gt;AYARLAR!$C$14,"RİSKLİ","NORMAL"))</f>
        <v/>
      </c>
      <c r="K250" s="115">
        <f>IF(G250="","",IFERROR(G250/MOTOR!$B$20,0))</f>
        <v/>
      </c>
      <c r="L250" s="117">
        <f>IF(C250="","",IF(F250="","EKSİK","TAM"))</f>
        <v/>
      </c>
      <c r="M250" s="118" t="n"/>
    </row>
    <row r="251" ht="15" customHeight="1" s="64">
      <c r="A251" s="118" t="n"/>
      <c r="B251" s="118" t="n"/>
      <c r="C251" s="118" t="n"/>
      <c r="D251" s="118" t="n"/>
      <c r="E251" s="118" t="n"/>
      <c r="F251" s="118" t="n"/>
      <c r="G251" s="120">
        <f>IF(C251="","",C251*D251)</f>
        <v/>
      </c>
      <c r="H251" s="120">
        <f>IF(C251="","",C251*E251)</f>
        <v/>
      </c>
      <c r="I251" s="115">
        <f>IF(C251="","",IFERROR(D251/(E251+(E251=0))-1,0))</f>
        <v/>
      </c>
      <c r="J251" s="117">
        <f>IF(C251="","",IF(ABS(I251)&gt;AYARLAR!$C$14,"RİSKLİ","NORMAL"))</f>
        <v/>
      </c>
      <c r="K251" s="115">
        <f>IF(G251="","",IFERROR(G251/MOTOR!$B$20,0))</f>
        <v/>
      </c>
      <c r="L251" s="117">
        <f>IF(C251="","",IF(F251="","EKSİK","TAM"))</f>
        <v/>
      </c>
      <c r="M251" s="118" t="n"/>
    </row>
    <row r="252" ht="15" customHeight="1" s="64">
      <c r="A252" s="118" t="n"/>
      <c r="B252" s="118" t="n"/>
      <c r="C252" s="118" t="n"/>
      <c r="D252" s="118" t="n"/>
      <c r="E252" s="118" t="n"/>
      <c r="F252" s="118" t="n"/>
      <c r="G252" s="120">
        <f>IF(C252="","",C252*D252)</f>
        <v/>
      </c>
      <c r="H252" s="120">
        <f>IF(C252="","",C252*E252)</f>
        <v/>
      </c>
      <c r="I252" s="115">
        <f>IF(C252="","",IFERROR(D252/(E252+(E252=0))-1,0))</f>
        <v/>
      </c>
      <c r="J252" s="117">
        <f>IF(C252="","",IF(ABS(I252)&gt;AYARLAR!$C$14,"RİSKLİ","NORMAL"))</f>
        <v/>
      </c>
      <c r="K252" s="115">
        <f>IF(G252="","",IFERROR(G252/MOTOR!$B$20,0))</f>
        <v/>
      </c>
      <c r="L252" s="117">
        <f>IF(C252="","",IF(F252="","EKSİK","TAM"))</f>
        <v/>
      </c>
      <c r="M252" s="118" t="n"/>
    </row>
    <row r="253" ht="15" customHeight="1" s="64">
      <c r="A253" s="118" t="n"/>
      <c r="B253" s="118" t="n"/>
      <c r="C253" s="118" t="n"/>
      <c r="D253" s="118" t="n"/>
      <c r="E253" s="118" t="n"/>
      <c r="F253" s="118" t="n"/>
      <c r="G253" s="120">
        <f>IF(C253="","",C253*D253)</f>
        <v/>
      </c>
      <c r="H253" s="120">
        <f>IF(C253="","",C253*E253)</f>
        <v/>
      </c>
      <c r="I253" s="115">
        <f>IF(C253="","",IFERROR(D253/(E253+(E253=0))-1,0))</f>
        <v/>
      </c>
      <c r="J253" s="117">
        <f>IF(C253="","",IF(ABS(I253)&gt;AYARLAR!$C$14,"RİSKLİ","NORMAL"))</f>
        <v/>
      </c>
      <c r="K253" s="115">
        <f>IF(G253="","",IFERROR(G253/MOTOR!$B$20,0))</f>
        <v/>
      </c>
      <c r="L253" s="117">
        <f>IF(C253="","",IF(F253="","EKSİK","TAM"))</f>
        <v/>
      </c>
      <c r="M253" s="118" t="n"/>
    </row>
    <row r="254" ht="15" customHeight="1" s="64">
      <c r="A254" s="118" t="n"/>
      <c r="B254" s="118" t="n"/>
      <c r="C254" s="118" t="n"/>
      <c r="D254" s="118" t="n"/>
      <c r="E254" s="118" t="n"/>
      <c r="F254" s="118" t="n"/>
      <c r="G254" s="120">
        <f>IF(C254="","",C254*D254)</f>
        <v/>
      </c>
      <c r="H254" s="120">
        <f>IF(C254="","",C254*E254)</f>
        <v/>
      </c>
      <c r="I254" s="115">
        <f>IF(C254="","",IFERROR(D254/(E254+(E254=0))-1,0))</f>
        <v/>
      </c>
      <c r="J254" s="117">
        <f>IF(C254="","",IF(ABS(I254)&gt;AYARLAR!$C$14,"RİSKLİ","NORMAL"))</f>
        <v/>
      </c>
      <c r="K254" s="115">
        <f>IF(G254="","",IFERROR(G254/MOTOR!$B$20,0))</f>
        <v/>
      </c>
      <c r="L254" s="117">
        <f>IF(C254="","",IF(F254="","EKSİK","TAM"))</f>
        <v/>
      </c>
      <c r="M254" s="118" t="n"/>
    </row>
    <row r="255" ht="15" customHeight="1" s="64">
      <c r="A255" s="118" t="n"/>
      <c r="B255" s="118" t="n"/>
      <c r="C255" s="118" t="n"/>
      <c r="D255" s="118" t="n"/>
      <c r="E255" s="118" t="n"/>
      <c r="F255" s="118" t="n"/>
      <c r="G255" s="120">
        <f>IF(C255="","",C255*D255)</f>
        <v/>
      </c>
      <c r="H255" s="120">
        <f>IF(C255="","",C255*E255)</f>
        <v/>
      </c>
      <c r="I255" s="115">
        <f>IF(C255="","",IFERROR(D255/(E255+(E255=0))-1,0))</f>
        <v/>
      </c>
      <c r="J255" s="117">
        <f>IF(C255="","",IF(ABS(I255)&gt;AYARLAR!$C$14,"RİSKLİ","NORMAL"))</f>
        <v/>
      </c>
      <c r="K255" s="115">
        <f>IF(G255="","",IFERROR(G255/MOTOR!$B$20,0))</f>
        <v/>
      </c>
      <c r="L255" s="117">
        <f>IF(C255="","",IF(F255="","EKSİK","TAM"))</f>
        <v/>
      </c>
      <c r="M255" s="118" t="n"/>
    </row>
    <row r="256" ht="15" customHeight="1" s="64">
      <c r="A256" s="118" t="n"/>
      <c r="B256" s="118" t="n"/>
      <c r="C256" s="118" t="n"/>
      <c r="D256" s="118" t="n"/>
      <c r="E256" s="118" t="n"/>
      <c r="F256" s="118" t="n"/>
      <c r="G256" s="120">
        <f>IF(C256="","",C256*D256)</f>
        <v/>
      </c>
      <c r="H256" s="120">
        <f>IF(C256="","",C256*E256)</f>
        <v/>
      </c>
      <c r="I256" s="115">
        <f>IF(C256="","",IFERROR(D256/(E256+(E256=0))-1,0))</f>
        <v/>
      </c>
      <c r="J256" s="117">
        <f>IF(C256="","",IF(ABS(I256)&gt;AYARLAR!$C$14,"RİSKLİ","NORMAL"))</f>
        <v/>
      </c>
      <c r="K256" s="115">
        <f>IF(G256="","",IFERROR(G256/MOTOR!$B$20,0))</f>
        <v/>
      </c>
      <c r="L256" s="117">
        <f>IF(C256="","",IF(F256="","EKSİK","TAM"))</f>
        <v/>
      </c>
      <c r="M256" s="118" t="n"/>
    </row>
    <row r="257" ht="15" customHeight="1" s="64">
      <c r="A257" s="118" t="n"/>
      <c r="B257" s="118" t="n"/>
      <c r="C257" s="118" t="n"/>
      <c r="D257" s="118" t="n"/>
      <c r="E257" s="118" t="n"/>
      <c r="F257" s="118" t="n"/>
      <c r="G257" s="120">
        <f>IF(C257="","",C257*D257)</f>
        <v/>
      </c>
      <c r="H257" s="120">
        <f>IF(C257="","",C257*E257)</f>
        <v/>
      </c>
      <c r="I257" s="115">
        <f>IF(C257="","",IFERROR(D257/(E257+(E257=0))-1,0))</f>
        <v/>
      </c>
      <c r="J257" s="117">
        <f>IF(C257="","",IF(ABS(I257)&gt;AYARLAR!$C$14,"RİSKLİ","NORMAL"))</f>
        <v/>
      </c>
      <c r="K257" s="115">
        <f>IF(G257="","",IFERROR(G257/MOTOR!$B$20,0))</f>
        <v/>
      </c>
      <c r="L257" s="117">
        <f>IF(C257="","",IF(F257="","EKSİK","TAM"))</f>
        <v/>
      </c>
      <c r="M257" s="118" t="n"/>
    </row>
    <row r="258" ht="15" customHeight="1" s="64">
      <c r="A258" s="118" t="n"/>
      <c r="B258" s="118" t="n"/>
      <c r="C258" s="118" t="n"/>
      <c r="D258" s="118" t="n"/>
      <c r="E258" s="118" t="n"/>
      <c r="F258" s="118" t="n"/>
      <c r="G258" s="120">
        <f>IF(C258="","",C258*D258)</f>
        <v/>
      </c>
      <c r="H258" s="120">
        <f>IF(C258="","",C258*E258)</f>
        <v/>
      </c>
      <c r="I258" s="115">
        <f>IF(C258="","",IFERROR(D258/(E258+(E258=0))-1,0))</f>
        <v/>
      </c>
      <c r="J258" s="117">
        <f>IF(C258="","",IF(ABS(I258)&gt;AYARLAR!$C$14,"RİSKLİ","NORMAL"))</f>
        <v/>
      </c>
      <c r="K258" s="115">
        <f>IF(G258="","",IFERROR(G258/MOTOR!$B$20,0))</f>
        <v/>
      </c>
      <c r="L258" s="117">
        <f>IF(C258="","",IF(F258="","EKSİK","TAM"))</f>
        <v/>
      </c>
      <c r="M258" s="118" t="n"/>
    </row>
    <row r="259" ht="15" customHeight="1" s="64">
      <c r="A259" s="118" t="n"/>
      <c r="B259" s="118" t="n"/>
      <c r="C259" s="118" t="n"/>
      <c r="D259" s="118" t="n"/>
      <c r="E259" s="118" t="n"/>
      <c r="F259" s="118" t="n"/>
      <c r="G259" s="120">
        <f>IF(C259="","",C259*D259)</f>
        <v/>
      </c>
      <c r="H259" s="120">
        <f>IF(C259="","",C259*E259)</f>
        <v/>
      </c>
      <c r="I259" s="115">
        <f>IF(C259="","",IFERROR(D259/(E259+(E259=0))-1,0))</f>
        <v/>
      </c>
      <c r="J259" s="117">
        <f>IF(C259="","",IF(ABS(I259)&gt;AYARLAR!$C$14,"RİSKLİ","NORMAL"))</f>
        <v/>
      </c>
      <c r="K259" s="115">
        <f>IF(G259="","",IFERROR(G259/MOTOR!$B$20,0))</f>
        <v/>
      </c>
      <c r="L259" s="117">
        <f>IF(C259="","",IF(F259="","EKSİK","TAM"))</f>
        <v/>
      </c>
      <c r="M259" s="118" t="n"/>
    </row>
    <row r="260" ht="15" customHeight="1" s="64">
      <c r="A260" s="118" t="n"/>
      <c r="B260" s="118" t="n"/>
      <c r="C260" s="118" t="n"/>
      <c r="D260" s="118" t="n"/>
      <c r="E260" s="118" t="n"/>
      <c r="F260" s="118" t="n"/>
      <c r="G260" s="120">
        <f>IF(C260="","",C260*D260)</f>
        <v/>
      </c>
      <c r="H260" s="120">
        <f>IF(C260="","",C260*E260)</f>
        <v/>
      </c>
      <c r="I260" s="115">
        <f>IF(C260="","",IFERROR(D260/(E260+(E260=0))-1,0))</f>
        <v/>
      </c>
      <c r="J260" s="117">
        <f>IF(C260="","",IF(ABS(I260)&gt;AYARLAR!$C$14,"RİSKLİ","NORMAL"))</f>
        <v/>
      </c>
      <c r="K260" s="115">
        <f>IF(G260="","",IFERROR(G260/MOTOR!$B$20,0))</f>
        <v/>
      </c>
      <c r="L260" s="117">
        <f>IF(C260="","",IF(F260="","EKSİK","TAM"))</f>
        <v/>
      </c>
      <c r="M260" s="118" t="n"/>
    </row>
    <row r="261" ht="15" customHeight="1" s="64">
      <c r="A261" s="118" t="n"/>
      <c r="B261" s="118" t="n"/>
      <c r="C261" s="118" t="n"/>
      <c r="D261" s="118" t="n"/>
      <c r="E261" s="118" t="n"/>
      <c r="F261" s="118" t="n"/>
      <c r="G261" s="120">
        <f>IF(C261="","",C261*D261)</f>
        <v/>
      </c>
      <c r="H261" s="120">
        <f>IF(C261="","",C261*E261)</f>
        <v/>
      </c>
      <c r="I261" s="115">
        <f>IF(C261="","",IFERROR(D261/(E261+(E261=0))-1,0))</f>
        <v/>
      </c>
      <c r="J261" s="117">
        <f>IF(C261="","",IF(ABS(I261)&gt;AYARLAR!$C$14,"RİSKLİ","NORMAL"))</f>
        <v/>
      </c>
      <c r="K261" s="115">
        <f>IF(G261="","",IFERROR(G261/MOTOR!$B$20,0))</f>
        <v/>
      </c>
      <c r="L261" s="117">
        <f>IF(C261="","",IF(F261="","EKSİK","TAM"))</f>
        <v/>
      </c>
      <c r="M261" s="118" t="n"/>
    </row>
    <row r="262" ht="15" customHeight="1" s="64">
      <c r="A262" s="118" t="n"/>
      <c r="B262" s="118" t="n"/>
      <c r="C262" s="118" t="n"/>
      <c r="D262" s="118" t="n"/>
      <c r="E262" s="118" t="n"/>
      <c r="F262" s="118" t="n"/>
      <c r="G262" s="120">
        <f>IF(C262="","",C262*D262)</f>
        <v/>
      </c>
      <c r="H262" s="120">
        <f>IF(C262="","",C262*E262)</f>
        <v/>
      </c>
      <c r="I262" s="115">
        <f>IF(C262="","",IFERROR(D262/(E262+(E262=0))-1,0))</f>
        <v/>
      </c>
      <c r="J262" s="117">
        <f>IF(C262="","",IF(ABS(I262)&gt;AYARLAR!$C$14,"RİSKLİ","NORMAL"))</f>
        <v/>
      </c>
      <c r="K262" s="115">
        <f>IF(G262="","",IFERROR(G262/MOTOR!$B$20,0))</f>
        <v/>
      </c>
      <c r="L262" s="117">
        <f>IF(C262="","",IF(F262="","EKSİK","TAM"))</f>
        <v/>
      </c>
      <c r="M262" s="118" t="n"/>
    </row>
    <row r="263" ht="15" customHeight="1" s="64">
      <c r="A263" s="118" t="n"/>
      <c r="B263" s="118" t="n"/>
      <c r="C263" s="118" t="n"/>
      <c r="D263" s="118" t="n"/>
      <c r="E263" s="118" t="n"/>
      <c r="F263" s="118" t="n"/>
      <c r="G263" s="120">
        <f>IF(C263="","",C263*D263)</f>
        <v/>
      </c>
      <c r="H263" s="120">
        <f>IF(C263="","",C263*E263)</f>
        <v/>
      </c>
      <c r="I263" s="115">
        <f>IF(C263="","",IFERROR(D263/(E263+(E263=0))-1,0))</f>
        <v/>
      </c>
      <c r="J263" s="117">
        <f>IF(C263="","",IF(ABS(I263)&gt;AYARLAR!$C$14,"RİSKLİ","NORMAL"))</f>
        <v/>
      </c>
      <c r="K263" s="115">
        <f>IF(G263="","",IFERROR(G263/MOTOR!$B$20,0))</f>
        <v/>
      </c>
      <c r="L263" s="117">
        <f>IF(C263="","",IF(F263="","EKSİK","TAM"))</f>
        <v/>
      </c>
      <c r="M263" s="118" t="n"/>
    </row>
    <row r="264" ht="15" customHeight="1" s="64">
      <c r="A264" s="118" t="n"/>
      <c r="B264" s="118" t="n"/>
      <c r="C264" s="118" t="n"/>
      <c r="D264" s="118" t="n"/>
      <c r="E264" s="118" t="n"/>
      <c r="F264" s="118" t="n"/>
      <c r="G264" s="120">
        <f>IF(C264="","",C264*D264)</f>
        <v/>
      </c>
      <c r="H264" s="120">
        <f>IF(C264="","",C264*E264)</f>
        <v/>
      </c>
      <c r="I264" s="115">
        <f>IF(C264="","",IFERROR(D264/(E264+(E264=0))-1,0))</f>
        <v/>
      </c>
      <c r="J264" s="117">
        <f>IF(C264="","",IF(ABS(I264)&gt;AYARLAR!$C$14,"RİSKLİ","NORMAL"))</f>
        <v/>
      </c>
      <c r="K264" s="115">
        <f>IF(G264="","",IFERROR(G264/MOTOR!$B$20,0))</f>
        <v/>
      </c>
      <c r="L264" s="117">
        <f>IF(C264="","",IF(F264="","EKSİK","TAM"))</f>
        <v/>
      </c>
      <c r="M264" s="118" t="n"/>
    </row>
    <row r="265" ht="15" customHeight="1" s="64">
      <c r="A265" s="118" t="n"/>
      <c r="B265" s="118" t="n"/>
      <c r="C265" s="118" t="n"/>
      <c r="D265" s="118" t="n"/>
      <c r="E265" s="118" t="n"/>
      <c r="F265" s="118" t="n"/>
      <c r="G265" s="120">
        <f>IF(C265="","",C265*D265)</f>
        <v/>
      </c>
      <c r="H265" s="120">
        <f>IF(C265="","",C265*E265)</f>
        <v/>
      </c>
      <c r="I265" s="115">
        <f>IF(C265="","",IFERROR(D265/(E265+(E265=0))-1,0))</f>
        <v/>
      </c>
      <c r="J265" s="117">
        <f>IF(C265="","",IF(ABS(I265)&gt;AYARLAR!$C$14,"RİSKLİ","NORMAL"))</f>
        <v/>
      </c>
      <c r="K265" s="115">
        <f>IF(G265="","",IFERROR(G265/MOTOR!$B$20,0))</f>
        <v/>
      </c>
      <c r="L265" s="117">
        <f>IF(C265="","",IF(F265="","EKSİK","TAM"))</f>
        <v/>
      </c>
      <c r="M265" s="118" t="n"/>
    </row>
    <row r="266" ht="15" customHeight="1" s="64">
      <c r="A266" s="118" t="n"/>
      <c r="B266" s="118" t="n"/>
      <c r="C266" s="118" t="n"/>
      <c r="D266" s="118" t="n"/>
      <c r="E266" s="118" t="n"/>
      <c r="F266" s="118" t="n"/>
      <c r="G266" s="120">
        <f>IF(C266="","",C266*D266)</f>
        <v/>
      </c>
      <c r="H266" s="120">
        <f>IF(C266="","",C266*E266)</f>
        <v/>
      </c>
      <c r="I266" s="115">
        <f>IF(C266="","",IFERROR(D266/(E266+(E266=0))-1,0))</f>
        <v/>
      </c>
      <c r="J266" s="117">
        <f>IF(C266="","",IF(ABS(I266)&gt;AYARLAR!$C$14,"RİSKLİ","NORMAL"))</f>
        <v/>
      </c>
      <c r="K266" s="115">
        <f>IF(G266="","",IFERROR(G266/MOTOR!$B$20,0))</f>
        <v/>
      </c>
      <c r="L266" s="117">
        <f>IF(C266="","",IF(F266="","EKSİK","TAM"))</f>
        <v/>
      </c>
      <c r="M266" s="118" t="n"/>
    </row>
    <row r="267" ht="15" customHeight="1" s="64">
      <c r="A267" s="118" t="n"/>
      <c r="B267" s="118" t="n"/>
      <c r="C267" s="118" t="n"/>
      <c r="D267" s="118" t="n"/>
      <c r="E267" s="118" t="n"/>
      <c r="F267" s="118" t="n"/>
      <c r="G267" s="120">
        <f>IF(C267="","",C267*D267)</f>
        <v/>
      </c>
      <c r="H267" s="120">
        <f>IF(C267="","",C267*E267)</f>
        <v/>
      </c>
      <c r="I267" s="115">
        <f>IF(C267="","",IFERROR(D267/(E267+(E267=0))-1,0))</f>
        <v/>
      </c>
      <c r="J267" s="117">
        <f>IF(C267="","",IF(ABS(I267)&gt;AYARLAR!$C$14,"RİSKLİ","NORMAL"))</f>
        <v/>
      </c>
      <c r="K267" s="115">
        <f>IF(G267="","",IFERROR(G267/MOTOR!$B$20,0))</f>
        <v/>
      </c>
      <c r="L267" s="117">
        <f>IF(C267="","",IF(F267="","EKSİK","TAM"))</f>
        <v/>
      </c>
      <c r="M267" s="118" t="n"/>
    </row>
    <row r="268" ht="15" customHeight="1" s="64">
      <c r="A268" s="118" t="n"/>
      <c r="B268" s="118" t="n"/>
      <c r="C268" s="118" t="n"/>
      <c r="D268" s="118" t="n"/>
      <c r="E268" s="118" t="n"/>
      <c r="F268" s="118" t="n"/>
      <c r="G268" s="120">
        <f>IF(C268="","",C268*D268)</f>
        <v/>
      </c>
      <c r="H268" s="120">
        <f>IF(C268="","",C268*E268)</f>
        <v/>
      </c>
      <c r="I268" s="115">
        <f>IF(C268="","",IFERROR(D268/(E268+(E268=0))-1,0))</f>
        <v/>
      </c>
      <c r="J268" s="117">
        <f>IF(C268="","",IF(ABS(I268)&gt;AYARLAR!$C$14,"RİSKLİ","NORMAL"))</f>
        <v/>
      </c>
      <c r="K268" s="115">
        <f>IF(G268="","",IFERROR(G268/MOTOR!$B$20,0))</f>
        <v/>
      </c>
      <c r="L268" s="117">
        <f>IF(C268="","",IF(F268="","EKSİK","TAM"))</f>
        <v/>
      </c>
      <c r="M268" s="118" t="n"/>
    </row>
    <row r="269" ht="15" customHeight="1" s="64">
      <c r="A269" s="118" t="n"/>
      <c r="B269" s="118" t="n"/>
      <c r="C269" s="118" t="n"/>
      <c r="D269" s="118" t="n"/>
      <c r="E269" s="118" t="n"/>
      <c r="F269" s="118" t="n"/>
      <c r="G269" s="120">
        <f>IF(C269="","",C269*D269)</f>
        <v/>
      </c>
      <c r="H269" s="120">
        <f>IF(C269="","",C269*E269)</f>
        <v/>
      </c>
      <c r="I269" s="115">
        <f>IF(C269="","",IFERROR(D269/(E269+(E269=0))-1,0))</f>
        <v/>
      </c>
      <c r="J269" s="117">
        <f>IF(C269="","",IF(ABS(I269)&gt;AYARLAR!$C$14,"RİSKLİ","NORMAL"))</f>
        <v/>
      </c>
      <c r="K269" s="115">
        <f>IF(G269="","",IFERROR(G269/MOTOR!$B$20,0))</f>
        <v/>
      </c>
      <c r="L269" s="117">
        <f>IF(C269="","",IF(F269="","EKSİK","TAM"))</f>
        <v/>
      </c>
      <c r="M269" s="118" t="n"/>
    </row>
    <row r="270" ht="15" customHeight="1" s="64">
      <c r="A270" s="118" t="n"/>
      <c r="B270" s="118" t="n"/>
      <c r="C270" s="118" t="n"/>
      <c r="D270" s="118" t="n"/>
      <c r="E270" s="118" t="n"/>
      <c r="F270" s="118" t="n"/>
      <c r="G270" s="120">
        <f>IF(C270="","",C270*D270)</f>
        <v/>
      </c>
      <c r="H270" s="120">
        <f>IF(C270="","",C270*E270)</f>
        <v/>
      </c>
      <c r="I270" s="115">
        <f>IF(C270="","",IFERROR(D270/(E270+(E270=0))-1,0))</f>
        <v/>
      </c>
      <c r="J270" s="117">
        <f>IF(C270="","",IF(ABS(I270)&gt;AYARLAR!$C$14,"RİSKLİ","NORMAL"))</f>
        <v/>
      </c>
      <c r="K270" s="115">
        <f>IF(G270="","",IFERROR(G270/MOTOR!$B$20,0))</f>
        <v/>
      </c>
      <c r="L270" s="117">
        <f>IF(C270="","",IF(F270="","EKSİK","TAM"))</f>
        <v/>
      </c>
      <c r="M270" s="118" t="n"/>
    </row>
    <row r="271" ht="15" customHeight="1" s="64">
      <c r="A271" s="118" t="n"/>
      <c r="B271" s="118" t="n"/>
      <c r="C271" s="118" t="n"/>
      <c r="D271" s="118" t="n"/>
      <c r="E271" s="118" t="n"/>
      <c r="F271" s="118" t="n"/>
      <c r="G271" s="120">
        <f>IF(C271="","",C271*D271)</f>
        <v/>
      </c>
      <c r="H271" s="120">
        <f>IF(C271="","",C271*E271)</f>
        <v/>
      </c>
      <c r="I271" s="115">
        <f>IF(C271="","",IFERROR(D271/(E271+(E271=0))-1,0))</f>
        <v/>
      </c>
      <c r="J271" s="117">
        <f>IF(C271="","",IF(ABS(I271)&gt;AYARLAR!$C$14,"RİSKLİ","NORMAL"))</f>
        <v/>
      </c>
      <c r="K271" s="115">
        <f>IF(G271="","",IFERROR(G271/MOTOR!$B$20,0))</f>
        <v/>
      </c>
      <c r="L271" s="117">
        <f>IF(C271="","",IF(F271="","EKSİK","TAM"))</f>
        <v/>
      </c>
      <c r="M271" s="118" t="n"/>
    </row>
    <row r="272" ht="15" customHeight="1" s="64">
      <c r="A272" s="118" t="n"/>
      <c r="B272" s="118" t="n"/>
      <c r="C272" s="118" t="n"/>
      <c r="D272" s="118" t="n"/>
      <c r="E272" s="118" t="n"/>
      <c r="F272" s="118" t="n"/>
      <c r="G272" s="120">
        <f>IF(C272="","",C272*D272)</f>
        <v/>
      </c>
      <c r="H272" s="120">
        <f>IF(C272="","",C272*E272)</f>
        <v/>
      </c>
      <c r="I272" s="115">
        <f>IF(C272="","",IFERROR(D272/(E272+(E272=0))-1,0))</f>
        <v/>
      </c>
      <c r="J272" s="117">
        <f>IF(C272="","",IF(ABS(I272)&gt;AYARLAR!$C$14,"RİSKLİ","NORMAL"))</f>
        <v/>
      </c>
      <c r="K272" s="115">
        <f>IF(G272="","",IFERROR(G272/MOTOR!$B$20,0))</f>
        <v/>
      </c>
      <c r="L272" s="117">
        <f>IF(C272="","",IF(F272="","EKSİK","TAM"))</f>
        <v/>
      </c>
      <c r="M272" s="118" t="n"/>
    </row>
    <row r="273" ht="15" customHeight="1" s="64">
      <c r="A273" s="118" t="n"/>
      <c r="B273" s="118" t="n"/>
      <c r="C273" s="118" t="n"/>
      <c r="D273" s="118" t="n"/>
      <c r="E273" s="118" t="n"/>
      <c r="F273" s="118" t="n"/>
      <c r="G273" s="120">
        <f>IF(C273="","",C273*D273)</f>
        <v/>
      </c>
      <c r="H273" s="120">
        <f>IF(C273="","",C273*E273)</f>
        <v/>
      </c>
      <c r="I273" s="115">
        <f>IF(C273="","",IFERROR(D273/(E273+(E273=0))-1,0))</f>
        <v/>
      </c>
      <c r="J273" s="117">
        <f>IF(C273="","",IF(ABS(I273)&gt;AYARLAR!$C$14,"RİSKLİ","NORMAL"))</f>
        <v/>
      </c>
      <c r="K273" s="115">
        <f>IF(G273="","",IFERROR(G273/MOTOR!$B$20,0))</f>
        <v/>
      </c>
      <c r="L273" s="117">
        <f>IF(C273="","",IF(F273="","EKSİK","TAM"))</f>
        <v/>
      </c>
      <c r="M273" s="118" t="n"/>
    </row>
    <row r="274" ht="15" customHeight="1" s="64">
      <c r="A274" s="118" t="n"/>
      <c r="B274" s="118" t="n"/>
      <c r="C274" s="118" t="n"/>
      <c r="D274" s="118" t="n"/>
      <c r="E274" s="118" t="n"/>
      <c r="F274" s="118" t="n"/>
      <c r="G274" s="120">
        <f>IF(C274="","",C274*D274)</f>
        <v/>
      </c>
      <c r="H274" s="120">
        <f>IF(C274="","",C274*E274)</f>
        <v/>
      </c>
      <c r="I274" s="115">
        <f>IF(C274="","",IFERROR(D274/(E274+(E274=0))-1,0))</f>
        <v/>
      </c>
      <c r="J274" s="117">
        <f>IF(C274="","",IF(ABS(I274)&gt;AYARLAR!$C$14,"RİSKLİ","NORMAL"))</f>
        <v/>
      </c>
      <c r="K274" s="115">
        <f>IF(G274="","",IFERROR(G274/MOTOR!$B$20,0))</f>
        <v/>
      </c>
      <c r="L274" s="117">
        <f>IF(C274="","",IF(F274="","EKSİK","TAM"))</f>
        <v/>
      </c>
      <c r="M274" s="118" t="n"/>
    </row>
    <row r="275" ht="15" customHeight="1" s="64">
      <c r="A275" s="118" t="n"/>
      <c r="B275" s="118" t="n"/>
      <c r="C275" s="118" t="n"/>
      <c r="D275" s="118" t="n"/>
      <c r="E275" s="118" t="n"/>
      <c r="F275" s="118" t="n"/>
      <c r="G275" s="120">
        <f>IF(C275="","",C275*D275)</f>
        <v/>
      </c>
      <c r="H275" s="120">
        <f>IF(C275="","",C275*E275)</f>
        <v/>
      </c>
      <c r="I275" s="115">
        <f>IF(C275="","",IFERROR(D275/(E275+(E275=0))-1,0))</f>
        <v/>
      </c>
      <c r="J275" s="117">
        <f>IF(C275="","",IF(ABS(I275)&gt;AYARLAR!$C$14,"RİSKLİ","NORMAL"))</f>
        <v/>
      </c>
      <c r="K275" s="115">
        <f>IF(G275="","",IFERROR(G275/MOTOR!$B$20,0))</f>
        <v/>
      </c>
      <c r="L275" s="117">
        <f>IF(C275="","",IF(F275="","EKSİK","TAM"))</f>
        <v/>
      </c>
      <c r="M275" s="118" t="n"/>
    </row>
    <row r="276" ht="15" customHeight="1" s="64">
      <c r="A276" s="118" t="n"/>
      <c r="B276" s="118" t="n"/>
      <c r="C276" s="118" t="n"/>
      <c r="D276" s="118" t="n"/>
      <c r="E276" s="118" t="n"/>
      <c r="F276" s="118" t="n"/>
      <c r="G276" s="120">
        <f>IF(C276="","",C276*D276)</f>
        <v/>
      </c>
      <c r="H276" s="120">
        <f>IF(C276="","",C276*E276)</f>
        <v/>
      </c>
      <c r="I276" s="115">
        <f>IF(C276="","",IFERROR(D276/(E276+(E276=0))-1,0))</f>
        <v/>
      </c>
      <c r="J276" s="117">
        <f>IF(C276="","",IF(ABS(I276)&gt;AYARLAR!$C$14,"RİSKLİ","NORMAL"))</f>
        <v/>
      </c>
      <c r="K276" s="115">
        <f>IF(G276="","",IFERROR(G276/MOTOR!$B$20,0))</f>
        <v/>
      </c>
      <c r="L276" s="117">
        <f>IF(C276="","",IF(F276="","EKSİK","TAM"))</f>
        <v/>
      </c>
      <c r="M276" s="118" t="n"/>
    </row>
    <row r="277" ht="15" customHeight="1" s="64">
      <c r="A277" s="118" t="n"/>
      <c r="B277" s="118" t="n"/>
      <c r="C277" s="118" t="n"/>
      <c r="D277" s="118" t="n"/>
      <c r="E277" s="118" t="n"/>
      <c r="F277" s="118" t="n"/>
      <c r="G277" s="120">
        <f>IF(C277="","",C277*D277)</f>
        <v/>
      </c>
      <c r="H277" s="120">
        <f>IF(C277="","",C277*E277)</f>
        <v/>
      </c>
      <c r="I277" s="115">
        <f>IF(C277="","",IFERROR(D277/(E277+(E277=0))-1,0))</f>
        <v/>
      </c>
      <c r="J277" s="117">
        <f>IF(C277="","",IF(ABS(I277)&gt;AYARLAR!$C$14,"RİSKLİ","NORMAL"))</f>
        <v/>
      </c>
      <c r="K277" s="115">
        <f>IF(G277="","",IFERROR(G277/MOTOR!$B$20,0))</f>
        <v/>
      </c>
      <c r="L277" s="117">
        <f>IF(C277="","",IF(F277="","EKSİK","TAM"))</f>
        <v/>
      </c>
      <c r="M277" s="118" t="n"/>
    </row>
    <row r="278" ht="15" customHeight="1" s="64">
      <c r="A278" s="118" t="n"/>
      <c r="B278" s="118" t="n"/>
      <c r="C278" s="118" t="n"/>
      <c r="D278" s="118" t="n"/>
      <c r="E278" s="118" t="n"/>
      <c r="F278" s="118" t="n"/>
      <c r="G278" s="120">
        <f>IF(C278="","",C278*D278)</f>
        <v/>
      </c>
      <c r="H278" s="120">
        <f>IF(C278="","",C278*E278)</f>
        <v/>
      </c>
      <c r="I278" s="115">
        <f>IF(C278="","",IFERROR(D278/(E278+(E278=0))-1,0))</f>
        <v/>
      </c>
      <c r="J278" s="117">
        <f>IF(C278="","",IF(ABS(I278)&gt;AYARLAR!$C$14,"RİSKLİ","NORMAL"))</f>
        <v/>
      </c>
      <c r="K278" s="115">
        <f>IF(G278="","",IFERROR(G278/MOTOR!$B$20,0))</f>
        <v/>
      </c>
      <c r="L278" s="117">
        <f>IF(C278="","",IF(F278="","EKSİK","TAM"))</f>
        <v/>
      </c>
      <c r="M278" s="118" t="n"/>
    </row>
    <row r="279" ht="15" customHeight="1" s="64">
      <c r="A279" s="118" t="n"/>
      <c r="B279" s="118" t="n"/>
      <c r="C279" s="118" t="n"/>
      <c r="D279" s="118" t="n"/>
      <c r="E279" s="118" t="n"/>
      <c r="F279" s="118" t="n"/>
      <c r="G279" s="120">
        <f>IF(C279="","",C279*D279)</f>
        <v/>
      </c>
      <c r="H279" s="120">
        <f>IF(C279="","",C279*E279)</f>
        <v/>
      </c>
      <c r="I279" s="115">
        <f>IF(C279="","",IFERROR(D279/(E279+(E279=0))-1,0))</f>
        <v/>
      </c>
      <c r="J279" s="117">
        <f>IF(C279="","",IF(ABS(I279)&gt;AYARLAR!$C$14,"RİSKLİ","NORMAL"))</f>
        <v/>
      </c>
      <c r="K279" s="115">
        <f>IF(G279="","",IFERROR(G279/MOTOR!$B$20,0))</f>
        <v/>
      </c>
      <c r="L279" s="117">
        <f>IF(C279="","",IF(F279="","EKSİK","TAM"))</f>
        <v/>
      </c>
      <c r="M279" s="118" t="n"/>
    </row>
    <row r="280" ht="15" customHeight="1" s="64">
      <c r="A280" s="118" t="n"/>
      <c r="B280" s="118" t="n"/>
      <c r="C280" s="118" t="n"/>
      <c r="D280" s="118" t="n"/>
      <c r="E280" s="118" t="n"/>
      <c r="F280" s="118" t="n"/>
      <c r="G280" s="120">
        <f>IF(C280="","",C280*D280)</f>
        <v/>
      </c>
      <c r="H280" s="120">
        <f>IF(C280="","",C280*E280)</f>
        <v/>
      </c>
      <c r="I280" s="115">
        <f>IF(C280="","",IFERROR(D280/(E280+(E280=0))-1,0))</f>
        <v/>
      </c>
      <c r="J280" s="117">
        <f>IF(C280="","",IF(ABS(I280)&gt;AYARLAR!$C$14,"RİSKLİ","NORMAL"))</f>
        <v/>
      </c>
      <c r="K280" s="115">
        <f>IF(G280="","",IFERROR(G280/MOTOR!$B$20,0))</f>
        <v/>
      </c>
      <c r="L280" s="117">
        <f>IF(C280="","",IF(F280="","EKSİK","TAM"))</f>
        <v/>
      </c>
      <c r="M280" s="118" t="n"/>
    </row>
    <row r="281" ht="15" customHeight="1" s="64">
      <c r="A281" s="118" t="n"/>
      <c r="B281" s="118" t="n"/>
      <c r="C281" s="118" t="n"/>
      <c r="D281" s="118" t="n"/>
      <c r="E281" s="118" t="n"/>
      <c r="F281" s="118" t="n"/>
      <c r="G281" s="120">
        <f>IF(C281="","",C281*D281)</f>
        <v/>
      </c>
      <c r="H281" s="120">
        <f>IF(C281="","",C281*E281)</f>
        <v/>
      </c>
      <c r="I281" s="115">
        <f>IF(C281="","",IFERROR(D281/(E281+(E281=0))-1,0))</f>
        <v/>
      </c>
      <c r="J281" s="117">
        <f>IF(C281="","",IF(ABS(I281)&gt;AYARLAR!$C$14,"RİSKLİ","NORMAL"))</f>
        <v/>
      </c>
      <c r="K281" s="115">
        <f>IF(G281="","",IFERROR(G281/MOTOR!$B$20,0))</f>
        <v/>
      </c>
      <c r="L281" s="117">
        <f>IF(C281="","",IF(F281="","EKSİK","TAM"))</f>
        <v/>
      </c>
      <c r="M281" s="118" t="n"/>
    </row>
    <row r="282" ht="15" customHeight="1" s="64">
      <c r="A282" s="118" t="n"/>
      <c r="B282" s="118" t="n"/>
      <c r="C282" s="118" t="n"/>
      <c r="D282" s="118" t="n"/>
      <c r="E282" s="118" t="n"/>
      <c r="F282" s="118" t="n"/>
      <c r="G282" s="120">
        <f>IF(C282="","",C282*D282)</f>
        <v/>
      </c>
      <c r="H282" s="120">
        <f>IF(C282="","",C282*E282)</f>
        <v/>
      </c>
      <c r="I282" s="115">
        <f>IF(C282="","",IFERROR(D282/(E282+(E282=0))-1,0))</f>
        <v/>
      </c>
      <c r="J282" s="117">
        <f>IF(C282="","",IF(ABS(I282)&gt;AYARLAR!$C$14,"RİSKLİ","NORMAL"))</f>
        <v/>
      </c>
      <c r="K282" s="115">
        <f>IF(G282="","",IFERROR(G282/MOTOR!$B$20,0))</f>
        <v/>
      </c>
      <c r="L282" s="117">
        <f>IF(C282="","",IF(F282="","EKSİK","TAM"))</f>
        <v/>
      </c>
      <c r="M282" s="118" t="n"/>
    </row>
    <row r="283" ht="15" customHeight="1" s="64">
      <c r="A283" s="118" t="n"/>
      <c r="B283" s="118" t="n"/>
      <c r="C283" s="118" t="n"/>
      <c r="D283" s="118" t="n"/>
      <c r="E283" s="118" t="n"/>
      <c r="F283" s="118" t="n"/>
      <c r="G283" s="120">
        <f>IF(C283="","",C283*D283)</f>
        <v/>
      </c>
      <c r="H283" s="120">
        <f>IF(C283="","",C283*E283)</f>
        <v/>
      </c>
      <c r="I283" s="115">
        <f>IF(C283="","",IFERROR(D283/(E283+(E283=0))-1,0))</f>
        <v/>
      </c>
      <c r="J283" s="117">
        <f>IF(C283="","",IF(ABS(I283)&gt;AYARLAR!$C$14,"RİSKLİ","NORMAL"))</f>
        <v/>
      </c>
      <c r="K283" s="115">
        <f>IF(G283="","",IFERROR(G283/MOTOR!$B$20,0))</f>
        <v/>
      </c>
      <c r="L283" s="117">
        <f>IF(C283="","",IF(F283="","EKSİK","TAM"))</f>
        <v/>
      </c>
      <c r="M283" s="118" t="n"/>
    </row>
    <row r="284" ht="15" customHeight="1" s="64">
      <c r="A284" s="118" t="n"/>
      <c r="B284" s="118" t="n"/>
      <c r="C284" s="118" t="n"/>
      <c r="D284" s="118" t="n"/>
      <c r="E284" s="118" t="n"/>
      <c r="F284" s="118" t="n"/>
      <c r="G284" s="120">
        <f>IF(C284="","",C284*D284)</f>
        <v/>
      </c>
      <c r="H284" s="120">
        <f>IF(C284="","",C284*E284)</f>
        <v/>
      </c>
      <c r="I284" s="115">
        <f>IF(C284="","",IFERROR(D284/(E284+(E284=0))-1,0))</f>
        <v/>
      </c>
      <c r="J284" s="117">
        <f>IF(C284="","",IF(ABS(I284)&gt;AYARLAR!$C$14,"RİSKLİ","NORMAL"))</f>
        <v/>
      </c>
      <c r="K284" s="115">
        <f>IF(G284="","",IFERROR(G284/MOTOR!$B$20,0))</f>
        <v/>
      </c>
      <c r="L284" s="117">
        <f>IF(C284="","",IF(F284="","EKSİK","TAM"))</f>
        <v/>
      </c>
      <c r="M284" s="118" t="n"/>
    </row>
    <row r="285" ht="15" customHeight="1" s="64">
      <c r="A285" s="118" t="n"/>
      <c r="B285" s="118" t="n"/>
      <c r="C285" s="118" t="n"/>
      <c r="D285" s="118" t="n"/>
      <c r="E285" s="118" t="n"/>
      <c r="F285" s="118" t="n"/>
      <c r="G285" s="120">
        <f>IF(C285="","",C285*D285)</f>
        <v/>
      </c>
      <c r="H285" s="120">
        <f>IF(C285="","",C285*E285)</f>
        <v/>
      </c>
      <c r="I285" s="115">
        <f>IF(C285="","",IFERROR(D285/(E285+(E285=0))-1,0))</f>
        <v/>
      </c>
      <c r="J285" s="117">
        <f>IF(C285="","",IF(ABS(I285)&gt;AYARLAR!$C$14,"RİSKLİ","NORMAL"))</f>
        <v/>
      </c>
      <c r="K285" s="115">
        <f>IF(G285="","",IFERROR(G285/MOTOR!$B$20,0))</f>
        <v/>
      </c>
      <c r="L285" s="117">
        <f>IF(C285="","",IF(F285="","EKSİK","TAM"))</f>
        <v/>
      </c>
      <c r="M285" s="118" t="n"/>
    </row>
    <row r="286" ht="15" customHeight="1" s="64">
      <c r="A286" s="118" t="n"/>
      <c r="B286" s="118" t="n"/>
      <c r="C286" s="118" t="n"/>
      <c r="D286" s="118" t="n"/>
      <c r="E286" s="118" t="n"/>
      <c r="F286" s="118" t="n"/>
      <c r="G286" s="120">
        <f>IF(C286="","",C286*D286)</f>
        <v/>
      </c>
      <c r="H286" s="120">
        <f>IF(C286="","",C286*E286)</f>
        <v/>
      </c>
      <c r="I286" s="115">
        <f>IF(C286="","",IFERROR(D286/(E286+(E286=0))-1,0))</f>
        <v/>
      </c>
      <c r="J286" s="117">
        <f>IF(C286="","",IF(ABS(I286)&gt;AYARLAR!$C$14,"RİSKLİ","NORMAL"))</f>
        <v/>
      </c>
      <c r="K286" s="115">
        <f>IF(G286="","",IFERROR(G286/MOTOR!$B$20,0))</f>
        <v/>
      </c>
      <c r="L286" s="117">
        <f>IF(C286="","",IF(F286="","EKSİK","TAM"))</f>
        <v/>
      </c>
      <c r="M286" s="118" t="n"/>
    </row>
    <row r="287" ht="15" customHeight="1" s="64">
      <c r="A287" s="118" t="n"/>
      <c r="B287" s="118" t="n"/>
      <c r="C287" s="118" t="n"/>
      <c r="D287" s="118" t="n"/>
      <c r="E287" s="118" t="n"/>
      <c r="F287" s="118" t="n"/>
      <c r="G287" s="120">
        <f>IF(C287="","",C287*D287)</f>
        <v/>
      </c>
      <c r="H287" s="120">
        <f>IF(C287="","",C287*E287)</f>
        <v/>
      </c>
      <c r="I287" s="115">
        <f>IF(C287="","",IFERROR(D287/(E287+(E287=0))-1,0))</f>
        <v/>
      </c>
      <c r="J287" s="117">
        <f>IF(C287="","",IF(ABS(I287)&gt;AYARLAR!$C$14,"RİSKLİ","NORMAL"))</f>
        <v/>
      </c>
      <c r="K287" s="115">
        <f>IF(G287="","",IFERROR(G287/MOTOR!$B$20,0))</f>
        <v/>
      </c>
      <c r="L287" s="117">
        <f>IF(C287="","",IF(F287="","EKSİK","TAM"))</f>
        <v/>
      </c>
      <c r="M287" s="118" t="n"/>
    </row>
    <row r="288" ht="15" customHeight="1" s="64">
      <c r="A288" s="118" t="n"/>
      <c r="B288" s="118" t="n"/>
      <c r="C288" s="118" t="n"/>
      <c r="D288" s="118" t="n"/>
      <c r="E288" s="118" t="n"/>
      <c r="F288" s="118" t="n"/>
      <c r="G288" s="120">
        <f>IF(C288="","",C288*D288)</f>
        <v/>
      </c>
      <c r="H288" s="120">
        <f>IF(C288="","",C288*E288)</f>
        <v/>
      </c>
      <c r="I288" s="115">
        <f>IF(C288="","",IFERROR(D288/(E288+(E288=0))-1,0))</f>
        <v/>
      </c>
      <c r="J288" s="117">
        <f>IF(C288="","",IF(ABS(I288)&gt;AYARLAR!$C$14,"RİSKLİ","NORMAL"))</f>
        <v/>
      </c>
      <c r="K288" s="115">
        <f>IF(G288="","",IFERROR(G288/MOTOR!$B$20,0))</f>
        <v/>
      </c>
      <c r="L288" s="117">
        <f>IF(C288="","",IF(F288="","EKSİK","TAM"))</f>
        <v/>
      </c>
      <c r="M288" s="118" t="n"/>
    </row>
    <row r="289" ht="15" customHeight="1" s="64">
      <c r="A289" s="118" t="n"/>
      <c r="B289" s="118" t="n"/>
      <c r="C289" s="118" t="n"/>
      <c r="D289" s="118" t="n"/>
      <c r="E289" s="118" t="n"/>
      <c r="F289" s="118" t="n"/>
      <c r="G289" s="120">
        <f>IF(C289="","",C289*D289)</f>
        <v/>
      </c>
      <c r="H289" s="120">
        <f>IF(C289="","",C289*E289)</f>
        <v/>
      </c>
      <c r="I289" s="115">
        <f>IF(C289="","",IFERROR(D289/(E289+(E289=0))-1,0))</f>
        <v/>
      </c>
      <c r="J289" s="117">
        <f>IF(C289="","",IF(ABS(I289)&gt;AYARLAR!$C$14,"RİSKLİ","NORMAL"))</f>
        <v/>
      </c>
      <c r="K289" s="115">
        <f>IF(G289="","",IFERROR(G289/MOTOR!$B$20,0))</f>
        <v/>
      </c>
      <c r="L289" s="117">
        <f>IF(C289="","",IF(F289="","EKSİK","TAM"))</f>
        <v/>
      </c>
      <c r="M289" s="118" t="n"/>
    </row>
    <row r="290" ht="15" customHeight="1" s="64">
      <c r="A290" s="118" t="n"/>
      <c r="B290" s="118" t="n"/>
      <c r="C290" s="118" t="n"/>
      <c r="D290" s="118" t="n"/>
      <c r="E290" s="118" t="n"/>
      <c r="F290" s="118" t="n"/>
      <c r="G290" s="120">
        <f>IF(C290="","",C290*D290)</f>
        <v/>
      </c>
      <c r="H290" s="120">
        <f>IF(C290="","",C290*E290)</f>
        <v/>
      </c>
      <c r="I290" s="115">
        <f>IF(C290="","",IFERROR(D290/(E290+(E290=0))-1,0))</f>
        <v/>
      </c>
      <c r="J290" s="117">
        <f>IF(C290="","",IF(ABS(I290)&gt;AYARLAR!$C$14,"RİSKLİ","NORMAL"))</f>
        <v/>
      </c>
      <c r="K290" s="115">
        <f>IF(G290="","",IFERROR(G290/MOTOR!$B$20,0))</f>
        <v/>
      </c>
      <c r="L290" s="117">
        <f>IF(C290="","",IF(F290="","EKSİK","TAM"))</f>
        <v/>
      </c>
      <c r="M290" s="118" t="n"/>
    </row>
    <row r="291" ht="15" customHeight="1" s="64">
      <c r="A291" s="118" t="n"/>
      <c r="B291" s="118" t="n"/>
      <c r="C291" s="118" t="n"/>
      <c r="D291" s="118" t="n"/>
      <c r="E291" s="118" t="n"/>
      <c r="F291" s="118" t="n"/>
      <c r="G291" s="120">
        <f>IF(C291="","",C291*D291)</f>
        <v/>
      </c>
      <c r="H291" s="120">
        <f>IF(C291="","",C291*E291)</f>
        <v/>
      </c>
      <c r="I291" s="115">
        <f>IF(C291="","",IFERROR(D291/(E291+(E291=0))-1,0))</f>
        <v/>
      </c>
      <c r="J291" s="117">
        <f>IF(C291="","",IF(ABS(I291)&gt;AYARLAR!$C$14,"RİSKLİ","NORMAL"))</f>
        <v/>
      </c>
      <c r="K291" s="115">
        <f>IF(G291="","",IFERROR(G291/MOTOR!$B$20,0))</f>
        <v/>
      </c>
      <c r="L291" s="117">
        <f>IF(C291="","",IF(F291="","EKSİK","TAM"))</f>
        <v/>
      </c>
      <c r="M291" s="118" t="n"/>
    </row>
    <row r="292" ht="15" customHeight="1" s="64">
      <c r="A292" s="118" t="n"/>
      <c r="B292" s="118" t="n"/>
      <c r="C292" s="118" t="n"/>
      <c r="D292" s="118" t="n"/>
      <c r="E292" s="118" t="n"/>
      <c r="F292" s="118" t="n"/>
      <c r="G292" s="120">
        <f>IF(C292="","",C292*D292)</f>
        <v/>
      </c>
      <c r="H292" s="120">
        <f>IF(C292="","",C292*E292)</f>
        <v/>
      </c>
      <c r="I292" s="115">
        <f>IF(C292="","",IFERROR(D292/(E292+(E292=0))-1,0))</f>
        <v/>
      </c>
      <c r="J292" s="117">
        <f>IF(C292="","",IF(ABS(I292)&gt;AYARLAR!$C$14,"RİSKLİ","NORMAL"))</f>
        <v/>
      </c>
      <c r="K292" s="115">
        <f>IF(G292="","",IFERROR(G292/MOTOR!$B$20,0))</f>
        <v/>
      </c>
      <c r="L292" s="117">
        <f>IF(C292="","",IF(F292="","EKSİK","TAM"))</f>
        <v/>
      </c>
      <c r="M292" s="118" t="n"/>
    </row>
    <row r="293" ht="15" customHeight="1" s="64">
      <c r="A293" s="118" t="n"/>
      <c r="B293" s="118" t="n"/>
      <c r="C293" s="118" t="n"/>
      <c r="D293" s="118" t="n"/>
      <c r="E293" s="118" t="n"/>
      <c r="F293" s="118" t="n"/>
      <c r="G293" s="120">
        <f>IF(C293="","",C293*D293)</f>
        <v/>
      </c>
      <c r="H293" s="120">
        <f>IF(C293="","",C293*E293)</f>
        <v/>
      </c>
      <c r="I293" s="115">
        <f>IF(C293="","",IFERROR(D293/(E293+(E293=0))-1,0))</f>
        <v/>
      </c>
      <c r="J293" s="117">
        <f>IF(C293="","",IF(ABS(I293)&gt;AYARLAR!$C$14,"RİSKLİ","NORMAL"))</f>
        <v/>
      </c>
      <c r="K293" s="115">
        <f>IF(G293="","",IFERROR(G293/MOTOR!$B$20,0))</f>
        <v/>
      </c>
      <c r="L293" s="117">
        <f>IF(C293="","",IF(F293="","EKSİK","TAM"))</f>
        <v/>
      </c>
      <c r="M293" s="118" t="n"/>
    </row>
    <row r="294" ht="15" customHeight="1" s="64">
      <c r="A294" s="118" t="n"/>
      <c r="B294" s="118" t="n"/>
      <c r="C294" s="118" t="n"/>
      <c r="D294" s="118" t="n"/>
      <c r="E294" s="118" t="n"/>
      <c r="F294" s="118" t="n"/>
      <c r="G294" s="120">
        <f>IF(C294="","",C294*D294)</f>
        <v/>
      </c>
      <c r="H294" s="120">
        <f>IF(C294="","",C294*E294)</f>
        <v/>
      </c>
      <c r="I294" s="115">
        <f>IF(C294="","",IFERROR(D294/(E294+(E294=0))-1,0))</f>
        <v/>
      </c>
      <c r="J294" s="117">
        <f>IF(C294="","",IF(ABS(I294)&gt;AYARLAR!$C$14,"RİSKLİ","NORMAL"))</f>
        <v/>
      </c>
      <c r="K294" s="115">
        <f>IF(G294="","",IFERROR(G294/MOTOR!$B$20,0))</f>
        <v/>
      </c>
      <c r="L294" s="117">
        <f>IF(C294="","",IF(F294="","EKSİK","TAM"))</f>
        <v/>
      </c>
      <c r="M294" s="118" t="n"/>
    </row>
    <row r="295" ht="15" customHeight="1" s="64">
      <c r="A295" s="118" t="n"/>
      <c r="B295" s="118" t="n"/>
      <c r="C295" s="118" t="n"/>
      <c r="D295" s="118" t="n"/>
      <c r="E295" s="118" t="n"/>
      <c r="F295" s="118" t="n"/>
      <c r="G295" s="120">
        <f>IF(C295="","",C295*D295)</f>
        <v/>
      </c>
      <c r="H295" s="120">
        <f>IF(C295="","",C295*E295)</f>
        <v/>
      </c>
      <c r="I295" s="115">
        <f>IF(C295="","",IFERROR(D295/(E295+(E295=0))-1,0))</f>
        <v/>
      </c>
      <c r="J295" s="117">
        <f>IF(C295="","",IF(ABS(I295)&gt;AYARLAR!$C$14,"RİSKLİ","NORMAL"))</f>
        <v/>
      </c>
      <c r="K295" s="115">
        <f>IF(G295="","",IFERROR(G295/MOTOR!$B$20,0))</f>
        <v/>
      </c>
      <c r="L295" s="117">
        <f>IF(C295="","",IF(F295="","EKSİK","TAM"))</f>
        <v/>
      </c>
      <c r="M295" s="118" t="n"/>
    </row>
    <row r="296" ht="15" customHeight="1" s="64">
      <c r="A296" s="118" t="n"/>
      <c r="B296" s="118" t="n"/>
      <c r="C296" s="118" t="n"/>
      <c r="D296" s="118" t="n"/>
      <c r="E296" s="118" t="n"/>
      <c r="F296" s="118" t="n"/>
      <c r="G296" s="120">
        <f>IF(C296="","",C296*D296)</f>
        <v/>
      </c>
      <c r="H296" s="120">
        <f>IF(C296="","",C296*E296)</f>
        <v/>
      </c>
      <c r="I296" s="115">
        <f>IF(C296="","",IFERROR(D296/(E296+(E296=0))-1,0))</f>
        <v/>
      </c>
      <c r="J296" s="117">
        <f>IF(C296="","",IF(ABS(I296)&gt;AYARLAR!$C$14,"RİSKLİ","NORMAL"))</f>
        <v/>
      </c>
      <c r="K296" s="115">
        <f>IF(G296="","",IFERROR(G296/MOTOR!$B$20,0))</f>
        <v/>
      </c>
      <c r="L296" s="117">
        <f>IF(C296="","",IF(F296="","EKSİK","TAM"))</f>
        <v/>
      </c>
      <c r="M296" s="118" t="n"/>
    </row>
    <row r="297" ht="15" customHeight="1" s="64">
      <c r="A297" s="118" t="n"/>
      <c r="B297" s="118" t="n"/>
      <c r="C297" s="118" t="n"/>
      <c r="D297" s="118" t="n"/>
      <c r="E297" s="118" t="n"/>
      <c r="F297" s="118" t="n"/>
      <c r="G297" s="120">
        <f>IF(C297="","",C297*D297)</f>
        <v/>
      </c>
      <c r="H297" s="120">
        <f>IF(C297="","",C297*E297)</f>
        <v/>
      </c>
      <c r="I297" s="115">
        <f>IF(C297="","",IFERROR(D297/(E297+(E297=0))-1,0))</f>
        <v/>
      </c>
      <c r="J297" s="117">
        <f>IF(C297="","",IF(ABS(I297)&gt;AYARLAR!$C$14,"RİSKLİ","NORMAL"))</f>
        <v/>
      </c>
      <c r="K297" s="115">
        <f>IF(G297="","",IFERROR(G297/MOTOR!$B$20,0))</f>
        <v/>
      </c>
      <c r="L297" s="117">
        <f>IF(C297="","",IF(F297="","EKSİK","TAM"))</f>
        <v/>
      </c>
      <c r="M297" s="118" t="n"/>
    </row>
    <row r="298" ht="15" customHeight="1" s="64">
      <c r="A298" s="118" t="n"/>
      <c r="B298" s="118" t="n"/>
      <c r="C298" s="118" t="n"/>
      <c r="D298" s="118" t="n"/>
      <c r="E298" s="118" t="n"/>
      <c r="F298" s="118" t="n"/>
      <c r="G298" s="120">
        <f>IF(C298="","",C298*D298)</f>
        <v/>
      </c>
      <c r="H298" s="120">
        <f>IF(C298="","",C298*E298)</f>
        <v/>
      </c>
      <c r="I298" s="115">
        <f>IF(C298="","",IFERROR(D298/(E298+(E298=0))-1,0))</f>
        <v/>
      </c>
      <c r="J298" s="117">
        <f>IF(C298="","",IF(ABS(I298)&gt;AYARLAR!$C$14,"RİSKLİ","NORMAL"))</f>
        <v/>
      </c>
      <c r="K298" s="115">
        <f>IF(G298="","",IFERROR(G298/MOTOR!$B$20,0))</f>
        <v/>
      </c>
      <c r="L298" s="117">
        <f>IF(C298="","",IF(F298="","EKSİK","TAM"))</f>
        <v/>
      </c>
      <c r="M298" s="118" t="n"/>
    </row>
    <row r="299" ht="15" customHeight="1" s="64">
      <c r="A299" s="118" t="n"/>
      <c r="B299" s="118" t="n"/>
      <c r="C299" s="118" t="n"/>
      <c r="D299" s="118" t="n"/>
      <c r="E299" s="118" t="n"/>
      <c r="F299" s="118" t="n"/>
      <c r="G299" s="120">
        <f>IF(C299="","",C299*D299)</f>
        <v/>
      </c>
      <c r="H299" s="120">
        <f>IF(C299="","",C299*E299)</f>
        <v/>
      </c>
      <c r="I299" s="115">
        <f>IF(C299="","",IFERROR(D299/(E299+(E299=0))-1,0))</f>
        <v/>
      </c>
      <c r="J299" s="117">
        <f>IF(C299="","",IF(ABS(I299)&gt;AYARLAR!$C$14,"RİSKLİ","NORMAL"))</f>
        <v/>
      </c>
      <c r="K299" s="115">
        <f>IF(G299="","",IFERROR(G299/MOTOR!$B$20,0))</f>
        <v/>
      </c>
      <c r="L299" s="117">
        <f>IF(C299="","",IF(F299="","EKSİK","TAM"))</f>
        <v/>
      </c>
      <c r="M299" s="118" t="n"/>
    </row>
    <row r="300" ht="15" customHeight="1" s="64">
      <c r="A300" s="118" t="n"/>
      <c r="B300" s="118" t="n"/>
      <c r="C300" s="118" t="n"/>
      <c r="D300" s="118" t="n"/>
      <c r="E300" s="118" t="n"/>
      <c r="F300" s="118" t="n"/>
      <c r="G300" s="120">
        <f>IF(C300="","",C300*D300)</f>
        <v/>
      </c>
      <c r="H300" s="120">
        <f>IF(C300="","",C300*E300)</f>
        <v/>
      </c>
      <c r="I300" s="115">
        <f>IF(C300="","",IFERROR(D300/(E300+(E300=0))-1,0))</f>
        <v/>
      </c>
      <c r="J300" s="117">
        <f>IF(C300="","",IF(ABS(I300)&gt;AYARLAR!$C$14,"RİSKLİ","NORMAL"))</f>
        <v/>
      </c>
      <c r="K300" s="115">
        <f>IF(G300="","",IFERROR(G300/MOTOR!$B$20,0))</f>
        <v/>
      </c>
      <c r="L300" s="117">
        <f>IF(C300="","",IF(F300="","EKSİK","TAM"))</f>
        <v/>
      </c>
      <c r="M300" s="118" t="n"/>
    </row>
    <row r="301" ht="15" customHeight="1" s="64">
      <c r="A301" s="118" t="n"/>
      <c r="B301" s="118" t="n"/>
      <c r="C301" s="118" t="n"/>
      <c r="D301" s="118" t="n"/>
      <c r="E301" s="118" t="n"/>
      <c r="F301" s="118" t="n"/>
      <c r="G301" s="120">
        <f>IF(C301="","",C301*D301)</f>
        <v/>
      </c>
      <c r="H301" s="120">
        <f>IF(C301="","",C301*E301)</f>
        <v/>
      </c>
      <c r="I301" s="115">
        <f>IF(C301="","",IFERROR(D301/(E301+(E301=0))-1,0))</f>
        <v/>
      </c>
      <c r="J301" s="117">
        <f>IF(C301="","",IF(ABS(I301)&gt;AYARLAR!$C$14,"RİSKLİ","NORMAL"))</f>
        <v/>
      </c>
      <c r="K301" s="115">
        <f>IF(G301="","",IFERROR(G301/MOTOR!$B$20,0))</f>
        <v/>
      </c>
      <c r="L301" s="117">
        <f>IF(C301="","",IF(F301="","EKSİK","TAM"))</f>
        <v/>
      </c>
      <c r="M301" s="118" t="n"/>
    </row>
    <row r="302" ht="15" customHeight="1" s="64">
      <c r="A302" s="118" t="n"/>
      <c r="B302" s="118" t="n"/>
      <c r="C302" s="118" t="n"/>
      <c r="D302" s="118" t="n"/>
      <c r="E302" s="118" t="n"/>
      <c r="F302" s="118" t="n"/>
      <c r="G302" s="120">
        <f>IF(C302="","",C302*D302)</f>
        <v/>
      </c>
      <c r="H302" s="120">
        <f>IF(C302="","",C302*E302)</f>
        <v/>
      </c>
      <c r="I302" s="115">
        <f>IF(C302="","",IFERROR(D302/(E302+(E302=0))-1,0))</f>
        <v/>
      </c>
      <c r="J302" s="117">
        <f>IF(C302="","",IF(ABS(I302)&gt;AYARLAR!$C$14,"RİSKLİ","NORMAL"))</f>
        <v/>
      </c>
      <c r="K302" s="115">
        <f>IF(G302="","",IFERROR(G302/MOTOR!$B$20,0))</f>
        <v/>
      </c>
      <c r="L302" s="117">
        <f>IF(C302="","",IF(F302="","EKSİK","TAM"))</f>
        <v/>
      </c>
      <c r="M302" s="118" t="n"/>
    </row>
    <row r="303" ht="15" customHeight="1" s="64">
      <c r="A303" s="118" t="n"/>
      <c r="B303" s="118" t="n"/>
      <c r="C303" s="118" t="n"/>
      <c r="D303" s="118" t="n"/>
      <c r="E303" s="118" t="n"/>
      <c r="F303" s="118" t="n"/>
      <c r="G303" s="120">
        <f>IF(C303="","",C303*D303)</f>
        <v/>
      </c>
      <c r="H303" s="120">
        <f>IF(C303="","",C303*E303)</f>
        <v/>
      </c>
      <c r="I303" s="115">
        <f>IF(C303="","",IFERROR(D303/(E303+(E303=0))-1,0))</f>
        <v/>
      </c>
      <c r="J303" s="117">
        <f>IF(C303="","",IF(ABS(I303)&gt;AYARLAR!$C$14,"RİSKLİ","NORMAL"))</f>
        <v/>
      </c>
      <c r="K303" s="115">
        <f>IF(G303="","",IFERROR(G303/MOTOR!$B$20,0))</f>
        <v/>
      </c>
      <c r="L303" s="117">
        <f>IF(C303="","",IF(F303="","EKSİK","TAM"))</f>
        <v/>
      </c>
      <c r="M303" s="118" t="n"/>
    </row>
    <row r="304" ht="15" customHeight="1" s="64">
      <c r="A304" s="118" t="n"/>
      <c r="B304" s="118" t="n"/>
      <c r="C304" s="118" t="n"/>
      <c r="D304" s="118" t="n"/>
      <c r="E304" s="118" t="n"/>
      <c r="F304" s="118" t="n"/>
      <c r="G304" s="120">
        <f>IF(C304="","",C304*D304)</f>
        <v/>
      </c>
      <c r="H304" s="120">
        <f>IF(C304="","",C304*E304)</f>
        <v/>
      </c>
      <c r="I304" s="115">
        <f>IF(C304="","",IFERROR(D304/(E304+(E304=0))-1,0))</f>
        <v/>
      </c>
      <c r="J304" s="117">
        <f>IF(C304="","",IF(ABS(I304)&gt;AYARLAR!$C$14,"RİSKLİ","NORMAL"))</f>
        <v/>
      </c>
      <c r="K304" s="115">
        <f>IF(G304="","",IFERROR(G304/MOTOR!$B$20,0))</f>
        <v/>
      </c>
      <c r="L304" s="117">
        <f>IF(C304="","",IF(F304="","EKSİK","TAM"))</f>
        <v/>
      </c>
      <c r="M304" s="118" t="n"/>
    </row>
    <row r="305" ht="15" customHeight="1" s="64">
      <c r="A305" s="118" t="n"/>
      <c r="B305" s="118" t="n"/>
      <c r="C305" s="118" t="n"/>
      <c r="D305" s="118" t="n"/>
      <c r="E305" s="118" t="n"/>
      <c r="F305" s="118" t="n"/>
      <c r="G305" s="120">
        <f>IF(C305="","",C305*D305)</f>
        <v/>
      </c>
      <c r="H305" s="120">
        <f>IF(C305="","",C305*E305)</f>
        <v/>
      </c>
      <c r="I305" s="115">
        <f>IF(C305="","",IFERROR(D305/(E305+(E305=0))-1,0))</f>
        <v/>
      </c>
      <c r="J305" s="117">
        <f>IF(C305="","",IF(ABS(I305)&gt;AYARLAR!$C$14,"RİSKLİ","NORMAL"))</f>
        <v/>
      </c>
      <c r="K305" s="115">
        <f>IF(G305="","",IFERROR(G305/MOTOR!$B$20,0))</f>
        <v/>
      </c>
      <c r="L305" s="117">
        <f>IF(C305="","",IF(F305="","EKSİK","TAM"))</f>
        <v/>
      </c>
      <c r="M305" s="118" t="n"/>
    </row>
    <row r="306" ht="15" customHeight="1" s="64">
      <c r="A306" s="118" t="n"/>
      <c r="B306" s="118" t="n"/>
      <c r="C306" s="118" t="n"/>
      <c r="D306" s="118" t="n"/>
      <c r="E306" s="118" t="n"/>
      <c r="F306" s="118" t="n"/>
      <c r="G306" s="120">
        <f>IF(C306="","",C306*D306)</f>
        <v/>
      </c>
      <c r="H306" s="120">
        <f>IF(C306="","",C306*E306)</f>
        <v/>
      </c>
      <c r="I306" s="115">
        <f>IF(C306="","",IFERROR(D306/(E306+(E306=0))-1,0))</f>
        <v/>
      </c>
      <c r="J306" s="117">
        <f>IF(C306="","",IF(ABS(I306)&gt;AYARLAR!$C$14,"RİSKLİ","NORMAL"))</f>
        <v/>
      </c>
      <c r="K306" s="115">
        <f>IF(G306="","",IFERROR(G306/MOTOR!$B$20,0))</f>
        <v/>
      </c>
      <c r="L306" s="117">
        <f>IF(C306="","",IF(F306="","EKSİK","TAM"))</f>
        <v/>
      </c>
      <c r="M306" s="118" t="n"/>
    </row>
    <row r="307" ht="15" customHeight="1" s="64">
      <c r="A307" s="118" t="n"/>
      <c r="B307" s="118" t="n"/>
      <c r="C307" s="118" t="n"/>
      <c r="D307" s="118" t="n"/>
      <c r="E307" s="118" t="n"/>
      <c r="F307" s="118" t="n"/>
      <c r="G307" s="120">
        <f>IF(C307="","",C307*D307)</f>
        <v/>
      </c>
      <c r="H307" s="120">
        <f>IF(C307="","",C307*E307)</f>
        <v/>
      </c>
      <c r="I307" s="115">
        <f>IF(C307="","",IFERROR(D307/(E307+(E307=0))-1,0))</f>
        <v/>
      </c>
      <c r="J307" s="117">
        <f>IF(C307="","",IF(ABS(I307)&gt;AYARLAR!$C$14,"RİSKLİ","NORMAL"))</f>
        <v/>
      </c>
      <c r="K307" s="115">
        <f>IF(G307="","",IFERROR(G307/MOTOR!$B$20,0))</f>
        <v/>
      </c>
      <c r="L307" s="117">
        <f>IF(C307="","",IF(F307="","EKSİK","TAM"))</f>
        <v/>
      </c>
      <c r="M307" s="118" t="n"/>
    </row>
    <row r="308" ht="15" customHeight="1" s="64">
      <c r="A308" s="118" t="n"/>
      <c r="B308" s="118" t="n"/>
      <c r="C308" s="118" t="n"/>
      <c r="D308" s="118" t="n"/>
      <c r="E308" s="118" t="n"/>
      <c r="F308" s="118" t="n"/>
      <c r="G308" s="120">
        <f>IF(C308="","",C308*D308)</f>
        <v/>
      </c>
      <c r="H308" s="120">
        <f>IF(C308="","",C308*E308)</f>
        <v/>
      </c>
      <c r="I308" s="115">
        <f>IF(C308="","",IFERROR(D308/(E308+(E308=0))-1,0))</f>
        <v/>
      </c>
      <c r="J308" s="117">
        <f>IF(C308="","",IF(ABS(I308)&gt;AYARLAR!$C$14,"RİSKLİ","NORMAL"))</f>
        <v/>
      </c>
      <c r="K308" s="115">
        <f>IF(G308="","",IFERROR(G308/MOTOR!$B$20,0))</f>
        <v/>
      </c>
      <c r="L308" s="117">
        <f>IF(C308="","",IF(F308="","EKSİK","TAM"))</f>
        <v/>
      </c>
      <c r="M308" s="118" t="n"/>
    </row>
    <row r="309" ht="15" customHeight="1" s="64">
      <c r="A309" s="118" t="n"/>
      <c r="B309" s="118" t="n"/>
      <c r="C309" s="118" t="n"/>
      <c r="D309" s="118" t="n"/>
      <c r="E309" s="118" t="n"/>
      <c r="F309" s="118" t="n"/>
      <c r="G309" s="120">
        <f>IF(C309="","",C309*D309)</f>
        <v/>
      </c>
      <c r="H309" s="120">
        <f>IF(C309="","",C309*E309)</f>
        <v/>
      </c>
      <c r="I309" s="115">
        <f>IF(C309="","",IFERROR(D309/(E309+(E309=0))-1,0))</f>
        <v/>
      </c>
      <c r="J309" s="117">
        <f>IF(C309="","",IF(ABS(I309)&gt;AYARLAR!$C$14,"RİSKLİ","NORMAL"))</f>
        <v/>
      </c>
      <c r="K309" s="115">
        <f>IF(G309="","",IFERROR(G309/MOTOR!$B$20,0))</f>
        <v/>
      </c>
      <c r="L309" s="117">
        <f>IF(C309="","",IF(F309="","EKSİK","TAM"))</f>
        <v/>
      </c>
      <c r="M309" s="118" t="n"/>
    </row>
    <row r="310" ht="15" customHeight="1" s="64">
      <c r="A310" s="118" t="n"/>
      <c r="B310" s="118" t="n"/>
      <c r="C310" s="118" t="n"/>
      <c r="D310" s="118" t="n"/>
      <c r="E310" s="118" t="n"/>
      <c r="F310" s="118" t="n"/>
      <c r="G310" s="120">
        <f>IF(C310="","",C310*D310)</f>
        <v/>
      </c>
      <c r="H310" s="120">
        <f>IF(C310="","",C310*E310)</f>
        <v/>
      </c>
      <c r="I310" s="115">
        <f>IF(C310="","",IFERROR(D310/(E310+(E310=0))-1,0))</f>
        <v/>
      </c>
      <c r="J310" s="117">
        <f>IF(C310="","",IF(ABS(I310)&gt;AYARLAR!$C$14,"RİSKLİ","NORMAL"))</f>
        <v/>
      </c>
      <c r="K310" s="115">
        <f>IF(G310="","",IFERROR(G310/MOTOR!$B$20,0))</f>
        <v/>
      </c>
      <c r="L310" s="117">
        <f>IF(C310="","",IF(F310="","EKSİK","TAM"))</f>
        <v/>
      </c>
      <c r="M310" s="118" t="n"/>
    </row>
    <row r="311" ht="15" customHeight="1" s="64">
      <c r="A311" s="118" t="n"/>
      <c r="B311" s="118" t="n"/>
      <c r="C311" s="118" t="n"/>
      <c r="D311" s="118" t="n"/>
      <c r="E311" s="118" t="n"/>
      <c r="F311" s="118" t="n"/>
      <c r="G311" s="120">
        <f>IF(C311="","",C311*D311)</f>
        <v/>
      </c>
      <c r="H311" s="120">
        <f>IF(C311="","",C311*E311)</f>
        <v/>
      </c>
      <c r="I311" s="115">
        <f>IF(C311="","",IFERROR(D311/(E311+(E311=0))-1,0))</f>
        <v/>
      </c>
      <c r="J311" s="117">
        <f>IF(C311="","",IF(ABS(I311)&gt;AYARLAR!$C$14,"RİSKLİ","NORMAL"))</f>
        <v/>
      </c>
      <c r="K311" s="115">
        <f>IF(G311="","",IFERROR(G311/MOTOR!$B$20,0))</f>
        <v/>
      </c>
      <c r="L311" s="117">
        <f>IF(C311="","",IF(F311="","EKSİK","TAM"))</f>
        <v/>
      </c>
      <c r="M311" s="118" t="n"/>
    </row>
    <row r="312" ht="15" customHeight="1" s="64">
      <c r="A312" s="118" t="n"/>
      <c r="B312" s="118" t="n"/>
      <c r="C312" s="118" t="n"/>
      <c r="D312" s="118" t="n"/>
      <c r="E312" s="118" t="n"/>
      <c r="F312" s="118" t="n"/>
      <c r="G312" s="120">
        <f>IF(C312="","",C312*D312)</f>
        <v/>
      </c>
      <c r="H312" s="120">
        <f>IF(C312="","",C312*E312)</f>
        <v/>
      </c>
      <c r="I312" s="115">
        <f>IF(C312="","",IFERROR(D312/(E312+(E312=0))-1,0))</f>
        <v/>
      </c>
      <c r="J312" s="117">
        <f>IF(C312="","",IF(ABS(I312)&gt;AYARLAR!$C$14,"RİSKLİ","NORMAL"))</f>
        <v/>
      </c>
      <c r="K312" s="115">
        <f>IF(G312="","",IFERROR(G312/MOTOR!$B$20,0))</f>
        <v/>
      </c>
      <c r="L312" s="117">
        <f>IF(C312="","",IF(F312="","EKSİK","TAM"))</f>
        <v/>
      </c>
      <c r="M312" s="118" t="n"/>
    </row>
    <row r="313" ht="15" customHeight="1" s="64">
      <c r="A313" s="118" t="n"/>
      <c r="B313" s="118" t="n"/>
      <c r="C313" s="118" t="n"/>
      <c r="D313" s="118" t="n"/>
      <c r="E313" s="118" t="n"/>
      <c r="F313" s="118" t="n"/>
      <c r="G313" s="120">
        <f>IF(C313="","",C313*D313)</f>
        <v/>
      </c>
      <c r="H313" s="120">
        <f>IF(C313="","",C313*E313)</f>
        <v/>
      </c>
      <c r="I313" s="115">
        <f>IF(C313="","",IFERROR(D313/(E313+(E313=0))-1,0))</f>
        <v/>
      </c>
      <c r="J313" s="117">
        <f>IF(C313="","",IF(ABS(I313)&gt;AYARLAR!$C$14,"RİSKLİ","NORMAL"))</f>
        <v/>
      </c>
      <c r="K313" s="115">
        <f>IF(G313="","",IFERROR(G313/MOTOR!$B$20,0))</f>
        <v/>
      </c>
      <c r="L313" s="117">
        <f>IF(C313="","",IF(F313="","EKSİK","TAM"))</f>
        <v/>
      </c>
      <c r="M313" s="118" t="n"/>
    </row>
    <row r="314" ht="15" customHeight="1" s="64">
      <c r="A314" s="118" t="n"/>
      <c r="B314" s="118" t="n"/>
      <c r="C314" s="118" t="n"/>
      <c r="D314" s="118" t="n"/>
      <c r="E314" s="118" t="n"/>
      <c r="F314" s="118" t="n"/>
      <c r="G314" s="120">
        <f>IF(C314="","",C314*D314)</f>
        <v/>
      </c>
      <c r="H314" s="120">
        <f>IF(C314="","",C314*E314)</f>
        <v/>
      </c>
      <c r="I314" s="115">
        <f>IF(C314="","",IFERROR(D314/(E314+(E314=0))-1,0))</f>
        <v/>
      </c>
      <c r="J314" s="117">
        <f>IF(C314="","",IF(ABS(I314)&gt;AYARLAR!$C$14,"RİSKLİ","NORMAL"))</f>
        <v/>
      </c>
      <c r="K314" s="115">
        <f>IF(G314="","",IFERROR(G314/MOTOR!$B$20,0))</f>
        <v/>
      </c>
      <c r="L314" s="117">
        <f>IF(C314="","",IF(F314="","EKSİK","TAM"))</f>
        <v/>
      </c>
      <c r="M314" s="118" t="n"/>
    </row>
    <row r="315" ht="15" customHeight="1" s="64">
      <c r="A315" s="118" t="n"/>
      <c r="B315" s="118" t="n"/>
      <c r="C315" s="118" t="n"/>
      <c r="D315" s="118" t="n"/>
      <c r="E315" s="118" t="n"/>
      <c r="F315" s="118" t="n"/>
      <c r="G315" s="120">
        <f>IF(C315="","",C315*D315)</f>
        <v/>
      </c>
      <c r="H315" s="120">
        <f>IF(C315="","",C315*E315)</f>
        <v/>
      </c>
      <c r="I315" s="115">
        <f>IF(C315="","",IFERROR(D315/(E315+(E315=0))-1,0))</f>
        <v/>
      </c>
      <c r="J315" s="117">
        <f>IF(C315="","",IF(ABS(I315)&gt;AYARLAR!$C$14,"RİSKLİ","NORMAL"))</f>
        <v/>
      </c>
      <c r="K315" s="115">
        <f>IF(G315="","",IFERROR(G315/MOTOR!$B$20,0))</f>
        <v/>
      </c>
      <c r="L315" s="117">
        <f>IF(C315="","",IF(F315="","EKSİK","TAM"))</f>
        <v/>
      </c>
      <c r="M315" s="118" t="n"/>
    </row>
    <row r="316" ht="15" customHeight="1" s="64">
      <c r="A316" s="118" t="n"/>
      <c r="B316" s="118" t="n"/>
      <c r="C316" s="118" t="n"/>
      <c r="D316" s="118" t="n"/>
      <c r="E316" s="118" t="n"/>
      <c r="F316" s="118" t="n"/>
      <c r="G316" s="120">
        <f>IF(C316="","",C316*D316)</f>
        <v/>
      </c>
      <c r="H316" s="120">
        <f>IF(C316="","",C316*E316)</f>
        <v/>
      </c>
      <c r="I316" s="115">
        <f>IF(C316="","",IFERROR(D316/(E316+(E316=0))-1,0))</f>
        <v/>
      </c>
      <c r="J316" s="117">
        <f>IF(C316="","",IF(ABS(I316)&gt;AYARLAR!$C$14,"RİSKLİ","NORMAL"))</f>
        <v/>
      </c>
      <c r="K316" s="115">
        <f>IF(G316="","",IFERROR(G316/MOTOR!$B$20,0))</f>
        <v/>
      </c>
      <c r="L316" s="117">
        <f>IF(C316="","",IF(F316="","EKSİK","TAM"))</f>
        <v/>
      </c>
      <c r="M316" s="118" t="n"/>
    </row>
    <row r="317" ht="15" customHeight="1" s="64">
      <c r="A317" s="118" t="n"/>
      <c r="B317" s="118" t="n"/>
      <c r="C317" s="118" t="n"/>
      <c r="D317" s="118" t="n"/>
      <c r="E317" s="118" t="n"/>
      <c r="F317" s="118" t="n"/>
      <c r="G317" s="120">
        <f>IF(C317="","",C317*D317)</f>
        <v/>
      </c>
      <c r="H317" s="120">
        <f>IF(C317="","",C317*E317)</f>
        <v/>
      </c>
      <c r="I317" s="115">
        <f>IF(C317="","",IFERROR(D317/(E317+(E317=0))-1,0))</f>
        <v/>
      </c>
      <c r="J317" s="117">
        <f>IF(C317="","",IF(ABS(I317)&gt;AYARLAR!$C$14,"RİSKLİ","NORMAL"))</f>
        <v/>
      </c>
      <c r="K317" s="115">
        <f>IF(G317="","",IFERROR(G317/MOTOR!$B$20,0))</f>
        <v/>
      </c>
      <c r="L317" s="117">
        <f>IF(C317="","",IF(F317="","EKSİK","TAM"))</f>
        <v/>
      </c>
      <c r="M317" s="118" t="n"/>
    </row>
    <row r="318" ht="15" customHeight="1" s="64">
      <c r="A318" s="118" t="n"/>
      <c r="B318" s="118" t="n"/>
      <c r="C318" s="118" t="n"/>
      <c r="D318" s="118" t="n"/>
      <c r="E318" s="118" t="n"/>
      <c r="F318" s="118" t="n"/>
      <c r="G318" s="120">
        <f>IF(C318="","",C318*D318)</f>
        <v/>
      </c>
      <c r="H318" s="120">
        <f>IF(C318="","",C318*E318)</f>
        <v/>
      </c>
      <c r="I318" s="115">
        <f>IF(C318="","",IFERROR(D318/(E318+(E318=0))-1,0))</f>
        <v/>
      </c>
      <c r="J318" s="117">
        <f>IF(C318="","",IF(ABS(I318)&gt;AYARLAR!$C$14,"RİSKLİ","NORMAL"))</f>
        <v/>
      </c>
      <c r="K318" s="115">
        <f>IF(G318="","",IFERROR(G318/MOTOR!$B$20,0))</f>
        <v/>
      </c>
      <c r="L318" s="117">
        <f>IF(C318="","",IF(F318="","EKSİK","TAM"))</f>
        <v/>
      </c>
      <c r="M318" s="118" t="n"/>
    </row>
    <row r="319" ht="15" customHeight="1" s="64">
      <c r="A319" s="118" t="n"/>
      <c r="B319" s="118" t="n"/>
      <c r="C319" s="118" t="n"/>
      <c r="D319" s="118" t="n"/>
      <c r="E319" s="118" t="n"/>
      <c r="F319" s="118" t="n"/>
      <c r="G319" s="120">
        <f>IF(C319="","",C319*D319)</f>
        <v/>
      </c>
      <c r="H319" s="120">
        <f>IF(C319="","",C319*E319)</f>
        <v/>
      </c>
      <c r="I319" s="115">
        <f>IF(C319="","",IFERROR(D319/(E319+(E319=0))-1,0))</f>
        <v/>
      </c>
      <c r="J319" s="117">
        <f>IF(C319="","",IF(ABS(I319)&gt;AYARLAR!$C$14,"RİSKLİ","NORMAL"))</f>
        <v/>
      </c>
      <c r="K319" s="115">
        <f>IF(G319="","",IFERROR(G319/MOTOR!$B$20,0))</f>
        <v/>
      </c>
      <c r="L319" s="117">
        <f>IF(C319="","",IF(F319="","EKSİK","TAM"))</f>
        <v/>
      </c>
      <c r="M319" s="118" t="n"/>
    </row>
    <row r="320" ht="15" customHeight="1" s="64">
      <c r="A320" s="118" t="n"/>
      <c r="B320" s="118" t="n"/>
      <c r="C320" s="118" t="n"/>
      <c r="D320" s="118" t="n"/>
      <c r="E320" s="118" t="n"/>
      <c r="F320" s="118" t="n"/>
      <c r="G320" s="120">
        <f>IF(C320="","",C320*D320)</f>
        <v/>
      </c>
      <c r="H320" s="120">
        <f>IF(C320="","",C320*E320)</f>
        <v/>
      </c>
      <c r="I320" s="115">
        <f>IF(C320="","",IFERROR(D320/(E320+(E320=0))-1,0))</f>
        <v/>
      </c>
      <c r="J320" s="117">
        <f>IF(C320="","",IF(ABS(I320)&gt;AYARLAR!$C$14,"RİSKLİ","NORMAL"))</f>
        <v/>
      </c>
      <c r="K320" s="115">
        <f>IF(G320="","",IFERROR(G320/MOTOR!$B$20,0))</f>
        <v/>
      </c>
      <c r="L320" s="117">
        <f>IF(C320="","",IF(F320="","EKSİK","TAM"))</f>
        <v/>
      </c>
      <c r="M320" s="118" t="n"/>
    </row>
    <row r="321" ht="15" customHeight="1" s="64">
      <c r="A321" s="118" t="n"/>
      <c r="B321" s="118" t="n"/>
      <c r="C321" s="118" t="n"/>
      <c r="D321" s="118" t="n"/>
      <c r="E321" s="118" t="n"/>
      <c r="F321" s="118" t="n"/>
      <c r="G321" s="120">
        <f>IF(C321="","",C321*D321)</f>
        <v/>
      </c>
      <c r="H321" s="120">
        <f>IF(C321="","",C321*E321)</f>
        <v/>
      </c>
      <c r="I321" s="115">
        <f>IF(C321="","",IFERROR(D321/(E321+(E321=0))-1,0))</f>
        <v/>
      </c>
      <c r="J321" s="117">
        <f>IF(C321="","",IF(ABS(I321)&gt;AYARLAR!$C$14,"RİSKLİ","NORMAL"))</f>
        <v/>
      </c>
      <c r="K321" s="115">
        <f>IF(G321="","",IFERROR(G321/MOTOR!$B$20,0))</f>
        <v/>
      </c>
      <c r="L321" s="117">
        <f>IF(C321="","",IF(F321="","EKSİK","TAM"))</f>
        <v/>
      </c>
      <c r="M321" s="118" t="n"/>
    </row>
    <row r="322" ht="15" customHeight="1" s="64">
      <c r="A322" s="118" t="n"/>
      <c r="B322" s="118" t="n"/>
      <c r="C322" s="118" t="n"/>
      <c r="D322" s="118" t="n"/>
      <c r="E322" s="118" t="n"/>
      <c r="F322" s="118" t="n"/>
      <c r="G322" s="120">
        <f>IF(C322="","",C322*D322)</f>
        <v/>
      </c>
      <c r="H322" s="120">
        <f>IF(C322="","",C322*E322)</f>
        <v/>
      </c>
      <c r="I322" s="115">
        <f>IF(C322="","",IFERROR(D322/(E322+(E322=0))-1,0))</f>
        <v/>
      </c>
      <c r="J322" s="117">
        <f>IF(C322="","",IF(ABS(I322)&gt;AYARLAR!$C$14,"RİSKLİ","NORMAL"))</f>
        <v/>
      </c>
      <c r="K322" s="115">
        <f>IF(G322="","",IFERROR(G322/MOTOR!$B$20,0))</f>
        <v/>
      </c>
      <c r="L322" s="117">
        <f>IF(C322="","",IF(F322="","EKSİK","TAM"))</f>
        <v/>
      </c>
      <c r="M322" s="118" t="n"/>
    </row>
    <row r="323" ht="15" customHeight="1" s="64">
      <c r="A323" s="118" t="n"/>
      <c r="B323" s="118" t="n"/>
      <c r="C323" s="118" t="n"/>
      <c r="D323" s="118" t="n"/>
      <c r="E323" s="118" t="n"/>
      <c r="F323" s="118" t="n"/>
      <c r="G323" s="120">
        <f>IF(C323="","",C323*D323)</f>
        <v/>
      </c>
      <c r="H323" s="120">
        <f>IF(C323="","",C323*E323)</f>
        <v/>
      </c>
      <c r="I323" s="115">
        <f>IF(C323="","",IFERROR(D323/(E323+(E323=0))-1,0))</f>
        <v/>
      </c>
      <c r="J323" s="117">
        <f>IF(C323="","",IF(ABS(I323)&gt;AYARLAR!$C$14,"RİSKLİ","NORMAL"))</f>
        <v/>
      </c>
      <c r="K323" s="115">
        <f>IF(G323="","",IFERROR(G323/MOTOR!$B$20,0))</f>
        <v/>
      </c>
      <c r="L323" s="117">
        <f>IF(C323="","",IF(F323="","EKSİK","TAM"))</f>
        <v/>
      </c>
      <c r="M323" s="118" t="n"/>
    </row>
    <row r="324" ht="15" customHeight="1" s="64">
      <c r="A324" s="118" t="n"/>
      <c r="B324" s="118" t="n"/>
      <c r="C324" s="118" t="n"/>
      <c r="D324" s="118" t="n"/>
      <c r="E324" s="118" t="n"/>
      <c r="F324" s="118" t="n"/>
      <c r="G324" s="120">
        <f>IF(C324="","",C324*D324)</f>
        <v/>
      </c>
      <c r="H324" s="120">
        <f>IF(C324="","",C324*E324)</f>
        <v/>
      </c>
      <c r="I324" s="115">
        <f>IF(C324="","",IFERROR(D324/(E324+(E324=0))-1,0))</f>
        <v/>
      </c>
      <c r="J324" s="117">
        <f>IF(C324="","",IF(ABS(I324)&gt;AYARLAR!$C$14,"RİSKLİ","NORMAL"))</f>
        <v/>
      </c>
      <c r="K324" s="115">
        <f>IF(G324="","",IFERROR(G324/MOTOR!$B$20,0))</f>
        <v/>
      </c>
      <c r="L324" s="117">
        <f>IF(C324="","",IF(F324="","EKSİK","TAM"))</f>
        <v/>
      </c>
      <c r="M324" s="118" t="n"/>
    </row>
    <row r="325" ht="15" customHeight="1" s="64">
      <c r="A325" s="118" t="n"/>
      <c r="B325" s="118" t="n"/>
      <c r="C325" s="118" t="n"/>
      <c r="D325" s="118" t="n"/>
      <c r="E325" s="118" t="n"/>
      <c r="F325" s="118" t="n"/>
      <c r="G325" s="120">
        <f>IF(C325="","",C325*D325)</f>
        <v/>
      </c>
      <c r="H325" s="120">
        <f>IF(C325="","",C325*E325)</f>
        <v/>
      </c>
      <c r="I325" s="115">
        <f>IF(C325="","",IFERROR(D325/(E325+(E325=0))-1,0))</f>
        <v/>
      </c>
      <c r="J325" s="117">
        <f>IF(C325="","",IF(ABS(I325)&gt;AYARLAR!$C$14,"RİSKLİ","NORMAL"))</f>
        <v/>
      </c>
      <c r="K325" s="115">
        <f>IF(G325="","",IFERROR(G325/MOTOR!$B$20,0))</f>
        <v/>
      </c>
      <c r="L325" s="117">
        <f>IF(C325="","",IF(F325="","EKSİK","TAM"))</f>
        <v/>
      </c>
      <c r="M325" s="118" t="n"/>
    </row>
    <row r="326" ht="15" customHeight="1" s="64">
      <c r="A326" s="118" t="n"/>
      <c r="B326" s="118" t="n"/>
      <c r="C326" s="118" t="n"/>
      <c r="D326" s="118" t="n"/>
      <c r="E326" s="118" t="n"/>
      <c r="F326" s="118" t="n"/>
      <c r="G326" s="120">
        <f>IF(C326="","",C326*D326)</f>
        <v/>
      </c>
      <c r="H326" s="120">
        <f>IF(C326="","",C326*E326)</f>
        <v/>
      </c>
      <c r="I326" s="115">
        <f>IF(C326="","",IFERROR(D326/(E326+(E326=0))-1,0))</f>
        <v/>
      </c>
      <c r="J326" s="117">
        <f>IF(C326="","",IF(ABS(I326)&gt;AYARLAR!$C$14,"RİSKLİ","NORMAL"))</f>
        <v/>
      </c>
      <c r="K326" s="115">
        <f>IF(G326="","",IFERROR(G326/MOTOR!$B$20,0))</f>
        <v/>
      </c>
      <c r="L326" s="117">
        <f>IF(C326="","",IF(F326="","EKSİK","TAM"))</f>
        <v/>
      </c>
      <c r="M326" s="118" t="n"/>
    </row>
    <row r="327" ht="15" customHeight="1" s="64">
      <c r="A327" s="118" t="n"/>
      <c r="B327" s="118" t="n"/>
      <c r="C327" s="118" t="n"/>
      <c r="D327" s="118" t="n"/>
      <c r="E327" s="118" t="n"/>
      <c r="F327" s="118" t="n"/>
      <c r="G327" s="120">
        <f>IF(C327="","",C327*D327)</f>
        <v/>
      </c>
      <c r="H327" s="120">
        <f>IF(C327="","",C327*E327)</f>
        <v/>
      </c>
      <c r="I327" s="115">
        <f>IF(C327="","",IFERROR(D327/(E327+(E327=0))-1,0))</f>
        <v/>
      </c>
      <c r="J327" s="117">
        <f>IF(C327="","",IF(ABS(I327)&gt;AYARLAR!$C$14,"RİSKLİ","NORMAL"))</f>
        <v/>
      </c>
      <c r="K327" s="115">
        <f>IF(G327="","",IFERROR(G327/MOTOR!$B$20,0))</f>
        <v/>
      </c>
      <c r="L327" s="117">
        <f>IF(C327="","",IF(F327="","EKSİK","TAM"))</f>
        <v/>
      </c>
      <c r="M327" s="118" t="n"/>
    </row>
    <row r="328" ht="15" customHeight="1" s="64">
      <c r="A328" s="118" t="n"/>
      <c r="B328" s="118" t="n"/>
      <c r="C328" s="118" t="n"/>
      <c r="D328" s="118" t="n"/>
      <c r="E328" s="118" t="n"/>
      <c r="F328" s="118" t="n"/>
      <c r="G328" s="120">
        <f>IF(C328="","",C328*D328)</f>
        <v/>
      </c>
      <c r="H328" s="120">
        <f>IF(C328="","",C328*E328)</f>
        <v/>
      </c>
      <c r="I328" s="115">
        <f>IF(C328="","",IFERROR(D328/(E328+(E328=0))-1,0))</f>
        <v/>
      </c>
      <c r="J328" s="117">
        <f>IF(C328="","",IF(ABS(I328)&gt;AYARLAR!$C$14,"RİSKLİ","NORMAL"))</f>
        <v/>
      </c>
      <c r="K328" s="115">
        <f>IF(G328="","",IFERROR(G328/MOTOR!$B$20,0))</f>
        <v/>
      </c>
      <c r="L328" s="117">
        <f>IF(C328="","",IF(F328="","EKSİK","TAM"))</f>
        <v/>
      </c>
      <c r="M328" s="118" t="n"/>
    </row>
    <row r="329" ht="15" customHeight="1" s="64">
      <c r="A329" s="118" t="n"/>
      <c r="B329" s="118" t="n"/>
      <c r="C329" s="118" t="n"/>
      <c r="D329" s="118" t="n"/>
      <c r="E329" s="118" t="n"/>
      <c r="F329" s="118" t="n"/>
      <c r="G329" s="120">
        <f>IF(C329="","",C329*D329)</f>
        <v/>
      </c>
      <c r="H329" s="120">
        <f>IF(C329="","",C329*E329)</f>
        <v/>
      </c>
      <c r="I329" s="115">
        <f>IF(C329="","",IFERROR(D329/(E329+(E329=0))-1,0))</f>
        <v/>
      </c>
      <c r="J329" s="117">
        <f>IF(C329="","",IF(ABS(I329)&gt;AYARLAR!$C$14,"RİSKLİ","NORMAL"))</f>
        <v/>
      </c>
      <c r="K329" s="115">
        <f>IF(G329="","",IFERROR(G329/MOTOR!$B$20,0))</f>
        <v/>
      </c>
      <c r="L329" s="117">
        <f>IF(C329="","",IF(F329="","EKSİK","TAM"))</f>
        <v/>
      </c>
      <c r="M329" s="118" t="n"/>
    </row>
    <row r="330" ht="15" customHeight="1" s="64">
      <c r="A330" s="118" t="n"/>
      <c r="B330" s="118" t="n"/>
      <c r="C330" s="118" t="n"/>
      <c r="D330" s="118" t="n"/>
      <c r="E330" s="118" t="n"/>
      <c r="F330" s="118" t="n"/>
      <c r="G330" s="120">
        <f>IF(C330="","",C330*D330)</f>
        <v/>
      </c>
      <c r="H330" s="120">
        <f>IF(C330="","",C330*E330)</f>
        <v/>
      </c>
      <c r="I330" s="115">
        <f>IF(C330="","",IFERROR(D330/(E330+(E330=0))-1,0))</f>
        <v/>
      </c>
      <c r="J330" s="117">
        <f>IF(C330="","",IF(ABS(I330)&gt;AYARLAR!$C$14,"RİSKLİ","NORMAL"))</f>
        <v/>
      </c>
      <c r="K330" s="115">
        <f>IF(G330="","",IFERROR(G330/MOTOR!$B$20,0))</f>
        <v/>
      </c>
      <c r="L330" s="117">
        <f>IF(C330="","",IF(F330="","EKSİK","TAM"))</f>
        <v/>
      </c>
      <c r="M330" s="118" t="n"/>
    </row>
    <row r="331" ht="15" customHeight="1" s="64">
      <c r="A331" s="118" t="n"/>
      <c r="B331" s="118" t="n"/>
      <c r="C331" s="118" t="n"/>
      <c r="D331" s="118" t="n"/>
      <c r="E331" s="118" t="n"/>
      <c r="F331" s="118" t="n"/>
      <c r="G331" s="120">
        <f>IF(C331="","",C331*D331)</f>
        <v/>
      </c>
      <c r="H331" s="120">
        <f>IF(C331="","",C331*E331)</f>
        <v/>
      </c>
      <c r="I331" s="115">
        <f>IF(C331="","",IFERROR(D331/(E331+(E331=0))-1,0))</f>
        <v/>
      </c>
      <c r="J331" s="117">
        <f>IF(C331="","",IF(ABS(I331)&gt;AYARLAR!$C$14,"RİSKLİ","NORMAL"))</f>
        <v/>
      </c>
      <c r="K331" s="115">
        <f>IF(G331="","",IFERROR(G331/MOTOR!$B$20,0))</f>
        <v/>
      </c>
      <c r="L331" s="117">
        <f>IF(C331="","",IF(F331="","EKSİK","TAM"))</f>
        <v/>
      </c>
      <c r="M331" s="118" t="n"/>
    </row>
    <row r="332" ht="15" customHeight="1" s="64">
      <c r="A332" s="118" t="n"/>
      <c r="B332" s="118" t="n"/>
      <c r="C332" s="118" t="n"/>
      <c r="D332" s="118" t="n"/>
      <c r="E332" s="118" t="n"/>
      <c r="F332" s="118" t="n"/>
      <c r="G332" s="120">
        <f>IF(C332="","",C332*D332)</f>
        <v/>
      </c>
      <c r="H332" s="120">
        <f>IF(C332="","",C332*E332)</f>
        <v/>
      </c>
      <c r="I332" s="115">
        <f>IF(C332="","",IFERROR(D332/(E332+(E332=0))-1,0))</f>
        <v/>
      </c>
      <c r="J332" s="117">
        <f>IF(C332="","",IF(ABS(I332)&gt;AYARLAR!$C$14,"RİSKLİ","NORMAL"))</f>
        <v/>
      </c>
      <c r="K332" s="115">
        <f>IF(G332="","",IFERROR(G332/MOTOR!$B$20,0))</f>
        <v/>
      </c>
      <c r="L332" s="117">
        <f>IF(C332="","",IF(F332="","EKSİK","TAM"))</f>
        <v/>
      </c>
      <c r="M332" s="118" t="n"/>
    </row>
    <row r="333" ht="15" customHeight="1" s="64">
      <c r="A333" s="118" t="n"/>
      <c r="B333" s="118" t="n"/>
      <c r="C333" s="118" t="n"/>
      <c r="D333" s="118" t="n"/>
      <c r="E333" s="118" t="n"/>
      <c r="F333" s="118" t="n"/>
      <c r="G333" s="120">
        <f>IF(C333="","",C333*D333)</f>
        <v/>
      </c>
      <c r="H333" s="120">
        <f>IF(C333="","",C333*E333)</f>
        <v/>
      </c>
      <c r="I333" s="115">
        <f>IF(C333="","",IFERROR(D333/(E333+(E333=0))-1,0))</f>
        <v/>
      </c>
      <c r="J333" s="117">
        <f>IF(C333="","",IF(ABS(I333)&gt;AYARLAR!$C$14,"RİSKLİ","NORMAL"))</f>
        <v/>
      </c>
      <c r="K333" s="115">
        <f>IF(G333="","",IFERROR(G333/MOTOR!$B$20,0))</f>
        <v/>
      </c>
      <c r="L333" s="117">
        <f>IF(C333="","",IF(F333="","EKSİK","TAM"))</f>
        <v/>
      </c>
      <c r="M333" s="118" t="n"/>
    </row>
    <row r="334" ht="15" customHeight="1" s="64">
      <c r="A334" s="118" t="n"/>
      <c r="B334" s="118" t="n"/>
      <c r="C334" s="118" t="n"/>
      <c r="D334" s="118" t="n"/>
      <c r="E334" s="118" t="n"/>
      <c r="F334" s="118" t="n"/>
      <c r="G334" s="120">
        <f>IF(C334="","",C334*D334)</f>
        <v/>
      </c>
      <c r="H334" s="120">
        <f>IF(C334="","",C334*E334)</f>
        <v/>
      </c>
      <c r="I334" s="115">
        <f>IF(C334="","",IFERROR(D334/(E334+(E334=0))-1,0))</f>
        <v/>
      </c>
      <c r="J334" s="117">
        <f>IF(C334="","",IF(ABS(I334)&gt;AYARLAR!$C$14,"RİSKLİ","NORMAL"))</f>
        <v/>
      </c>
      <c r="K334" s="115">
        <f>IF(G334="","",IFERROR(G334/MOTOR!$B$20,0))</f>
        <v/>
      </c>
      <c r="L334" s="117">
        <f>IF(C334="","",IF(F334="","EKSİK","TAM"))</f>
        <v/>
      </c>
      <c r="M334" s="118" t="n"/>
    </row>
    <row r="335" ht="15" customHeight="1" s="64">
      <c r="A335" s="118" t="n"/>
      <c r="B335" s="118" t="n"/>
      <c r="C335" s="118" t="n"/>
      <c r="D335" s="118" t="n"/>
      <c r="E335" s="118" t="n"/>
      <c r="F335" s="118" t="n"/>
      <c r="G335" s="120">
        <f>IF(C335="","",C335*D335)</f>
        <v/>
      </c>
      <c r="H335" s="120">
        <f>IF(C335="","",C335*E335)</f>
        <v/>
      </c>
      <c r="I335" s="115">
        <f>IF(C335="","",IFERROR(D335/(E335+(E335=0))-1,0))</f>
        <v/>
      </c>
      <c r="J335" s="117">
        <f>IF(C335="","",IF(ABS(I335)&gt;AYARLAR!$C$14,"RİSKLİ","NORMAL"))</f>
        <v/>
      </c>
      <c r="K335" s="115">
        <f>IF(G335="","",IFERROR(G335/MOTOR!$B$20,0))</f>
        <v/>
      </c>
      <c r="L335" s="117">
        <f>IF(C335="","",IF(F335="","EKSİK","TAM"))</f>
        <v/>
      </c>
      <c r="M335" s="118" t="n"/>
    </row>
    <row r="336" ht="15" customHeight="1" s="64">
      <c r="A336" s="118" t="n"/>
      <c r="B336" s="118" t="n"/>
      <c r="C336" s="118" t="n"/>
      <c r="D336" s="118" t="n"/>
      <c r="E336" s="118" t="n"/>
      <c r="F336" s="118" t="n"/>
      <c r="G336" s="120">
        <f>IF(C336="","",C336*D336)</f>
        <v/>
      </c>
      <c r="H336" s="120">
        <f>IF(C336="","",C336*E336)</f>
        <v/>
      </c>
      <c r="I336" s="115">
        <f>IF(C336="","",IFERROR(D336/(E336+(E336=0))-1,0))</f>
        <v/>
      </c>
      <c r="J336" s="117">
        <f>IF(C336="","",IF(ABS(I336)&gt;AYARLAR!$C$14,"RİSKLİ","NORMAL"))</f>
        <v/>
      </c>
      <c r="K336" s="115">
        <f>IF(G336="","",IFERROR(G336/MOTOR!$B$20,0))</f>
        <v/>
      </c>
      <c r="L336" s="117">
        <f>IF(C336="","",IF(F336="","EKSİK","TAM"))</f>
        <v/>
      </c>
      <c r="M336" s="118" t="n"/>
    </row>
    <row r="337" ht="15" customHeight="1" s="64">
      <c r="A337" s="118" t="n"/>
      <c r="B337" s="118" t="n"/>
      <c r="C337" s="118" t="n"/>
      <c r="D337" s="118" t="n"/>
      <c r="E337" s="118" t="n"/>
      <c r="F337" s="118" t="n"/>
      <c r="G337" s="120">
        <f>IF(C337="","",C337*D337)</f>
        <v/>
      </c>
      <c r="H337" s="120">
        <f>IF(C337="","",C337*E337)</f>
        <v/>
      </c>
      <c r="I337" s="115">
        <f>IF(C337="","",IFERROR(D337/(E337+(E337=0))-1,0))</f>
        <v/>
      </c>
      <c r="J337" s="117">
        <f>IF(C337="","",IF(ABS(I337)&gt;AYARLAR!$C$14,"RİSKLİ","NORMAL"))</f>
        <v/>
      </c>
      <c r="K337" s="115">
        <f>IF(G337="","",IFERROR(G337/MOTOR!$B$20,0))</f>
        <v/>
      </c>
      <c r="L337" s="117">
        <f>IF(C337="","",IF(F337="","EKSİK","TAM"))</f>
        <v/>
      </c>
      <c r="M337" s="118" t="n"/>
    </row>
    <row r="338" ht="15" customHeight="1" s="64">
      <c r="A338" s="118" t="n"/>
      <c r="B338" s="118" t="n"/>
      <c r="C338" s="118" t="n"/>
      <c r="D338" s="118" t="n"/>
      <c r="E338" s="118" t="n"/>
      <c r="F338" s="118" t="n"/>
      <c r="G338" s="120">
        <f>IF(C338="","",C338*D338)</f>
        <v/>
      </c>
      <c r="H338" s="120">
        <f>IF(C338="","",C338*E338)</f>
        <v/>
      </c>
      <c r="I338" s="115">
        <f>IF(C338="","",IFERROR(D338/(E338+(E338=0))-1,0))</f>
        <v/>
      </c>
      <c r="J338" s="117">
        <f>IF(C338="","",IF(ABS(I338)&gt;AYARLAR!$C$14,"RİSKLİ","NORMAL"))</f>
        <v/>
      </c>
      <c r="K338" s="115">
        <f>IF(G338="","",IFERROR(G338/MOTOR!$B$20,0))</f>
        <v/>
      </c>
      <c r="L338" s="117">
        <f>IF(C338="","",IF(F338="","EKSİK","TAM"))</f>
        <v/>
      </c>
      <c r="M338" s="118" t="n"/>
    </row>
    <row r="339" ht="15" customHeight="1" s="64">
      <c r="A339" s="118" t="n"/>
      <c r="B339" s="118" t="n"/>
      <c r="C339" s="118" t="n"/>
      <c r="D339" s="118" t="n"/>
      <c r="E339" s="118" t="n"/>
      <c r="F339" s="118" t="n"/>
      <c r="G339" s="120">
        <f>IF(C339="","",C339*D339)</f>
        <v/>
      </c>
      <c r="H339" s="120">
        <f>IF(C339="","",C339*E339)</f>
        <v/>
      </c>
      <c r="I339" s="115">
        <f>IF(C339="","",IFERROR(D339/(E339+(E339=0))-1,0))</f>
        <v/>
      </c>
      <c r="J339" s="117">
        <f>IF(C339="","",IF(ABS(I339)&gt;AYARLAR!$C$14,"RİSKLİ","NORMAL"))</f>
        <v/>
      </c>
      <c r="K339" s="115">
        <f>IF(G339="","",IFERROR(G339/MOTOR!$B$20,0))</f>
        <v/>
      </c>
      <c r="L339" s="117">
        <f>IF(C339="","",IF(F339="","EKSİK","TAM"))</f>
        <v/>
      </c>
      <c r="M339" s="118" t="n"/>
    </row>
    <row r="340" ht="15" customHeight="1" s="64">
      <c r="A340" s="118" t="n"/>
      <c r="B340" s="118" t="n"/>
      <c r="C340" s="118" t="n"/>
      <c r="D340" s="118" t="n"/>
      <c r="E340" s="118" t="n"/>
      <c r="F340" s="118" t="n"/>
      <c r="G340" s="120">
        <f>IF(C340="","",C340*D340)</f>
        <v/>
      </c>
      <c r="H340" s="120">
        <f>IF(C340="","",C340*E340)</f>
        <v/>
      </c>
      <c r="I340" s="115">
        <f>IF(C340="","",IFERROR(D340/(E340+(E340=0))-1,0))</f>
        <v/>
      </c>
      <c r="J340" s="117">
        <f>IF(C340="","",IF(ABS(I340)&gt;AYARLAR!$C$14,"RİSKLİ","NORMAL"))</f>
        <v/>
      </c>
      <c r="K340" s="115">
        <f>IF(G340="","",IFERROR(G340/MOTOR!$B$20,0))</f>
        <v/>
      </c>
      <c r="L340" s="117">
        <f>IF(C340="","",IF(F340="","EKSİK","TAM"))</f>
        <v/>
      </c>
      <c r="M340" s="118" t="n"/>
    </row>
    <row r="341" ht="15" customHeight="1" s="64">
      <c r="A341" s="118" t="n"/>
      <c r="B341" s="118" t="n"/>
      <c r="C341" s="118" t="n"/>
      <c r="D341" s="118" t="n"/>
      <c r="E341" s="118" t="n"/>
      <c r="F341" s="118" t="n"/>
      <c r="G341" s="120">
        <f>IF(C341="","",C341*D341)</f>
        <v/>
      </c>
      <c r="H341" s="120">
        <f>IF(C341="","",C341*E341)</f>
        <v/>
      </c>
      <c r="I341" s="115">
        <f>IF(C341="","",IFERROR(D341/(E341+(E341=0))-1,0))</f>
        <v/>
      </c>
      <c r="J341" s="117">
        <f>IF(C341="","",IF(ABS(I341)&gt;AYARLAR!$C$14,"RİSKLİ","NORMAL"))</f>
        <v/>
      </c>
      <c r="K341" s="115">
        <f>IF(G341="","",IFERROR(G341/MOTOR!$B$20,0))</f>
        <v/>
      </c>
      <c r="L341" s="117">
        <f>IF(C341="","",IF(F341="","EKSİK","TAM"))</f>
        <v/>
      </c>
      <c r="M341" s="118" t="n"/>
    </row>
    <row r="342" ht="15" customHeight="1" s="64">
      <c r="A342" s="118" t="n"/>
      <c r="B342" s="118" t="n"/>
      <c r="C342" s="118" t="n"/>
      <c r="D342" s="118" t="n"/>
      <c r="E342" s="118" t="n"/>
      <c r="F342" s="118" t="n"/>
      <c r="G342" s="120">
        <f>IF(C342="","",C342*D342)</f>
        <v/>
      </c>
      <c r="H342" s="120">
        <f>IF(C342="","",C342*E342)</f>
        <v/>
      </c>
      <c r="I342" s="115">
        <f>IF(C342="","",IFERROR(D342/(E342+(E342=0))-1,0))</f>
        <v/>
      </c>
      <c r="J342" s="117">
        <f>IF(C342="","",IF(ABS(I342)&gt;AYARLAR!$C$14,"RİSKLİ","NORMAL"))</f>
        <v/>
      </c>
      <c r="K342" s="115">
        <f>IF(G342="","",IFERROR(G342/MOTOR!$B$20,0))</f>
        <v/>
      </c>
      <c r="L342" s="117">
        <f>IF(C342="","",IF(F342="","EKSİK","TAM"))</f>
        <v/>
      </c>
      <c r="M342" s="118" t="n"/>
    </row>
    <row r="343" ht="15" customHeight="1" s="64">
      <c r="A343" s="118" t="n"/>
      <c r="B343" s="118" t="n"/>
      <c r="C343" s="118" t="n"/>
      <c r="D343" s="118" t="n"/>
      <c r="E343" s="118" t="n"/>
      <c r="F343" s="118" t="n"/>
      <c r="G343" s="120">
        <f>IF(C343="","",C343*D343)</f>
        <v/>
      </c>
      <c r="H343" s="120">
        <f>IF(C343="","",C343*E343)</f>
        <v/>
      </c>
      <c r="I343" s="115">
        <f>IF(C343="","",IFERROR(D343/(E343+(E343=0))-1,0))</f>
        <v/>
      </c>
      <c r="J343" s="117">
        <f>IF(C343="","",IF(ABS(I343)&gt;AYARLAR!$C$14,"RİSKLİ","NORMAL"))</f>
        <v/>
      </c>
      <c r="K343" s="115">
        <f>IF(G343="","",IFERROR(G343/MOTOR!$B$20,0))</f>
        <v/>
      </c>
      <c r="L343" s="117">
        <f>IF(C343="","",IF(F343="","EKSİK","TAM"))</f>
        <v/>
      </c>
      <c r="M343" s="118" t="n"/>
    </row>
    <row r="344" ht="15" customHeight="1" s="64">
      <c r="A344" s="118" t="n"/>
      <c r="B344" s="118" t="n"/>
      <c r="C344" s="118" t="n"/>
      <c r="D344" s="118" t="n"/>
      <c r="E344" s="118" t="n"/>
      <c r="F344" s="118" t="n"/>
      <c r="G344" s="120">
        <f>IF(C344="","",C344*D344)</f>
        <v/>
      </c>
      <c r="H344" s="120">
        <f>IF(C344="","",C344*E344)</f>
        <v/>
      </c>
      <c r="I344" s="115">
        <f>IF(C344="","",IFERROR(D344/(E344+(E344=0))-1,0))</f>
        <v/>
      </c>
      <c r="J344" s="117">
        <f>IF(C344="","",IF(ABS(I344)&gt;AYARLAR!$C$14,"RİSKLİ","NORMAL"))</f>
        <v/>
      </c>
      <c r="K344" s="115">
        <f>IF(G344="","",IFERROR(G344/MOTOR!$B$20,0))</f>
        <v/>
      </c>
      <c r="L344" s="117">
        <f>IF(C344="","",IF(F344="","EKSİK","TAM"))</f>
        <v/>
      </c>
      <c r="M344" s="118" t="n"/>
    </row>
    <row r="345" ht="15" customHeight="1" s="64">
      <c r="A345" s="118" t="n"/>
      <c r="B345" s="118" t="n"/>
      <c r="C345" s="118" t="n"/>
      <c r="D345" s="118" t="n"/>
      <c r="E345" s="118" t="n"/>
      <c r="F345" s="118" t="n"/>
      <c r="G345" s="120">
        <f>IF(C345="","",C345*D345)</f>
        <v/>
      </c>
      <c r="H345" s="120">
        <f>IF(C345="","",C345*E345)</f>
        <v/>
      </c>
      <c r="I345" s="115">
        <f>IF(C345="","",IFERROR(D345/(E345+(E345=0))-1,0))</f>
        <v/>
      </c>
      <c r="J345" s="117">
        <f>IF(C345="","",IF(ABS(I345)&gt;AYARLAR!$C$14,"RİSKLİ","NORMAL"))</f>
        <v/>
      </c>
      <c r="K345" s="115">
        <f>IF(G345="","",IFERROR(G345/MOTOR!$B$20,0))</f>
        <v/>
      </c>
      <c r="L345" s="117">
        <f>IF(C345="","",IF(F345="","EKSİK","TAM"))</f>
        <v/>
      </c>
      <c r="M345" s="118" t="n"/>
    </row>
    <row r="346" ht="15" customHeight="1" s="64">
      <c r="A346" s="118" t="n"/>
      <c r="B346" s="118" t="n"/>
      <c r="C346" s="118" t="n"/>
      <c r="D346" s="118" t="n"/>
      <c r="E346" s="118" t="n"/>
      <c r="F346" s="118" t="n"/>
      <c r="G346" s="120">
        <f>IF(C346="","",C346*D346)</f>
        <v/>
      </c>
      <c r="H346" s="120">
        <f>IF(C346="","",C346*E346)</f>
        <v/>
      </c>
      <c r="I346" s="115">
        <f>IF(C346="","",IFERROR(D346/(E346+(E346=0))-1,0))</f>
        <v/>
      </c>
      <c r="J346" s="117">
        <f>IF(C346="","",IF(ABS(I346)&gt;AYARLAR!$C$14,"RİSKLİ","NORMAL"))</f>
        <v/>
      </c>
      <c r="K346" s="115">
        <f>IF(G346="","",IFERROR(G346/MOTOR!$B$20,0))</f>
        <v/>
      </c>
      <c r="L346" s="117">
        <f>IF(C346="","",IF(F346="","EKSİK","TAM"))</f>
        <v/>
      </c>
      <c r="M346" s="118" t="n"/>
    </row>
    <row r="347" ht="15" customHeight="1" s="64">
      <c r="A347" s="118" t="n"/>
      <c r="B347" s="118" t="n"/>
      <c r="C347" s="118" t="n"/>
      <c r="D347" s="118" t="n"/>
      <c r="E347" s="118" t="n"/>
      <c r="F347" s="118" t="n"/>
      <c r="G347" s="120">
        <f>IF(C347="","",C347*D347)</f>
        <v/>
      </c>
      <c r="H347" s="120">
        <f>IF(C347="","",C347*E347)</f>
        <v/>
      </c>
      <c r="I347" s="115">
        <f>IF(C347="","",IFERROR(D347/(E347+(E347=0))-1,0))</f>
        <v/>
      </c>
      <c r="J347" s="117">
        <f>IF(C347="","",IF(ABS(I347)&gt;AYARLAR!$C$14,"RİSKLİ","NORMAL"))</f>
        <v/>
      </c>
      <c r="K347" s="115">
        <f>IF(G347="","",IFERROR(G347/MOTOR!$B$20,0))</f>
        <v/>
      </c>
      <c r="L347" s="117">
        <f>IF(C347="","",IF(F347="","EKSİK","TAM"))</f>
        <v/>
      </c>
      <c r="M347" s="118" t="n"/>
    </row>
    <row r="348" ht="15" customHeight="1" s="64">
      <c r="A348" s="118" t="n"/>
      <c r="B348" s="118" t="n"/>
      <c r="C348" s="118" t="n"/>
      <c r="D348" s="118" t="n"/>
      <c r="E348" s="118" t="n"/>
      <c r="F348" s="118" t="n"/>
      <c r="G348" s="120">
        <f>IF(C348="","",C348*D348)</f>
        <v/>
      </c>
      <c r="H348" s="120">
        <f>IF(C348="","",C348*E348)</f>
        <v/>
      </c>
      <c r="I348" s="115">
        <f>IF(C348="","",IFERROR(D348/(E348+(E348=0))-1,0))</f>
        <v/>
      </c>
      <c r="J348" s="117">
        <f>IF(C348="","",IF(ABS(I348)&gt;AYARLAR!$C$14,"RİSKLİ","NORMAL"))</f>
        <v/>
      </c>
      <c r="K348" s="115">
        <f>IF(G348="","",IFERROR(G348/MOTOR!$B$20,0))</f>
        <v/>
      </c>
      <c r="L348" s="117">
        <f>IF(C348="","",IF(F348="","EKSİK","TAM"))</f>
        <v/>
      </c>
      <c r="M348" s="118" t="n"/>
    </row>
    <row r="349" ht="15" customHeight="1" s="64">
      <c r="A349" s="118" t="n"/>
      <c r="B349" s="118" t="n"/>
      <c r="C349" s="118" t="n"/>
      <c r="D349" s="118" t="n"/>
      <c r="E349" s="118" t="n"/>
      <c r="F349" s="118" t="n"/>
      <c r="G349" s="120">
        <f>IF(C349="","",C349*D349)</f>
        <v/>
      </c>
      <c r="H349" s="120">
        <f>IF(C349="","",C349*E349)</f>
        <v/>
      </c>
      <c r="I349" s="115">
        <f>IF(C349="","",IFERROR(D349/(E349+(E349=0))-1,0))</f>
        <v/>
      </c>
      <c r="J349" s="117">
        <f>IF(C349="","",IF(ABS(I349)&gt;AYARLAR!$C$14,"RİSKLİ","NORMAL"))</f>
        <v/>
      </c>
      <c r="K349" s="115">
        <f>IF(G349="","",IFERROR(G349/MOTOR!$B$20,0))</f>
        <v/>
      </c>
      <c r="L349" s="117">
        <f>IF(C349="","",IF(F349="","EKSİK","TAM"))</f>
        <v/>
      </c>
      <c r="M349" s="118" t="n"/>
    </row>
    <row r="350" ht="15" customHeight="1" s="64">
      <c r="A350" s="118" t="n"/>
      <c r="B350" s="118" t="n"/>
      <c r="C350" s="118" t="n"/>
      <c r="D350" s="118" t="n"/>
      <c r="E350" s="118" t="n"/>
      <c r="F350" s="118" t="n"/>
      <c r="G350" s="120">
        <f>IF(C350="","",C350*D350)</f>
        <v/>
      </c>
      <c r="H350" s="120">
        <f>IF(C350="","",C350*E350)</f>
        <v/>
      </c>
      <c r="I350" s="115">
        <f>IF(C350="","",IFERROR(D350/(E350+(E350=0))-1,0))</f>
        <v/>
      </c>
      <c r="J350" s="117">
        <f>IF(C350="","",IF(ABS(I350)&gt;AYARLAR!$C$14,"RİSKLİ","NORMAL"))</f>
        <v/>
      </c>
      <c r="K350" s="115">
        <f>IF(G350="","",IFERROR(G350/MOTOR!$B$20,0))</f>
        <v/>
      </c>
      <c r="L350" s="117">
        <f>IF(C350="","",IF(F350="","EKSİK","TAM"))</f>
        <v/>
      </c>
      <c r="M350" s="118" t="n"/>
    </row>
    <row r="351" ht="15" customHeight="1" s="64">
      <c r="A351" s="118" t="n"/>
      <c r="B351" s="118" t="n"/>
      <c r="C351" s="118" t="n"/>
      <c r="D351" s="118" t="n"/>
      <c r="E351" s="118" t="n"/>
      <c r="F351" s="118" t="n"/>
      <c r="G351" s="120">
        <f>IF(C351="","",C351*D351)</f>
        <v/>
      </c>
      <c r="H351" s="120">
        <f>IF(C351="","",C351*E351)</f>
        <v/>
      </c>
      <c r="I351" s="115">
        <f>IF(C351="","",IFERROR(D351/(E351+(E351=0))-1,0))</f>
        <v/>
      </c>
      <c r="J351" s="117">
        <f>IF(C351="","",IF(ABS(I351)&gt;AYARLAR!$C$14,"RİSKLİ","NORMAL"))</f>
        <v/>
      </c>
      <c r="K351" s="115">
        <f>IF(G351="","",IFERROR(G351/MOTOR!$B$20,0))</f>
        <v/>
      </c>
      <c r="L351" s="117">
        <f>IF(C351="","",IF(F351="","EKSİK","TAM"))</f>
        <v/>
      </c>
      <c r="M351" s="118" t="n"/>
    </row>
    <row r="352" ht="15" customHeight="1" s="64">
      <c r="A352" s="118" t="n"/>
      <c r="B352" s="118" t="n"/>
      <c r="C352" s="118" t="n"/>
      <c r="D352" s="118" t="n"/>
      <c r="E352" s="118" t="n"/>
      <c r="F352" s="118" t="n"/>
      <c r="G352" s="120">
        <f>IF(C352="","",C352*D352)</f>
        <v/>
      </c>
      <c r="H352" s="120">
        <f>IF(C352="","",C352*E352)</f>
        <v/>
      </c>
      <c r="I352" s="115">
        <f>IF(C352="","",IFERROR(D352/(E352+(E352=0))-1,0))</f>
        <v/>
      </c>
      <c r="J352" s="117">
        <f>IF(C352="","",IF(ABS(I352)&gt;AYARLAR!$C$14,"RİSKLİ","NORMAL"))</f>
        <v/>
      </c>
      <c r="K352" s="115">
        <f>IF(G352="","",IFERROR(G352/MOTOR!$B$20,0))</f>
        <v/>
      </c>
      <c r="L352" s="117">
        <f>IF(C352="","",IF(F352="","EKSİK","TAM"))</f>
        <v/>
      </c>
      <c r="M352" s="118" t="n"/>
    </row>
    <row r="353" ht="15" customHeight="1" s="64">
      <c r="A353" s="118" t="n"/>
      <c r="B353" s="118" t="n"/>
      <c r="C353" s="118" t="n"/>
      <c r="D353" s="118" t="n"/>
      <c r="E353" s="118" t="n"/>
      <c r="F353" s="118" t="n"/>
      <c r="G353" s="120">
        <f>IF(C353="","",C353*D353)</f>
        <v/>
      </c>
      <c r="H353" s="120">
        <f>IF(C353="","",C353*E353)</f>
        <v/>
      </c>
      <c r="I353" s="115">
        <f>IF(C353="","",IFERROR(D353/(E353+(E353=0))-1,0))</f>
        <v/>
      </c>
      <c r="J353" s="117">
        <f>IF(C353="","",IF(ABS(I353)&gt;AYARLAR!$C$14,"RİSKLİ","NORMAL"))</f>
        <v/>
      </c>
      <c r="K353" s="115">
        <f>IF(G353="","",IFERROR(G353/MOTOR!$B$20,0))</f>
        <v/>
      </c>
      <c r="L353" s="117">
        <f>IF(C353="","",IF(F353="","EKSİK","TAM"))</f>
        <v/>
      </c>
      <c r="M353" s="118" t="n"/>
    </row>
    <row r="354" ht="15" customHeight="1" s="64">
      <c r="A354" s="118" t="n"/>
      <c r="B354" s="118" t="n"/>
      <c r="C354" s="118" t="n"/>
      <c r="D354" s="118" t="n"/>
      <c r="E354" s="118" t="n"/>
      <c r="F354" s="118" t="n"/>
      <c r="G354" s="120">
        <f>IF(C354="","",C354*D354)</f>
        <v/>
      </c>
      <c r="H354" s="120">
        <f>IF(C354="","",C354*E354)</f>
        <v/>
      </c>
      <c r="I354" s="115">
        <f>IF(C354="","",IFERROR(D354/(E354+(E354=0))-1,0))</f>
        <v/>
      </c>
      <c r="J354" s="117">
        <f>IF(C354="","",IF(ABS(I354)&gt;AYARLAR!$C$14,"RİSKLİ","NORMAL"))</f>
        <v/>
      </c>
      <c r="K354" s="115">
        <f>IF(G354="","",IFERROR(G354/MOTOR!$B$20,0))</f>
        <v/>
      </c>
      <c r="L354" s="117">
        <f>IF(C354="","",IF(F354="","EKSİK","TAM"))</f>
        <v/>
      </c>
      <c r="M354" s="118" t="n"/>
    </row>
    <row r="355" ht="15" customHeight="1" s="64">
      <c r="A355" s="118" t="n"/>
      <c r="B355" s="118" t="n"/>
      <c r="C355" s="118" t="n"/>
      <c r="D355" s="118" t="n"/>
      <c r="E355" s="118" t="n"/>
      <c r="F355" s="118" t="n"/>
      <c r="G355" s="120">
        <f>IF(C355="","",C355*D355)</f>
        <v/>
      </c>
      <c r="H355" s="120">
        <f>IF(C355="","",C355*E355)</f>
        <v/>
      </c>
      <c r="I355" s="115">
        <f>IF(C355="","",IFERROR(D355/(E355+(E355=0))-1,0))</f>
        <v/>
      </c>
      <c r="J355" s="117">
        <f>IF(C355="","",IF(ABS(I355)&gt;AYARLAR!$C$14,"RİSKLİ","NORMAL"))</f>
        <v/>
      </c>
      <c r="K355" s="115">
        <f>IF(G355="","",IFERROR(G355/MOTOR!$B$20,0))</f>
        <v/>
      </c>
      <c r="L355" s="117">
        <f>IF(C355="","",IF(F355="","EKSİK","TAM"))</f>
        <v/>
      </c>
      <c r="M355" s="118" t="n"/>
    </row>
    <row r="356" ht="15" customHeight="1" s="64">
      <c r="A356" s="118" t="n"/>
      <c r="B356" s="118" t="n"/>
      <c r="C356" s="118" t="n"/>
      <c r="D356" s="118" t="n"/>
      <c r="E356" s="118" t="n"/>
      <c r="F356" s="118" t="n"/>
      <c r="G356" s="120">
        <f>IF(C356="","",C356*D356)</f>
        <v/>
      </c>
      <c r="H356" s="120">
        <f>IF(C356="","",C356*E356)</f>
        <v/>
      </c>
      <c r="I356" s="115">
        <f>IF(C356="","",IFERROR(D356/(E356+(E356=0))-1,0))</f>
        <v/>
      </c>
      <c r="J356" s="117">
        <f>IF(C356="","",IF(ABS(I356)&gt;AYARLAR!$C$14,"RİSKLİ","NORMAL"))</f>
        <v/>
      </c>
      <c r="K356" s="115">
        <f>IF(G356="","",IFERROR(G356/MOTOR!$B$20,0))</f>
        <v/>
      </c>
      <c r="L356" s="117">
        <f>IF(C356="","",IF(F356="","EKSİK","TAM"))</f>
        <v/>
      </c>
      <c r="M356" s="118" t="n"/>
    </row>
    <row r="357" ht="15" customHeight="1" s="64">
      <c r="A357" s="118" t="n"/>
      <c r="B357" s="118" t="n"/>
      <c r="C357" s="118" t="n"/>
      <c r="D357" s="118" t="n"/>
      <c r="E357" s="118" t="n"/>
      <c r="F357" s="118" t="n"/>
      <c r="G357" s="120">
        <f>IF(C357="","",C357*D357)</f>
        <v/>
      </c>
      <c r="H357" s="120">
        <f>IF(C357="","",C357*E357)</f>
        <v/>
      </c>
      <c r="I357" s="115">
        <f>IF(C357="","",IFERROR(D357/(E357+(E357=0))-1,0))</f>
        <v/>
      </c>
      <c r="J357" s="117">
        <f>IF(C357="","",IF(ABS(I357)&gt;AYARLAR!$C$14,"RİSKLİ","NORMAL"))</f>
        <v/>
      </c>
      <c r="K357" s="115">
        <f>IF(G357="","",IFERROR(G357/MOTOR!$B$20,0))</f>
        <v/>
      </c>
      <c r="L357" s="117">
        <f>IF(C357="","",IF(F357="","EKSİK","TAM"))</f>
        <v/>
      </c>
      <c r="M357" s="118" t="n"/>
    </row>
    <row r="358" ht="15" customHeight="1" s="64">
      <c r="A358" s="118" t="n"/>
      <c r="B358" s="118" t="n"/>
      <c r="C358" s="118" t="n"/>
      <c r="D358" s="118" t="n"/>
      <c r="E358" s="118" t="n"/>
      <c r="F358" s="118" t="n"/>
      <c r="G358" s="120">
        <f>IF(C358="","",C358*D358)</f>
        <v/>
      </c>
      <c r="H358" s="120">
        <f>IF(C358="","",C358*E358)</f>
        <v/>
      </c>
      <c r="I358" s="115">
        <f>IF(C358="","",IFERROR(D358/(E358+(E358=0))-1,0))</f>
        <v/>
      </c>
      <c r="J358" s="117">
        <f>IF(C358="","",IF(ABS(I358)&gt;AYARLAR!$C$14,"RİSKLİ","NORMAL"))</f>
        <v/>
      </c>
      <c r="K358" s="115">
        <f>IF(G358="","",IFERROR(G358/MOTOR!$B$20,0))</f>
        <v/>
      </c>
      <c r="L358" s="117">
        <f>IF(C358="","",IF(F358="","EKSİK","TAM"))</f>
        <v/>
      </c>
      <c r="M358" s="118" t="n"/>
    </row>
    <row r="359" ht="15" customHeight="1" s="64">
      <c r="A359" s="118" t="n"/>
      <c r="B359" s="118" t="n"/>
      <c r="C359" s="118" t="n"/>
      <c r="D359" s="118" t="n"/>
      <c r="E359" s="118" t="n"/>
      <c r="F359" s="118" t="n"/>
      <c r="G359" s="120">
        <f>IF(C359="","",C359*D359)</f>
        <v/>
      </c>
      <c r="H359" s="120">
        <f>IF(C359="","",C359*E359)</f>
        <v/>
      </c>
      <c r="I359" s="115">
        <f>IF(C359="","",IFERROR(D359/(E359+(E359=0))-1,0))</f>
        <v/>
      </c>
      <c r="J359" s="117">
        <f>IF(C359="","",IF(ABS(I359)&gt;AYARLAR!$C$14,"RİSKLİ","NORMAL"))</f>
        <v/>
      </c>
      <c r="K359" s="115">
        <f>IF(G359="","",IFERROR(G359/MOTOR!$B$20,0))</f>
        <v/>
      </c>
      <c r="L359" s="117">
        <f>IF(C359="","",IF(F359="","EKSİK","TAM"))</f>
        <v/>
      </c>
      <c r="M359" s="118" t="n"/>
    </row>
    <row r="360" ht="15" customHeight="1" s="64">
      <c r="A360" s="118" t="n"/>
      <c r="B360" s="118" t="n"/>
      <c r="C360" s="118" t="n"/>
      <c r="D360" s="118" t="n"/>
      <c r="E360" s="118" t="n"/>
      <c r="F360" s="118" t="n"/>
      <c r="G360" s="120">
        <f>IF(C360="","",C360*D360)</f>
        <v/>
      </c>
      <c r="H360" s="120">
        <f>IF(C360="","",C360*E360)</f>
        <v/>
      </c>
      <c r="I360" s="115">
        <f>IF(C360="","",IFERROR(D360/(E360+(E360=0))-1,0))</f>
        <v/>
      </c>
      <c r="J360" s="117">
        <f>IF(C360="","",IF(ABS(I360)&gt;AYARLAR!$C$14,"RİSKLİ","NORMAL"))</f>
        <v/>
      </c>
      <c r="K360" s="115">
        <f>IF(G360="","",IFERROR(G360/MOTOR!$B$20,0))</f>
        <v/>
      </c>
      <c r="L360" s="117">
        <f>IF(C360="","",IF(F360="","EKSİK","TAM"))</f>
        <v/>
      </c>
      <c r="M360" s="118" t="n"/>
    </row>
    <row r="361" ht="15" customHeight="1" s="64">
      <c r="A361" s="118" t="n"/>
      <c r="B361" s="118" t="n"/>
      <c r="C361" s="118" t="n"/>
      <c r="D361" s="118" t="n"/>
      <c r="E361" s="118" t="n"/>
      <c r="F361" s="118" t="n"/>
      <c r="G361" s="120">
        <f>IF(C361="","",C361*D361)</f>
        <v/>
      </c>
      <c r="H361" s="120">
        <f>IF(C361="","",C361*E361)</f>
        <v/>
      </c>
      <c r="I361" s="115">
        <f>IF(C361="","",IFERROR(D361/(E361+(E361=0))-1,0))</f>
        <v/>
      </c>
      <c r="J361" s="117">
        <f>IF(C361="","",IF(ABS(I361)&gt;AYARLAR!$C$14,"RİSKLİ","NORMAL"))</f>
        <v/>
      </c>
      <c r="K361" s="115">
        <f>IF(G361="","",IFERROR(G361/MOTOR!$B$20,0))</f>
        <v/>
      </c>
      <c r="L361" s="117">
        <f>IF(C361="","",IF(F361="","EKSİK","TAM"))</f>
        <v/>
      </c>
      <c r="M361" s="118" t="n"/>
    </row>
    <row r="362" ht="15" customHeight="1" s="64">
      <c r="A362" s="118" t="n"/>
      <c r="B362" s="118" t="n"/>
      <c r="C362" s="118" t="n"/>
      <c r="D362" s="118" t="n"/>
      <c r="E362" s="118" t="n"/>
      <c r="F362" s="118" t="n"/>
      <c r="G362" s="120">
        <f>IF(C362="","",C362*D362)</f>
        <v/>
      </c>
      <c r="H362" s="120">
        <f>IF(C362="","",C362*E362)</f>
        <v/>
      </c>
      <c r="I362" s="115">
        <f>IF(C362="","",IFERROR(D362/(E362+(E362=0))-1,0))</f>
        <v/>
      </c>
      <c r="J362" s="117">
        <f>IF(C362="","",IF(ABS(I362)&gt;AYARLAR!$C$14,"RİSKLİ","NORMAL"))</f>
        <v/>
      </c>
      <c r="K362" s="115">
        <f>IF(G362="","",IFERROR(G362/MOTOR!$B$20,0))</f>
        <v/>
      </c>
      <c r="L362" s="117">
        <f>IF(C362="","",IF(F362="","EKSİK","TAM"))</f>
        <v/>
      </c>
      <c r="M362" s="118" t="n"/>
    </row>
    <row r="363" ht="15" customHeight="1" s="64">
      <c r="A363" s="118" t="n"/>
      <c r="B363" s="118" t="n"/>
      <c r="C363" s="118" t="n"/>
      <c r="D363" s="118" t="n"/>
      <c r="E363" s="118" t="n"/>
      <c r="F363" s="118" t="n"/>
      <c r="G363" s="120">
        <f>IF(C363="","",C363*D363)</f>
        <v/>
      </c>
      <c r="H363" s="120">
        <f>IF(C363="","",C363*E363)</f>
        <v/>
      </c>
      <c r="I363" s="115">
        <f>IF(C363="","",IFERROR(D363/(E363+(E363=0))-1,0))</f>
        <v/>
      </c>
      <c r="J363" s="117">
        <f>IF(C363="","",IF(ABS(I363)&gt;AYARLAR!$C$14,"RİSKLİ","NORMAL"))</f>
        <v/>
      </c>
      <c r="K363" s="115">
        <f>IF(G363="","",IFERROR(G363/MOTOR!$B$20,0))</f>
        <v/>
      </c>
      <c r="L363" s="117">
        <f>IF(C363="","",IF(F363="","EKSİK","TAM"))</f>
        <v/>
      </c>
      <c r="M363" s="118" t="n"/>
    </row>
    <row r="364" ht="15" customHeight="1" s="64">
      <c r="A364" s="118" t="n"/>
      <c r="B364" s="118" t="n"/>
      <c r="C364" s="118" t="n"/>
      <c r="D364" s="118" t="n"/>
      <c r="E364" s="118" t="n"/>
      <c r="F364" s="118" t="n"/>
      <c r="G364" s="120">
        <f>IF(C364="","",C364*D364)</f>
        <v/>
      </c>
      <c r="H364" s="120">
        <f>IF(C364="","",C364*E364)</f>
        <v/>
      </c>
      <c r="I364" s="115">
        <f>IF(C364="","",IFERROR(D364/(E364+(E364=0))-1,0))</f>
        <v/>
      </c>
      <c r="J364" s="117">
        <f>IF(C364="","",IF(ABS(I364)&gt;AYARLAR!$C$14,"RİSKLİ","NORMAL"))</f>
        <v/>
      </c>
      <c r="K364" s="115">
        <f>IF(G364="","",IFERROR(G364/MOTOR!$B$20,0))</f>
        <v/>
      </c>
      <c r="L364" s="117">
        <f>IF(C364="","",IF(F364="","EKSİK","TAM"))</f>
        <v/>
      </c>
      <c r="M364" s="118" t="n"/>
    </row>
    <row r="365" ht="15" customHeight="1" s="64">
      <c r="A365" s="118" t="n"/>
      <c r="B365" s="118" t="n"/>
      <c r="C365" s="118" t="n"/>
      <c r="D365" s="118" t="n"/>
      <c r="E365" s="118" t="n"/>
      <c r="F365" s="118" t="n"/>
      <c r="G365" s="120">
        <f>IF(C365="","",C365*D365)</f>
        <v/>
      </c>
      <c r="H365" s="120">
        <f>IF(C365="","",C365*E365)</f>
        <v/>
      </c>
      <c r="I365" s="115">
        <f>IF(C365="","",IFERROR(D365/(E365+(E365=0))-1,0))</f>
        <v/>
      </c>
      <c r="J365" s="117">
        <f>IF(C365="","",IF(ABS(I365)&gt;AYARLAR!$C$14,"RİSKLİ","NORMAL"))</f>
        <v/>
      </c>
      <c r="K365" s="115">
        <f>IF(G365="","",IFERROR(G365/MOTOR!$B$20,0))</f>
        <v/>
      </c>
      <c r="L365" s="117">
        <f>IF(C365="","",IF(F365="","EKSİK","TAM"))</f>
        <v/>
      </c>
      <c r="M365" s="118" t="n"/>
    </row>
    <row r="366" ht="15" customHeight="1" s="64">
      <c r="A366" s="118" t="n"/>
      <c r="B366" s="118" t="n"/>
      <c r="C366" s="118" t="n"/>
      <c r="D366" s="118" t="n"/>
      <c r="E366" s="118" t="n"/>
      <c r="F366" s="118" t="n"/>
      <c r="G366" s="120">
        <f>IF(C366="","",C366*D366)</f>
        <v/>
      </c>
      <c r="H366" s="120">
        <f>IF(C366="","",C366*E366)</f>
        <v/>
      </c>
      <c r="I366" s="115">
        <f>IF(C366="","",IFERROR(D366/(E366+(E366=0))-1,0))</f>
        <v/>
      </c>
      <c r="J366" s="117">
        <f>IF(C366="","",IF(ABS(I366)&gt;AYARLAR!$C$14,"RİSKLİ","NORMAL"))</f>
        <v/>
      </c>
      <c r="K366" s="115">
        <f>IF(G366="","",IFERROR(G366/MOTOR!$B$20,0))</f>
        <v/>
      </c>
      <c r="L366" s="117">
        <f>IF(C366="","",IF(F366="","EKSİK","TAM"))</f>
        <v/>
      </c>
      <c r="M366" s="118" t="n"/>
    </row>
    <row r="367" ht="15" customHeight="1" s="64">
      <c r="A367" s="118" t="n"/>
      <c r="B367" s="118" t="n"/>
      <c r="C367" s="118" t="n"/>
      <c r="D367" s="118" t="n"/>
      <c r="E367" s="118" t="n"/>
      <c r="F367" s="118" t="n"/>
      <c r="G367" s="120">
        <f>IF(C367="","",C367*D367)</f>
        <v/>
      </c>
      <c r="H367" s="120">
        <f>IF(C367="","",C367*E367)</f>
        <v/>
      </c>
      <c r="I367" s="115">
        <f>IF(C367="","",IFERROR(D367/(E367+(E367=0))-1,0))</f>
        <v/>
      </c>
      <c r="J367" s="117">
        <f>IF(C367="","",IF(ABS(I367)&gt;AYARLAR!$C$14,"RİSKLİ","NORMAL"))</f>
        <v/>
      </c>
      <c r="K367" s="115">
        <f>IF(G367="","",IFERROR(G367/MOTOR!$B$20,0))</f>
        <v/>
      </c>
      <c r="L367" s="117">
        <f>IF(C367="","",IF(F367="","EKSİK","TAM"))</f>
        <v/>
      </c>
      <c r="M367" s="118" t="n"/>
    </row>
    <row r="368" ht="15" customHeight="1" s="64">
      <c r="A368" s="118" t="n"/>
      <c r="B368" s="118" t="n"/>
      <c r="C368" s="118" t="n"/>
      <c r="D368" s="118" t="n"/>
      <c r="E368" s="118" t="n"/>
      <c r="F368" s="118" t="n"/>
      <c r="G368" s="120">
        <f>IF(C368="","",C368*D368)</f>
        <v/>
      </c>
      <c r="H368" s="120">
        <f>IF(C368="","",C368*E368)</f>
        <v/>
      </c>
      <c r="I368" s="115">
        <f>IF(C368="","",IFERROR(D368/(E368+(E368=0))-1,0))</f>
        <v/>
      </c>
      <c r="J368" s="117">
        <f>IF(C368="","",IF(ABS(I368)&gt;AYARLAR!$C$14,"RİSKLİ","NORMAL"))</f>
        <v/>
      </c>
      <c r="K368" s="115">
        <f>IF(G368="","",IFERROR(G368/MOTOR!$B$20,0))</f>
        <v/>
      </c>
      <c r="L368" s="117">
        <f>IF(C368="","",IF(F368="","EKSİK","TAM"))</f>
        <v/>
      </c>
      <c r="M368" s="118" t="n"/>
    </row>
    <row r="369" ht="15" customHeight="1" s="64">
      <c r="A369" s="118" t="n"/>
      <c r="B369" s="118" t="n"/>
      <c r="C369" s="118" t="n"/>
      <c r="D369" s="118" t="n"/>
      <c r="E369" s="118" t="n"/>
      <c r="F369" s="118" t="n"/>
      <c r="G369" s="120">
        <f>IF(C369="","",C369*D369)</f>
        <v/>
      </c>
      <c r="H369" s="120">
        <f>IF(C369="","",C369*E369)</f>
        <v/>
      </c>
      <c r="I369" s="115">
        <f>IF(C369="","",IFERROR(D369/(E369+(E369=0))-1,0))</f>
        <v/>
      </c>
      <c r="J369" s="117">
        <f>IF(C369="","",IF(ABS(I369)&gt;AYARLAR!$C$14,"RİSKLİ","NORMAL"))</f>
        <v/>
      </c>
      <c r="K369" s="115">
        <f>IF(G369="","",IFERROR(G369/MOTOR!$B$20,0))</f>
        <v/>
      </c>
      <c r="L369" s="117">
        <f>IF(C369="","",IF(F369="","EKSİK","TAM"))</f>
        <v/>
      </c>
      <c r="M369" s="118" t="n"/>
    </row>
    <row r="370" ht="15" customHeight="1" s="64">
      <c r="A370" s="118" t="n"/>
      <c r="B370" s="118" t="n"/>
      <c r="C370" s="118" t="n"/>
      <c r="D370" s="118" t="n"/>
      <c r="E370" s="118" t="n"/>
      <c r="F370" s="118" t="n"/>
      <c r="G370" s="120">
        <f>IF(C370="","",C370*D370)</f>
        <v/>
      </c>
      <c r="H370" s="120">
        <f>IF(C370="","",C370*E370)</f>
        <v/>
      </c>
      <c r="I370" s="115">
        <f>IF(C370="","",IFERROR(D370/(E370+(E370=0))-1,0))</f>
        <v/>
      </c>
      <c r="J370" s="117">
        <f>IF(C370="","",IF(ABS(I370)&gt;AYARLAR!$C$14,"RİSKLİ","NORMAL"))</f>
        <v/>
      </c>
      <c r="K370" s="115">
        <f>IF(G370="","",IFERROR(G370/MOTOR!$B$20,0))</f>
        <v/>
      </c>
      <c r="L370" s="117">
        <f>IF(C370="","",IF(F370="","EKSİK","TAM"))</f>
        <v/>
      </c>
      <c r="M370" s="118" t="n"/>
    </row>
    <row r="371" ht="15" customHeight="1" s="64">
      <c r="A371" s="118" t="n"/>
      <c r="B371" s="118" t="n"/>
      <c r="C371" s="118" t="n"/>
      <c r="D371" s="118" t="n"/>
      <c r="E371" s="118" t="n"/>
      <c r="F371" s="118" t="n"/>
      <c r="G371" s="120">
        <f>IF(C371="","",C371*D371)</f>
        <v/>
      </c>
      <c r="H371" s="120">
        <f>IF(C371="","",C371*E371)</f>
        <v/>
      </c>
      <c r="I371" s="115">
        <f>IF(C371="","",IFERROR(D371/(E371+(E371=0))-1,0))</f>
        <v/>
      </c>
      <c r="J371" s="117">
        <f>IF(C371="","",IF(ABS(I371)&gt;AYARLAR!$C$14,"RİSKLİ","NORMAL"))</f>
        <v/>
      </c>
      <c r="K371" s="115">
        <f>IF(G371="","",IFERROR(G371/MOTOR!$B$20,0))</f>
        <v/>
      </c>
      <c r="L371" s="117">
        <f>IF(C371="","",IF(F371="","EKSİK","TAM"))</f>
        <v/>
      </c>
      <c r="M371" s="118" t="n"/>
    </row>
    <row r="372" ht="15" customHeight="1" s="64">
      <c r="A372" s="118" t="n"/>
      <c r="B372" s="118" t="n"/>
      <c r="C372" s="118" t="n"/>
      <c r="D372" s="118" t="n"/>
      <c r="E372" s="118" t="n"/>
      <c r="F372" s="118" t="n"/>
      <c r="G372" s="120">
        <f>IF(C372="","",C372*D372)</f>
        <v/>
      </c>
      <c r="H372" s="120">
        <f>IF(C372="","",C372*E372)</f>
        <v/>
      </c>
      <c r="I372" s="115">
        <f>IF(C372="","",IFERROR(D372/(E372+(E372=0))-1,0))</f>
        <v/>
      </c>
      <c r="J372" s="117">
        <f>IF(C372="","",IF(ABS(I372)&gt;AYARLAR!$C$14,"RİSKLİ","NORMAL"))</f>
        <v/>
      </c>
      <c r="K372" s="115">
        <f>IF(G372="","",IFERROR(G372/MOTOR!$B$20,0))</f>
        <v/>
      </c>
      <c r="L372" s="117">
        <f>IF(C372="","",IF(F372="","EKSİK","TAM"))</f>
        <v/>
      </c>
      <c r="M372" s="118" t="n"/>
    </row>
    <row r="373" ht="15" customHeight="1" s="64">
      <c r="A373" s="118" t="n"/>
      <c r="B373" s="118" t="n"/>
      <c r="C373" s="118" t="n"/>
      <c r="D373" s="118" t="n"/>
      <c r="E373" s="118" t="n"/>
      <c r="F373" s="118" t="n"/>
      <c r="G373" s="120">
        <f>IF(C373="","",C373*D373)</f>
        <v/>
      </c>
      <c r="H373" s="120">
        <f>IF(C373="","",C373*E373)</f>
        <v/>
      </c>
      <c r="I373" s="115">
        <f>IF(C373="","",IFERROR(D373/(E373+(E373=0))-1,0))</f>
        <v/>
      </c>
      <c r="J373" s="117">
        <f>IF(C373="","",IF(ABS(I373)&gt;AYARLAR!$C$14,"RİSKLİ","NORMAL"))</f>
        <v/>
      </c>
      <c r="K373" s="115">
        <f>IF(G373="","",IFERROR(G373/MOTOR!$B$20,0))</f>
        <v/>
      </c>
      <c r="L373" s="117">
        <f>IF(C373="","",IF(F373="","EKSİK","TAM"))</f>
        <v/>
      </c>
      <c r="M373" s="118" t="n"/>
    </row>
    <row r="374" ht="15" customHeight="1" s="64">
      <c r="A374" s="118" t="n"/>
      <c r="B374" s="118" t="n"/>
      <c r="C374" s="118" t="n"/>
      <c r="D374" s="118" t="n"/>
      <c r="E374" s="118" t="n"/>
      <c r="F374" s="118" t="n"/>
      <c r="G374" s="120">
        <f>IF(C374="","",C374*D374)</f>
        <v/>
      </c>
      <c r="H374" s="120">
        <f>IF(C374="","",C374*E374)</f>
        <v/>
      </c>
      <c r="I374" s="115">
        <f>IF(C374="","",IFERROR(D374/(E374+(E374=0))-1,0))</f>
        <v/>
      </c>
      <c r="J374" s="117">
        <f>IF(C374="","",IF(ABS(I374)&gt;AYARLAR!$C$14,"RİSKLİ","NORMAL"))</f>
        <v/>
      </c>
      <c r="K374" s="115">
        <f>IF(G374="","",IFERROR(G374/MOTOR!$B$20,0))</f>
        <v/>
      </c>
      <c r="L374" s="117">
        <f>IF(C374="","",IF(F374="","EKSİK","TAM"))</f>
        <v/>
      </c>
      <c r="M374" s="118" t="n"/>
    </row>
    <row r="375" ht="15" customHeight="1" s="64">
      <c r="A375" s="118" t="n"/>
      <c r="B375" s="118" t="n"/>
      <c r="C375" s="118" t="n"/>
      <c r="D375" s="118" t="n"/>
      <c r="E375" s="118" t="n"/>
      <c r="F375" s="118" t="n"/>
      <c r="G375" s="120">
        <f>IF(C375="","",C375*D375)</f>
        <v/>
      </c>
      <c r="H375" s="120">
        <f>IF(C375="","",C375*E375)</f>
        <v/>
      </c>
      <c r="I375" s="115">
        <f>IF(C375="","",IFERROR(D375/(E375+(E375=0))-1,0))</f>
        <v/>
      </c>
      <c r="J375" s="117">
        <f>IF(C375="","",IF(ABS(I375)&gt;AYARLAR!$C$14,"RİSKLİ","NORMAL"))</f>
        <v/>
      </c>
      <c r="K375" s="115">
        <f>IF(G375="","",IFERROR(G375/MOTOR!$B$20,0))</f>
        <v/>
      </c>
      <c r="L375" s="117">
        <f>IF(C375="","",IF(F375="","EKSİK","TAM"))</f>
        <v/>
      </c>
      <c r="M375" s="118" t="n"/>
    </row>
    <row r="376" ht="15" customHeight="1" s="64">
      <c r="A376" s="118" t="n"/>
      <c r="B376" s="118" t="n"/>
      <c r="C376" s="118" t="n"/>
      <c r="D376" s="118" t="n"/>
      <c r="E376" s="118" t="n"/>
      <c r="F376" s="118" t="n"/>
      <c r="G376" s="120">
        <f>IF(C376="","",C376*D376)</f>
        <v/>
      </c>
      <c r="H376" s="120">
        <f>IF(C376="","",C376*E376)</f>
        <v/>
      </c>
      <c r="I376" s="115">
        <f>IF(C376="","",IFERROR(D376/(E376+(E376=0))-1,0))</f>
        <v/>
      </c>
      <c r="J376" s="117">
        <f>IF(C376="","",IF(ABS(I376)&gt;AYARLAR!$C$14,"RİSKLİ","NORMAL"))</f>
        <v/>
      </c>
      <c r="K376" s="115">
        <f>IF(G376="","",IFERROR(G376/MOTOR!$B$20,0))</f>
        <v/>
      </c>
      <c r="L376" s="117">
        <f>IF(C376="","",IF(F376="","EKSİK","TAM"))</f>
        <v/>
      </c>
      <c r="M376" s="118" t="n"/>
    </row>
    <row r="377" ht="15" customHeight="1" s="64">
      <c r="A377" s="118" t="n"/>
      <c r="B377" s="118" t="n"/>
      <c r="C377" s="118" t="n"/>
      <c r="D377" s="118" t="n"/>
      <c r="E377" s="118" t="n"/>
      <c r="F377" s="118" t="n"/>
      <c r="G377" s="120">
        <f>IF(C377="","",C377*D377)</f>
        <v/>
      </c>
      <c r="H377" s="120">
        <f>IF(C377="","",C377*E377)</f>
        <v/>
      </c>
      <c r="I377" s="115">
        <f>IF(C377="","",IFERROR(D377/(E377+(E377=0))-1,0))</f>
        <v/>
      </c>
      <c r="J377" s="117">
        <f>IF(C377="","",IF(ABS(I377)&gt;AYARLAR!$C$14,"RİSKLİ","NORMAL"))</f>
        <v/>
      </c>
      <c r="K377" s="115">
        <f>IF(G377="","",IFERROR(G377/MOTOR!$B$20,0))</f>
        <v/>
      </c>
      <c r="L377" s="117">
        <f>IF(C377="","",IF(F377="","EKSİK","TAM"))</f>
        <v/>
      </c>
      <c r="M377" s="118" t="n"/>
    </row>
    <row r="378" ht="15" customHeight="1" s="64">
      <c r="A378" s="118" t="n"/>
      <c r="B378" s="118" t="n"/>
      <c r="C378" s="118" t="n"/>
      <c r="D378" s="118" t="n"/>
      <c r="E378" s="118" t="n"/>
      <c r="F378" s="118" t="n"/>
      <c r="G378" s="120">
        <f>IF(C378="","",C378*D378)</f>
        <v/>
      </c>
      <c r="H378" s="120">
        <f>IF(C378="","",C378*E378)</f>
        <v/>
      </c>
      <c r="I378" s="115">
        <f>IF(C378="","",IFERROR(D378/(E378+(E378=0))-1,0))</f>
        <v/>
      </c>
      <c r="J378" s="117">
        <f>IF(C378="","",IF(ABS(I378)&gt;AYARLAR!$C$14,"RİSKLİ","NORMAL"))</f>
        <v/>
      </c>
      <c r="K378" s="115">
        <f>IF(G378="","",IFERROR(G378/MOTOR!$B$20,0))</f>
        <v/>
      </c>
      <c r="L378" s="117">
        <f>IF(C378="","",IF(F378="","EKSİK","TAM"))</f>
        <v/>
      </c>
      <c r="M378" s="118" t="n"/>
    </row>
    <row r="379" ht="15" customHeight="1" s="64">
      <c r="A379" s="118" t="n"/>
      <c r="B379" s="118" t="n"/>
      <c r="C379" s="118" t="n"/>
      <c r="D379" s="118" t="n"/>
      <c r="E379" s="118" t="n"/>
      <c r="F379" s="118" t="n"/>
      <c r="G379" s="120">
        <f>IF(C379="","",C379*D379)</f>
        <v/>
      </c>
      <c r="H379" s="120">
        <f>IF(C379="","",C379*E379)</f>
        <v/>
      </c>
      <c r="I379" s="115">
        <f>IF(C379="","",IFERROR(D379/(E379+(E379=0))-1,0))</f>
        <v/>
      </c>
      <c r="J379" s="117">
        <f>IF(C379="","",IF(ABS(I379)&gt;AYARLAR!$C$14,"RİSKLİ","NORMAL"))</f>
        <v/>
      </c>
      <c r="K379" s="115">
        <f>IF(G379="","",IFERROR(G379/MOTOR!$B$20,0))</f>
        <v/>
      </c>
      <c r="L379" s="117">
        <f>IF(C379="","",IF(F379="","EKSİK","TAM"))</f>
        <v/>
      </c>
      <c r="M379" s="118" t="n"/>
    </row>
    <row r="380" ht="15" customHeight="1" s="64">
      <c r="A380" s="118" t="n"/>
      <c r="B380" s="118" t="n"/>
      <c r="C380" s="118" t="n"/>
      <c r="D380" s="118" t="n"/>
      <c r="E380" s="118" t="n"/>
      <c r="F380" s="118" t="n"/>
      <c r="G380" s="120">
        <f>IF(C380="","",C380*D380)</f>
        <v/>
      </c>
      <c r="H380" s="120">
        <f>IF(C380="","",C380*E380)</f>
        <v/>
      </c>
      <c r="I380" s="115">
        <f>IF(C380="","",IFERROR(D380/(E380+(E380=0))-1,0))</f>
        <v/>
      </c>
      <c r="J380" s="117">
        <f>IF(C380="","",IF(ABS(I380)&gt;AYARLAR!$C$14,"RİSKLİ","NORMAL"))</f>
        <v/>
      </c>
      <c r="K380" s="115">
        <f>IF(G380="","",IFERROR(G380/MOTOR!$B$20,0))</f>
        <v/>
      </c>
      <c r="L380" s="117">
        <f>IF(C380="","",IF(F380="","EKSİK","TAM"))</f>
        <v/>
      </c>
      <c r="M380" s="118" t="n"/>
    </row>
    <row r="381" ht="15" customHeight="1" s="64">
      <c r="A381" s="118" t="n"/>
      <c r="B381" s="118" t="n"/>
      <c r="C381" s="118" t="n"/>
      <c r="D381" s="118" t="n"/>
      <c r="E381" s="118" t="n"/>
      <c r="F381" s="118" t="n"/>
      <c r="G381" s="120">
        <f>IF(C381="","",C381*D381)</f>
        <v/>
      </c>
      <c r="H381" s="120">
        <f>IF(C381="","",C381*E381)</f>
        <v/>
      </c>
      <c r="I381" s="115">
        <f>IF(C381="","",IFERROR(D381/(E381+(E381=0))-1,0))</f>
        <v/>
      </c>
      <c r="J381" s="117">
        <f>IF(C381="","",IF(ABS(I381)&gt;AYARLAR!$C$14,"RİSKLİ","NORMAL"))</f>
        <v/>
      </c>
      <c r="K381" s="115">
        <f>IF(G381="","",IFERROR(G381/MOTOR!$B$20,0))</f>
        <v/>
      </c>
      <c r="L381" s="117">
        <f>IF(C381="","",IF(F381="","EKSİK","TAM"))</f>
        <v/>
      </c>
      <c r="M381" s="118" t="n"/>
    </row>
    <row r="382" ht="15" customHeight="1" s="64">
      <c r="A382" s="118" t="n"/>
      <c r="B382" s="118" t="n"/>
      <c r="C382" s="118" t="n"/>
      <c r="D382" s="118" t="n"/>
      <c r="E382" s="118" t="n"/>
      <c r="F382" s="118" t="n"/>
      <c r="G382" s="120">
        <f>IF(C382="","",C382*D382)</f>
        <v/>
      </c>
      <c r="H382" s="120">
        <f>IF(C382="","",C382*E382)</f>
        <v/>
      </c>
      <c r="I382" s="115">
        <f>IF(C382="","",IFERROR(D382/(E382+(E382=0))-1,0))</f>
        <v/>
      </c>
      <c r="J382" s="117">
        <f>IF(C382="","",IF(ABS(I382)&gt;AYARLAR!$C$14,"RİSKLİ","NORMAL"))</f>
        <v/>
      </c>
      <c r="K382" s="115">
        <f>IF(G382="","",IFERROR(G382/MOTOR!$B$20,0))</f>
        <v/>
      </c>
      <c r="L382" s="117">
        <f>IF(C382="","",IF(F382="","EKSİK","TAM"))</f>
        <v/>
      </c>
      <c r="M382" s="118" t="n"/>
    </row>
    <row r="383" ht="15" customHeight="1" s="64">
      <c r="A383" s="118" t="n"/>
      <c r="B383" s="118" t="n"/>
      <c r="C383" s="118" t="n"/>
      <c r="D383" s="118" t="n"/>
      <c r="E383" s="118" t="n"/>
      <c r="F383" s="118" t="n"/>
      <c r="G383" s="120">
        <f>IF(C383="","",C383*D383)</f>
        <v/>
      </c>
      <c r="H383" s="120">
        <f>IF(C383="","",C383*E383)</f>
        <v/>
      </c>
      <c r="I383" s="115">
        <f>IF(C383="","",IFERROR(D383/(E383+(E383=0))-1,0))</f>
        <v/>
      </c>
      <c r="J383" s="117">
        <f>IF(C383="","",IF(ABS(I383)&gt;AYARLAR!$C$14,"RİSKLİ","NORMAL"))</f>
        <v/>
      </c>
      <c r="K383" s="115">
        <f>IF(G383="","",IFERROR(G383/MOTOR!$B$20,0))</f>
        <v/>
      </c>
      <c r="L383" s="117">
        <f>IF(C383="","",IF(F383="","EKSİK","TAM"))</f>
        <v/>
      </c>
      <c r="M383" s="118" t="n"/>
    </row>
    <row r="384" ht="15" customHeight="1" s="64">
      <c r="A384" s="118" t="n"/>
      <c r="B384" s="118" t="n"/>
      <c r="C384" s="118" t="n"/>
      <c r="D384" s="118" t="n"/>
      <c r="E384" s="118" t="n"/>
      <c r="F384" s="118" t="n"/>
      <c r="G384" s="120">
        <f>IF(C384="","",C384*D384)</f>
        <v/>
      </c>
      <c r="H384" s="120">
        <f>IF(C384="","",C384*E384)</f>
        <v/>
      </c>
      <c r="I384" s="115">
        <f>IF(C384="","",IFERROR(D384/(E384+(E384=0))-1,0))</f>
        <v/>
      </c>
      <c r="J384" s="117">
        <f>IF(C384="","",IF(ABS(I384)&gt;AYARLAR!$C$14,"RİSKLİ","NORMAL"))</f>
        <v/>
      </c>
      <c r="K384" s="115">
        <f>IF(G384="","",IFERROR(G384/MOTOR!$B$20,0))</f>
        <v/>
      </c>
      <c r="L384" s="117">
        <f>IF(C384="","",IF(F384="","EKSİK","TAM"))</f>
        <v/>
      </c>
      <c r="M384" s="118" t="n"/>
    </row>
    <row r="385" ht="15" customHeight="1" s="64">
      <c r="A385" s="118" t="n"/>
      <c r="B385" s="118" t="n"/>
      <c r="C385" s="118" t="n"/>
      <c r="D385" s="118" t="n"/>
      <c r="E385" s="118" t="n"/>
      <c r="F385" s="118" t="n"/>
      <c r="G385" s="120">
        <f>IF(C385="","",C385*D385)</f>
        <v/>
      </c>
      <c r="H385" s="120">
        <f>IF(C385="","",C385*E385)</f>
        <v/>
      </c>
      <c r="I385" s="115">
        <f>IF(C385="","",IFERROR(D385/(E385+(E385=0))-1,0))</f>
        <v/>
      </c>
      <c r="J385" s="117">
        <f>IF(C385="","",IF(ABS(I385)&gt;AYARLAR!$C$14,"RİSKLİ","NORMAL"))</f>
        <v/>
      </c>
      <c r="K385" s="115">
        <f>IF(G385="","",IFERROR(G385/MOTOR!$B$20,0))</f>
        <v/>
      </c>
      <c r="L385" s="117">
        <f>IF(C385="","",IF(F385="","EKSİK","TAM"))</f>
        <v/>
      </c>
      <c r="M385" s="118" t="n"/>
    </row>
    <row r="386" ht="15" customHeight="1" s="64">
      <c r="A386" s="118" t="n"/>
      <c r="B386" s="118" t="n"/>
      <c r="C386" s="118" t="n"/>
      <c r="D386" s="118" t="n"/>
      <c r="E386" s="118" t="n"/>
      <c r="F386" s="118" t="n"/>
      <c r="G386" s="120">
        <f>IF(C386="","",C386*D386)</f>
        <v/>
      </c>
      <c r="H386" s="120">
        <f>IF(C386="","",C386*E386)</f>
        <v/>
      </c>
      <c r="I386" s="115">
        <f>IF(C386="","",IFERROR(D386/(E386+(E386=0))-1,0))</f>
        <v/>
      </c>
      <c r="J386" s="117">
        <f>IF(C386="","",IF(ABS(I386)&gt;AYARLAR!$C$14,"RİSKLİ","NORMAL"))</f>
        <v/>
      </c>
      <c r="K386" s="115">
        <f>IF(G386="","",IFERROR(G386/MOTOR!$B$20,0))</f>
        <v/>
      </c>
      <c r="L386" s="117">
        <f>IF(C386="","",IF(F386="","EKSİK","TAM"))</f>
        <v/>
      </c>
      <c r="M386" s="118" t="n"/>
    </row>
    <row r="387" ht="15" customHeight="1" s="64">
      <c r="A387" s="118" t="n"/>
      <c r="B387" s="118" t="n"/>
      <c r="C387" s="118" t="n"/>
      <c r="D387" s="118" t="n"/>
      <c r="E387" s="118" t="n"/>
      <c r="F387" s="118" t="n"/>
      <c r="G387" s="120">
        <f>IF(C387="","",C387*D387)</f>
        <v/>
      </c>
      <c r="H387" s="120">
        <f>IF(C387="","",C387*E387)</f>
        <v/>
      </c>
      <c r="I387" s="115">
        <f>IF(C387="","",IFERROR(D387/(E387+(E387=0))-1,0))</f>
        <v/>
      </c>
      <c r="J387" s="117">
        <f>IF(C387="","",IF(ABS(I387)&gt;AYARLAR!$C$14,"RİSKLİ","NORMAL"))</f>
        <v/>
      </c>
      <c r="K387" s="115">
        <f>IF(G387="","",IFERROR(G387/MOTOR!$B$20,0))</f>
        <v/>
      </c>
      <c r="L387" s="117">
        <f>IF(C387="","",IF(F387="","EKSİK","TAM"))</f>
        <v/>
      </c>
      <c r="M387" s="118" t="n"/>
    </row>
    <row r="388" ht="15" customHeight="1" s="64">
      <c r="A388" s="118" t="n"/>
      <c r="B388" s="118" t="n"/>
      <c r="C388" s="118" t="n"/>
      <c r="D388" s="118" t="n"/>
      <c r="E388" s="118" t="n"/>
      <c r="F388" s="118" t="n"/>
      <c r="G388" s="120">
        <f>IF(C388="","",C388*D388)</f>
        <v/>
      </c>
      <c r="H388" s="120">
        <f>IF(C388="","",C388*E388)</f>
        <v/>
      </c>
      <c r="I388" s="115">
        <f>IF(C388="","",IFERROR(D388/(E388+(E388=0))-1,0))</f>
        <v/>
      </c>
      <c r="J388" s="117">
        <f>IF(C388="","",IF(ABS(I388)&gt;AYARLAR!$C$14,"RİSKLİ","NORMAL"))</f>
        <v/>
      </c>
      <c r="K388" s="115">
        <f>IF(G388="","",IFERROR(G388/MOTOR!$B$20,0))</f>
        <v/>
      </c>
      <c r="L388" s="117">
        <f>IF(C388="","",IF(F388="","EKSİK","TAM"))</f>
        <v/>
      </c>
      <c r="M388" s="118" t="n"/>
    </row>
    <row r="389" ht="15" customHeight="1" s="64">
      <c r="A389" s="118" t="n"/>
      <c r="B389" s="118" t="n"/>
      <c r="C389" s="118" t="n"/>
      <c r="D389" s="118" t="n"/>
      <c r="E389" s="118" t="n"/>
      <c r="F389" s="118" t="n"/>
      <c r="G389" s="120">
        <f>IF(C389="","",C389*D389)</f>
        <v/>
      </c>
      <c r="H389" s="120">
        <f>IF(C389="","",C389*E389)</f>
        <v/>
      </c>
      <c r="I389" s="115">
        <f>IF(C389="","",IFERROR(D389/(E389+(E389=0))-1,0))</f>
        <v/>
      </c>
      <c r="J389" s="117">
        <f>IF(C389="","",IF(ABS(I389)&gt;AYARLAR!$C$14,"RİSKLİ","NORMAL"))</f>
        <v/>
      </c>
      <c r="K389" s="115">
        <f>IF(G389="","",IFERROR(G389/MOTOR!$B$20,0))</f>
        <v/>
      </c>
      <c r="L389" s="117">
        <f>IF(C389="","",IF(F389="","EKSİK","TAM"))</f>
        <v/>
      </c>
      <c r="M389" s="118" t="n"/>
    </row>
    <row r="390" ht="15" customHeight="1" s="64">
      <c r="A390" s="118" t="n"/>
      <c r="B390" s="118" t="n"/>
      <c r="C390" s="118" t="n"/>
      <c r="D390" s="118" t="n"/>
      <c r="E390" s="118" t="n"/>
      <c r="F390" s="118" t="n"/>
      <c r="G390" s="120">
        <f>IF(C390="","",C390*D390)</f>
        <v/>
      </c>
      <c r="H390" s="120">
        <f>IF(C390="","",C390*E390)</f>
        <v/>
      </c>
      <c r="I390" s="115">
        <f>IF(C390="","",IFERROR(D390/(E390+(E390=0))-1,0))</f>
        <v/>
      </c>
      <c r="J390" s="117">
        <f>IF(C390="","",IF(ABS(I390)&gt;AYARLAR!$C$14,"RİSKLİ","NORMAL"))</f>
        <v/>
      </c>
      <c r="K390" s="115">
        <f>IF(G390="","",IFERROR(G390/MOTOR!$B$20,0))</f>
        <v/>
      </c>
      <c r="L390" s="117">
        <f>IF(C390="","",IF(F390="","EKSİK","TAM"))</f>
        <v/>
      </c>
      <c r="M390" s="118" t="n"/>
    </row>
    <row r="391" ht="15" customHeight="1" s="64">
      <c r="A391" s="118" t="n"/>
      <c r="B391" s="118" t="n"/>
      <c r="C391" s="118" t="n"/>
      <c r="D391" s="118" t="n"/>
      <c r="E391" s="118" t="n"/>
      <c r="F391" s="118" t="n"/>
      <c r="G391" s="120">
        <f>IF(C391="","",C391*D391)</f>
        <v/>
      </c>
      <c r="H391" s="120">
        <f>IF(C391="","",C391*E391)</f>
        <v/>
      </c>
      <c r="I391" s="115">
        <f>IF(C391="","",IFERROR(D391/(E391+(E391=0))-1,0))</f>
        <v/>
      </c>
      <c r="J391" s="117">
        <f>IF(C391="","",IF(ABS(I391)&gt;AYARLAR!$C$14,"RİSKLİ","NORMAL"))</f>
        <v/>
      </c>
      <c r="K391" s="115">
        <f>IF(G391="","",IFERROR(G391/MOTOR!$B$20,0))</f>
        <v/>
      </c>
      <c r="L391" s="117">
        <f>IF(C391="","",IF(F391="","EKSİK","TAM"))</f>
        <v/>
      </c>
      <c r="M391" s="118" t="n"/>
    </row>
    <row r="392" ht="15" customHeight="1" s="64">
      <c r="A392" s="118" t="n"/>
      <c r="B392" s="118" t="n"/>
      <c r="C392" s="118" t="n"/>
      <c r="D392" s="118" t="n"/>
      <c r="E392" s="118" t="n"/>
      <c r="F392" s="118" t="n"/>
      <c r="G392" s="120">
        <f>IF(C392="","",C392*D392)</f>
        <v/>
      </c>
      <c r="H392" s="120">
        <f>IF(C392="","",C392*E392)</f>
        <v/>
      </c>
      <c r="I392" s="115">
        <f>IF(C392="","",IFERROR(D392/(E392+(E392=0))-1,0))</f>
        <v/>
      </c>
      <c r="J392" s="117">
        <f>IF(C392="","",IF(ABS(I392)&gt;AYARLAR!$C$14,"RİSKLİ","NORMAL"))</f>
        <v/>
      </c>
      <c r="K392" s="115">
        <f>IF(G392="","",IFERROR(G392/MOTOR!$B$20,0))</f>
        <v/>
      </c>
      <c r="L392" s="117">
        <f>IF(C392="","",IF(F392="","EKSİK","TAM"))</f>
        <v/>
      </c>
      <c r="M392" s="118" t="n"/>
    </row>
    <row r="393" ht="15" customHeight="1" s="64">
      <c r="A393" s="118" t="n"/>
      <c r="B393" s="118" t="n"/>
      <c r="C393" s="118" t="n"/>
      <c r="D393" s="118" t="n"/>
      <c r="E393" s="118" t="n"/>
      <c r="F393" s="118" t="n"/>
      <c r="G393" s="120">
        <f>IF(C393="","",C393*D393)</f>
        <v/>
      </c>
      <c r="H393" s="120">
        <f>IF(C393="","",C393*E393)</f>
        <v/>
      </c>
      <c r="I393" s="115">
        <f>IF(C393="","",IFERROR(D393/(E393+(E393=0))-1,0))</f>
        <v/>
      </c>
      <c r="J393" s="117">
        <f>IF(C393="","",IF(ABS(I393)&gt;AYARLAR!$C$14,"RİSKLİ","NORMAL"))</f>
        <v/>
      </c>
      <c r="K393" s="115">
        <f>IF(G393="","",IFERROR(G393/MOTOR!$B$20,0))</f>
        <v/>
      </c>
      <c r="L393" s="117">
        <f>IF(C393="","",IF(F393="","EKSİK","TAM"))</f>
        <v/>
      </c>
      <c r="M393" s="118" t="n"/>
    </row>
    <row r="394" ht="15" customHeight="1" s="64">
      <c r="A394" s="118" t="n"/>
      <c r="B394" s="118" t="n"/>
      <c r="C394" s="118" t="n"/>
      <c r="D394" s="118" t="n"/>
      <c r="E394" s="118" t="n"/>
      <c r="F394" s="118" t="n"/>
      <c r="G394" s="120">
        <f>IF(C394="","",C394*D394)</f>
        <v/>
      </c>
      <c r="H394" s="120">
        <f>IF(C394="","",C394*E394)</f>
        <v/>
      </c>
      <c r="I394" s="115">
        <f>IF(C394="","",IFERROR(D394/(E394+(E394=0))-1,0))</f>
        <v/>
      </c>
      <c r="J394" s="117">
        <f>IF(C394="","",IF(ABS(I394)&gt;AYARLAR!$C$14,"RİSKLİ","NORMAL"))</f>
        <v/>
      </c>
      <c r="K394" s="115">
        <f>IF(G394="","",IFERROR(G394/MOTOR!$B$20,0))</f>
        <v/>
      </c>
      <c r="L394" s="117">
        <f>IF(C394="","",IF(F394="","EKSİK","TAM"))</f>
        <v/>
      </c>
      <c r="M394" s="118" t="n"/>
    </row>
    <row r="395" ht="15" customHeight="1" s="64">
      <c r="A395" s="118" t="n"/>
      <c r="B395" s="118" t="n"/>
      <c r="C395" s="118" t="n"/>
      <c r="D395" s="118" t="n"/>
      <c r="E395" s="118" t="n"/>
      <c r="F395" s="118" t="n"/>
      <c r="G395" s="120">
        <f>IF(C395="","",C395*D395)</f>
        <v/>
      </c>
      <c r="H395" s="120">
        <f>IF(C395="","",C395*E395)</f>
        <v/>
      </c>
      <c r="I395" s="115">
        <f>IF(C395="","",IFERROR(D395/(E395+(E395=0))-1,0))</f>
        <v/>
      </c>
      <c r="J395" s="117">
        <f>IF(C395="","",IF(ABS(I395)&gt;AYARLAR!$C$14,"RİSKLİ","NORMAL"))</f>
        <v/>
      </c>
      <c r="K395" s="115">
        <f>IF(G395="","",IFERROR(G395/MOTOR!$B$20,0))</f>
        <v/>
      </c>
      <c r="L395" s="117">
        <f>IF(C395="","",IF(F395="","EKSİK","TAM"))</f>
        <v/>
      </c>
      <c r="M395" s="118" t="n"/>
    </row>
    <row r="396" ht="15" customHeight="1" s="64">
      <c r="A396" s="118" t="n"/>
      <c r="B396" s="118" t="n"/>
      <c r="C396" s="118" t="n"/>
      <c r="D396" s="118" t="n"/>
      <c r="E396" s="118" t="n"/>
      <c r="F396" s="118" t="n"/>
      <c r="G396" s="120">
        <f>IF(C396="","",C396*D396)</f>
        <v/>
      </c>
      <c r="H396" s="120">
        <f>IF(C396="","",C396*E396)</f>
        <v/>
      </c>
      <c r="I396" s="115">
        <f>IF(C396="","",IFERROR(D396/(E396+(E396=0))-1,0))</f>
        <v/>
      </c>
      <c r="J396" s="117">
        <f>IF(C396="","",IF(ABS(I396)&gt;AYARLAR!$C$14,"RİSKLİ","NORMAL"))</f>
        <v/>
      </c>
      <c r="K396" s="115">
        <f>IF(G396="","",IFERROR(G396/MOTOR!$B$20,0))</f>
        <v/>
      </c>
      <c r="L396" s="117">
        <f>IF(C396="","",IF(F396="","EKSİK","TAM"))</f>
        <v/>
      </c>
      <c r="M396" s="118" t="n"/>
    </row>
    <row r="397" ht="15" customHeight="1" s="64">
      <c r="A397" s="118" t="n"/>
      <c r="B397" s="118" t="n"/>
      <c r="C397" s="118" t="n"/>
      <c r="D397" s="118" t="n"/>
      <c r="E397" s="118" t="n"/>
      <c r="F397" s="118" t="n"/>
      <c r="G397" s="120">
        <f>IF(C397="","",C397*D397)</f>
        <v/>
      </c>
      <c r="H397" s="120">
        <f>IF(C397="","",C397*E397)</f>
        <v/>
      </c>
      <c r="I397" s="115">
        <f>IF(C397="","",IFERROR(D397/(E397+(E397=0))-1,0))</f>
        <v/>
      </c>
      <c r="J397" s="117">
        <f>IF(C397="","",IF(ABS(I397)&gt;AYARLAR!$C$14,"RİSKLİ","NORMAL"))</f>
        <v/>
      </c>
      <c r="K397" s="115">
        <f>IF(G397="","",IFERROR(G397/MOTOR!$B$20,0))</f>
        <v/>
      </c>
      <c r="L397" s="117">
        <f>IF(C397="","",IF(F397="","EKSİK","TAM"))</f>
        <v/>
      </c>
      <c r="M397" s="118" t="n"/>
    </row>
    <row r="398" ht="15" customHeight="1" s="64">
      <c r="A398" s="118" t="n"/>
      <c r="B398" s="118" t="n"/>
      <c r="C398" s="118" t="n"/>
      <c r="D398" s="118" t="n"/>
      <c r="E398" s="118" t="n"/>
      <c r="F398" s="118" t="n"/>
      <c r="G398" s="120">
        <f>IF(C398="","",C398*D398)</f>
        <v/>
      </c>
      <c r="H398" s="120">
        <f>IF(C398="","",C398*E398)</f>
        <v/>
      </c>
      <c r="I398" s="115">
        <f>IF(C398="","",IFERROR(D398/(E398+(E398=0))-1,0))</f>
        <v/>
      </c>
      <c r="J398" s="117">
        <f>IF(C398="","",IF(ABS(I398)&gt;AYARLAR!$C$14,"RİSKLİ","NORMAL"))</f>
        <v/>
      </c>
      <c r="K398" s="115">
        <f>IF(G398="","",IFERROR(G398/MOTOR!$B$20,0))</f>
        <v/>
      </c>
      <c r="L398" s="117">
        <f>IF(C398="","",IF(F398="","EKSİK","TAM"))</f>
        <v/>
      </c>
      <c r="M398" s="118" t="n"/>
    </row>
    <row r="399" ht="15" customHeight="1" s="64">
      <c r="A399" s="118" t="n"/>
      <c r="B399" s="118" t="n"/>
      <c r="C399" s="118" t="n"/>
      <c r="D399" s="118" t="n"/>
      <c r="E399" s="118" t="n"/>
      <c r="F399" s="118" t="n"/>
      <c r="G399" s="120">
        <f>IF(C399="","",C399*D399)</f>
        <v/>
      </c>
      <c r="H399" s="120">
        <f>IF(C399="","",C399*E399)</f>
        <v/>
      </c>
      <c r="I399" s="115">
        <f>IF(C399="","",IFERROR(D399/(E399+(E399=0))-1,0))</f>
        <v/>
      </c>
      <c r="J399" s="117">
        <f>IF(C399="","",IF(ABS(I399)&gt;AYARLAR!$C$14,"RİSKLİ","NORMAL"))</f>
        <v/>
      </c>
      <c r="K399" s="115">
        <f>IF(G399="","",IFERROR(G399/MOTOR!$B$20,0))</f>
        <v/>
      </c>
      <c r="L399" s="117">
        <f>IF(C399="","",IF(F399="","EKSİK","TAM"))</f>
        <v/>
      </c>
      <c r="M399" s="118" t="n"/>
    </row>
    <row r="400" ht="15" customHeight="1" s="64">
      <c r="A400" s="118" t="n"/>
      <c r="B400" s="118" t="n"/>
      <c r="C400" s="118" t="n"/>
      <c r="D400" s="118" t="n"/>
      <c r="E400" s="118" t="n"/>
      <c r="F400" s="118" t="n"/>
      <c r="G400" s="120">
        <f>IF(C400="","",C400*D400)</f>
        <v/>
      </c>
      <c r="H400" s="120">
        <f>IF(C400="","",C400*E400)</f>
        <v/>
      </c>
      <c r="I400" s="115">
        <f>IF(C400="","",IFERROR(D400/(E400+(E400=0))-1,0))</f>
        <v/>
      </c>
      <c r="J400" s="117">
        <f>IF(C400="","",IF(ABS(I400)&gt;AYARLAR!$C$14,"RİSKLİ","NORMAL"))</f>
        <v/>
      </c>
      <c r="K400" s="115">
        <f>IF(G400="","",IFERROR(G400/MOTOR!$B$20,0))</f>
        <v/>
      </c>
      <c r="L400" s="117">
        <f>IF(C400="","",IF(F400="","EKSİK","TAM"))</f>
        <v/>
      </c>
      <c r="M400" s="118" t="n"/>
    </row>
    <row r="401" ht="15" customHeight="1" s="64">
      <c r="A401" s="118" t="n"/>
      <c r="B401" s="118" t="n"/>
      <c r="C401" s="118" t="n"/>
      <c r="D401" s="118" t="n"/>
      <c r="E401" s="118" t="n"/>
      <c r="F401" s="118" t="n"/>
      <c r="G401" s="120">
        <f>IF(C401="","",C401*D401)</f>
        <v/>
      </c>
      <c r="H401" s="120">
        <f>IF(C401="","",C401*E401)</f>
        <v/>
      </c>
      <c r="I401" s="115">
        <f>IF(C401="","",IFERROR(D401/(E401+(E401=0))-1,0))</f>
        <v/>
      </c>
      <c r="J401" s="117">
        <f>IF(C401="","",IF(ABS(I401)&gt;AYARLAR!$C$14,"RİSKLİ","NORMAL"))</f>
        <v/>
      </c>
      <c r="K401" s="115">
        <f>IF(G401="","",IFERROR(G401/MOTOR!$B$20,0))</f>
        <v/>
      </c>
      <c r="L401" s="117">
        <f>IF(C401="","",IF(F401="","EKSİK","TAM"))</f>
        <v/>
      </c>
      <c r="M401" s="118" t="n"/>
    </row>
    <row r="402" ht="15" customHeight="1" s="64">
      <c r="A402" s="118" t="n"/>
      <c r="B402" s="118" t="n"/>
      <c r="C402" s="118" t="n"/>
      <c r="D402" s="118" t="n"/>
      <c r="E402" s="118" t="n"/>
      <c r="F402" s="118" t="n"/>
      <c r="G402" s="120">
        <f>IF(C402="","",C402*D402)</f>
        <v/>
      </c>
      <c r="H402" s="120">
        <f>IF(C402="","",C402*E402)</f>
        <v/>
      </c>
      <c r="I402" s="115">
        <f>IF(C402="","",IFERROR(D402/(E402+(E402=0))-1,0))</f>
        <v/>
      </c>
      <c r="J402" s="117">
        <f>IF(C402="","",IF(ABS(I402)&gt;AYARLAR!$C$14,"RİSKLİ","NORMAL"))</f>
        <v/>
      </c>
      <c r="K402" s="115">
        <f>IF(G402="","",IFERROR(G402/MOTOR!$B$20,0))</f>
        <v/>
      </c>
      <c r="L402" s="117">
        <f>IF(C402="","",IF(F402="","EKSİK","TAM"))</f>
        <v/>
      </c>
      <c r="M402" s="118" t="n"/>
    </row>
    <row r="403" ht="15" customHeight="1" s="64">
      <c r="A403" s="118" t="n"/>
      <c r="B403" s="118" t="n"/>
      <c r="C403" s="118" t="n"/>
      <c r="D403" s="118" t="n"/>
      <c r="E403" s="118" t="n"/>
      <c r="F403" s="118" t="n"/>
      <c r="G403" s="120">
        <f>IF(C403="","",C403*D403)</f>
        <v/>
      </c>
      <c r="H403" s="120">
        <f>IF(C403="","",C403*E403)</f>
        <v/>
      </c>
      <c r="I403" s="115">
        <f>IF(C403="","",IFERROR(D403/(E403+(E403=0))-1,0))</f>
        <v/>
      </c>
      <c r="J403" s="117">
        <f>IF(C403="","",IF(ABS(I403)&gt;AYARLAR!$C$14,"RİSKLİ","NORMAL"))</f>
        <v/>
      </c>
      <c r="K403" s="115">
        <f>IF(G403="","",IFERROR(G403/MOTOR!$B$20,0))</f>
        <v/>
      </c>
      <c r="L403" s="117">
        <f>IF(C403="","",IF(F403="","EKSİK","TAM"))</f>
        <v/>
      </c>
      <c r="M403" s="118" t="n"/>
    </row>
    <row r="404" ht="15" customHeight="1" s="64">
      <c r="A404" s="118" t="n"/>
      <c r="B404" s="118" t="n"/>
      <c r="C404" s="118" t="n"/>
      <c r="D404" s="118" t="n"/>
      <c r="E404" s="118" t="n"/>
      <c r="F404" s="118" t="n"/>
      <c r="G404" s="120">
        <f>IF(C404="","",C404*D404)</f>
        <v/>
      </c>
      <c r="H404" s="120">
        <f>IF(C404="","",C404*E404)</f>
        <v/>
      </c>
      <c r="I404" s="115">
        <f>IF(C404="","",IFERROR(D404/(E404+(E404=0))-1,0))</f>
        <v/>
      </c>
      <c r="J404" s="117">
        <f>IF(C404="","",IF(ABS(I404)&gt;AYARLAR!$C$14,"RİSKLİ","NORMAL"))</f>
        <v/>
      </c>
      <c r="K404" s="115">
        <f>IF(G404="","",IFERROR(G404/MOTOR!$B$20,0))</f>
        <v/>
      </c>
      <c r="L404" s="117">
        <f>IF(C404="","",IF(F404="","EKSİK","TAM"))</f>
        <v/>
      </c>
      <c r="M404" s="118" t="n"/>
    </row>
    <row r="405" ht="15" customHeight="1" s="64">
      <c r="A405" s="118" t="n"/>
      <c r="B405" s="118" t="n"/>
      <c r="C405" s="118" t="n"/>
      <c r="D405" s="118" t="n"/>
      <c r="E405" s="118" t="n"/>
      <c r="F405" s="118" t="n"/>
      <c r="G405" s="120">
        <f>IF(C405="","",C405*D405)</f>
        <v/>
      </c>
      <c r="H405" s="120">
        <f>IF(C405="","",C405*E405)</f>
        <v/>
      </c>
      <c r="I405" s="115">
        <f>IF(C405="","",IFERROR(D405/(E405+(E405=0))-1,0))</f>
        <v/>
      </c>
      <c r="J405" s="117">
        <f>IF(C405="","",IF(ABS(I405)&gt;AYARLAR!$C$14,"RİSKLİ","NORMAL"))</f>
        <v/>
      </c>
      <c r="K405" s="115">
        <f>IF(G405="","",IFERROR(G405/MOTOR!$B$20,0))</f>
        <v/>
      </c>
      <c r="L405" s="117">
        <f>IF(C405="","",IF(F405="","EKSİK","TAM"))</f>
        <v/>
      </c>
      <c r="M405" s="118" t="n"/>
    </row>
    <row r="406" ht="15" customHeight="1" s="64">
      <c r="A406" s="118" t="n"/>
      <c r="B406" s="118" t="n"/>
      <c r="C406" s="118" t="n"/>
      <c r="D406" s="118" t="n"/>
      <c r="E406" s="118" t="n"/>
      <c r="F406" s="118" t="n"/>
      <c r="G406" s="120">
        <f>IF(C406="","",C406*D406)</f>
        <v/>
      </c>
      <c r="H406" s="120">
        <f>IF(C406="","",C406*E406)</f>
        <v/>
      </c>
      <c r="I406" s="115">
        <f>IF(C406="","",IFERROR(D406/(E406+(E406=0))-1,0))</f>
        <v/>
      </c>
      <c r="J406" s="117">
        <f>IF(C406="","",IF(ABS(I406)&gt;AYARLAR!$C$14,"RİSKLİ","NORMAL"))</f>
        <v/>
      </c>
      <c r="K406" s="115">
        <f>IF(G406="","",IFERROR(G406/MOTOR!$B$20,0))</f>
        <v/>
      </c>
      <c r="L406" s="117">
        <f>IF(C406="","",IF(F406="","EKSİK","TAM"))</f>
        <v/>
      </c>
      <c r="M406" s="118" t="n"/>
    </row>
    <row r="407" ht="15" customHeight="1" s="64">
      <c r="A407" s="118" t="n"/>
      <c r="B407" s="118" t="n"/>
      <c r="C407" s="118" t="n"/>
      <c r="D407" s="118" t="n"/>
      <c r="E407" s="118" t="n"/>
      <c r="F407" s="118" t="n"/>
      <c r="G407" s="120">
        <f>IF(C407="","",C407*D407)</f>
        <v/>
      </c>
      <c r="H407" s="120">
        <f>IF(C407="","",C407*E407)</f>
        <v/>
      </c>
      <c r="I407" s="115">
        <f>IF(C407="","",IFERROR(D407/(E407+(E407=0))-1,0))</f>
        <v/>
      </c>
      <c r="J407" s="117">
        <f>IF(C407="","",IF(ABS(I407)&gt;AYARLAR!$C$14,"RİSKLİ","NORMAL"))</f>
        <v/>
      </c>
      <c r="K407" s="115">
        <f>IF(G407="","",IFERROR(G407/MOTOR!$B$20,0))</f>
        <v/>
      </c>
      <c r="L407" s="117">
        <f>IF(C407="","",IF(F407="","EKSİK","TAM"))</f>
        <v/>
      </c>
      <c r="M407" s="118" t="n"/>
    </row>
    <row r="408" ht="15" customHeight="1" s="64">
      <c r="A408" s="118" t="n"/>
      <c r="B408" s="118" t="n"/>
      <c r="C408" s="118" t="n"/>
      <c r="D408" s="118" t="n"/>
      <c r="E408" s="118" t="n"/>
      <c r="F408" s="118" t="n"/>
      <c r="G408" s="120">
        <f>IF(C408="","",C408*D408)</f>
        <v/>
      </c>
      <c r="H408" s="120">
        <f>IF(C408="","",C408*E408)</f>
        <v/>
      </c>
      <c r="I408" s="115">
        <f>IF(C408="","",IFERROR(D408/(E408+(E408=0))-1,0))</f>
        <v/>
      </c>
      <c r="J408" s="117">
        <f>IF(C408="","",IF(ABS(I408)&gt;AYARLAR!$C$14,"RİSKLİ","NORMAL"))</f>
        <v/>
      </c>
      <c r="K408" s="115">
        <f>IF(G408="","",IFERROR(G408/MOTOR!$B$20,0))</f>
        <v/>
      </c>
      <c r="L408" s="117">
        <f>IF(C408="","",IF(F408="","EKSİK","TAM"))</f>
        <v/>
      </c>
      <c r="M408" s="118" t="n"/>
    </row>
    <row r="409" ht="15" customHeight="1" s="64">
      <c r="A409" s="118" t="n"/>
      <c r="B409" s="118" t="n"/>
      <c r="C409" s="118" t="n"/>
      <c r="D409" s="118" t="n"/>
      <c r="E409" s="118" t="n"/>
      <c r="F409" s="118" t="n"/>
      <c r="G409" s="120">
        <f>IF(C409="","",C409*D409)</f>
        <v/>
      </c>
      <c r="H409" s="120">
        <f>IF(C409="","",C409*E409)</f>
        <v/>
      </c>
      <c r="I409" s="115">
        <f>IF(C409="","",IFERROR(D409/(E409+(E409=0))-1,0))</f>
        <v/>
      </c>
      <c r="J409" s="117">
        <f>IF(C409="","",IF(ABS(I409)&gt;AYARLAR!$C$14,"RİSKLİ","NORMAL"))</f>
        <v/>
      </c>
      <c r="K409" s="115">
        <f>IF(G409="","",IFERROR(G409/MOTOR!$B$20,0))</f>
        <v/>
      </c>
      <c r="L409" s="117">
        <f>IF(C409="","",IF(F409="","EKSİK","TAM"))</f>
        <v/>
      </c>
      <c r="M409" s="118" t="n"/>
    </row>
    <row r="410" ht="15" customHeight="1" s="64">
      <c r="A410" s="118" t="n"/>
      <c r="B410" s="118" t="n"/>
      <c r="C410" s="118" t="n"/>
      <c r="D410" s="118" t="n"/>
      <c r="E410" s="118" t="n"/>
      <c r="F410" s="118" t="n"/>
      <c r="G410" s="120">
        <f>IF(C410="","",C410*D410)</f>
        <v/>
      </c>
      <c r="H410" s="120">
        <f>IF(C410="","",C410*E410)</f>
        <v/>
      </c>
      <c r="I410" s="115">
        <f>IF(C410="","",IFERROR(D410/(E410+(E410=0))-1,0))</f>
        <v/>
      </c>
      <c r="J410" s="117">
        <f>IF(C410="","",IF(ABS(I410)&gt;AYARLAR!$C$14,"RİSKLİ","NORMAL"))</f>
        <v/>
      </c>
      <c r="K410" s="115">
        <f>IF(G410="","",IFERROR(G410/MOTOR!$B$20,0))</f>
        <v/>
      </c>
      <c r="L410" s="117">
        <f>IF(C410="","",IF(F410="","EKSİK","TAM"))</f>
        <v/>
      </c>
      <c r="M410" s="118" t="n"/>
    </row>
    <row r="411" ht="15" customHeight="1" s="64">
      <c r="A411" s="118" t="n"/>
      <c r="B411" s="118" t="n"/>
      <c r="C411" s="118" t="n"/>
      <c r="D411" s="118" t="n"/>
      <c r="E411" s="118" t="n"/>
      <c r="F411" s="118" t="n"/>
      <c r="G411" s="120">
        <f>IF(C411="","",C411*D411)</f>
        <v/>
      </c>
      <c r="H411" s="120">
        <f>IF(C411="","",C411*E411)</f>
        <v/>
      </c>
      <c r="I411" s="115">
        <f>IF(C411="","",IFERROR(D411/(E411+(E411=0))-1,0))</f>
        <v/>
      </c>
      <c r="J411" s="117">
        <f>IF(C411="","",IF(ABS(I411)&gt;AYARLAR!$C$14,"RİSKLİ","NORMAL"))</f>
        <v/>
      </c>
      <c r="K411" s="115">
        <f>IF(G411="","",IFERROR(G411/MOTOR!$B$20,0))</f>
        <v/>
      </c>
      <c r="L411" s="117">
        <f>IF(C411="","",IF(F411="","EKSİK","TAM"))</f>
        <v/>
      </c>
      <c r="M411" s="118" t="n"/>
    </row>
    <row r="412" ht="15" customHeight="1" s="64">
      <c r="A412" s="118" t="n"/>
      <c r="B412" s="118" t="n"/>
      <c r="C412" s="118" t="n"/>
      <c r="D412" s="118" t="n"/>
      <c r="E412" s="118" t="n"/>
      <c r="F412" s="118" t="n"/>
      <c r="G412" s="120">
        <f>IF(C412="","",C412*D412)</f>
        <v/>
      </c>
      <c r="H412" s="120">
        <f>IF(C412="","",C412*E412)</f>
        <v/>
      </c>
      <c r="I412" s="115">
        <f>IF(C412="","",IFERROR(D412/(E412+(E412=0))-1,0))</f>
        <v/>
      </c>
      <c r="J412" s="117">
        <f>IF(C412="","",IF(ABS(I412)&gt;AYARLAR!$C$14,"RİSKLİ","NORMAL"))</f>
        <v/>
      </c>
      <c r="K412" s="115">
        <f>IF(G412="","",IFERROR(G412/MOTOR!$B$20,0))</f>
        <v/>
      </c>
      <c r="L412" s="117">
        <f>IF(C412="","",IF(F412="","EKSİK","TAM"))</f>
        <v/>
      </c>
      <c r="M412" s="118" t="n"/>
    </row>
    <row r="413" ht="15" customHeight="1" s="64">
      <c r="A413" s="118" t="n"/>
      <c r="B413" s="118" t="n"/>
      <c r="C413" s="118" t="n"/>
      <c r="D413" s="118" t="n"/>
      <c r="E413" s="118" t="n"/>
      <c r="F413" s="118" t="n"/>
      <c r="G413" s="120">
        <f>IF(C413="","",C413*D413)</f>
        <v/>
      </c>
      <c r="H413" s="120">
        <f>IF(C413="","",C413*E413)</f>
        <v/>
      </c>
      <c r="I413" s="115">
        <f>IF(C413="","",IFERROR(D413/(E413+(E413=0))-1,0))</f>
        <v/>
      </c>
      <c r="J413" s="117">
        <f>IF(C413="","",IF(ABS(I413)&gt;AYARLAR!$C$14,"RİSKLİ","NORMAL"))</f>
        <v/>
      </c>
      <c r="K413" s="115">
        <f>IF(G413="","",IFERROR(G413/MOTOR!$B$20,0))</f>
        <v/>
      </c>
      <c r="L413" s="117">
        <f>IF(C413="","",IF(F413="","EKSİK","TAM"))</f>
        <v/>
      </c>
      <c r="M413" s="118" t="n"/>
    </row>
    <row r="414" ht="15" customHeight="1" s="64">
      <c r="A414" s="118" t="n"/>
      <c r="B414" s="118" t="n"/>
      <c r="C414" s="118" t="n"/>
      <c r="D414" s="118" t="n"/>
      <c r="E414" s="118" t="n"/>
      <c r="F414" s="118" t="n"/>
      <c r="G414" s="120">
        <f>IF(C414="","",C414*D414)</f>
        <v/>
      </c>
      <c r="H414" s="120">
        <f>IF(C414="","",C414*E414)</f>
        <v/>
      </c>
      <c r="I414" s="115">
        <f>IF(C414="","",IFERROR(D414/(E414+(E414=0))-1,0))</f>
        <v/>
      </c>
      <c r="J414" s="117">
        <f>IF(C414="","",IF(ABS(I414)&gt;AYARLAR!$C$14,"RİSKLİ","NORMAL"))</f>
        <v/>
      </c>
      <c r="K414" s="115">
        <f>IF(G414="","",IFERROR(G414/MOTOR!$B$20,0))</f>
        <v/>
      </c>
      <c r="L414" s="117">
        <f>IF(C414="","",IF(F414="","EKSİK","TAM"))</f>
        <v/>
      </c>
      <c r="M414" s="118" t="n"/>
    </row>
    <row r="415" ht="15" customHeight="1" s="64">
      <c r="A415" s="118" t="n"/>
      <c r="B415" s="118" t="n"/>
      <c r="C415" s="118" t="n"/>
      <c r="D415" s="118" t="n"/>
      <c r="E415" s="118" t="n"/>
      <c r="F415" s="118" t="n"/>
      <c r="G415" s="120">
        <f>IF(C415="","",C415*D415)</f>
        <v/>
      </c>
      <c r="H415" s="120">
        <f>IF(C415="","",C415*E415)</f>
        <v/>
      </c>
      <c r="I415" s="115">
        <f>IF(C415="","",IFERROR(D415/(E415+(E415=0))-1,0))</f>
        <v/>
      </c>
      <c r="J415" s="117">
        <f>IF(C415="","",IF(ABS(I415)&gt;AYARLAR!$C$14,"RİSKLİ","NORMAL"))</f>
        <v/>
      </c>
      <c r="K415" s="115">
        <f>IF(G415="","",IFERROR(G415/MOTOR!$B$20,0))</f>
        <v/>
      </c>
      <c r="L415" s="117">
        <f>IF(C415="","",IF(F415="","EKSİK","TAM"))</f>
        <v/>
      </c>
      <c r="M415" s="118" t="n"/>
    </row>
    <row r="416" ht="15" customHeight="1" s="64">
      <c r="A416" s="118" t="n"/>
      <c r="B416" s="118" t="n"/>
      <c r="C416" s="118" t="n"/>
      <c r="D416" s="118" t="n"/>
      <c r="E416" s="118" t="n"/>
      <c r="F416" s="118" t="n"/>
      <c r="G416" s="120">
        <f>IF(C416="","",C416*D416)</f>
        <v/>
      </c>
      <c r="H416" s="120">
        <f>IF(C416="","",C416*E416)</f>
        <v/>
      </c>
      <c r="I416" s="115">
        <f>IF(C416="","",IFERROR(D416/(E416+(E416=0))-1,0))</f>
        <v/>
      </c>
      <c r="J416" s="117">
        <f>IF(C416="","",IF(ABS(I416)&gt;AYARLAR!$C$14,"RİSKLİ","NORMAL"))</f>
        <v/>
      </c>
      <c r="K416" s="115">
        <f>IF(G416="","",IFERROR(G416/MOTOR!$B$20,0))</f>
        <v/>
      </c>
      <c r="L416" s="117">
        <f>IF(C416="","",IF(F416="","EKSİK","TAM"))</f>
        <v/>
      </c>
      <c r="M416" s="118" t="n"/>
    </row>
    <row r="417" ht="15" customHeight="1" s="64">
      <c r="A417" s="118" t="n"/>
      <c r="B417" s="118" t="n"/>
      <c r="C417" s="118" t="n"/>
      <c r="D417" s="118" t="n"/>
      <c r="E417" s="118" t="n"/>
      <c r="F417" s="118" t="n"/>
      <c r="G417" s="120">
        <f>IF(C417="","",C417*D417)</f>
        <v/>
      </c>
      <c r="H417" s="120">
        <f>IF(C417="","",C417*E417)</f>
        <v/>
      </c>
      <c r="I417" s="115">
        <f>IF(C417="","",IFERROR(D417/(E417+(E417=0))-1,0))</f>
        <v/>
      </c>
      <c r="J417" s="117">
        <f>IF(C417="","",IF(ABS(I417)&gt;AYARLAR!$C$14,"RİSKLİ","NORMAL"))</f>
        <v/>
      </c>
      <c r="K417" s="115">
        <f>IF(G417="","",IFERROR(G417/MOTOR!$B$20,0))</f>
        <v/>
      </c>
      <c r="L417" s="117">
        <f>IF(C417="","",IF(F417="","EKSİK","TAM"))</f>
        <v/>
      </c>
      <c r="M417" s="118" t="n"/>
    </row>
    <row r="418" ht="15" customHeight="1" s="64">
      <c r="A418" s="118" t="n"/>
      <c r="B418" s="118" t="n"/>
      <c r="C418" s="118" t="n"/>
      <c r="D418" s="118" t="n"/>
      <c r="E418" s="118" t="n"/>
      <c r="F418" s="118" t="n"/>
      <c r="G418" s="120">
        <f>IF(C418="","",C418*D418)</f>
        <v/>
      </c>
      <c r="H418" s="120">
        <f>IF(C418="","",C418*E418)</f>
        <v/>
      </c>
      <c r="I418" s="115">
        <f>IF(C418="","",IFERROR(D418/(E418+(E418=0))-1,0))</f>
        <v/>
      </c>
      <c r="J418" s="117">
        <f>IF(C418="","",IF(ABS(I418)&gt;AYARLAR!$C$14,"RİSKLİ","NORMAL"))</f>
        <v/>
      </c>
      <c r="K418" s="115">
        <f>IF(G418="","",IFERROR(G418/MOTOR!$B$20,0))</f>
        <v/>
      </c>
      <c r="L418" s="117">
        <f>IF(C418="","",IF(F418="","EKSİK","TAM"))</f>
        <v/>
      </c>
      <c r="M418" s="118" t="n"/>
    </row>
    <row r="419" ht="15" customHeight="1" s="64">
      <c r="A419" s="118" t="n"/>
      <c r="B419" s="118" t="n"/>
      <c r="C419" s="118" t="n"/>
      <c r="D419" s="118" t="n"/>
      <c r="E419" s="118" t="n"/>
      <c r="F419" s="118" t="n"/>
      <c r="G419" s="120">
        <f>IF(C419="","",C419*D419)</f>
        <v/>
      </c>
      <c r="H419" s="120">
        <f>IF(C419="","",C419*E419)</f>
        <v/>
      </c>
      <c r="I419" s="115">
        <f>IF(C419="","",IFERROR(D419/(E419+(E419=0))-1,0))</f>
        <v/>
      </c>
      <c r="J419" s="117">
        <f>IF(C419="","",IF(ABS(I419)&gt;AYARLAR!$C$14,"RİSKLİ","NORMAL"))</f>
        <v/>
      </c>
      <c r="K419" s="115">
        <f>IF(G419="","",IFERROR(G419/MOTOR!$B$20,0))</f>
        <v/>
      </c>
      <c r="L419" s="117">
        <f>IF(C419="","",IF(F419="","EKSİK","TAM"))</f>
        <v/>
      </c>
      <c r="M419" s="118" t="n"/>
    </row>
    <row r="420" ht="15" customHeight="1" s="64">
      <c r="A420" s="118" t="n"/>
      <c r="B420" s="118" t="n"/>
      <c r="C420" s="118" t="n"/>
      <c r="D420" s="118" t="n"/>
      <c r="E420" s="118" t="n"/>
      <c r="F420" s="118" t="n"/>
      <c r="G420" s="120">
        <f>IF(C420="","",C420*D420)</f>
        <v/>
      </c>
      <c r="H420" s="120">
        <f>IF(C420="","",C420*E420)</f>
        <v/>
      </c>
      <c r="I420" s="115">
        <f>IF(C420="","",IFERROR(D420/(E420+(E420=0))-1,0))</f>
        <v/>
      </c>
      <c r="J420" s="117">
        <f>IF(C420="","",IF(ABS(I420)&gt;AYARLAR!$C$14,"RİSKLİ","NORMAL"))</f>
        <v/>
      </c>
      <c r="K420" s="115">
        <f>IF(G420="","",IFERROR(G420/MOTOR!$B$20,0))</f>
        <v/>
      </c>
      <c r="L420" s="117">
        <f>IF(C420="","",IF(F420="","EKSİK","TAM"))</f>
        <v/>
      </c>
      <c r="M420" s="118" t="n"/>
    </row>
    <row r="421" ht="15" customHeight="1" s="64">
      <c r="A421" s="118" t="n"/>
      <c r="B421" s="118" t="n"/>
      <c r="C421" s="118" t="n"/>
      <c r="D421" s="118" t="n"/>
      <c r="E421" s="118" t="n"/>
      <c r="F421" s="118" t="n"/>
      <c r="G421" s="120">
        <f>IF(C421="","",C421*D421)</f>
        <v/>
      </c>
      <c r="H421" s="120">
        <f>IF(C421="","",C421*E421)</f>
        <v/>
      </c>
      <c r="I421" s="115">
        <f>IF(C421="","",IFERROR(D421/(E421+(E421=0))-1,0))</f>
        <v/>
      </c>
      <c r="J421" s="117">
        <f>IF(C421="","",IF(ABS(I421)&gt;AYARLAR!$C$14,"RİSKLİ","NORMAL"))</f>
        <v/>
      </c>
      <c r="K421" s="115">
        <f>IF(G421="","",IFERROR(G421/MOTOR!$B$20,0))</f>
        <v/>
      </c>
      <c r="L421" s="117">
        <f>IF(C421="","",IF(F421="","EKSİK","TAM"))</f>
        <v/>
      </c>
      <c r="M421" s="118" t="n"/>
    </row>
    <row r="422" ht="15" customHeight="1" s="64">
      <c r="A422" s="118" t="n"/>
      <c r="B422" s="118" t="n"/>
      <c r="C422" s="118" t="n"/>
      <c r="D422" s="118" t="n"/>
      <c r="E422" s="118" t="n"/>
      <c r="F422" s="118" t="n"/>
      <c r="G422" s="120">
        <f>IF(C422="","",C422*D422)</f>
        <v/>
      </c>
      <c r="H422" s="120">
        <f>IF(C422="","",C422*E422)</f>
        <v/>
      </c>
      <c r="I422" s="115">
        <f>IF(C422="","",IFERROR(D422/(E422+(E422=0))-1,0))</f>
        <v/>
      </c>
      <c r="J422" s="117">
        <f>IF(C422="","",IF(ABS(I422)&gt;AYARLAR!$C$14,"RİSKLİ","NORMAL"))</f>
        <v/>
      </c>
      <c r="K422" s="115">
        <f>IF(G422="","",IFERROR(G422/MOTOR!$B$20,0))</f>
        <v/>
      </c>
      <c r="L422" s="117">
        <f>IF(C422="","",IF(F422="","EKSİK","TAM"))</f>
        <v/>
      </c>
      <c r="M422" s="118" t="n"/>
    </row>
    <row r="423" ht="15" customHeight="1" s="64">
      <c r="A423" s="118" t="n"/>
      <c r="B423" s="118" t="n"/>
      <c r="C423" s="118" t="n"/>
      <c r="D423" s="118" t="n"/>
      <c r="E423" s="118" t="n"/>
      <c r="F423" s="118" t="n"/>
      <c r="G423" s="120">
        <f>IF(C423="","",C423*D423)</f>
        <v/>
      </c>
      <c r="H423" s="120">
        <f>IF(C423="","",C423*E423)</f>
        <v/>
      </c>
      <c r="I423" s="115">
        <f>IF(C423="","",IFERROR(D423/(E423+(E423=0))-1,0))</f>
        <v/>
      </c>
      <c r="J423" s="117">
        <f>IF(C423="","",IF(ABS(I423)&gt;AYARLAR!$C$14,"RİSKLİ","NORMAL"))</f>
        <v/>
      </c>
      <c r="K423" s="115">
        <f>IF(G423="","",IFERROR(G423/MOTOR!$B$20,0))</f>
        <v/>
      </c>
      <c r="L423" s="117">
        <f>IF(C423="","",IF(F423="","EKSİK","TAM"))</f>
        <v/>
      </c>
      <c r="M423" s="118" t="n"/>
    </row>
    <row r="424" ht="15" customHeight="1" s="64">
      <c r="A424" s="118" t="n"/>
      <c r="B424" s="118" t="n"/>
      <c r="C424" s="118" t="n"/>
      <c r="D424" s="118" t="n"/>
      <c r="E424" s="118" t="n"/>
      <c r="F424" s="118" t="n"/>
      <c r="G424" s="120">
        <f>IF(C424="","",C424*D424)</f>
        <v/>
      </c>
      <c r="H424" s="120">
        <f>IF(C424="","",C424*E424)</f>
        <v/>
      </c>
      <c r="I424" s="115">
        <f>IF(C424="","",IFERROR(D424/(E424+(E424=0))-1,0))</f>
        <v/>
      </c>
      <c r="J424" s="117">
        <f>IF(C424="","",IF(ABS(I424)&gt;AYARLAR!$C$14,"RİSKLİ","NORMAL"))</f>
        <v/>
      </c>
      <c r="K424" s="115">
        <f>IF(G424="","",IFERROR(G424/MOTOR!$B$20,0))</f>
        <v/>
      </c>
      <c r="L424" s="117">
        <f>IF(C424="","",IF(F424="","EKSİK","TAM"))</f>
        <v/>
      </c>
      <c r="M424" s="118" t="n"/>
    </row>
    <row r="425" ht="15" customHeight="1" s="64">
      <c r="A425" s="118" t="n"/>
      <c r="B425" s="118" t="n"/>
      <c r="C425" s="118" t="n"/>
      <c r="D425" s="118" t="n"/>
      <c r="E425" s="118" t="n"/>
      <c r="F425" s="118" t="n"/>
      <c r="G425" s="120">
        <f>IF(C425="","",C425*D425)</f>
        <v/>
      </c>
      <c r="H425" s="120">
        <f>IF(C425="","",C425*E425)</f>
        <v/>
      </c>
      <c r="I425" s="115">
        <f>IF(C425="","",IFERROR(D425/(E425+(E425=0))-1,0))</f>
        <v/>
      </c>
      <c r="J425" s="117">
        <f>IF(C425="","",IF(ABS(I425)&gt;AYARLAR!$C$14,"RİSKLİ","NORMAL"))</f>
        <v/>
      </c>
      <c r="K425" s="115">
        <f>IF(G425="","",IFERROR(G425/MOTOR!$B$20,0))</f>
        <v/>
      </c>
      <c r="L425" s="117">
        <f>IF(C425="","",IF(F425="","EKSİK","TAM"))</f>
        <v/>
      </c>
      <c r="M425" s="118" t="n"/>
    </row>
    <row r="426" ht="15" customHeight="1" s="64">
      <c r="A426" s="118" t="n"/>
      <c r="B426" s="118" t="n"/>
      <c r="C426" s="118" t="n"/>
      <c r="D426" s="118" t="n"/>
      <c r="E426" s="118" t="n"/>
      <c r="F426" s="118" t="n"/>
      <c r="G426" s="120">
        <f>IF(C426="","",C426*D426)</f>
        <v/>
      </c>
      <c r="H426" s="120">
        <f>IF(C426="","",C426*E426)</f>
        <v/>
      </c>
      <c r="I426" s="115">
        <f>IF(C426="","",IFERROR(D426/(E426+(E426=0))-1,0))</f>
        <v/>
      </c>
      <c r="J426" s="117">
        <f>IF(C426="","",IF(ABS(I426)&gt;AYARLAR!$C$14,"RİSKLİ","NORMAL"))</f>
        <v/>
      </c>
      <c r="K426" s="115">
        <f>IF(G426="","",IFERROR(G426/MOTOR!$B$20,0))</f>
        <v/>
      </c>
      <c r="L426" s="117">
        <f>IF(C426="","",IF(F426="","EKSİK","TAM"))</f>
        <v/>
      </c>
      <c r="M426" s="118" t="n"/>
    </row>
    <row r="427" ht="15" customHeight="1" s="64">
      <c r="A427" s="118" t="n"/>
      <c r="B427" s="118" t="n"/>
      <c r="C427" s="118" t="n"/>
      <c r="D427" s="118" t="n"/>
      <c r="E427" s="118" t="n"/>
      <c r="F427" s="118" t="n"/>
      <c r="G427" s="120">
        <f>IF(C427="","",C427*D427)</f>
        <v/>
      </c>
      <c r="H427" s="120">
        <f>IF(C427="","",C427*E427)</f>
        <v/>
      </c>
      <c r="I427" s="115">
        <f>IF(C427="","",IFERROR(D427/(E427+(E427=0))-1,0))</f>
        <v/>
      </c>
      <c r="J427" s="117">
        <f>IF(C427="","",IF(ABS(I427)&gt;AYARLAR!$C$14,"RİSKLİ","NORMAL"))</f>
        <v/>
      </c>
      <c r="K427" s="115">
        <f>IF(G427="","",IFERROR(G427/MOTOR!$B$20,0))</f>
        <v/>
      </c>
      <c r="L427" s="117">
        <f>IF(C427="","",IF(F427="","EKSİK","TAM"))</f>
        <v/>
      </c>
      <c r="M427" s="118" t="n"/>
    </row>
    <row r="428" ht="15" customHeight="1" s="64">
      <c r="A428" s="118" t="n"/>
      <c r="B428" s="118" t="n"/>
      <c r="C428" s="118" t="n"/>
      <c r="D428" s="118" t="n"/>
      <c r="E428" s="118" t="n"/>
      <c r="F428" s="118" t="n"/>
      <c r="G428" s="120">
        <f>IF(C428="","",C428*D428)</f>
        <v/>
      </c>
      <c r="H428" s="120">
        <f>IF(C428="","",C428*E428)</f>
        <v/>
      </c>
      <c r="I428" s="115">
        <f>IF(C428="","",IFERROR(D428/(E428+(E428=0))-1,0))</f>
        <v/>
      </c>
      <c r="J428" s="117">
        <f>IF(C428="","",IF(ABS(I428)&gt;AYARLAR!$C$14,"RİSKLİ","NORMAL"))</f>
        <v/>
      </c>
      <c r="K428" s="115">
        <f>IF(G428="","",IFERROR(G428/MOTOR!$B$20,0))</f>
        <v/>
      </c>
      <c r="L428" s="117">
        <f>IF(C428="","",IF(F428="","EKSİK","TAM"))</f>
        <v/>
      </c>
      <c r="M428" s="118" t="n"/>
    </row>
    <row r="429" ht="15" customHeight="1" s="64">
      <c r="A429" s="118" t="n"/>
      <c r="B429" s="118" t="n"/>
      <c r="C429" s="118" t="n"/>
      <c r="D429" s="118" t="n"/>
      <c r="E429" s="118" t="n"/>
      <c r="F429" s="118" t="n"/>
      <c r="G429" s="120">
        <f>IF(C429="","",C429*D429)</f>
        <v/>
      </c>
      <c r="H429" s="120">
        <f>IF(C429="","",C429*E429)</f>
        <v/>
      </c>
      <c r="I429" s="115">
        <f>IF(C429="","",IFERROR(D429/(E429+(E429=0))-1,0))</f>
        <v/>
      </c>
      <c r="J429" s="117">
        <f>IF(C429="","",IF(ABS(I429)&gt;AYARLAR!$C$14,"RİSKLİ","NORMAL"))</f>
        <v/>
      </c>
      <c r="K429" s="115">
        <f>IF(G429="","",IFERROR(G429/MOTOR!$B$20,0))</f>
        <v/>
      </c>
      <c r="L429" s="117">
        <f>IF(C429="","",IF(F429="","EKSİK","TAM"))</f>
        <v/>
      </c>
      <c r="M429" s="118" t="n"/>
    </row>
    <row r="430" ht="15" customHeight="1" s="64">
      <c r="A430" s="118" t="n"/>
      <c r="B430" s="118" t="n"/>
      <c r="C430" s="118" t="n"/>
      <c r="D430" s="118" t="n"/>
      <c r="E430" s="118" t="n"/>
      <c r="F430" s="118" t="n"/>
      <c r="G430" s="120">
        <f>IF(C430="","",C430*D430)</f>
        <v/>
      </c>
      <c r="H430" s="120">
        <f>IF(C430="","",C430*E430)</f>
        <v/>
      </c>
      <c r="I430" s="115">
        <f>IF(C430="","",IFERROR(D430/(E430+(E430=0))-1,0))</f>
        <v/>
      </c>
      <c r="J430" s="117">
        <f>IF(C430="","",IF(ABS(I430)&gt;AYARLAR!$C$14,"RİSKLİ","NORMAL"))</f>
        <v/>
      </c>
      <c r="K430" s="115">
        <f>IF(G430="","",IFERROR(G430/MOTOR!$B$20,0))</f>
        <v/>
      </c>
      <c r="L430" s="117">
        <f>IF(C430="","",IF(F430="","EKSİK","TAM"))</f>
        <v/>
      </c>
      <c r="M430" s="118" t="n"/>
    </row>
    <row r="431" ht="15" customHeight="1" s="64">
      <c r="A431" s="118" t="n"/>
      <c r="B431" s="118" t="n"/>
      <c r="C431" s="118" t="n"/>
      <c r="D431" s="118" t="n"/>
      <c r="E431" s="118" t="n"/>
      <c r="F431" s="118" t="n"/>
      <c r="G431" s="120">
        <f>IF(C431="","",C431*D431)</f>
        <v/>
      </c>
      <c r="H431" s="120">
        <f>IF(C431="","",C431*E431)</f>
        <v/>
      </c>
      <c r="I431" s="115">
        <f>IF(C431="","",IFERROR(D431/(E431+(E431=0))-1,0))</f>
        <v/>
      </c>
      <c r="J431" s="117">
        <f>IF(C431="","",IF(ABS(I431)&gt;AYARLAR!$C$14,"RİSKLİ","NORMAL"))</f>
        <v/>
      </c>
      <c r="K431" s="115">
        <f>IF(G431="","",IFERROR(G431/MOTOR!$B$20,0))</f>
        <v/>
      </c>
      <c r="L431" s="117">
        <f>IF(C431="","",IF(F431="","EKSİK","TAM"))</f>
        <v/>
      </c>
      <c r="M431" s="118" t="n"/>
    </row>
    <row r="432" ht="15" customHeight="1" s="64">
      <c r="A432" s="118" t="n"/>
      <c r="B432" s="118" t="n"/>
      <c r="C432" s="118" t="n"/>
      <c r="D432" s="118" t="n"/>
      <c r="E432" s="118" t="n"/>
      <c r="F432" s="118" t="n"/>
      <c r="G432" s="120">
        <f>IF(C432="","",C432*D432)</f>
        <v/>
      </c>
      <c r="H432" s="120">
        <f>IF(C432="","",C432*E432)</f>
        <v/>
      </c>
      <c r="I432" s="115">
        <f>IF(C432="","",IFERROR(D432/(E432+(E432=0))-1,0))</f>
        <v/>
      </c>
      <c r="J432" s="117">
        <f>IF(C432="","",IF(ABS(I432)&gt;AYARLAR!$C$14,"RİSKLİ","NORMAL"))</f>
        <v/>
      </c>
      <c r="K432" s="115">
        <f>IF(G432="","",IFERROR(G432/MOTOR!$B$20,0))</f>
        <v/>
      </c>
      <c r="L432" s="117">
        <f>IF(C432="","",IF(F432="","EKSİK","TAM"))</f>
        <v/>
      </c>
      <c r="M432" s="118" t="n"/>
    </row>
    <row r="433" ht="15" customHeight="1" s="64">
      <c r="A433" s="118" t="n"/>
      <c r="B433" s="118" t="n"/>
      <c r="C433" s="118" t="n"/>
      <c r="D433" s="118" t="n"/>
      <c r="E433" s="118" t="n"/>
      <c r="F433" s="118" t="n"/>
      <c r="G433" s="120">
        <f>IF(C433="","",C433*D433)</f>
        <v/>
      </c>
      <c r="H433" s="120">
        <f>IF(C433="","",C433*E433)</f>
        <v/>
      </c>
      <c r="I433" s="115">
        <f>IF(C433="","",IFERROR(D433/(E433+(E433=0))-1,0))</f>
        <v/>
      </c>
      <c r="J433" s="117">
        <f>IF(C433="","",IF(ABS(I433)&gt;AYARLAR!$C$14,"RİSKLİ","NORMAL"))</f>
        <v/>
      </c>
      <c r="K433" s="115">
        <f>IF(G433="","",IFERROR(G433/MOTOR!$B$20,0))</f>
        <v/>
      </c>
      <c r="L433" s="117">
        <f>IF(C433="","",IF(F433="","EKSİK","TAM"))</f>
        <v/>
      </c>
      <c r="M433" s="118" t="n"/>
    </row>
    <row r="434" ht="15" customHeight="1" s="64">
      <c r="A434" s="118" t="n"/>
      <c r="B434" s="118" t="n"/>
      <c r="C434" s="118" t="n"/>
      <c r="D434" s="118" t="n"/>
      <c r="E434" s="118" t="n"/>
      <c r="F434" s="118" t="n"/>
      <c r="G434" s="120">
        <f>IF(C434="","",C434*D434)</f>
        <v/>
      </c>
      <c r="H434" s="120">
        <f>IF(C434="","",C434*E434)</f>
        <v/>
      </c>
      <c r="I434" s="115">
        <f>IF(C434="","",IFERROR(D434/(E434+(E434=0))-1,0))</f>
        <v/>
      </c>
      <c r="J434" s="117">
        <f>IF(C434="","",IF(ABS(I434)&gt;AYARLAR!$C$14,"RİSKLİ","NORMAL"))</f>
        <v/>
      </c>
      <c r="K434" s="115">
        <f>IF(G434="","",IFERROR(G434/MOTOR!$B$20,0))</f>
        <v/>
      </c>
      <c r="L434" s="117">
        <f>IF(C434="","",IF(F434="","EKSİK","TAM"))</f>
        <v/>
      </c>
      <c r="M434" s="118" t="n"/>
    </row>
    <row r="435" ht="15" customHeight="1" s="64">
      <c r="A435" s="118" t="n"/>
      <c r="B435" s="118" t="n"/>
      <c r="C435" s="118" t="n"/>
      <c r="D435" s="118" t="n"/>
      <c r="E435" s="118" t="n"/>
      <c r="F435" s="118" t="n"/>
      <c r="G435" s="120">
        <f>IF(C435="","",C435*D435)</f>
        <v/>
      </c>
      <c r="H435" s="120">
        <f>IF(C435="","",C435*E435)</f>
        <v/>
      </c>
      <c r="I435" s="115">
        <f>IF(C435="","",IFERROR(D435/(E435+(E435=0))-1,0))</f>
        <v/>
      </c>
      <c r="J435" s="117">
        <f>IF(C435="","",IF(ABS(I435)&gt;AYARLAR!$C$14,"RİSKLİ","NORMAL"))</f>
        <v/>
      </c>
      <c r="K435" s="115">
        <f>IF(G435="","",IFERROR(G435/MOTOR!$B$20,0))</f>
        <v/>
      </c>
      <c r="L435" s="117">
        <f>IF(C435="","",IF(F435="","EKSİK","TAM"))</f>
        <v/>
      </c>
      <c r="M435" s="118" t="n"/>
    </row>
    <row r="436" ht="15" customHeight="1" s="64">
      <c r="A436" s="118" t="n"/>
      <c r="B436" s="118" t="n"/>
      <c r="C436" s="118" t="n"/>
      <c r="D436" s="118" t="n"/>
      <c r="E436" s="118" t="n"/>
      <c r="F436" s="118" t="n"/>
      <c r="G436" s="120">
        <f>IF(C436="","",C436*D436)</f>
        <v/>
      </c>
      <c r="H436" s="120">
        <f>IF(C436="","",C436*E436)</f>
        <v/>
      </c>
      <c r="I436" s="115">
        <f>IF(C436="","",IFERROR(D436/(E436+(E436=0))-1,0))</f>
        <v/>
      </c>
      <c r="J436" s="117">
        <f>IF(C436="","",IF(ABS(I436)&gt;AYARLAR!$C$14,"RİSKLİ","NORMAL"))</f>
        <v/>
      </c>
      <c r="K436" s="115">
        <f>IF(G436="","",IFERROR(G436/MOTOR!$B$20,0))</f>
        <v/>
      </c>
      <c r="L436" s="117">
        <f>IF(C436="","",IF(F436="","EKSİK","TAM"))</f>
        <v/>
      </c>
      <c r="M436" s="118" t="n"/>
    </row>
    <row r="437" ht="15" customHeight="1" s="64">
      <c r="A437" s="118" t="n"/>
      <c r="B437" s="118" t="n"/>
      <c r="C437" s="118" t="n"/>
      <c r="D437" s="118" t="n"/>
      <c r="E437" s="118" t="n"/>
      <c r="F437" s="118" t="n"/>
      <c r="G437" s="120">
        <f>IF(C437="","",C437*D437)</f>
        <v/>
      </c>
      <c r="H437" s="120">
        <f>IF(C437="","",C437*E437)</f>
        <v/>
      </c>
      <c r="I437" s="115">
        <f>IF(C437="","",IFERROR(D437/(E437+(E437=0))-1,0))</f>
        <v/>
      </c>
      <c r="J437" s="117">
        <f>IF(C437="","",IF(ABS(I437)&gt;AYARLAR!$C$14,"RİSKLİ","NORMAL"))</f>
        <v/>
      </c>
      <c r="K437" s="115">
        <f>IF(G437="","",IFERROR(G437/MOTOR!$B$20,0))</f>
        <v/>
      </c>
      <c r="L437" s="117">
        <f>IF(C437="","",IF(F437="","EKSİK","TAM"))</f>
        <v/>
      </c>
      <c r="M437" s="118" t="n"/>
    </row>
    <row r="438" ht="15" customHeight="1" s="64">
      <c r="A438" s="118" t="n"/>
      <c r="B438" s="118" t="n"/>
      <c r="C438" s="118" t="n"/>
      <c r="D438" s="118" t="n"/>
      <c r="E438" s="118" t="n"/>
      <c r="F438" s="118" t="n"/>
      <c r="G438" s="120">
        <f>IF(C438="","",C438*D438)</f>
        <v/>
      </c>
      <c r="H438" s="120">
        <f>IF(C438="","",C438*E438)</f>
        <v/>
      </c>
      <c r="I438" s="115">
        <f>IF(C438="","",IFERROR(D438/(E438+(E438=0))-1,0))</f>
        <v/>
      </c>
      <c r="J438" s="117">
        <f>IF(C438="","",IF(ABS(I438)&gt;AYARLAR!$C$14,"RİSKLİ","NORMAL"))</f>
        <v/>
      </c>
      <c r="K438" s="115">
        <f>IF(G438="","",IFERROR(G438/MOTOR!$B$20,0))</f>
        <v/>
      </c>
      <c r="L438" s="117">
        <f>IF(C438="","",IF(F438="","EKSİK","TAM"))</f>
        <v/>
      </c>
      <c r="M438" s="118" t="n"/>
    </row>
    <row r="439" ht="15" customHeight="1" s="64">
      <c r="A439" s="118" t="n"/>
      <c r="B439" s="118" t="n"/>
      <c r="C439" s="118" t="n"/>
      <c r="D439" s="118" t="n"/>
      <c r="E439" s="118" t="n"/>
      <c r="F439" s="118" t="n"/>
      <c r="G439" s="120">
        <f>IF(C439="","",C439*D439)</f>
        <v/>
      </c>
      <c r="H439" s="120">
        <f>IF(C439="","",C439*E439)</f>
        <v/>
      </c>
      <c r="I439" s="115">
        <f>IF(C439="","",IFERROR(D439/(E439+(E439=0))-1,0))</f>
        <v/>
      </c>
      <c r="J439" s="117">
        <f>IF(C439="","",IF(ABS(I439)&gt;AYARLAR!$C$14,"RİSKLİ","NORMAL"))</f>
        <v/>
      </c>
      <c r="K439" s="115">
        <f>IF(G439="","",IFERROR(G439/MOTOR!$B$20,0))</f>
        <v/>
      </c>
      <c r="L439" s="117">
        <f>IF(C439="","",IF(F439="","EKSİK","TAM"))</f>
        <v/>
      </c>
      <c r="M439" s="118" t="n"/>
    </row>
    <row r="440" ht="15" customHeight="1" s="64">
      <c r="A440" s="118" t="n"/>
      <c r="B440" s="118" t="n"/>
      <c r="C440" s="118" t="n"/>
      <c r="D440" s="118" t="n"/>
      <c r="E440" s="118" t="n"/>
      <c r="F440" s="118" t="n"/>
      <c r="G440" s="120">
        <f>IF(C440="","",C440*D440)</f>
        <v/>
      </c>
      <c r="H440" s="120">
        <f>IF(C440="","",C440*E440)</f>
        <v/>
      </c>
      <c r="I440" s="115">
        <f>IF(C440="","",IFERROR(D440/(E440+(E440=0))-1,0))</f>
        <v/>
      </c>
      <c r="J440" s="117">
        <f>IF(C440="","",IF(ABS(I440)&gt;AYARLAR!$C$14,"RİSKLİ","NORMAL"))</f>
        <v/>
      </c>
      <c r="K440" s="115">
        <f>IF(G440="","",IFERROR(G440/MOTOR!$B$20,0))</f>
        <v/>
      </c>
      <c r="L440" s="117">
        <f>IF(C440="","",IF(F440="","EKSİK","TAM"))</f>
        <v/>
      </c>
      <c r="M440" s="118" t="n"/>
    </row>
    <row r="441" ht="15" customHeight="1" s="64">
      <c r="A441" s="118" t="n"/>
      <c r="B441" s="118" t="n"/>
      <c r="C441" s="118" t="n"/>
      <c r="D441" s="118" t="n"/>
      <c r="E441" s="118" t="n"/>
      <c r="F441" s="118" t="n"/>
      <c r="G441" s="120">
        <f>IF(C441="","",C441*D441)</f>
        <v/>
      </c>
      <c r="H441" s="120">
        <f>IF(C441="","",C441*E441)</f>
        <v/>
      </c>
      <c r="I441" s="115">
        <f>IF(C441="","",IFERROR(D441/(E441+(E441=0))-1,0))</f>
        <v/>
      </c>
      <c r="J441" s="117">
        <f>IF(C441="","",IF(ABS(I441)&gt;AYARLAR!$C$14,"RİSKLİ","NORMAL"))</f>
        <v/>
      </c>
      <c r="K441" s="115">
        <f>IF(G441="","",IFERROR(G441/MOTOR!$B$20,0))</f>
        <v/>
      </c>
      <c r="L441" s="117">
        <f>IF(C441="","",IF(F441="","EKSİK","TAM"))</f>
        <v/>
      </c>
      <c r="M441" s="118" t="n"/>
    </row>
    <row r="442" ht="15" customHeight="1" s="64">
      <c r="A442" s="118" t="n"/>
      <c r="B442" s="118" t="n"/>
      <c r="C442" s="118" t="n"/>
      <c r="D442" s="118" t="n"/>
      <c r="E442" s="118" t="n"/>
      <c r="F442" s="118" t="n"/>
      <c r="G442" s="120">
        <f>IF(C442="","",C442*D442)</f>
        <v/>
      </c>
      <c r="H442" s="120">
        <f>IF(C442="","",C442*E442)</f>
        <v/>
      </c>
      <c r="I442" s="115">
        <f>IF(C442="","",IFERROR(D442/(E442+(E442=0))-1,0))</f>
        <v/>
      </c>
      <c r="J442" s="117">
        <f>IF(C442="","",IF(ABS(I442)&gt;AYARLAR!$C$14,"RİSKLİ","NORMAL"))</f>
        <v/>
      </c>
      <c r="K442" s="115">
        <f>IF(G442="","",IFERROR(G442/MOTOR!$B$20,0))</f>
        <v/>
      </c>
      <c r="L442" s="117">
        <f>IF(C442="","",IF(F442="","EKSİK","TAM"))</f>
        <v/>
      </c>
      <c r="M442" s="118" t="n"/>
    </row>
    <row r="443" ht="15" customHeight="1" s="64">
      <c r="A443" s="118" t="n"/>
      <c r="B443" s="118" t="n"/>
      <c r="C443" s="118" t="n"/>
      <c r="D443" s="118" t="n"/>
      <c r="E443" s="118" t="n"/>
      <c r="F443" s="118" t="n"/>
      <c r="G443" s="120">
        <f>IF(C443="","",C443*D443)</f>
        <v/>
      </c>
      <c r="H443" s="120">
        <f>IF(C443="","",C443*E443)</f>
        <v/>
      </c>
      <c r="I443" s="115">
        <f>IF(C443="","",IFERROR(D443/(E443+(E443=0))-1,0))</f>
        <v/>
      </c>
      <c r="J443" s="117">
        <f>IF(C443="","",IF(ABS(I443)&gt;AYARLAR!$C$14,"RİSKLİ","NORMAL"))</f>
        <v/>
      </c>
      <c r="K443" s="115">
        <f>IF(G443="","",IFERROR(G443/MOTOR!$B$20,0))</f>
        <v/>
      </c>
      <c r="L443" s="117">
        <f>IF(C443="","",IF(F443="","EKSİK","TAM"))</f>
        <v/>
      </c>
      <c r="M443" s="118" t="n"/>
    </row>
    <row r="444" ht="15" customHeight="1" s="64">
      <c r="A444" s="118" t="n"/>
      <c r="B444" s="118" t="n"/>
      <c r="C444" s="118" t="n"/>
      <c r="D444" s="118" t="n"/>
      <c r="E444" s="118" t="n"/>
      <c r="F444" s="118" t="n"/>
      <c r="G444" s="120">
        <f>IF(C444="","",C444*D444)</f>
        <v/>
      </c>
      <c r="H444" s="120">
        <f>IF(C444="","",C444*E444)</f>
        <v/>
      </c>
      <c r="I444" s="115">
        <f>IF(C444="","",IFERROR(D444/(E444+(E444=0))-1,0))</f>
        <v/>
      </c>
      <c r="J444" s="117">
        <f>IF(C444="","",IF(ABS(I444)&gt;AYARLAR!$C$14,"RİSKLİ","NORMAL"))</f>
        <v/>
      </c>
      <c r="K444" s="115">
        <f>IF(G444="","",IFERROR(G444/MOTOR!$B$20,0))</f>
        <v/>
      </c>
      <c r="L444" s="117">
        <f>IF(C444="","",IF(F444="","EKSİK","TAM"))</f>
        <v/>
      </c>
      <c r="M444" s="118" t="n"/>
    </row>
    <row r="445" ht="15" customHeight="1" s="64">
      <c r="A445" s="118" t="n"/>
      <c r="B445" s="118" t="n"/>
      <c r="C445" s="118" t="n"/>
      <c r="D445" s="118" t="n"/>
      <c r="E445" s="118" t="n"/>
      <c r="F445" s="118" t="n"/>
      <c r="G445" s="120">
        <f>IF(C445="","",C445*D445)</f>
        <v/>
      </c>
      <c r="H445" s="120">
        <f>IF(C445="","",C445*E445)</f>
        <v/>
      </c>
      <c r="I445" s="115">
        <f>IF(C445="","",IFERROR(D445/(E445+(E445=0))-1,0))</f>
        <v/>
      </c>
      <c r="J445" s="117">
        <f>IF(C445="","",IF(ABS(I445)&gt;AYARLAR!$C$14,"RİSKLİ","NORMAL"))</f>
        <v/>
      </c>
      <c r="K445" s="115">
        <f>IF(G445="","",IFERROR(G445/MOTOR!$B$20,0))</f>
        <v/>
      </c>
      <c r="L445" s="117">
        <f>IF(C445="","",IF(F445="","EKSİK","TAM"))</f>
        <v/>
      </c>
      <c r="M445" s="118" t="n"/>
    </row>
    <row r="446" ht="15" customHeight="1" s="64">
      <c r="A446" s="118" t="n"/>
      <c r="B446" s="118" t="n"/>
      <c r="C446" s="118" t="n"/>
      <c r="D446" s="118" t="n"/>
      <c r="E446" s="118" t="n"/>
      <c r="F446" s="118" t="n"/>
      <c r="G446" s="120">
        <f>IF(C446="","",C446*D446)</f>
        <v/>
      </c>
      <c r="H446" s="120">
        <f>IF(C446="","",C446*E446)</f>
        <v/>
      </c>
      <c r="I446" s="115">
        <f>IF(C446="","",IFERROR(D446/(E446+(E446=0))-1,0))</f>
        <v/>
      </c>
      <c r="J446" s="117">
        <f>IF(C446="","",IF(ABS(I446)&gt;AYARLAR!$C$14,"RİSKLİ","NORMAL"))</f>
        <v/>
      </c>
      <c r="K446" s="115">
        <f>IF(G446="","",IFERROR(G446/MOTOR!$B$20,0))</f>
        <v/>
      </c>
      <c r="L446" s="117">
        <f>IF(C446="","",IF(F446="","EKSİK","TAM"))</f>
        <v/>
      </c>
      <c r="M446" s="118" t="n"/>
    </row>
    <row r="447" ht="15" customHeight="1" s="64">
      <c r="A447" s="118" t="n"/>
      <c r="B447" s="118" t="n"/>
      <c r="C447" s="118" t="n"/>
      <c r="D447" s="118" t="n"/>
      <c r="E447" s="118" t="n"/>
      <c r="F447" s="118" t="n"/>
      <c r="G447" s="120">
        <f>IF(C447="","",C447*D447)</f>
        <v/>
      </c>
      <c r="H447" s="120">
        <f>IF(C447="","",C447*E447)</f>
        <v/>
      </c>
      <c r="I447" s="115">
        <f>IF(C447="","",IFERROR(D447/(E447+(E447=0))-1,0))</f>
        <v/>
      </c>
      <c r="J447" s="117">
        <f>IF(C447="","",IF(ABS(I447)&gt;AYARLAR!$C$14,"RİSKLİ","NORMAL"))</f>
        <v/>
      </c>
      <c r="K447" s="115">
        <f>IF(G447="","",IFERROR(G447/MOTOR!$B$20,0))</f>
        <v/>
      </c>
      <c r="L447" s="117">
        <f>IF(C447="","",IF(F447="","EKSİK","TAM"))</f>
        <v/>
      </c>
      <c r="M447" s="118" t="n"/>
    </row>
    <row r="448" ht="15" customHeight="1" s="64">
      <c r="A448" s="118" t="n"/>
      <c r="B448" s="118" t="n"/>
      <c r="C448" s="118" t="n"/>
      <c r="D448" s="118" t="n"/>
      <c r="E448" s="118" t="n"/>
      <c r="F448" s="118" t="n"/>
      <c r="G448" s="120">
        <f>IF(C448="","",C448*D448)</f>
        <v/>
      </c>
      <c r="H448" s="120">
        <f>IF(C448="","",C448*E448)</f>
        <v/>
      </c>
      <c r="I448" s="115">
        <f>IF(C448="","",IFERROR(D448/(E448+(E448=0))-1,0))</f>
        <v/>
      </c>
      <c r="J448" s="117">
        <f>IF(C448="","",IF(ABS(I448)&gt;AYARLAR!$C$14,"RİSKLİ","NORMAL"))</f>
        <v/>
      </c>
      <c r="K448" s="115">
        <f>IF(G448="","",IFERROR(G448/MOTOR!$B$20,0))</f>
        <v/>
      </c>
      <c r="L448" s="117">
        <f>IF(C448="","",IF(F448="","EKSİK","TAM"))</f>
        <v/>
      </c>
      <c r="M448" s="118" t="n"/>
    </row>
    <row r="449" ht="15" customHeight="1" s="64">
      <c r="A449" s="118" t="n"/>
      <c r="B449" s="118" t="n"/>
      <c r="C449" s="118" t="n"/>
      <c r="D449" s="118" t="n"/>
      <c r="E449" s="118" t="n"/>
      <c r="F449" s="118" t="n"/>
      <c r="G449" s="120">
        <f>IF(C449="","",C449*D449)</f>
        <v/>
      </c>
      <c r="H449" s="120">
        <f>IF(C449="","",C449*E449)</f>
        <v/>
      </c>
      <c r="I449" s="115">
        <f>IF(C449="","",IFERROR(D449/(E449+(E449=0))-1,0))</f>
        <v/>
      </c>
      <c r="J449" s="117">
        <f>IF(C449="","",IF(ABS(I449)&gt;AYARLAR!$C$14,"RİSKLİ","NORMAL"))</f>
        <v/>
      </c>
      <c r="K449" s="115">
        <f>IF(G449="","",IFERROR(G449/MOTOR!$B$20,0))</f>
        <v/>
      </c>
      <c r="L449" s="117">
        <f>IF(C449="","",IF(F449="","EKSİK","TAM"))</f>
        <v/>
      </c>
      <c r="M449" s="118" t="n"/>
    </row>
    <row r="450" ht="15" customHeight="1" s="64">
      <c r="A450" s="118" t="n"/>
      <c r="B450" s="118" t="n"/>
      <c r="C450" s="118" t="n"/>
      <c r="D450" s="118" t="n"/>
      <c r="E450" s="118" t="n"/>
      <c r="F450" s="118" t="n"/>
      <c r="G450" s="120">
        <f>IF(C450="","",C450*D450)</f>
        <v/>
      </c>
      <c r="H450" s="120">
        <f>IF(C450="","",C450*E450)</f>
        <v/>
      </c>
      <c r="I450" s="115">
        <f>IF(C450="","",IFERROR(D450/(E450+(E450=0))-1,0))</f>
        <v/>
      </c>
      <c r="J450" s="117">
        <f>IF(C450="","",IF(ABS(I450)&gt;AYARLAR!$C$14,"RİSKLİ","NORMAL"))</f>
        <v/>
      </c>
      <c r="K450" s="115">
        <f>IF(G450="","",IFERROR(G450/MOTOR!$B$20,0))</f>
        <v/>
      </c>
      <c r="L450" s="117">
        <f>IF(C450="","",IF(F450="","EKSİK","TAM"))</f>
        <v/>
      </c>
      <c r="M450" s="118" t="n"/>
    </row>
    <row r="451" ht="15" customHeight="1" s="64">
      <c r="A451" s="118" t="n"/>
      <c r="B451" s="118" t="n"/>
      <c r="C451" s="118" t="n"/>
      <c r="D451" s="118" t="n"/>
      <c r="E451" s="118" t="n"/>
      <c r="F451" s="118" t="n"/>
      <c r="G451" s="120">
        <f>IF(C451="","",C451*D451)</f>
        <v/>
      </c>
      <c r="H451" s="120">
        <f>IF(C451="","",C451*E451)</f>
        <v/>
      </c>
      <c r="I451" s="115">
        <f>IF(C451="","",IFERROR(D451/(E451+(E451=0))-1,0))</f>
        <v/>
      </c>
      <c r="J451" s="117">
        <f>IF(C451="","",IF(ABS(I451)&gt;AYARLAR!$C$14,"RİSKLİ","NORMAL"))</f>
        <v/>
      </c>
      <c r="K451" s="115">
        <f>IF(G451="","",IFERROR(G451/MOTOR!$B$20,0))</f>
        <v/>
      </c>
      <c r="L451" s="117">
        <f>IF(C451="","",IF(F451="","EKSİK","TAM"))</f>
        <v/>
      </c>
      <c r="M451" s="118" t="n"/>
    </row>
    <row r="452" ht="15" customHeight="1" s="64">
      <c r="A452" s="118" t="n"/>
      <c r="B452" s="118" t="n"/>
      <c r="C452" s="118" t="n"/>
      <c r="D452" s="118" t="n"/>
      <c r="E452" s="118" t="n"/>
      <c r="F452" s="118" t="n"/>
      <c r="G452" s="120">
        <f>IF(C452="","",C452*D452)</f>
        <v/>
      </c>
      <c r="H452" s="120">
        <f>IF(C452="","",C452*E452)</f>
        <v/>
      </c>
      <c r="I452" s="115">
        <f>IF(C452="","",IFERROR(D452/(E452+(E452=0))-1,0))</f>
        <v/>
      </c>
      <c r="J452" s="117">
        <f>IF(C452="","",IF(ABS(I452)&gt;AYARLAR!$C$14,"RİSKLİ","NORMAL"))</f>
        <v/>
      </c>
      <c r="K452" s="115">
        <f>IF(G452="","",IFERROR(G452/MOTOR!$B$20,0))</f>
        <v/>
      </c>
      <c r="L452" s="117">
        <f>IF(C452="","",IF(F452="","EKSİK","TAM"))</f>
        <v/>
      </c>
      <c r="M452" s="118" t="n"/>
    </row>
    <row r="453" ht="15" customHeight="1" s="64">
      <c r="A453" s="118" t="n"/>
      <c r="B453" s="118" t="n"/>
      <c r="C453" s="118" t="n"/>
      <c r="D453" s="118" t="n"/>
      <c r="E453" s="118" t="n"/>
      <c r="F453" s="118" t="n"/>
      <c r="G453" s="120">
        <f>IF(C453="","",C453*D453)</f>
        <v/>
      </c>
      <c r="H453" s="120">
        <f>IF(C453="","",C453*E453)</f>
        <v/>
      </c>
      <c r="I453" s="115">
        <f>IF(C453="","",IFERROR(D453/(E453+(E453=0))-1,0))</f>
        <v/>
      </c>
      <c r="J453" s="117">
        <f>IF(C453="","",IF(ABS(I453)&gt;AYARLAR!$C$14,"RİSKLİ","NORMAL"))</f>
        <v/>
      </c>
      <c r="K453" s="115">
        <f>IF(G453="","",IFERROR(G453/MOTOR!$B$20,0))</f>
        <v/>
      </c>
      <c r="L453" s="117">
        <f>IF(C453="","",IF(F453="","EKSİK","TAM"))</f>
        <v/>
      </c>
      <c r="M453" s="118" t="n"/>
    </row>
    <row r="454" ht="15" customHeight="1" s="64">
      <c r="A454" s="118" t="n"/>
      <c r="B454" s="118" t="n"/>
      <c r="C454" s="118" t="n"/>
      <c r="D454" s="118" t="n"/>
      <c r="E454" s="118" t="n"/>
      <c r="F454" s="118" t="n"/>
      <c r="G454" s="120">
        <f>IF(C454="","",C454*D454)</f>
        <v/>
      </c>
      <c r="H454" s="120">
        <f>IF(C454="","",C454*E454)</f>
        <v/>
      </c>
      <c r="I454" s="115">
        <f>IF(C454="","",IFERROR(D454/(E454+(E454=0))-1,0))</f>
        <v/>
      </c>
      <c r="J454" s="117">
        <f>IF(C454="","",IF(ABS(I454)&gt;AYARLAR!$C$14,"RİSKLİ","NORMAL"))</f>
        <v/>
      </c>
      <c r="K454" s="115">
        <f>IF(G454="","",IFERROR(G454/MOTOR!$B$20,0))</f>
        <v/>
      </c>
      <c r="L454" s="117">
        <f>IF(C454="","",IF(F454="","EKSİK","TAM"))</f>
        <v/>
      </c>
      <c r="M454" s="118" t="n"/>
    </row>
    <row r="455" ht="15" customHeight="1" s="64">
      <c r="A455" s="118" t="n"/>
      <c r="B455" s="118" t="n"/>
      <c r="C455" s="118" t="n"/>
      <c r="D455" s="118" t="n"/>
      <c r="E455" s="118" t="n"/>
      <c r="F455" s="118" t="n"/>
      <c r="G455" s="120">
        <f>IF(C455="","",C455*D455)</f>
        <v/>
      </c>
      <c r="H455" s="120">
        <f>IF(C455="","",C455*E455)</f>
        <v/>
      </c>
      <c r="I455" s="115">
        <f>IF(C455="","",IFERROR(D455/(E455+(E455=0))-1,0))</f>
        <v/>
      </c>
      <c r="J455" s="117">
        <f>IF(C455="","",IF(ABS(I455)&gt;AYARLAR!$C$14,"RİSKLİ","NORMAL"))</f>
        <v/>
      </c>
      <c r="K455" s="115">
        <f>IF(G455="","",IFERROR(G455/MOTOR!$B$20,0))</f>
        <v/>
      </c>
      <c r="L455" s="117">
        <f>IF(C455="","",IF(F455="","EKSİK","TAM"))</f>
        <v/>
      </c>
      <c r="M455" s="118" t="n"/>
    </row>
    <row r="456" ht="15" customHeight="1" s="64">
      <c r="A456" s="118" t="n"/>
      <c r="B456" s="118" t="n"/>
      <c r="C456" s="118" t="n"/>
      <c r="D456" s="118" t="n"/>
      <c r="E456" s="118" t="n"/>
      <c r="F456" s="118" t="n"/>
      <c r="G456" s="120">
        <f>IF(C456="","",C456*D456)</f>
        <v/>
      </c>
      <c r="H456" s="120">
        <f>IF(C456="","",C456*E456)</f>
        <v/>
      </c>
      <c r="I456" s="115">
        <f>IF(C456="","",IFERROR(D456/(E456+(E456=0))-1,0))</f>
        <v/>
      </c>
      <c r="J456" s="117">
        <f>IF(C456="","",IF(ABS(I456)&gt;AYARLAR!$C$14,"RİSKLİ","NORMAL"))</f>
        <v/>
      </c>
      <c r="K456" s="115">
        <f>IF(G456="","",IFERROR(G456/MOTOR!$B$20,0))</f>
        <v/>
      </c>
      <c r="L456" s="117">
        <f>IF(C456="","",IF(F456="","EKSİK","TAM"))</f>
        <v/>
      </c>
      <c r="M456" s="118" t="n"/>
    </row>
    <row r="457" ht="15" customHeight="1" s="64">
      <c r="A457" s="118" t="n"/>
      <c r="B457" s="118" t="n"/>
      <c r="C457" s="118" t="n"/>
      <c r="D457" s="118" t="n"/>
      <c r="E457" s="118" t="n"/>
      <c r="F457" s="118" t="n"/>
      <c r="G457" s="120">
        <f>IF(C457="","",C457*D457)</f>
        <v/>
      </c>
      <c r="H457" s="120">
        <f>IF(C457="","",C457*E457)</f>
        <v/>
      </c>
      <c r="I457" s="115">
        <f>IF(C457="","",IFERROR(D457/(E457+(E457=0))-1,0))</f>
        <v/>
      </c>
      <c r="J457" s="117">
        <f>IF(C457="","",IF(ABS(I457)&gt;AYARLAR!$C$14,"RİSKLİ","NORMAL"))</f>
        <v/>
      </c>
      <c r="K457" s="115">
        <f>IF(G457="","",IFERROR(G457/MOTOR!$B$20,0))</f>
        <v/>
      </c>
      <c r="L457" s="117">
        <f>IF(C457="","",IF(F457="","EKSİK","TAM"))</f>
        <v/>
      </c>
      <c r="M457" s="118" t="n"/>
    </row>
    <row r="458" ht="15" customHeight="1" s="64">
      <c r="A458" s="118" t="n"/>
      <c r="B458" s="118" t="n"/>
      <c r="C458" s="118" t="n"/>
      <c r="D458" s="118" t="n"/>
      <c r="E458" s="118" t="n"/>
      <c r="F458" s="118" t="n"/>
      <c r="G458" s="120">
        <f>IF(C458="","",C458*D458)</f>
        <v/>
      </c>
      <c r="H458" s="120">
        <f>IF(C458="","",C458*E458)</f>
        <v/>
      </c>
      <c r="I458" s="115">
        <f>IF(C458="","",IFERROR(D458/(E458+(E458=0))-1,0))</f>
        <v/>
      </c>
      <c r="J458" s="117">
        <f>IF(C458="","",IF(ABS(I458)&gt;AYARLAR!$C$14,"RİSKLİ","NORMAL"))</f>
        <v/>
      </c>
      <c r="K458" s="115">
        <f>IF(G458="","",IFERROR(G458/MOTOR!$B$20,0))</f>
        <v/>
      </c>
      <c r="L458" s="117">
        <f>IF(C458="","",IF(F458="","EKSİK","TAM"))</f>
        <v/>
      </c>
      <c r="M458" s="118" t="n"/>
    </row>
    <row r="459" ht="15" customHeight="1" s="64">
      <c r="A459" s="118" t="n"/>
      <c r="B459" s="118" t="n"/>
      <c r="C459" s="118" t="n"/>
      <c r="D459" s="118" t="n"/>
      <c r="E459" s="118" t="n"/>
      <c r="F459" s="118" t="n"/>
      <c r="G459" s="120">
        <f>IF(C459="","",C459*D459)</f>
        <v/>
      </c>
      <c r="H459" s="120">
        <f>IF(C459="","",C459*E459)</f>
        <v/>
      </c>
      <c r="I459" s="115">
        <f>IF(C459="","",IFERROR(D459/(E459+(E459=0))-1,0))</f>
        <v/>
      </c>
      <c r="J459" s="117">
        <f>IF(C459="","",IF(ABS(I459)&gt;AYARLAR!$C$14,"RİSKLİ","NORMAL"))</f>
        <v/>
      </c>
      <c r="K459" s="115">
        <f>IF(G459="","",IFERROR(G459/MOTOR!$B$20,0))</f>
        <v/>
      </c>
      <c r="L459" s="117">
        <f>IF(C459="","",IF(F459="","EKSİK","TAM"))</f>
        <v/>
      </c>
      <c r="M459" s="118" t="n"/>
    </row>
    <row r="460" ht="15" customHeight="1" s="64">
      <c r="A460" s="118" t="n"/>
      <c r="B460" s="118" t="n"/>
      <c r="C460" s="118" t="n"/>
      <c r="D460" s="118" t="n"/>
      <c r="E460" s="118" t="n"/>
      <c r="F460" s="118" t="n"/>
      <c r="G460" s="120">
        <f>IF(C460="","",C460*D460)</f>
        <v/>
      </c>
      <c r="H460" s="120">
        <f>IF(C460="","",C460*E460)</f>
        <v/>
      </c>
      <c r="I460" s="115">
        <f>IF(C460="","",IFERROR(D460/(E460+(E460=0))-1,0))</f>
        <v/>
      </c>
      <c r="J460" s="117">
        <f>IF(C460="","",IF(ABS(I460)&gt;AYARLAR!$C$14,"RİSKLİ","NORMAL"))</f>
        <v/>
      </c>
      <c r="K460" s="115">
        <f>IF(G460="","",IFERROR(G460/MOTOR!$B$20,0))</f>
        <v/>
      </c>
      <c r="L460" s="117">
        <f>IF(C460="","",IF(F460="","EKSİK","TAM"))</f>
        <v/>
      </c>
      <c r="M460" s="118" t="n"/>
    </row>
    <row r="461" ht="15" customHeight="1" s="64">
      <c r="A461" s="118" t="n"/>
      <c r="B461" s="118" t="n"/>
      <c r="C461" s="118" t="n"/>
      <c r="D461" s="118" t="n"/>
      <c r="E461" s="118" t="n"/>
      <c r="F461" s="118" t="n"/>
      <c r="G461" s="120">
        <f>IF(C461="","",C461*D461)</f>
        <v/>
      </c>
      <c r="H461" s="120">
        <f>IF(C461="","",C461*E461)</f>
        <v/>
      </c>
      <c r="I461" s="115">
        <f>IF(C461="","",IFERROR(D461/(E461+(E461=0))-1,0))</f>
        <v/>
      </c>
      <c r="J461" s="117">
        <f>IF(C461="","",IF(ABS(I461)&gt;AYARLAR!$C$14,"RİSKLİ","NORMAL"))</f>
        <v/>
      </c>
      <c r="K461" s="115">
        <f>IF(G461="","",IFERROR(G461/MOTOR!$B$20,0))</f>
        <v/>
      </c>
      <c r="L461" s="117">
        <f>IF(C461="","",IF(F461="","EKSİK","TAM"))</f>
        <v/>
      </c>
      <c r="M461" s="118" t="n"/>
    </row>
    <row r="462" ht="15" customHeight="1" s="64">
      <c r="A462" s="118" t="n"/>
      <c r="B462" s="118" t="n"/>
      <c r="C462" s="118" t="n"/>
      <c r="D462" s="118" t="n"/>
      <c r="E462" s="118" t="n"/>
      <c r="F462" s="118" t="n"/>
      <c r="G462" s="120">
        <f>IF(C462="","",C462*D462)</f>
        <v/>
      </c>
      <c r="H462" s="120">
        <f>IF(C462="","",C462*E462)</f>
        <v/>
      </c>
      <c r="I462" s="115">
        <f>IF(C462="","",IFERROR(D462/(E462+(E462=0))-1,0))</f>
        <v/>
      </c>
      <c r="J462" s="117">
        <f>IF(C462="","",IF(ABS(I462)&gt;AYARLAR!$C$14,"RİSKLİ","NORMAL"))</f>
        <v/>
      </c>
      <c r="K462" s="115">
        <f>IF(G462="","",IFERROR(G462/MOTOR!$B$20,0))</f>
        <v/>
      </c>
      <c r="L462" s="117">
        <f>IF(C462="","",IF(F462="","EKSİK","TAM"))</f>
        <v/>
      </c>
      <c r="M462" s="118" t="n"/>
    </row>
    <row r="463" ht="15" customHeight="1" s="64">
      <c r="A463" s="118" t="n"/>
      <c r="B463" s="118" t="n"/>
      <c r="C463" s="118" t="n"/>
      <c r="D463" s="118" t="n"/>
      <c r="E463" s="118" t="n"/>
      <c r="F463" s="118" t="n"/>
      <c r="G463" s="120">
        <f>IF(C463="","",C463*D463)</f>
        <v/>
      </c>
      <c r="H463" s="120">
        <f>IF(C463="","",C463*E463)</f>
        <v/>
      </c>
      <c r="I463" s="115">
        <f>IF(C463="","",IFERROR(D463/(E463+(E463=0))-1,0))</f>
        <v/>
      </c>
      <c r="J463" s="117">
        <f>IF(C463="","",IF(ABS(I463)&gt;AYARLAR!$C$14,"RİSKLİ","NORMAL"))</f>
        <v/>
      </c>
      <c r="K463" s="115">
        <f>IF(G463="","",IFERROR(G463/MOTOR!$B$20,0))</f>
        <v/>
      </c>
      <c r="L463" s="117">
        <f>IF(C463="","",IF(F463="","EKSİK","TAM"))</f>
        <v/>
      </c>
      <c r="M463" s="118" t="n"/>
    </row>
    <row r="464" ht="15" customHeight="1" s="64">
      <c r="A464" s="118" t="n"/>
      <c r="B464" s="118" t="n"/>
      <c r="C464" s="118" t="n"/>
      <c r="D464" s="118" t="n"/>
      <c r="E464" s="118" t="n"/>
      <c r="F464" s="118" t="n"/>
      <c r="G464" s="120">
        <f>IF(C464="","",C464*D464)</f>
        <v/>
      </c>
      <c r="H464" s="120">
        <f>IF(C464="","",C464*E464)</f>
        <v/>
      </c>
      <c r="I464" s="115">
        <f>IF(C464="","",IFERROR(D464/(E464+(E464=0))-1,0))</f>
        <v/>
      </c>
      <c r="J464" s="117">
        <f>IF(C464="","",IF(ABS(I464)&gt;AYARLAR!$C$14,"RİSKLİ","NORMAL"))</f>
        <v/>
      </c>
      <c r="K464" s="115">
        <f>IF(G464="","",IFERROR(G464/MOTOR!$B$20,0))</f>
        <v/>
      </c>
      <c r="L464" s="117">
        <f>IF(C464="","",IF(F464="","EKSİK","TAM"))</f>
        <v/>
      </c>
      <c r="M464" s="118" t="n"/>
    </row>
    <row r="465" ht="15" customHeight="1" s="64">
      <c r="A465" s="118" t="n"/>
      <c r="B465" s="118" t="n"/>
      <c r="C465" s="118" t="n"/>
      <c r="D465" s="118" t="n"/>
      <c r="E465" s="118" t="n"/>
      <c r="F465" s="118" t="n"/>
      <c r="G465" s="120">
        <f>IF(C465="","",C465*D465)</f>
        <v/>
      </c>
      <c r="H465" s="120">
        <f>IF(C465="","",C465*E465)</f>
        <v/>
      </c>
      <c r="I465" s="115">
        <f>IF(C465="","",IFERROR(D465/(E465+(E465=0))-1,0))</f>
        <v/>
      </c>
      <c r="J465" s="117">
        <f>IF(C465="","",IF(ABS(I465)&gt;AYARLAR!$C$14,"RİSKLİ","NORMAL"))</f>
        <v/>
      </c>
      <c r="K465" s="115">
        <f>IF(G465="","",IFERROR(G465/MOTOR!$B$20,0))</f>
        <v/>
      </c>
      <c r="L465" s="117">
        <f>IF(C465="","",IF(F465="","EKSİK","TAM"))</f>
        <v/>
      </c>
      <c r="M465" s="118" t="n"/>
    </row>
    <row r="466" ht="15" customHeight="1" s="64">
      <c r="A466" s="118" t="n"/>
      <c r="B466" s="118" t="n"/>
      <c r="C466" s="118" t="n"/>
      <c r="D466" s="118" t="n"/>
      <c r="E466" s="118" t="n"/>
      <c r="F466" s="118" t="n"/>
      <c r="G466" s="120">
        <f>IF(C466="","",C466*D466)</f>
        <v/>
      </c>
      <c r="H466" s="120">
        <f>IF(C466="","",C466*E466)</f>
        <v/>
      </c>
      <c r="I466" s="115">
        <f>IF(C466="","",IFERROR(D466/(E466+(E466=0))-1,0))</f>
        <v/>
      </c>
      <c r="J466" s="117">
        <f>IF(C466="","",IF(ABS(I466)&gt;AYARLAR!$C$14,"RİSKLİ","NORMAL"))</f>
        <v/>
      </c>
      <c r="K466" s="115">
        <f>IF(G466="","",IFERROR(G466/MOTOR!$B$20,0))</f>
        <v/>
      </c>
      <c r="L466" s="117">
        <f>IF(C466="","",IF(F466="","EKSİK","TAM"))</f>
        <v/>
      </c>
      <c r="M466" s="118" t="n"/>
    </row>
    <row r="467" ht="15" customHeight="1" s="64">
      <c r="A467" s="118" t="n"/>
      <c r="B467" s="118" t="n"/>
      <c r="C467" s="118" t="n"/>
      <c r="D467" s="118" t="n"/>
      <c r="E467" s="118" t="n"/>
      <c r="F467" s="118" t="n"/>
      <c r="G467" s="120">
        <f>IF(C467="","",C467*D467)</f>
        <v/>
      </c>
      <c r="H467" s="120">
        <f>IF(C467="","",C467*E467)</f>
        <v/>
      </c>
      <c r="I467" s="115">
        <f>IF(C467="","",IFERROR(D467/(E467+(E467=0))-1,0))</f>
        <v/>
      </c>
      <c r="J467" s="117">
        <f>IF(C467="","",IF(ABS(I467)&gt;AYARLAR!$C$14,"RİSKLİ","NORMAL"))</f>
        <v/>
      </c>
      <c r="K467" s="115">
        <f>IF(G467="","",IFERROR(G467/MOTOR!$B$20,0))</f>
        <v/>
      </c>
      <c r="L467" s="117">
        <f>IF(C467="","",IF(F467="","EKSİK","TAM"))</f>
        <v/>
      </c>
      <c r="M467" s="118" t="n"/>
    </row>
    <row r="468" ht="15" customHeight="1" s="64">
      <c r="A468" s="118" t="n"/>
      <c r="B468" s="118" t="n"/>
      <c r="C468" s="118" t="n"/>
      <c r="D468" s="118" t="n"/>
      <c r="E468" s="118" t="n"/>
      <c r="F468" s="118" t="n"/>
      <c r="G468" s="120">
        <f>IF(C468="","",C468*D468)</f>
        <v/>
      </c>
      <c r="H468" s="120">
        <f>IF(C468="","",C468*E468)</f>
        <v/>
      </c>
      <c r="I468" s="115">
        <f>IF(C468="","",IFERROR(D468/(E468+(E468=0))-1,0))</f>
        <v/>
      </c>
      <c r="J468" s="117">
        <f>IF(C468="","",IF(ABS(I468)&gt;AYARLAR!$C$14,"RİSKLİ","NORMAL"))</f>
        <v/>
      </c>
      <c r="K468" s="115">
        <f>IF(G468="","",IFERROR(G468/MOTOR!$B$20,0))</f>
        <v/>
      </c>
      <c r="L468" s="117">
        <f>IF(C468="","",IF(F468="","EKSİK","TAM"))</f>
        <v/>
      </c>
      <c r="M468" s="118" t="n"/>
    </row>
    <row r="469" ht="15" customHeight="1" s="64">
      <c r="A469" s="118" t="n"/>
      <c r="B469" s="118" t="n"/>
      <c r="C469" s="118" t="n"/>
      <c r="D469" s="118" t="n"/>
      <c r="E469" s="118" t="n"/>
      <c r="F469" s="118" t="n"/>
      <c r="G469" s="120">
        <f>IF(C469="","",C469*D469)</f>
        <v/>
      </c>
      <c r="H469" s="120">
        <f>IF(C469="","",C469*E469)</f>
        <v/>
      </c>
      <c r="I469" s="115">
        <f>IF(C469="","",IFERROR(D469/(E469+(E469=0))-1,0))</f>
        <v/>
      </c>
      <c r="J469" s="117">
        <f>IF(C469="","",IF(ABS(I469)&gt;AYARLAR!$C$14,"RİSKLİ","NORMAL"))</f>
        <v/>
      </c>
      <c r="K469" s="115">
        <f>IF(G469="","",IFERROR(G469/MOTOR!$B$20,0))</f>
        <v/>
      </c>
      <c r="L469" s="117">
        <f>IF(C469="","",IF(F469="","EKSİK","TAM"))</f>
        <v/>
      </c>
      <c r="M469" s="118" t="n"/>
    </row>
    <row r="470" ht="15" customHeight="1" s="64">
      <c r="A470" s="118" t="n"/>
      <c r="B470" s="118" t="n"/>
      <c r="C470" s="118" t="n"/>
      <c r="D470" s="118" t="n"/>
      <c r="E470" s="118" t="n"/>
      <c r="F470" s="118" t="n"/>
      <c r="G470" s="120">
        <f>IF(C470="","",C470*D470)</f>
        <v/>
      </c>
      <c r="H470" s="120">
        <f>IF(C470="","",C470*E470)</f>
        <v/>
      </c>
      <c r="I470" s="115">
        <f>IF(C470="","",IFERROR(D470/(E470+(E470=0))-1,0))</f>
        <v/>
      </c>
      <c r="J470" s="117">
        <f>IF(C470="","",IF(ABS(I470)&gt;AYARLAR!$C$14,"RİSKLİ","NORMAL"))</f>
        <v/>
      </c>
      <c r="K470" s="115">
        <f>IF(G470="","",IFERROR(G470/MOTOR!$B$20,0))</f>
        <v/>
      </c>
      <c r="L470" s="117">
        <f>IF(C470="","",IF(F470="","EKSİK","TAM"))</f>
        <v/>
      </c>
      <c r="M470" s="118" t="n"/>
    </row>
    <row r="471" ht="15" customHeight="1" s="64">
      <c r="A471" s="118" t="n"/>
      <c r="B471" s="118" t="n"/>
      <c r="C471" s="118" t="n"/>
      <c r="D471" s="118" t="n"/>
      <c r="E471" s="118" t="n"/>
      <c r="F471" s="118" t="n"/>
      <c r="G471" s="120">
        <f>IF(C471="","",C471*D471)</f>
        <v/>
      </c>
      <c r="H471" s="120">
        <f>IF(C471="","",C471*E471)</f>
        <v/>
      </c>
      <c r="I471" s="115">
        <f>IF(C471="","",IFERROR(D471/(E471+(E471=0))-1,0))</f>
        <v/>
      </c>
      <c r="J471" s="117">
        <f>IF(C471="","",IF(ABS(I471)&gt;AYARLAR!$C$14,"RİSKLİ","NORMAL"))</f>
        <v/>
      </c>
      <c r="K471" s="115">
        <f>IF(G471="","",IFERROR(G471/MOTOR!$B$20,0))</f>
        <v/>
      </c>
      <c r="L471" s="117">
        <f>IF(C471="","",IF(F471="","EKSİK","TAM"))</f>
        <v/>
      </c>
      <c r="M471" s="118" t="n"/>
    </row>
    <row r="472" ht="15" customHeight="1" s="64">
      <c r="A472" s="118" t="n"/>
      <c r="B472" s="118" t="n"/>
      <c r="C472" s="118" t="n"/>
      <c r="D472" s="118" t="n"/>
      <c r="E472" s="118" t="n"/>
      <c r="F472" s="118" t="n"/>
      <c r="G472" s="120">
        <f>IF(C472="","",C472*D472)</f>
        <v/>
      </c>
      <c r="H472" s="120">
        <f>IF(C472="","",C472*E472)</f>
        <v/>
      </c>
      <c r="I472" s="115">
        <f>IF(C472="","",IFERROR(D472/(E472+(E472=0))-1,0))</f>
        <v/>
      </c>
      <c r="J472" s="117">
        <f>IF(C472="","",IF(ABS(I472)&gt;AYARLAR!$C$14,"RİSKLİ","NORMAL"))</f>
        <v/>
      </c>
      <c r="K472" s="115">
        <f>IF(G472="","",IFERROR(G472/MOTOR!$B$20,0))</f>
        <v/>
      </c>
      <c r="L472" s="117">
        <f>IF(C472="","",IF(F472="","EKSİK","TAM"))</f>
        <v/>
      </c>
      <c r="M472" s="118" t="n"/>
    </row>
    <row r="473" ht="15" customHeight="1" s="64">
      <c r="A473" s="118" t="n"/>
      <c r="B473" s="118" t="n"/>
      <c r="C473" s="118" t="n"/>
      <c r="D473" s="118" t="n"/>
      <c r="E473" s="118" t="n"/>
      <c r="F473" s="118" t="n"/>
      <c r="G473" s="120">
        <f>IF(C473="","",C473*D473)</f>
        <v/>
      </c>
      <c r="H473" s="120">
        <f>IF(C473="","",C473*E473)</f>
        <v/>
      </c>
      <c r="I473" s="115">
        <f>IF(C473="","",IFERROR(D473/(E473+(E473=0))-1,0))</f>
        <v/>
      </c>
      <c r="J473" s="117">
        <f>IF(C473="","",IF(ABS(I473)&gt;AYARLAR!$C$14,"RİSKLİ","NORMAL"))</f>
        <v/>
      </c>
      <c r="K473" s="115">
        <f>IF(G473="","",IFERROR(G473/MOTOR!$B$20,0))</f>
        <v/>
      </c>
      <c r="L473" s="117">
        <f>IF(C473="","",IF(F473="","EKSİK","TAM"))</f>
        <v/>
      </c>
      <c r="M473" s="118" t="n"/>
    </row>
    <row r="474" ht="15" customHeight="1" s="64">
      <c r="A474" s="118" t="n"/>
      <c r="B474" s="118" t="n"/>
      <c r="C474" s="118" t="n"/>
      <c r="D474" s="118" t="n"/>
      <c r="E474" s="118" t="n"/>
      <c r="F474" s="118" t="n"/>
      <c r="G474" s="120">
        <f>IF(C474="","",C474*D474)</f>
        <v/>
      </c>
      <c r="H474" s="120">
        <f>IF(C474="","",C474*E474)</f>
        <v/>
      </c>
      <c r="I474" s="115">
        <f>IF(C474="","",IFERROR(D474/(E474+(E474=0))-1,0))</f>
        <v/>
      </c>
      <c r="J474" s="117">
        <f>IF(C474="","",IF(ABS(I474)&gt;AYARLAR!$C$14,"RİSKLİ","NORMAL"))</f>
        <v/>
      </c>
      <c r="K474" s="115">
        <f>IF(G474="","",IFERROR(G474/MOTOR!$B$20,0))</f>
        <v/>
      </c>
      <c r="L474" s="117">
        <f>IF(C474="","",IF(F474="","EKSİK","TAM"))</f>
        <v/>
      </c>
      <c r="M474" s="118" t="n"/>
    </row>
    <row r="475" ht="15" customHeight="1" s="64">
      <c r="A475" s="118" t="n"/>
      <c r="B475" s="118" t="n"/>
      <c r="C475" s="118" t="n"/>
      <c r="D475" s="118" t="n"/>
      <c r="E475" s="118" t="n"/>
      <c r="F475" s="118" t="n"/>
      <c r="G475" s="120">
        <f>IF(C475="","",C475*D475)</f>
        <v/>
      </c>
      <c r="H475" s="120">
        <f>IF(C475="","",C475*E475)</f>
        <v/>
      </c>
      <c r="I475" s="115">
        <f>IF(C475="","",IFERROR(D475/(E475+(E475=0))-1,0))</f>
        <v/>
      </c>
      <c r="J475" s="117">
        <f>IF(C475="","",IF(ABS(I475)&gt;AYARLAR!$C$14,"RİSKLİ","NORMAL"))</f>
        <v/>
      </c>
      <c r="K475" s="115">
        <f>IF(G475="","",IFERROR(G475/MOTOR!$B$20,0))</f>
        <v/>
      </c>
      <c r="L475" s="117">
        <f>IF(C475="","",IF(F475="","EKSİK","TAM"))</f>
        <v/>
      </c>
      <c r="M475" s="118" t="n"/>
    </row>
    <row r="476" ht="15" customHeight="1" s="64">
      <c r="A476" s="118" t="n"/>
      <c r="B476" s="118" t="n"/>
      <c r="C476" s="118" t="n"/>
      <c r="D476" s="118" t="n"/>
      <c r="E476" s="118" t="n"/>
      <c r="F476" s="118" t="n"/>
      <c r="G476" s="120">
        <f>IF(C476="","",C476*D476)</f>
        <v/>
      </c>
      <c r="H476" s="120">
        <f>IF(C476="","",C476*E476)</f>
        <v/>
      </c>
      <c r="I476" s="115">
        <f>IF(C476="","",IFERROR(D476/(E476+(E476=0))-1,0))</f>
        <v/>
      </c>
      <c r="J476" s="117">
        <f>IF(C476="","",IF(ABS(I476)&gt;AYARLAR!$C$14,"RİSKLİ","NORMAL"))</f>
        <v/>
      </c>
      <c r="K476" s="115">
        <f>IF(G476="","",IFERROR(G476/MOTOR!$B$20,0))</f>
        <v/>
      </c>
      <c r="L476" s="117">
        <f>IF(C476="","",IF(F476="","EKSİK","TAM"))</f>
        <v/>
      </c>
      <c r="M476" s="118" t="n"/>
    </row>
    <row r="477" ht="15" customHeight="1" s="64">
      <c r="A477" s="118" t="n"/>
      <c r="B477" s="118" t="n"/>
      <c r="C477" s="118" t="n"/>
      <c r="D477" s="118" t="n"/>
      <c r="E477" s="118" t="n"/>
      <c r="F477" s="118" t="n"/>
      <c r="G477" s="120">
        <f>IF(C477="","",C477*D477)</f>
        <v/>
      </c>
      <c r="H477" s="120">
        <f>IF(C477="","",C477*E477)</f>
        <v/>
      </c>
      <c r="I477" s="115">
        <f>IF(C477="","",IFERROR(D477/(E477+(E477=0))-1,0))</f>
        <v/>
      </c>
      <c r="J477" s="117">
        <f>IF(C477="","",IF(ABS(I477)&gt;AYARLAR!$C$14,"RİSKLİ","NORMAL"))</f>
        <v/>
      </c>
      <c r="K477" s="115">
        <f>IF(G477="","",IFERROR(G477/MOTOR!$B$20,0))</f>
        <v/>
      </c>
      <c r="L477" s="117">
        <f>IF(C477="","",IF(F477="","EKSİK","TAM"))</f>
        <v/>
      </c>
      <c r="M477" s="118" t="n"/>
    </row>
    <row r="478" ht="15" customHeight="1" s="64">
      <c r="A478" s="118" t="n"/>
      <c r="B478" s="118" t="n"/>
      <c r="C478" s="118" t="n"/>
      <c r="D478" s="118" t="n"/>
      <c r="E478" s="118" t="n"/>
      <c r="F478" s="118" t="n"/>
      <c r="G478" s="120">
        <f>IF(C478="","",C478*D478)</f>
        <v/>
      </c>
      <c r="H478" s="120">
        <f>IF(C478="","",C478*E478)</f>
        <v/>
      </c>
      <c r="I478" s="115">
        <f>IF(C478="","",IFERROR(D478/(E478+(E478=0))-1,0))</f>
        <v/>
      </c>
      <c r="J478" s="117">
        <f>IF(C478="","",IF(ABS(I478)&gt;AYARLAR!$C$14,"RİSKLİ","NORMAL"))</f>
        <v/>
      </c>
      <c r="K478" s="115">
        <f>IF(G478="","",IFERROR(G478/MOTOR!$B$20,0))</f>
        <v/>
      </c>
      <c r="L478" s="117">
        <f>IF(C478="","",IF(F478="","EKSİK","TAM"))</f>
        <v/>
      </c>
      <c r="M478" s="118" t="n"/>
    </row>
    <row r="479" ht="15" customHeight="1" s="64">
      <c r="A479" s="118" t="n"/>
      <c r="B479" s="118" t="n"/>
      <c r="C479" s="118" t="n"/>
      <c r="D479" s="118" t="n"/>
      <c r="E479" s="118" t="n"/>
      <c r="F479" s="118" t="n"/>
      <c r="G479" s="120">
        <f>IF(C479="","",C479*D479)</f>
        <v/>
      </c>
      <c r="H479" s="120">
        <f>IF(C479="","",C479*E479)</f>
        <v/>
      </c>
      <c r="I479" s="115">
        <f>IF(C479="","",IFERROR(D479/(E479+(E479=0))-1,0))</f>
        <v/>
      </c>
      <c r="J479" s="117">
        <f>IF(C479="","",IF(ABS(I479)&gt;AYARLAR!$C$14,"RİSKLİ","NORMAL"))</f>
        <v/>
      </c>
      <c r="K479" s="115">
        <f>IF(G479="","",IFERROR(G479/MOTOR!$B$20,0))</f>
        <v/>
      </c>
      <c r="L479" s="117">
        <f>IF(C479="","",IF(F479="","EKSİK","TAM"))</f>
        <v/>
      </c>
      <c r="M479" s="118" t="n"/>
    </row>
    <row r="480" ht="15" customHeight="1" s="64">
      <c r="A480" s="118" t="n"/>
      <c r="B480" s="118" t="n"/>
      <c r="C480" s="118" t="n"/>
      <c r="D480" s="118" t="n"/>
      <c r="E480" s="118" t="n"/>
      <c r="F480" s="118" t="n"/>
      <c r="G480" s="120">
        <f>IF(C480="","",C480*D480)</f>
        <v/>
      </c>
      <c r="H480" s="120">
        <f>IF(C480="","",C480*E480)</f>
        <v/>
      </c>
      <c r="I480" s="115">
        <f>IF(C480="","",IFERROR(D480/(E480+(E480=0))-1,0))</f>
        <v/>
      </c>
      <c r="J480" s="117">
        <f>IF(C480="","",IF(ABS(I480)&gt;AYARLAR!$C$14,"RİSKLİ","NORMAL"))</f>
        <v/>
      </c>
      <c r="K480" s="115">
        <f>IF(G480="","",IFERROR(G480/MOTOR!$B$20,0))</f>
        <v/>
      </c>
      <c r="L480" s="117">
        <f>IF(C480="","",IF(F480="","EKSİK","TAM"))</f>
        <v/>
      </c>
      <c r="M480" s="118" t="n"/>
    </row>
    <row r="481" ht="15" customHeight="1" s="64">
      <c r="A481" s="118" t="n"/>
      <c r="B481" s="118" t="n"/>
      <c r="C481" s="118" t="n"/>
      <c r="D481" s="118" t="n"/>
      <c r="E481" s="118" t="n"/>
      <c r="F481" s="118" t="n"/>
      <c r="G481" s="120">
        <f>IF(C481="","",C481*D481)</f>
        <v/>
      </c>
      <c r="H481" s="120">
        <f>IF(C481="","",C481*E481)</f>
        <v/>
      </c>
      <c r="I481" s="115">
        <f>IF(C481="","",IFERROR(D481/(E481+(E481=0))-1,0))</f>
        <v/>
      </c>
      <c r="J481" s="117">
        <f>IF(C481="","",IF(ABS(I481)&gt;AYARLAR!$C$14,"RİSKLİ","NORMAL"))</f>
        <v/>
      </c>
      <c r="K481" s="115">
        <f>IF(G481="","",IFERROR(G481/MOTOR!$B$20,0))</f>
        <v/>
      </c>
      <c r="L481" s="117">
        <f>IF(C481="","",IF(F481="","EKSİK","TAM"))</f>
        <v/>
      </c>
      <c r="M481" s="118" t="n"/>
    </row>
    <row r="482" ht="15" customHeight="1" s="64">
      <c r="A482" s="118" t="n"/>
      <c r="B482" s="118" t="n"/>
      <c r="C482" s="118" t="n"/>
      <c r="D482" s="118" t="n"/>
      <c r="E482" s="118" t="n"/>
      <c r="F482" s="118" t="n"/>
      <c r="G482" s="120">
        <f>IF(C482="","",C482*D482)</f>
        <v/>
      </c>
      <c r="H482" s="120">
        <f>IF(C482="","",C482*E482)</f>
        <v/>
      </c>
      <c r="I482" s="115">
        <f>IF(C482="","",IFERROR(D482/(E482+(E482=0))-1,0))</f>
        <v/>
      </c>
      <c r="J482" s="117">
        <f>IF(C482="","",IF(ABS(I482)&gt;AYARLAR!$C$14,"RİSKLİ","NORMAL"))</f>
        <v/>
      </c>
      <c r="K482" s="115">
        <f>IF(G482="","",IFERROR(G482/MOTOR!$B$20,0))</f>
        <v/>
      </c>
      <c r="L482" s="117">
        <f>IF(C482="","",IF(F482="","EKSİK","TAM"))</f>
        <v/>
      </c>
      <c r="M482" s="118" t="n"/>
    </row>
    <row r="483" ht="15" customHeight="1" s="64">
      <c r="A483" s="118" t="n"/>
      <c r="B483" s="118" t="n"/>
      <c r="C483" s="118" t="n"/>
      <c r="D483" s="118" t="n"/>
      <c r="E483" s="118" t="n"/>
      <c r="F483" s="118" t="n"/>
      <c r="G483" s="120">
        <f>IF(C483="","",C483*D483)</f>
        <v/>
      </c>
      <c r="H483" s="120">
        <f>IF(C483="","",C483*E483)</f>
        <v/>
      </c>
      <c r="I483" s="115">
        <f>IF(C483="","",IFERROR(D483/(E483+(E483=0))-1,0))</f>
        <v/>
      </c>
      <c r="J483" s="117">
        <f>IF(C483="","",IF(ABS(I483)&gt;AYARLAR!$C$14,"RİSKLİ","NORMAL"))</f>
        <v/>
      </c>
      <c r="K483" s="115">
        <f>IF(G483="","",IFERROR(G483/MOTOR!$B$20,0))</f>
        <v/>
      </c>
      <c r="L483" s="117">
        <f>IF(C483="","",IF(F483="","EKSİK","TAM"))</f>
        <v/>
      </c>
      <c r="M483" s="118" t="n"/>
    </row>
    <row r="484" ht="15" customHeight="1" s="64">
      <c r="A484" s="118" t="n"/>
      <c r="B484" s="118" t="n"/>
      <c r="C484" s="118" t="n"/>
      <c r="D484" s="118" t="n"/>
      <c r="E484" s="118" t="n"/>
      <c r="F484" s="118" t="n"/>
      <c r="G484" s="120">
        <f>IF(C484="","",C484*D484)</f>
        <v/>
      </c>
      <c r="H484" s="120">
        <f>IF(C484="","",C484*E484)</f>
        <v/>
      </c>
      <c r="I484" s="115">
        <f>IF(C484="","",IFERROR(D484/(E484+(E484=0))-1,0))</f>
        <v/>
      </c>
      <c r="J484" s="117">
        <f>IF(C484="","",IF(ABS(I484)&gt;AYARLAR!$C$14,"RİSKLİ","NORMAL"))</f>
        <v/>
      </c>
      <c r="K484" s="115">
        <f>IF(G484="","",IFERROR(G484/MOTOR!$B$20,0))</f>
        <v/>
      </c>
      <c r="L484" s="117">
        <f>IF(C484="","",IF(F484="","EKSİK","TAM"))</f>
        <v/>
      </c>
      <c r="M484" s="118" t="n"/>
    </row>
    <row r="485" ht="15" customHeight="1" s="64">
      <c r="A485" s="118" t="n"/>
      <c r="B485" s="118" t="n"/>
      <c r="C485" s="118" t="n"/>
      <c r="D485" s="118" t="n"/>
      <c r="E485" s="118" t="n"/>
      <c r="F485" s="118" t="n"/>
      <c r="G485" s="120">
        <f>IF(C485="","",C485*D485)</f>
        <v/>
      </c>
      <c r="H485" s="120">
        <f>IF(C485="","",C485*E485)</f>
        <v/>
      </c>
      <c r="I485" s="115">
        <f>IF(C485="","",IFERROR(D485/(E485+(E485=0))-1,0))</f>
        <v/>
      </c>
      <c r="J485" s="117">
        <f>IF(C485="","",IF(ABS(I485)&gt;AYARLAR!$C$14,"RİSKLİ","NORMAL"))</f>
        <v/>
      </c>
      <c r="K485" s="115">
        <f>IF(G485="","",IFERROR(G485/MOTOR!$B$20,0))</f>
        <v/>
      </c>
      <c r="L485" s="117">
        <f>IF(C485="","",IF(F485="","EKSİK","TAM"))</f>
        <v/>
      </c>
      <c r="M485" s="118" t="n"/>
    </row>
    <row r="486" ht="15" customHeight="1" s="64">
      <c r="A486" s="118" t="n"/>
      <c r="B486" s="118" t="n"/>
      <c r="C486" s="118" t="n"/>
      <c r="D486" s="118" t="n"/>
      <c r="E486" s="118" t="n"/>
      <c r="F486" s="118" t="n"/>
      <c r="G486" s="120">
        <f>IF(C486="","",C486*D486)</f>
        <v/>
      </c>
      <c r="H486" s="120">
        <f>IF(C486="","",C486*E486)</f>
        <v/>
      </c>
      <c r="I486" s="115">
        <f>IF(C486="","",IFERROR(D486/(E486+(E486=0))-1,0))</f>
        <v/>
      </c>
      <c r="J486" s="117">
        <f>IF(C486="","",IF(ABS(I486)&gt;AYARLAR!$C$14,"RİSKLİ","NORMAL"))</f>
        <v/>
      </c>
      <c r="K486" s="115">
        <f>IF(G486="","",IFERROR(G486/MOTOR!$B$20,0))</f>
        <v/>
      </c>
      <c r="L486" s="117">
        <f>IF(C486="","",IF(F486="","EKSİK","TAM"))</f>
        <v/>
      </c>
      <c r="M486" s="118" t="n"/>
    </row>
    <row r="487" ht="15" customHeight="1" s="64">
      <c r="A487" s="118" t="n"/>
      <c r="B487" s="118" t="n"/>
      <c r="C487" s="118" t="n"/>
      <c r="D487" s="118" t="n"/>
      <c r="E487" s="118" t="n"/>
      <c r="F487" s="118" t="n"/>
      <c r="G487" s="120">
        <f>IF(C487="","",C487*D487)</f>
        <v/>
      </c>
      <c r="H487" s="120">
        <f>IF(C487="","",C487*E487)</f>
        <v/>
      </c>
      <c r="I487" s="115">
        <f>IF(C487="","",IFERROR(D487/(E487+(E487=0))-1,0))</f>
        <v/>
      </c>
      <c r="J487" s="117">
        <f>IF(C487="","",IF(ABS(I487)&gt;AYARLAR!$C$14,"RİSKLİ","NORMAL"))</f>
        <v/>
      </c>
      <c r="K487" s="115">
        <f>IF(G487="","",IFERROR(G487/MOTOR!$B$20,0))</f>
        <v/>
      </c>
      <c r="L487" s="117">
        <f>IF(C487="","",IF(F487="","EKSİK","TAM"))</f>
        <v/>
      </c>
      <c r="M487" s="118" t="n"/>
    </row>
    <row r="488" ht="15" customHeight="1" s="64">
      <c r="A488" s="118" t="n"/>
      <c r="B488" s="118" t="n"/>
      <c r="C488" s="118" t="n"/>
      <c r="D488" s="118" t="n"/>
      <c r="E488" s="118" t="n"/>
      <c r="F488" s="118" t="n"/>
      <c r="G488" s="120">
        <f>IF(C488="","",C488*D488)</f>
        <v/>
      </c>
      <c r="H488" s="120">
        <f>IF(C488="","",C488*E488)</f>
        <v/>
      </c>
      <c r="I488" s="115">
        <f>IF(C488="","",IFERROR(D488/(E488+(E488=0))-1,0))</f>
        <v/>
      </c>
      <c r="J488" s="117">
        <f>IF(C488="","",IF(ABS(I488)&gt;AYARLAR!$C$14,"RİSKLİ","NORMAL"))</f>
        <v/>
      </c>
      <c r="K488" s="115">
        <f>IF(G488="","",IFERROR(G488/MOTOR!$B$20,0))</f>
        <v/>
      </c>
      <c r="L488" s="117">
        <f>IF(C488="","",IF(F488="","EKSİK","TAM"))</f>
        <v/>
      </c>
      <c r="M488" s="118" t="n"/>
    </row>
    <row r="489" ht="15" customHeight="1" s="64">
      <c r="A489" s="118" t="n"/>
      <c r="B489" s="118" t="n"/>
      <c r="C489" s="118" t="n"/>
      <c r="D489" s="118" t="n"/>
      <c r="E489" s="118" t="n"/>
      <c r="F489" s="118" t="n"/>
      <c r="G489" s="120">
        <f>IF(C489="","",C489*D489)</f>
        <v/>
      </c>
      <c r="H489" s="120">
        <f>IF(C489="","",C489*E489)</f>
        <v/>
      </c>
      <c r="I489" s="115">
        <f>IF(C489="","",IFERROR(D489/(E489+(E489=0))-1,0))</f>
        <v/>
      </c>
      <c r="J489" s="117">
        <f>IF(C489="","",IF(ABS(I489)&gt;AYARLAR!$C$14,"RİSKLİ","NORMAL"))</f>
        <v/>
      </c>
      <c r="K489" s="115">
        <f>IF(G489="","",IFERROR(G489/MOTOR!$B$20,0))</f>
        <v/>
      </c>
      <c r="L489" s="117">
        <f>IF(C489="","",IF(F489="","EKSİK","TAM"))</f>
        <v/>
      </c>
      <c r="M489" s="118" t="n"/>
    </row>
    <row r="490" ht="15" customHeight="1" s="64">
      <c r="A490" s="118" t="n"/>
      <c r="B490" s="118" t="n"/>
      <c r="C490" s="118" t="n"/>
      <c r="D490" s="118" t="n"/>
      <c r="E490" s="118" t="n"/>
      <c r="F490" s="118" t="n"/>
      <c r="G490" s="120">
        <f>IF(C490="","",C490*D490)</f>
        <v/>
      </c>
      <c r="H490" s="120">
        <f>IF(C490="","",C490*E490)</f>
        <v/>
      </c>
      <c r="I490" s="115">
        <f>IF(C490="","",IFERROR(D490/(E490+(E490=0))-1,0))</f>
        <v/>
      </c>
      <c r="J490" s="117">
        <f>IF(C490="","",IF(ABS(I490)&gt;AYARLAR!$C$14,"RİSKLİ","NORMAL"))</f>
        <v/>
      </c>
      <c r="K490" s="115">
        <f>IF(G490="","",IFERROR(G490/MOTOR!$B$20,0))</f>
        <v/>
      </c>
      <c r="L490" s="117">
        <f>IF(C490="","",IF(F490="","EKSİK","TAM"))</f>
        <v/>
      </c>
      <c r="M490" s="118" t="n"/>
    </row>
    <row r="491" ht="15" customHeight="1" s="64">
      <c r="A491" s="118" t="n"/>
      <c r="B491" s="118" t="n"/>
      <c r="C491" s="118" t="n"/>
      <c r="D491" s="118" t="n"/>
      <c r="E491" s="118" t="n"/>
      <c r="F491" s="118" t="n"/>
      <c r="G491" s="120">
        <f>IF(C491="","",C491*D491)</f>
        <v/>
      </c>
      <c r="H491" s="120">
        <f>IF(C491="","",C491*E491)</f>
        <v/>
      </c>
      <c r="I491" s="115">
        <f>IF(C491="","",IFERROR(D491/(E491+(E491=0))-1,0))</f>
        <v/>
      </c>
      <c r="J491" s="117">
        <f>IF(C491="","",IF(ABS(I491)&gt;AYARLAR!$C$14,"RİSKLİ","NORMAL"))</f>
        <v/>
      </c>
      <c r="K491" s="115">
        <f>IF(G491="","",IFERROR(G491/MOTOR!$B$20,0))</f>
        <v/>
      </c>
      <c r="L491" s="117">
        <f>IF(C491="","",IF(F491="","EKSİK","TAM"))</f>
        <v/>
      </c>
      <c r="M491" s="118" t="n"/>
    </row>
    <row r="492" ht="15" customHeight="1" s="64">
      <c r="A492" s="118" t="n"/>
      <c r="B492" s="118" t="n"/>
      <c r="C492" s="118" t="n"/>
      <c r="D492" s="118" t="n"/>
      <c r="E492" s="118" t="n"/>
      <c r="F492" s="118" t="n"/>
      <c r="G492" s="120">
        <f>IF(C492="","",C492*D492)</f>
        <v/>
      </c>
      <c r="H492" s="120">
        <f>IF(C492="","",C492*E492)</f>
        <v/>
      </c>
      <c r="I492" s="115">
        <f>IF(C492="","",IFERROR(D492/(E492+(E492=0))-1,0))</f>
        <v/>
      </c>
      <c r="J492" s="117">
        <f>IF(C492="","",IF(ABS(I492)&gt;AYARLAR!$C$14,"RİSKLİ","NORMAL"))</f>
        <v/>
      </c>
      <c r="K492" s="115">
        <f>IF(G492="","",IFERROR(G492/MOTOR!$B$20,0))</f>
        <v/>
      </c>
      <c r="L492" s="117">
        <f>IF(C492="","",IF(F492="","EKSİK","TAM"))</f>
        <v/>
      </c>
      <c r="M492" s="118" t="n"/>
    </row>
    <row r="493" ht="15" customHeight="1" s="64">
      <c r="A493" s="118" t="n"/>
      <c r="B493" s="118" t="n"/>
      <c r="C493" s="118" t="n"/>
      <c r="D493" s="118" t="n"/>
      <c r="E493" s="118" t="n"/>
      <c r="F493" s="118" t="n"/>
      <c r="G493" s="120">
        <f>IF(C493="","",C493*D493)</f>
        <v/>
      </c>
      <c r="H493" s="120">
        <f>IF(C493="","",C493*E493)</f>
        <v/>
      </c>
      <c r="I493" s="115">
        <f>IF(C493="","",IFERROR(D493/(E493+(E493=0))-1,0))</f>
        <v/>
      </c>
      <c r="J493" s="117">
        <f>IF(C493="","",IF(ABS(I493)&gt;AYARLAR!$C$14,"RİSKLİ","NORMAL"))</f>
        <v/>
      </c>
      <c r="K493" s="115">
        <f>IF(G493="","",IFERROR(G493/MOTOR!$B$20,0))</f>
        <v/>
      </c>
      <c r="L493" s="117">
        <f>IF(C493="","",IF(F493="","EKSİK","TAM"))</f>
        <v/>
      </c>
      <c r="M493" s="118" t="n"/>
    </row>
    <row r="494" ht="15" customHeight="1" s="64">
      <c r="A494" s="118" t="n"/>
      <c r="B494" s="118" t="n"/>
      <c r="C494" s="118" t="n"/>
      <c r="D494" s="118" t="n"/>
      <c r="E494" s="118" t="n"/>
      <c r="F494" s="118" t="n"/>
      <c r="G494" s="120">
        <f>IF(C494="","",C494*D494)</f>
        <v/>
      </c>
      <c r="H494" s="120">
        <f>IF(C494="","",C494*E494)</f>
        <v/>
      </c>
      <c r="I494" s="115">
        <f>IF(C494="","",IFERROR(D494/(E494+(E494=0))-1,0))</f>
        <v/>
      </c>
      <c r="J494" s="117">
        <f>IF(C494="","",IF(ABS(I494)&gt;AYARLAR!$C$14,"RİSKLİ","NORMAL"))</f>
        <v/>
      </c>
      <c r="K494" s="115">
        <f>IF(G494="","",IFERROR(G494/MOTOR!$B$20,0))</f>
        <v/>
      </c>
      <c r="L494" s="117">
        <f>IF(C494="","",IF(F494="","EKSİK","TAM"))</f>
        <v/>
      </c>
      <c r="M494" s="118" t="n"/>
    </row>
    <row r="495" ht="15" customHeight="1" s="64">
      <c r="A495" s="118" t="n"/>
      <c r="B495" s="118" t="n"/>
      <c r="C495" s="118" t="n"/>
      <c r="D495" s="118" t="n"/>
      <c r="E495" s="118" t="n"/>
      <c r="F495" s="118" t="n"/>
      <c r="G495" s="120">
        <f>IF(C495="","",C495*D495)</f>
        <v/>
      </c>
      <c r="H495" s="120">
        <f>IF(C495="","",C495*E495)</f>
        <v/>
      </c>
      <c r="I495" s="115">
        <f>IF(C495="","",IFERROR(D495/(E495+(E495=0))-1,0))</f>
        <v/>
      </c>
      <c r="J495" s="117">
        <f>IF(C495="","",IF(ABS(I495)&gt;AYARLAR!$C$14,"RİSKLİ","NORMAL"))</f>
        <v/>
      </c>
      <c r="K495" s="115">
        <f>IF(G495="","",IFERROR(G495/MOTOR!$B$20,0))</f>
        <v/>
      </c>
      <c r="L495" s="117">
        <f>IF(C495="","",IF(F495="","EKSİK","TAM"))</f>
        <v/>
      </c>
      <c r="M495" s="118" t="n"/>
    </row>
    <row r="496" ht="15" customHeight="1" s="64">
      <c r="A496" s="118" t="n"/>
      <c r="B496" s="118" t="n"/>
      <c r="C496" s="118" t="n"/>
      <c r="D496" s="118" t="n"/>
      <c r="E496" s="118" t="n"/>
      <c r="F496" s="118" t="n"/>
      <c r="G496" s="120">
        <f>IF(C496="","",C496*D496)</f>
        <v/>
      </c>
      <c r="H496" s="120">
        <f>IF(C496="","",C496*E496)</f>
        <v/>
      </c>
      <c r="I496" s="115">
        <f>IF(C496="","",IFERROR(D496/(E496+(E496=0))-1,0))</f>
        <v/>
      </c>
      <c r="J496" s="117">
        <f>IF(C496="","",IF(ABS(I496)&gt;AYARLAR!$C$14,"RİSKLİ","NORMAL"))</f>
        <v/>
      </c>
      <c r="K496" s="115">
        <f>IF(G496="","",IFERROR(G496/MOTOR!$B$20,0))</f>
        <v/>
      </c>
      <c r="L496" s="117">
        <f>IF(C496="","",IF(F496="","EKSİK","TAM"))</f>
        <v/>
      </c>
      <c r="M496" s="118" t="n"/>
    </row>
    <row r="497" ht="15" customHeight="1" s="64">
      <c r="A497" s="118" t="n"/>
      <c r="B497" s="118" t="n"/>
      <c r="C497" s="118" t="n"/>
      <c r="D497" s="118" t="n"/>
      <c r="E497" s="118" t="n"/>
      <c r="F497" s="118" t="n"/>
      <c r="G497" s="120">
        <f>IF(C497="","",C497*D497)</f>
        <v/>
      </c>
      <c r="H497" s="120">
        <f>IF(C497="","",C497*E497)</f>
        <v/>
      </c>
      <c r="I497" s="115">
        <f>IF(C497="","",IFERROR(D497/(E497+(E497=0))-1,0))</f>
        <v/>
      </c>
      <c r="J497" s="117">
        <f>IF(C497="","",IF(ABS(I497)&gt;AYARLAR!$C$14,"RİSKLİ","NORMAL"))</f>
        <v/>
      </c>
      <c r="K497" s="115">
        <f>IF(G497="","",IFERROR(G497/MOTOR!$B$20,0))</f>
        <v/>
      </c>
      <c r="L497" s="117">
        <f>IF(C497="","",IF(F497="","EKSİK","TAM"))</f>
        <v/>
      </c>
      <c r="M497" s="118" t="n"/>
    </row>
    <row r="498" ht="15" customHeight="1" s="64">
      <c r="A498" s="118" t="n"/>
      <c r="B498" s="118" t="n"/>
      <c r="C498" s="118" t="n"/>
      <c r="D498" s="118" t="n"/>
      <c r="E498" s="118" t="n"/>
      <c r="F498" s="118" t="n"/>
      <c r="G498" s="120">
        <f>IF(C498="","",C498*D498)</f>
        <v/>
      </c>
      <c r="H498" s="120">
        <f>IF(C498="","",C498*E498)</f>
        <v/>
      </c>
      <c r="I498" s="115">
        <f>IF(C498="","",IFERROR(D498/(E498+(E498=0))-1,0))</f>
        <v/>
      </c>
      <c r="J498" s="117">
        <f>IF(C498="","",IF(ABS(I498)&gt;AYARLAR!$C$14,"RİSKLİ","NORMAL"))</f>
        <v/>
      </c>
      <c r="K498" s="115">
        <f>IF(G498="","",IFERROR(G498/MOTOR!$B$20,0))</f>
        <v/>
      </c>
      <c r="L498" s="117">
        <f>IF(C498="","",IF(F498="","EKSİK","TAM"))</f>
        <v/>
      </c>
      <c r="M498" s="118" t="n"/>
    </row>
    <row r="499" ht="15" customHeight="1" s="64">
      <c r="A499" s="118" t="n"/>
      <c r="B499" s="118" t="n"/>
      <c r="C499" s="118" t="n"/>
      <c r="D499" s="118" t="n"/>
      <c r="E499" s="118" t="n"/>
      <c r="F499" s="118" t="n"/>
      <c r="G499" s="120">
        <f>IF(C499="","",C499*D499)</f>
        <v/>
      </c>
      <c r="H499" s="120">
        <f>IF(C499="","",C499*E499)</f>
        <v/>
      </c>
      <c r="I499" s="115">
        <f>IF(C499="","",IFERROR(D499/(E499+(E499=0))-1,0))</f>
        <v/>
      </c>
      <c r="J499" s="117">
        <f>IF(C499="","",IF(ABS(I499)&gt;AYARLAR!$C$14,"RİSKLİ","NORMAL"))</f>
        <v/>
      </c>
      <c r="K499" s="115">
        <f>IF(G499="","",IFERROR(G499/MOTOR!$B$20,0))</f>
        <v/>
      </c>
      <c r="L499" s="117">
        <f>IF(C499="","",IF(F499="","EKSİK","TAM"))</f>
        <v/>
      </c>
      <c r="M499" s="118" t="n"/>
    </row>
    <row r="500" ht="15" customHeight="1" s="64">
      <c r="A500" s="118" t="n"/>
      <c r="B500" s="118" t="n"/>
      <c r="C500" s="118" t="n"/>
      <c r="D500" s="118" t="n"/>
      <c r="E500" s="118" t="n"/>
      <c r="F500" s="118" t="n"/>
      <c r="G500" s="120">
        <f>IF(C500="","",C500*D500)</f>
        <v/>
      </c>
      <c r="H500" s="120">
        <f>IF(C500="","",C500*E500)</f>
        <v/>
      </c>
      <c r="I500" s="115">
        <f>IF(C500="","",IFERROR(D500/(E500+(E500=0))-1,0))</f>
        <v/>
      </c>
      <c r="J500" s="117">
        <f>IF(C500="","",IF(ABS(I500)&gt;AYARLAR!$C$14,"RİSKLİ","NORMAL"))</f>
        <v/>
      </c>
      <c r="K500" s="115">
        <f>IF(G500="","",IFERROR(G500/MOTOR!$B$20,0))</f>
        <v/>
      </c>
      <c r="L500" s="117">
        <f>IF(C500="","",IF(F500="","EKSİK","TAM"))</f>
        <v/>
      </c>
      <c r="M500" s="118" t="n"/>
    </row>
    <row r="501" ht="15" customHeight="1" s="64">
      <c r="A501" s="118" t="n"/>
      <c r="B501" s="118" t="n"/>
      <c r="C501" s="118" t="n"/>
      <c r="D501" s="118" t="n"/>
      <c r="E501" s="118" t="n"/>
      <c r="F501" s="118" t="n"/>
      <c r="G501" s="120">
        <f>IF(C501="","",C501*D501)</f>
        <v/>
      </c>
      <c r="H501" s="120">
        <f>IF(C501="","",C501*E501)</f>
        <v/>
      </c>
      <c r="I501" s="115">
        <f>IF(C501="","",IFERROR(D501/(E501+(E501=0))-1,0))</f>
        <v/>
      </c>
      <c r="J501" s="117">
        <f>IF(C501="","",IF(ABS(I501)&gt;AYARLAR!$C$14,"RİSKLİ","NORMAL"))</f>
        <v/>
      </c>
      <c r="K501" s="115">
        <f>IF(G501="","",IFERROR(G501/MOTOR!$B$20,0))</f>
        <v/>
      </c>
      <c r="L501" s="117">
        <f>IF(C501="","",IF(F501="","EKSİK","TAM"))</f>
        <v/>
      </c>
      <c r="M501" s="118" t="n"/>
    </row>
    <row r="502" ht="15" customHeight="1" s="64">
      <c r="A502" s="118" t="n"/>
      <c r="B502" s="118" t="n"/>
      <c r="C502" s="118" t="n"/>
      <c r="D502" s="118" t="n"/>
      <c r="E502" s="118" t="n"/>
      <c r="F502" s="118" t="n"/>
      <c r="G502" s="120">
        <f>IF(C502="","",C502*D502)</f>
        <v/>
      </c>
      <c r="H502" s="120">
        <f>IF(C502="","",C502*E502)</f>
        <v/>
      </c>
      <c r="I502" s="115">
        <f>IF(C502="","",IFERROR(D502/(E502+(E502=0))-1,0))</f>
        <v/>
      </c>
      <c r="J502" s="117">
        <f>IF(C502="","",IF(ABS(I502)&gt;AYARLAR!$C$14,"RİSKLİ","NORMAL"))</f>
        <v/>
      </c>
      <c r="K502" s="115">
        <f>IF(G502="","",IFERROR(G502/MOTOR!$B$20,0))</f>
        <v/>
      </c>
      <c r="L502" s="117">
        <f>IF(C502="","",IF(F502="","EKSİK","TAM"))</f>
        <v/>
      </c>
      <c r="M502" s="118" t="n"/>
    </row>
    <row r="503" ht="15" customHeight="1" s="64">
      <c r="A503" s="118" t="n"/>
      <c r="B503" s="118" t="n"/>
      <c r="C503" s="118" t="n"/>
      <c r="D503" s="118" t="n"/>
      <c r="E503" s="118" t="n"/>
      <c r="F503" s="118" t="n"/>
      <c r="G503" s="120">
        <f>IF(C503="","",C503*D503)</f>
        <v/>
      </c>
      <c r="H503" s="120">
        <f>IF(C503="","",C503*E503)</f>
        <v/>
      </c>
      <c r="I503" s="115">
        <f>IF(C503="","",IFERROR(D503/(E503+(E503=0))-1,0))</f>
        <v/>
      </c>
      <c r="J503" s="117">
        <f>IF(C503="","",IF(ABS(I503)&gt;AYARLAR!$C$14,"RİSKLİ","NORMAL"))</f>
        <v/>
      </c>
      <c r="K503" s="115">
        <f>IF(G503="","",IFERROR(G503/MOTOR!$B$20,0))</f>
        <v/>
      </c>
      <c r="L503" s="117">
        <f>IF(C503="","",IF(F503="","EKSİK","TAM"))</f>
        <v/>
      </c>
      <c r="M503" s="118" t="n"/>
    </row>
    <row r="504" ht="15" customHeight="1" s="64">
      <c r="A504" s="118" t="n"/>
      <c r="B504" s="118" t="n"/>
      <c r="C504" s="118" t="n"/>
      <c r="D504" s="118" t="n"/>
      <c r="E504" s="118" t="n"/>
      <c r="F504" s="118" t="n"/>
      <c r="G504" s="120">
        <f>IF(C504="","",C504*D504)</f>
        <v/>
      </c>
      <c r="H504" s="120">
        <f>IF(C504="","",C504*E504)</f>
        <v/>
      </c>
      <c r="I504" s="115">
        <f>IF(C504="","",IFERROR(D504/(E504+(E504=0))-1,0))</f>
        <v/>
      </c>
      <c r="J504" s="117">
        <f>IF(C504="","",IF(ABS(I504)&gt;AYARLAR!$C$14,"RİSKLİ","NORMAL"))</f>
        <v/>
      </c>
      <c r="K504" s="115">
        <f>IF(G504="","",IFERROR(G504/MOTOR!$B$20,0))</f>
        <v/>
      </c>
      <c r="L504" s="117">
        <f>IF(C504="","",IF(F504="","EKSİK","TAM"))</f>
        <v/>
      </c>
      <c r="M504" s="118" t="n"/>
    </row>
    <row r="505" ht="15" customHeight="1" s="64">
      <c r="A505" s="118" t="n"/>
      <c r="B505" s="118" t="n"/>
      <c r="C505" s="118" t="n"/>
      <c r="D505" s="118" t="n"/>
      <c r="E505" s="118" t="n"/>
      <c r="F505" s="118" t="n"/>
      <c r="G505" s="120">
        <f>IF(C505="","",C505*D505)</f>
        <v/>
      </c>
      <c r="H505" s="120">
        <f>IF(C505="","",C505*E505)</f>
        <v/>
      </c>
      <c r="I505" s="115">
        <f>IF(C505="","",IFERROR(D505/(E505+(E505=0))-1,0))</f>
        <v/>
      </c>
      <c r="J505" s="117">
        <f>IF(C505="","",IF(ABS(I505)&gt;AYARLAR!$C$14,"RİSKLİ","NORMAL"))</f>
        <v/>
      </c>
      <c r="K505" s="115">
        <f>IF(G505="","",IFERROR(G505/MOTOR!$B$20,0))</f>
        <v/>
      </c>
      <c r="L505" s="117">
        <f>IF(C505="","",IF(F505="","EKSİK","TAM"))</f>
        <v/>
      </c>
      <c r="M505" s="118" t="n"/>
    </row>
    <row r="506" ht="15" customHeight="1" s="64">
      <c r="A506" s="118" t="n"/>
      <c r="B506" s="118" t="n"/>
      <c r="C506" s="118" t="n"/>
      <c r="D506" s="118" t="n"/>
      <c r="E506" s="118" t="n"/>
      <c r="F506" s="118" t="n"/>
      <c r="G506" s="120">
        <f>IF(C506="","",C506*D506)</f>
        <v/>
      </c>
      <c r="H506" s="120">
        <f>IF(C506="","",C506*E506)</f>
        <v/>
      </c>
      <c r="I506" s="115">
        <f>IF(C506="","",IFERROR(D506/(E506+(E506=0))-1,0))</f>
        <v/>
      </c>
      <c r="J506" s="117">
        <f>IF(C506="","",IF(ABS(I506)&gt;AYARLAR!$C$14,"RİSKLİ","NORMAL"))</f>
        <v/>
      </c>
      <c r="K506" s="115">
        <f>IF(G506="","",IFERROR(G506/MOTOR!$B$20,0))</f>
        <v/>
      </c>
      <c r="L506" s="117">
        <f>IF(C506="","",IF(F506="","EKSİK","TAM"))</f>
        <v/>
      </c>
      <c r="M506" s="118" t="n"/>
    </row>
    <row r="507" ht="15" customHeight="1" s="64">
      <c r="A507" s="118" t="n"/>
      <c r="B507" s="118" t="n"/>
      <c r="C507" s="118" t="n"/>
      <c r="D507" s="118" t="n"/>
      <c r="E507" s="118" t="n"/>
      <c r="F507" s="118" t="n"/>
      <c r="G507" s="120">
        <f>IF(C507="","",C507*D507)</f>
        <v/>
      </c>
      <c r="H507" s="120">
        <f>IF(C507="","",C507*E507)</f>
        <v/>
      </c>
      <c r="I507" s="115">
        <f>IF(C507="","",IFERROR(D507/(E507+(E507=0))-1,0))</f>
        <v/>
      </c>
      <c r="J507" s="117">
        <f>IF(C507="","",IF(ABS(I507)&gt;AYARLAR!$C$14,"RİSKLİ","NORMAL"))</f>
        <v/>
      </c>
      <c r="K507" s="115">
        <f>IF(G507="","",IFERROR(G507/MOTOR!$B$20,0))</f>
        <v/>
      </c>
      <c r="L507" s="117">
        <f>IF(C507="","",IF(F507="","EKSİK","TAM"))</f>
        <v/>
      </c>
      <c r="M507" s="118" t="n"/>
    </row>
    <row r="508" ht="15" customHeight="1" s="64">
      <c r="A508" s="118" t="n"/>
      <c r="B508" s="118" t="n"/>
      <c r="C508" s="118" t="n"/>
      <c r="D508" s="118" t="n"/>
      <c r="E508" s="118" t="n"/>
      <c r="F508" s="118" t="n"/>
      <c r="G508" s="120">
        <f>IF(C508="","",C508*D508)</f>
        <v/>
      </c>
      <c r="H508" s="120">
        <f>IF(C508="","",C508*E508)</f>
        <v/>
      </c>
      <c r="I508" s="115">
        <f>IF(C508="","",IFERROR(D508/(E508+(E508=0))-1,0))</f>
        <v/>
      </c>
      <c r="J508" s="117">
        <f>IF(C508="","",IF(ABS(I508)&gt;AYARLAR!$C$14,"RİSKLİ","NORMAL"))</f>
        <v/>
      </c>
      <c r="K508" s="115">
        <f>IF(G508="","",IFERROR(G508/MOTOR!$B$20,0))</f>
        <v/>
      </c>
      <c r="L508" s="117">
        <f>IF(C508="","",IF(F508="","EKSİK","TAM"))</f>
        <v/>
      </c>
      <c r="M508" s="118" t="n"/>
    </row>
    <row r="509" ht="15" customHeight="1" s="64">
      <c r="A509" s="118" t="n"/>
      <c r="B509" s="118" t="n"/>
      <c r="C509" s="118" t="n"/>
      <c r="D509" s="118" t="n"/>
      <c r="E509" s="118" t="n"/>
      <c r="F509" s="118" t="n"/>
      <c r="G509" s="120">
        <f>IF(C509="","",C509*D509)</f>
        <v/>
      </c>
      <c r="H509" s="120">
        <f>IF(C509="","",C509*E509)</f>
        <v/>
      </c>
      <c r="I509" s="115">
        <f>IF(C509="","",IFERROR(D509/(E509+(E509=0))-1,0))</f>
        <v/>
      </c>
      <c r="J509" s="117">
        <f>IF(C509="","",IF(ABS(I509)&gt;AYARLAR!$C$14,"RİSKLİ","NORMAL"))</f>
        <v/>
      </c>
      <c r="K509" s="115">
        <f>IF(G509="","",IFERROR(G509/MOTOR!$B$20,0))</f>
        <v/>
      </c>
      <c r="L509" s="117">
        <f>IF(C509="","",IF(F509="","EKSİK","TAM"))</f>
        <v/>
      </c>
      <c r="M509" s="118" t="n"/>
    </row>
    <row r="510" ht="15" customHeight="1" s="64">
      <c r="A510" s="118" t="n"/>
      <c r="B510" s="118" t="n"/>
      <c r="C510" s="118" t="n"/>
      <c r="D510" s="118" t="n"/>
      <c r="E510" s="118" t="n"/>
      <c r="F510" s="118" t="n"/>
      <c r="G510" s="120">
        <f>IF(C510="","",C510*D510)</f>
        <v/>
      </c>
      <c r="H510" s="120">
        <f>IF(C510="","",C510*E510)</f>
        <v/>
      </c>
      <c r="I510" s="115">
        <f>IF(C510="","",IFERROR(D510/(E510+(E510=0))-1,0))</f>
        <v/>
      </c>
      <c r="J510" s="117">
        <f>IF(C510="","",IF(ABS(I510)&gt;AYARLAR!$C$14,"RİSKLİ","NORMAL"))</f>
        <v/>
      </c>
      <c r="K510" s="115">
        <f>IF(G510="","",IFERROR(G510/MOTOR!$B$20,0))</f>
        <v/>
      </c>
      <c r="L510" s="117">
        <f>IF(C510="","",IF(F510="","EKSİK","TAM"))</f>
        <v/>
      </c>
      <c r="M510" s="118" t="n"/>
    </row>
    <row r="511" ht="15" customHeight="1" s="64">
      <c r="A511" s="118" t="n"/>
      <c r="B511" s="118" t="n"/>
      <c r="C511" s="118" t="n"/>
      <c r="D511" s="118" t="n"/>
      <c r="E511" s="118" t="n"/>
      <c r="F511" s="118" t="n"/>
      <c r="G511" s="120">
        <f>IF(C511="","",C511*D511)</f>
        <v/>
      </c>
      <c r="H511" s="120">
        <f>IF(C511="","",C511*E511)</f>
        <v/>
      </c>
      <c r="I511" s="115">
        <f>IF(C511="","",IFERROR(D511/(E511+(E511=0))-1,0))</f>
        <v/>
      </c>
      <c r="J511" s="117">
        <f>IF(C511="","",IF(ABS(I511)&gt;AYARLAR!$C$14,"RİSKLİ","NORMAL"))</f>
        <v/>
      </c>
      <c r="K511" s="115">
        <f>IF(G511="","",IFERROR(G511/MOTOR!$B$20,0))</f>
        <v/>
      </c>
      <c r="L511" s="117">
        <f>IF(C511="","",IF(F511="","EKSİK","TAM"))</f>
        <v/>
      </c>
      <c r="M511" s="118" t="n"/>
    </row>
    <row r="512" ht="15" customHeight="1" s="64">
      <c r="A512" s="118" t="n"/>
      <c r="B512" s="118" t="n"/>
      <c r="C512" s="118" t="n"/>
      <c r="D512" s="118" t="n"/>
      <c r="E512" s="118" t="n"/>
      <c r="F512" s="118" t="n"/>
      <c r="G512" s="120">
        <f>IF(C512="","",C512*D512)</f>
        <v/>
      </c>
      <c r="H512" s="120">
        <f>IF(C512="","",C512*E512)</f>
        <v/>
      </c>
      <c r="I512" s="115">
        <f>IF(C512="","",IFERROR(D512/(E512+(E512=0))-1,0))</f>
        <v/>
      </c>
      <c r="J512" s="117">
        <f>IF(C512="","",IF(ABS(I512)&gt;AYARLAR!$C$14,"RİSKLİ","NORMAL"))</f>
        <v/>
      </c>
      <c r="K512" s="115">
        <f>IF(G512="","",IFERROR(G512/MOTOR!$B$20,0))</f>
        <v/>
      </c>
      <c r="L512" s="117">
        <f>IF(C512="","",IF(F512="","EKSİK","TAM"))</f>
        <v/>
      </c>
      <c r="M512" s="118" t="n"/>
    </row>
    <row r="513" ht="15" customHeight="1" s="64">
      <c r="A513" s="118" t="n"/>
      <c r="B513" s="118" t="n"/>
      <c r="C513" s="118" t="n"/>
      <c r="D513" s="118" t="n"/>
      <c r="E513" s="118" t="n"/>
      <c r="F513" s="118" t="n"/>
      <c r="G513" s="120">
        <f>IF(C513="","",C513*D513)</f>
        <v/>
      </c>
      <c r="H513" s="120">
        <f>IF(C513="","",C513*E513)</f>
        <v/>
      </c>
      <c r="I513" s="115">
        <f>IF(C513="","",IFERROR(D513/(E513+(E513=0))-1,0))</f>
        <v/>
      </c>
      <c r="J513" s="117">
        <f>IF(C513="","",IF(ABS(I513)&gt;AYARLAR!$C$14,"RİSKLİ","NORMAL"))</f>
        <v/>
      </c>
      <c r="K513" s="115">
        <f>IF(G513="","",IFERROR(G513/MOTOR!$B$20,0))</f>
        <v/>
      </c>
      <c r="L513" s="117">
        <f>IF(C513="","",IF(F513="","EKSİK","TAM"))</f>
        <v/>
      </c>
      <c r="M513" s="118" t="n"/>
    </row>
    <row r="514" ht="15" customHeight="1" s="64">
      <c r="A514" s="118" t="n"/>
      <c r="B514" s="118" t="n"/>
      <c r="C514" s="118" t="n"/>
      <c r="D514" s="118" t="n"/>
      <c r="E514" s="118" t="n"/>
      <c r="F514" s="118" t="n"/>
      <c r="G514" s="120">
        <f>IF(C514="","",C514*D514)</f>
        <v/>
      </c>
      <c r="H514" s="120">
        <f>IF(C514="","",C514*E514)</f>
        <v/>
      </c>
      <c r="I514" s="115">
        <f>IF(C514="","",IFERROR(D514/(E514+(E514=0))-1,0))</f>
        <v/>
      </c>
      <c r="J514" s="117">
        <f>IF(C514="","",IF(ABS(I514)&gt;AYARLAR!$C$14,"RİSKLİ","NORMAL"))</f>
        <v/>
      </c>
      <c r="K514" s="115">
        <f>IF(G514="","",IFERROR(G514/MOTOR!$B$20,0))</f>
        <v/>
      </c>
      <c r="L514" s="117">
        <f>IF(C514="","",IF(F514="","EKSİK","TAM"))</f>
        <v/>
      </c>
      <c r="M514" s="118" t="n"/>
    </row>
    <row r="515" ht="15" customHeight="1" s="64">
      <c r="A515" s="118" t="n"/>
      <c r="B515" s="118" t="n"/>
      <c r="C515" s="118" t="n"/>
      <c r="D515" s="118" t="n"/>
      <c r="E515" s="118" t="n"/>
      <c r="F515" s="118" t="n"/>
      <c r="G515" s="120">
        <f>IF(C515="","",C515*D515)</f>
        <v/>
      </c>
      <c r="H515" s="120">
        <f>IF(C515="","",C515*E515)</f>
        <v/>
      </c>
      <c r="I515" s="115">
        <f>IF(C515="","",IFERROR(D515/(E515+(E515=0))-1,0))</f>
        <v/>
      </c>
      <c r="J515" s="117">
        <f>IF(C515="","",IF(ABS(I515)&gt;AYARLAR!$C$14,"RİSKLİ","NORMAL"))</f>
        <v/>
      </c>
      <c r="K515" s="115">
        <f>IF(G515="","",IFERROR(G515/MOTOR!$B$20,0))</f>
        <v/>
      </c>
      <c r="L515" s="117">
        <f>IF(C515="","",IF(F515="","EKSİK","TAM"))</f>
        <v/>
      </c>
      <c r="M515" s="118" t="n"/>
    </row>
    <row r="516" ht="15" customHeight="1" s="64">
      <c r="A516" s="118" t="n"/>
      <c r="B516" s="118" t="n"/>
      <c r="C516" s="118" t="n"/>
      <c r="D516" s="118" t="n"/>
      <c r="E516" s="118" t="n"/>
      <c r="F516" s="118" t="n"/>
      <c r="G516" s="120">
        <f>IF(C516="","",C516*D516)</f>
        <v/>
      </c>
      <c r="H516" s="120">
        <f>IF(C516="","",C516*E516)</f>
        <v/>
      </c>
      <c r="I516" s="115">
        <f>IF(C516="","",IFERROR(D516/(E516+(E516=0))-1,0))</f>
        <v/>
      </c>
      <c r="J516" s="117">
        <f>IF(C516="","",IF(ABS(I516)&gt;AYARLAR!$C$14,"RİSKLİ","NORMAL"))</f>
        <v/>
      </c>
      <c r="K516" s="115">
        <f>IF(G516="","",IFERROR(G516/MOTOR!$B$20,0))</f>
        <v/>
      </c>
      <c r="L516" s="117">
        <f>IF(C516="","",IF(F516="","EKSİK","TAM"))</f>
        <v/>
      </c>
      <c r="M516" s="118" t="n"/>
    </row>
    <row r="517" ht="15" customHeight="1" s="64">
      <c r="A517" s="118" t="n"/>
      <c r="B517" s="118" t="n"/>
      <c r="C517" s="118" t="n"/>
      <c r="D517" s="118" t="n"/>
      <c r="E517" s="118" t="n"/>
      <c r="F517" s="118" t="n"/>
      <c r="G517" s="120">
        <f>IF(C517="","",C517*D517)</f>
        <v/>
      </c>
      <c r="H517" s="120">
        <f>IF(C517="","",C517*E517)</f>
        <v/>
      </c>
      <c r="I517" s="115">
        <f>IF(C517="","",IFERROR(D517/(E517+(E517=0))-1,0))</f>
        <v/>
      </c>
      <c r="J517" s="117">
        <f>IF(C517="","",IF(ABS(I517)&gt;AYARLAR!$C$14,"RİSKLİ","NORMAL"))</f>
        <v/>
      </c>
      <c r="K517" s="115">
        <f>IF(G517="","",IFERROR(G517/MOTOR!$B$20,0))</f>
        <v/>
      </c>
      <c r="L517" s="117">
        <f>IF(C517="","",IF(F517="","EKSİK","TAM"))</f>
        <v/>
      </c>
      <c r="M517" s="118" t="n"/>
    </row>
    <row r="518" ht="15" customHeight="1" s="64">
      <c r="A518" s="118" t="n"/>
      <c r="B518" s="118" t="n"/>
      <c r="C518" s="118" t="n"/>
      <c r="D518" s="118" t="n"/>
      <c r="E518" s="118" t="n"/>
      <c r="F518" s="118" t="n"/>
      <c r="G518" s="120">
        <f>IF(C518="","",C518*D518)</f>
        <v/>
      </c>
      <c r="H518" s="120">
        <f>IF(C518="","",C518*E518)</f>
        <v/>
      </c>
      <c r="I518" s="115">
        <f>IF(C518="","",IFERROR(D518/(E518+(E518=0))-1,0))</f>
        <v/>
      </c>
      <c r="J518" s="117">
        <f>IF(C518="","",IF(ABS(I518)&gt;AYARLAR!$C$14,"RİSKLİ","NORMAL"))</f>
        <v/>
      </c>
      <c r="K518" s="115">
        <f>IF(G518="","",IFERROR(G518/MOTOR!$B$20,0))</f>
        <v/>
      </c>
      <c r="L518" s="117">
        <f>IF(C518="","",IF(F518="","EKSİK","TAM"))</f>
        <v/>
      </c>
      <c r="M518" s="118" t="n"/>
    </row>
    <row r="519" ht="15" customHeight="1" s="64">
      <c r="A519" s="118" t="n"/>
      <c r="B519" s="118" t="n"/>
      <c r="C519" s="118" t="n"/>
      <c r="D519" s="118" t="n"/>
      <c r="E519" s="118" t="n"/>
      <c r="F519" s="118" t="n"/>
      <c r="G519" s="120">
        <f>IF(C519="","",C519*D519)</f>
        <v/>
      </c>
      <c r="H519" s="120">
        <f>IF(C519="","",C519*E519)</f>
        <v/>
      </c>
      <c r="I519" s="115">
        <f>IF(C519="","",IFERROR(D519/(E519+(E519=0))-1,0))</f>
        <v/>
      </c>
      <c r="J519" s="117">
        <f>IF(C519="","",IF(ABS(I519)&gt;AYARLAR!$C$14,"RİSKLİ","NORMAL"))</f>
        <v/>
      </c>
      <c r="K519" s="115">
        <f>IF(G519="","",IFERROR(G519/MOTOR!$B$20,0))</f>
        <v/>
      </c>
      <c r="L519" s="117">
        <f>IF(C519="","",IF(F519="","EKSİK","TAM"))</f>
        <v/>
      </c>
      <c r="M519" s="118" t="n"/>
    </row>
    <row r="520" ht="15" customHeight="1" s="64">
      <c r="A520" s="118" t="n"/>
      <c r="B520" s="118" t="n"/>
      <c r="C520" s="118" t="n"/>
      <c r="D520" s="118" t="n"/>
      <c r="E520" s="118" t="n"/>
      <c r="F520" s="118" t="n"/>
      <c r="G520" s="120">
        <f>IF(C520="","",C520*D520)</f>
        <v/>
      </c>
      <c r="H520" s="120">
        <f>IF(C520="","",C520*E520)</f>
        <v/>
      </c>
      <c r="I520" s="115">
        <f>IF(C520="","",IFERROR(D520/(E520+(E520=0))-1,0))</f>
        <v/>
      </c>
      <c r="J520" s="117">
        <f>IF(C520="","",IF(ABS(I520)&gt;AYARLAR!$C$14,"RİSKLİ","NORMAL"))</f>
        <v/>
      </c>
      <c r="K520" s="115">
        <f>IF(G520="","",IFERROR(G520/MOTOR!$B$20,0))</f>
        <v/>
      </c>
      <c r="L520" s="117">
        <f>IF(C520="","",IF(F520="","EKSİK","TAM"))</f>
        <v/>
      </c>
      <c r="M520" s="118" t="n"/>
    </row>
    <row r="521" ht="15" customHeight="1" s="64">
      <c r="A521" s="118" t="n"/>
      <c r="B521" s="118" t="n"/>
      <c r="C521" s="118" t="n"/>
      <c r="D521" s="118" t="n"/>
      <c r="E521" s="118" t="n"/>
      <c r="F521" s="118" t="n"/>
      <c r="G521" s="120">
        <f>IF(C521="","",C521*D521)</f>
        <v/>
      </c>
      <c r="H521" s="120">
        <f>IF(C521="","",C521*E521)</f>
        <v/>
      </c>
      <c r="I521" s="115">
        <f>IF(C521="","",IFERROR(D521/(E521+(E521=0))-1,0))</f>
        <v/>
      </c>
      <c r="J521" s="117">
        <f>IF(C521="","",IF(ABS(I521)&gt;AYARLAR!$C$14,"RİSKLİ","NORMAL"))</f>
        <v/>
      </c>
      <c r="K521" s="115">
        <f>IF(G521="","",IFERROR(G521/MOTOR!$B$20,0))</f>
        <v/>
      </c>
      <c r="L521" s="117">
        <f>IF(C521="","",IF(F521="","EKSİK","TAM"))</f>
        <v/>
      </c>
      <c r="M521" s="118" t="n"/>
    </row>
    <row r="522" ht="15" customHeight="1" s="64">
      <c r="A522" s="118" t="n"/>
      <c r="B522" s="118" t="n"/>
      <c r="C522" s="118" t="n"/>
      <c r="D522" s="118" t="n"/>
      <c r="E522" s="118" t="n"/>
      <c r="F522" s="118" t="n"/>
      <c r="G522" s="120">
        <f>IF(C522="","",C522*D522)</f>
        <v/>
      </c>
      <c r="H522" s="120">
        <f>IF(C522="","",C522*E522)</f>
        <v/>
      </c>
      <c r="I522" s="115">
        <f>IF(C522="","",IFERROR(D522/(E522+(E522=0))-1,0))</f>
        <v/>
      </c>
      <c r="J522" s="117">
        <f>IF(C522="","",IF(ABS(I522)&gt;AYARLAR!$C$14,"RİSKLİ","NORMAL"))</f>
        <v/>
      </c>
      <c r="K522" s="115">
        <f>IF(G522="","",IFERROR(G522/MOTOR!$B$20,0))</f>
        <v/>
      </c>
      <c r="L522" s="117">
        <f>IF(C522="","",IF(F522="","EKSİK","TAM"))</f>
        <v/>
      </c>
      <c r="M522" s="118" t="n"/>
    </row>
    <row r="523" ht="15" customHeight="1" s="64">
      <c r="A523" s="118" t="n"/>
      <c r="B523" s="118" t="n"/>
      <c r="C523" s="118" t="n"/>
      <c r="D523" s="118" t="n"/>
      <c r="E523" s="118" t="n"/>
      <c r="F523" s="118" t="n"/>
      <c r="G523" s="120">
        <f>IF(C523="","",C523*D523)</f>
        <v/>
      </c>
      <c r="H523" s="120">
        <f>IF(C523="","",C523*E523)</f>
        <v/>
      </c>
      <c r="I523" s="115">
        <f>IF(C523="","",IFERROR(D523/(E523+(E523=0))-1,0))</f>
        <v/>
      </c>
      <c r="J523" s="117">
        <f>IF(C523="","",IF(ABS(I523)&gt;AYARLAR!$C$14,"RİSKLİ","NORMAL"))</f>
        <v/>
      </c>
      <c r="K523" s="115">
        <f>IF(G523="","",IFERROR(G523/MOTOR!$B$20,0))</f>
        <v/>
      </c>
      <c r="L523" s="117">
        <f>IF(C523="","",IF(F523="","EKSİK","TAM"))</f>
        <v/>
      </c>
      <c r="M523" s="118" t="n"/>
    </row>
    <row r="524" ht="15" customHeight="1" s="64">
      <c r="A524" s="118" t="n"/>
      <c r="B524" s="118" t="n"/>
      <c r="C524" s="118" t="n"/>
      <c r="D524" s="118" t="n"/>
      <c r="E524" s="118" t="n"/>
      <c r="F524" s="118" t="n"/>
      <c r="G524" s="120">
        <f>IF(C524="","",C524*D524)</f>
        <v/>
      </c>
      <c r="H524" s="120">
        <f>IF(C524="","",C524*E524)</f>
        <v/>
      </c>
      <c r="I524" s="115">
        <f>IF(C524="","",IFERROR(D524/(E524+(E524=0))-1,0))</f>
        <v/>
      </c>
      <c r="J524" s="117">
        <f>IF(C524="","",IF(ABS(I524)&gt;AYARLAR!$C$14,"RİSKLİ","NORMAL"))</f>
        <v/>
      </c>
      <c r="K524" s="115">
        <f>IF(G524="","",IFERROR(G524/MOTOR!$B$20,0))</f>
        <v/>
      </c>
      <c r="L524" s="117">
        <f>IF(C524="","",IF(F524="","EKSİK","TAM"))</f>
        <v/>
      </c>
      <c r="M524" s="118" t="n"/>
    </row>
    <row r="525" ht="15" customHeight="1" s="64">
      <c r="A525" s="118" t="n"/>
      <c r="B525" s="118" t="n"/>
      <c r="C525" s="118" t="n"/>
      <c r="D525" s="118" t="n"/>
      <c r="E525" s="118" t="n"/>
      <c r="F525" s="118" t="n"/>
      <c r="G525" s="120">
        <f>IF(C525="","",C525*D525)</f>
        <v/>
      </c>
      <c r="H525" s="120">
        <f>IF(C525="","",C525*E525)</f>
        <v/>
      </c>
      <c r="I525" s="115">
        <f>IF(C525="","",IFERROR(D525/(E525+(E525=0))-1,0))</f>
        <v/>
      </c>
      <c r="J525" s="117">
        <f>IF(C525="","",IF(ABS(I525)&gt;AYARLAR!$C$14,"RİSKLİ","NORMAL"))</f>
        <v/>
      </c>
      <c r="K525" s="115">
        <f>IF(G525="","",IFERROR(G525/MOTOR!$B$20,0))</f>
        <v/>
      </c>
      <c r="L525" s="117">
        <f>IF(C525="","",IF(F525="","EKSİK","TAM"))</f>
        <v/>
      </c>
      <c r="M525" s="118" t="n"/>
    </row>
    <row r="526" ht="15" customHeight="1" s="64">
      <c r="A526" s="118" t="n"/>
      <c r="B526" s="118" t="n"/>
      <c r="C526" s="118" t="n"/>
      <c r="D526" s="118" t="n"/>
      <c r="E526" s="118" t="n"/>
      <c r="F526" s="118" t="n"/>
      <c r="G526" s="120">
        <f>IF(C526="","",C526*D526)</f>
        <v/>
      </c>
      <c r="H526" s="120">
        <f>IF(C526="","",C526*E526)</f>
        <v/>
      </c>
      <c r="I526" s="115">
        <f>IF(C526="","",IFERROR(D526/(E526+(E526=0))-1,0))</f>
        <v/>
      </c>
      <c r="J526" s="117">
        <f>IF(C526="","",IF(ABS(I526)&gt;AYARLAR!$C$14,"RİSKLİ","NORMAL"))</f>
        <v/>
      </c>
      <c r="K526" s="115">
        <f>IF(G526="","",IFERROR(G526/MOTOR!$B$20,0))</f>
        <v/>
      </c>
      <c r="L526" s="117">
        <f>IF(C526="","",IF(F526="","EKSİK","TAM"))</f>
        <v/>
      </c>
      <c r="M526" s="118" t="n"/>
    </row>
    <row r="527" ht="15" customHeight="1" s="64">
      <c r="A527" s="118" t="n"/>
      <c r="B527" s="118" t="n"/>
      <c r="C527" s="118" t="n"/>
      <c r="D527" s="118" t="n"/>
      <c r="E527" s="118" t="n"/>
      <c r="F527" s="118" t="n"/>
      <c r="G527" s="120">
        <f>IF(C527="","",C527*D527)</f>
        <v/>
      </c>
      <c r="H527" s="120">
        <f>IF(C527="","",C527*E527)</f>
        <v/>
      </c>
      <c r="I527" s="115">
        <f>IF(C527="","",IFERROR(D527/(E527+(E527=0))-1,0))</f>
        <v/>
      </c>
      <c r="J527" s="117">
        <f>IF(C527="","",IF(ABS(I527)&gt;AYARLAR!$C$14,"RİSKLİ","NORMAL"))</f>
        <v/>
      </c>
      <c r="K527" s="115">
        <f>IF(G527="","",IFERROR(G527/MOTOR!$B$20,0))</f>
        <v/>
      </c>
      <c r="L527" s="117">
        <f>IF(C527="","",IF(F527="","EKSİK","TAM"))</f>
        <v/>
      </c>
      <c r="M527" s="118" t="n"/>
    </row>
    <row r="528" ht="15" customHeight="1" s="64">
      <c r="A528" s="118" t="n"/>
      <c r="B528" s="118" t="n"/>
      <c r="C528" s="118" t="n"/>
      <c r="D528" s="118" t="n"/>
      <c r="E528" s="118" t="n"/>
      <c r="F528" s="118" t="n"/>
      <c r="G528" s="120">
        <f>IF(C528="","",C528*D528)</f>
        <v/>
      </c>
      <c r="H528" s="120">
        <f>IF(C528="","",C528*E528)</f>
        <v/>
      </c>
      <c r="I528" s="115">
        <f>IF(C528="","",IFERROR(D528/(E528+(E528=0))-1,0))</f>
        <v/>
      </c>
      <c r="J528" s="117">
        <f>IF(C528="","",IF(ABS(I528)&gt;AYARLAR!$C$14,"RİSKLİ","NORMAL"))</f>
        <v/>
      </c>
      <c r="K528" s="115">
        <f>IF(G528="","",IFERROR(G528/MOTOR!$B$20,0))</f>
        <v/>
      </c>
      <c r="L528" s="117">
        <f>IF(C528="","",IF(F528="","EKSİK","TAM"))</f>
        <v/>
      </c>
      <c r="M528" s="118" t="n"/>
    </row>
    <row r="529" ht="15" customHeight="1" s="64">
      <c r="A529" s="118" t="n"/>
      <c r="B529" s="118" t="n"/>
      <c r="C529" s="118" t="n"/>
      <c r="D529" s="118" t="n"/>
      <c r="E529" s="118" t="n"/>
      <c r="F529" s="118" t="n"/>
      <c r="G529" s="120">
        <f>IF(C529="","",C529*D529)</f>
        <v/>
      </c>
      <c r="H529" s="120">
        <f>IF(C529="","",C529*E529)</f>
        <v/>
      </c>
      <c r="I529" s="115">
        <f>IF(C529="","",IFERROR(D529/(E529+(E529=0))-1,0))</f>
        <v/>
      </c>
      <c r="J529" s="117">
        <f>IF(C529="","",IF(ABS(I529)&gt;AYARLAR!$C$14,"RİSKLİ","NORMAL"))</f>
        <v/>
      </c>
      <c r="K529" s="115">
        <f>IF(G529="","",IFERROR(G529/MOTOR!$B$20,0))</f>
        <v/>
      </c>
      <c r="L529" s="117">
        <f>IF(C529="","",IF(F529="","EKSİK","TAM"))</f>
        <v/>
      </c>
      <c r="M529" s="118" t="n"/>
    </row>
    <row r="530" ht="15" customHeight="1" s="64">
      <c r="A530" s="118" t="n"/>
      <c r="B530" s="118" t="n"/>
      <c r="C530" s="118" t="n"/>
      <c r="D530" s="118" t="n"/>
      <c r="E530" s="118" t="n"/>
      <c r="F530" s="118" t="n"/>
      <c r="G530" s="120">
        <f>IF(C530="","",C530*D530)</f>
        <v/>
      </c>
      <c r="H530" s="120">
        <f>IF(C530="","",C530*E530)</f>
        <v/>
      </c>
      <c r="I530" s="115">
        <f>IF(C530="","",IFERROR(D530/(E530+(E530=0))-1,0))</f>
        <v/>
      </c>
      <c r="J530" s="117">
        <f>IF(C530="","",IF(ABS(I530)&gt;AYARLAR!$C$14,"RİSKLİ","NORMAL"))</f>
        <v/>
      </c>
      <c r="K530" s="115">
        <f>IF(G530="","",IFERROR(G530/MOTOR!$B$20,0))</f>
        <v/>
      </c>
      <c r="L530" s="117">
        <f>IF(C530="","",IF(F530="","EKSİK","TAM"))</f>
        <v/>
      </c>
      <c r="M530" s="118" t="n"/>
    </row>
    <row r="531" ht="15" customHeight="1" s="64">
      <c r="A531" s="118" t="n"/>
      <c r="B531" s="118" t="n"/>
      <c r="C531" s="118" t="n"/>
      <c r="D531" s="118" t="n"/>
      <c r="E531" s="118" t="n"/>
      <c r="F531" s="118" t="n"/>
      <c r="G531" s="120">
        <f>IF(C531="","",C531*D531)</f>
        <v/>
      </c>
      <c r="H531" s="120">
        <f>IF(C531="","",C531*E531)</f>
        <v/>
      </c>
      <c r="I531" s="115">
        <f>IF(C531="","",IFERROR(D531/(E531+(E531=0))-1,0))</f>
        <v/>
      </c>
      <c r="J531" s="117">
        <f>IF(C531="","",IF(ABS(I531)&gt;AYARLAR!$C$14,"RİSKLİ","NORMAL"))</f>
        <v/>
      </c>
      <c r="K531" s="115">
        <f>IF(G531="","",IFERROR(G531/MOTOR!$B$20,0))</f>
        <v/>
      </c>
      <c r="L531" s="117">
        <f>IF(C531="","",IF(F531="","EKSİK","TAM"))</f>
        <v/>
      </c>
      <c r="M531" s="118" t="n"/>
    </row>
    <row r="532" ht="15" customHeight="1" s="64">
      <c r="A532" s="118" t="n"/>
      <c r="B532" s="118" t="n"/>
      <c r="C532" s="118" t="n"/>
      <c r="D532" s="118" t="n"/>
      <c r="E532" s="118" t="n"/>
      <c r="F532" s="118" t="n"/>
      <c r="G532" s="120">
        <f>IF(C532="","",C532*D532)</f>
        <v/>
      </c>
      <c r="H532" s="120">
        <f>IF(C532="","",C532*E532)</f>
        <v/>
      </c>
      <c r="I532" s="115">
        <f>IF(C532="","",IFERROR(D532/(E532+(E532=0))-1,0))</f>
        <v/>
      </c>
      <c r="J532" s="117">
        <f>IF(C532="","",IF(ABS(I532)&gt;AYARLAR!$C$14,"RİSKLİ","NORMAL"))</f>
        <v/>
      </c>
      <c r="K532" s="115">
        <f>IF(G532="","",IFERROR(G532/MOTOR!$B$20,0))</f>
        <v/>
      </c>
      <c r="L532" s="117">
        <f>IF(C532="","",IF(F532="","EKSİK","TAM"))</f>
        <v/>
      </c>
      <c r="M532" s="118" t="n"/>
    </row>
    <row r="533" ht="15" customHeight="1" s="64">
      <c r="A533" s="118" t="n"/>
      <c r="B533" s="118" t="n"/>
      <c r="C533" s="118" t="n"/>
      <c r="D533" s="118" t="n"/>
      <c r="E533" s="118" t="n"/>
      <c r="F533" s="118" t="n"/>
      <c r="G533" s="120">
        <f>IF(C533="","",C533*D533)</f>
        <v/>
      </c>
      <c r="H533" s="120">
        <f>IF(C533="","",C533*E533)</f>
        <v/>
      </c>
      <c r="I533" s="115">
        <f>IF(C533="","",IFERROR(D533/(E533+(E533=0))-1,0))</f>
        <v/>
      </c>
      <c r="J533" s="117">
        <f>IF(C533="","",IF(ABS(I533)&gt;AYARLAR!$C$14,"RİSKLİ","NORMAL"))</f>
        <v/>
      </c>
      <c r="K533" s="115">
        <f>IF(G533="","",IFERROR(G533/MOTOR!$B$20,0))</f>
        <v/>
      </c>
      <c r="L533" s="117">
        <f>IF(C533="","",IF(F533="","EKSİK","TAM"))</f>
        <v/>
      </c>
      <c r="M533" s="118" t="n"/>
    </row>
    <row r="534" ht="15" customHeight="1" s="64">
      <c r="A534" s="118" t="n"/>
      <c r="B534" s="118" t="n"/>
      <c r="C534" s="118" t="n"/>
      <c r="D534" s="118" t="n"/>
      <c r="E534" s="118" t="n"/>
      <c r="F534" s="118" t="n"/>
      <c r="G534" s="120">
        <f>IF(C534="","",C534*D534)</f>
        <v/>
      </c>
      <c r="H534" s="120">
        <f>IF(C534="","",C534*E534)</f>
        <v/>
      </c>
      <c r="I534" s="115">
        <f>IF(C534="","",IFERROR(D534/(E534+(E534=0))-1,0))</f>
        <v/>
      </c>
      <c r="J534" s="117">
        <f>IF(C534="","",IF(ABS(I534)&gt;AYARLAR!$C$14,"RİSKLİ","NORMAL"))</f>
        <v/>
      </c>
      <c r="K534" s="115">
        <f>IF(G534="","",IFERROR(G534/MOTOR!$B$20,0))</f>
        <v/>
      </c>
      <c r="L534" s="117">
        <f>IF(C534="","",IF(F534="","EKSİK","TAM"))</f>
        <v/>
      </c>
      <c r="M534" s="118" t="n"/>
    </row>
    <row r="535" ht="15" customHeight="1" s="64">
      <c r="A535" s="118" t="n"/>
      <c r="B535" s="118" t="n"/>
      <c r="C535" s="118" t="n"/>
      <c r="D535" s="118" t="n"/>
      <c r="E535" s="118" t="n"/>
      <c r="F535" s="118" t="n"/>
      <c r="G535" s="120">
        <f>IF(C535="","",C535*D535)</f>
        <v/>
      </c>
      <c r="H535" s="120">
        <f>IF(C535="","",C535*E535)</f>
        <v/>
      </c>
      <c r="I535" s="115">
        <f>IF(C535="","",IFERROR(D535/(E535+(E535=0))-1,0))</f>
        <v/>
      </c>
      <c r="J535" s="117">
        <f>IF(C535="","",IF(ABS(I535)&gt;AYARLAR!$C$14,"RİSKLİ","NORMAL"))</f>
        <v/>
      </c>
      <c r="K535" s="115">
        <f>IF(G535="","",IFERROR(G535/MOTOR!$B$20,0))</f>
        <v/>
      </c>
      <c r="L535" s="117">
        <f>IF(C535="","",IF(F535="","EKSİK","TAM"))</f>
        <v/>
      </c>
      <c r="M535" s="118" t="n"/>
    </row>
    <row r="536" ht="15" customHeight="1" s="64">
      <c r="A536" s="118" t="n"/>
      <c r="B536" s="118" t="n"/>
      <c r="C536" s="118" t="n"/>
      <c r="D536" s="118" t="n"/>
      <c r="E536" s="118" t="n"/>
      <c r="F536" s="118" t="n"/>
      <c r="G536" s="120">
        <f>IF(C536="","",C536*D536)</f>
        <v/>
      </c>
      <c r="H536" s="120">
        <f>IF(C536="","",C536*E536)</f>
        <v/>
      </c>
      <c r="I536" s="115">
        <f>IF(C536="","",IFERROR(D536/(E536+(E536=0))-1,0))</f>
        <v/>
      </c>
      <c r="J536" s="117">
        <f>IF(C536="","",IF(ABS(I536)&gt;AYARLAR!$C$14,"RİSKLİ","NORMAL"))</f>
        <v/>
      </c>
      <c r="K536" s="115">
        <f>IF(G536="","",IFERROR(G536/MOTOR!$B$20,0))</f>
        <v/>
      </c>
      <c r="L536" s="117">
        <f>IF(C536="","",IF(F536="","EKSİK","TAM"))</f>
        <v/>
      </c>
      <c r="M536" s="118" t="n"/>
    </row>
    <row r="537" ht="15" customHeight="1" s="64">
      <c r="A537" s="118" t="n"/>
      <c r="B537" s="118" t="n"/>
      <c r="C537" s="118" t="n"/>
      <c r="D537" s="118" t="n"/>
      <c r="E537" s="118" t="n"/>
      <c r="F537" s="118" t="n"/>
      <c r="G537" s="120">
        <f>IF(C537="","",C537*D537)</f>
        <v/>
      </c>
      <c r="H537" s="120">
        <f>IF(C537="","",C537*E537)</f>
        <v/>
      </c>
      <c r="I537" s="115">
        <f>IF(C537="","",IFERROR(D537/(E537+(E537=0))-1,0))</f>
        <v/>
      </c>
      <c r="J537" s="117">
        <f>IF(C537="","",IF(ABS(I537)&gt;AYARLAR!$C$14,"RİSKLİ","NORMAL"))</f>
        <v/>
      </c>
      <c r="K537" s="115">
        <f>IF(G537="","",IFERROR(G537/MOTOR!$B$20,0))</f>
        <v/>
      </c>
      <c r="L537" s="117">
        <f>IF(C537="","",IF(F537="","EKSİK","TAM"))</f>
        <v/>
      </c>
      <c r="M537" s="118" t="n"/>
    </row>
    <row r="538" ht="15" customHeight="1" s="64">
      <c r="A538" s="118" t="n"/>
      <c r="B538" s="118" t="n"/>
      <c r="C538" s="118" t="n"/>
      <c r="D538" s="118" t="n"/>
      <c r="E538" s="118" t="n"/>
      <c r="F538" s="118" t="n"/>
      <c r="G538" s="120">
        <f>IF(C538="","",C538*D538)</f>
        <v/>
      </c>
      <c r="H538" s="120">
        <f>IF(C538="","",C538*E538)</f>
        <v/>
      </c>
      <c r="I538" s="115">
        <f>IF(C538="","",IFERROR(D538/(E538+(E538=0))-1,0))</f>
        <v/>
      </c>
      <c r="J538" s="117">
        <f>IF(C538="","",IF(ABS(I538)&gt;AYARLAR!$C$14,"RİSKLİ","NORMAL"))</f>
        <v/>
      </c>
      <c r="K538" s="115">
        <f>IF(G538="","",IFERROR(G538/MOTOR!$B$20,0))</f>
        <v/>
      </c>
      <c r="L538" s="117">
        <f>IF(C538="","",IF(F538="","EKSİK","TAM"))</f>
        <v/>
      </c>
      <c r="M538" s="118" t="n"/>
    </row>
    <row r="539" ht="15" customHeight="1" s="64">
      <c r="A539" s="118" t="n"/>
      <c r="B539" s="118" t="n"/>
      <c r="C539" s="118" t="n"/>
      <c r="D539" s="118" t="n"/>
      <c r="E539" s="118" t="n"/>
      <c r="F539" s="118" t="n"/>
      <c r="G539" s="120">
        <f>IF(C539="","",C539*D539)</f>
        <v/>
      </c>
      <c r="H539" s="120">
        <f>IF(C539="","",C539*E539)</f>
        <v/>
      </c>
      <c r="I539" s="115">
        <f>IF(C539="","",IFERROR(D539/(E539+(E539=0))-1,0))</f>
        <v/>
      </c>
      <c r="J539" s="117">
        <f>IF(C539="","",IF(ABS(I539)&gt;AYARLAR!$C$14,"RİSKLİ","NORMAL"))</f>
        <v/>
      </c>
      <c r="K539" s="115">
        <f>IF(G539="","",IFERROR(G539/MOTOR!$B$20,0))</f>
        <v/>
      </c>
      <c r="L539" s="117">
        <f>IF(C539="","",IF(F539="","EKSİK","TAM"))</f>
        <v/>
      </c>
      <c r="M539" s="118" t="n"/>
    </row>
    <row r="540" ht="15" customHeight="1" s="64">
      <c r="A540" s="118" t="n"/>
      <c r="B540" s="118" t="n"/>
      <c r="C540" s="118" t="n"/>
      <c r="D540" s="118" t="n"/>
      <c r="E540" s="118" t="n"/>
      <c r="F540" s="118" t="n"/>
      <c r="G540" s="120">
        <f>IF(C540="","",C540*D540)</f>
        <v/>
      </c>
      <c r="H540" s="120">
        <f>IF(C540="","",C540*E540)</f>
        <v/>
      </c>
      <c r="I540" s="115">
        <f>IF(C540="","",IFERROR(D540/(E540+(E540=0))-1,0))</f>
        <v/>
      </c>
      <c r="J540" s="117">
        <f>IF(C540="","",IF(ABS(I540)&gt;AYARLAR!$C$14,"RİSKLİ","NORMAL"))</f>
        <v/>
      </c>
      <c r="K540" s="115">
        <f>IF(G540="","",IFERROR(G540/MOTOR!$B$20,0))</f>
        <v/>
      </c>
      <c r="L540" s="117">
        <f>IF(C540="","",IF(F540="","EKSİK","TAM"))</f>
        <v/>
      </c>
      <c r="M540" s="118" t="n"/>
    </row>
    <row r="541" ht="15" customHeight="1" s="64">
      <c r="A541" s="118" t="n"/>
      <c r="B541" s="118" t="n"/>
      <c r="C541" s="118" t="n"/>
      <c r="D541" s="118" t="n"/>
      <c r="E541" s="118" t="n"/>
      <c r="F541" s="118" t="n"/>
      <c r="G541" s="120">
        <f>IF(C541="","",C541*D541)</f>
        <v/>
      </c>
      <c r="H541" s="120">
        <f>IF(C541="","",C541*E541)</f>
        <v/>
      </c>
      <c r="I541" s="115">
        <f>IF(C541="","",IFERROR(D541/(E541+(E541=0))-1,0))</f>
        <v/>
      </c>
      <c r="J541" s="117">
        <f>IF(C541="","",IF(ABS(I541)&gt;AYARLAR!$C$14,"RİSKLİ","NORMAL"))</f>
        <v/>
      </c>
      <c r="K541" s="115">
        <f>IF(G541="","",IFERROR(G541/MOTOR!$B$20,0))</f>
        <v/>
      </c>
      <c r="L541" s="117">
        <f>IF(C541="","",IF(F541="","EKSİK","TAM"))</f>
        <v/>
      </c>
      <c r="M541" s="118" t="n"/>
    </row>
    <row r="542" ht="15" customHeight="1" s="64">
      <c r="A542" s="118" t="n"/>
      <c r="B542" s="118" t="n"/>
      <c r="C542" s="118" t="n"/>
      <c r="D542" s="118" t="n"/>
      <c r="E542" s="118" t="n"/>
      <c r="F542" s="118" t="n"/>
      <c r="G542" s="120">
        <f>IF(C542="","",C542*D542)</f>
        <v/>
      </c>
      <c r="H542" s="120">
        <f>IF(C542="","",C542*E542)</f>
        <v/>
      </c>
      <c r="I542" s="115">
        <f>IF(C542="","",IFERROR(D542/(E542+(E542=0))-1,0))</f>
        <v/>
      </c>
      <c r="J542" s="117">
        <f>IF(C542="","",IF(ABS(I542)&gt;AYARLAR!$C$14,"RİSKLİ","NORMAL"))</f>
        <v/>
      </c>
      <c r="K542" s="115">
        <f>IF(G542="","",IFERROR(G542/MOTOR!$B$20,0))</f>
        <v/>
      </c>
      <c r="L542" s="117">
        <f>IF(C542="","",IF(F542="","EKSİK","TAM"))</f>
        <v/>
      </c>
      <c r="M542" s="118" t="n"/>
    </row>
    <row r="543" ht="15" customHeight="1" s="64">
      <c r="A543" s="118" t="n"/>
      <c r="B543" s="118" t="n"/>
      <c r="C543" s="118" t="n"/>
      <c r="D543" s="118" t="n"/>
      <c r="E543" s="118" t="n"/>
      <c r="F543" s="118" t="n"/>
      <c r="G543" s="120">
        <f>IF(C543="","",C543*D543)</f>
        <v/>
      </c>
      <c r="H543" s="120">
        <f>IF(C543="","",C543*E543)</f>
        <v/>
      </c>
      <c r="I543" s="115">
        <f>IF(C543="","",IFERROR(D543/(E543+(E543=0))-1,0))</f>
        <v/>
      </c>
      <c r="J543" s="117">
        <f>IF(C543="","",IF(ABS(I543)&gt;AYARLAR!$C$14,"RİSKLİ","NORMAL"))</f>
        <v/>
      </c>
      <c r="K543" s="115">
        <f>IF(G543="","",IFERROR(G543/MOTOR!$B$20,0))</f>
        <v/>
      </c>
      <c r="L543" s="117">
        <f>IF(C543="","",IF(F543="","EKSİK","TAM"))</f>
        <v/>
      </c>
      <c r="M543" s="118" t="n"/>
    </row>
    <row r="544" ht="15" customHeight="1" s="64">
      <c r="A544" s="118" t="n"/>
      <c r="B544" s="118" t="n"/>
      <c r="C544" s="118" t="n"/>
      <c r="D544" s="118" t="n"/>
      <c r="E544" s="118" t="n"/>
      <c r="F544" s="118" t="n"/>
      <c r="G544" s="120">
        <f>IF(C544="","",C544*D544)</f>
        <v/>
      </c>
      <c r="H544" s="120">
        <f>IF(C544="","",C544*E544)</f>
        <v/>
      </c>
      <c r="I544" s="115">
        <f>IF(C544="","",IFERROR(D544/(E544+(E544=0))-1,0))</f>
        <v/>
      </c>
      <c r="J544" s="117">
        <f>IF(C544="","",IF(ABS(I544)&gt;AYARLAR!$C$14,"RİSKLİ","NORMAL"))</f>
        <v/>
      </c>
      <c r="K544" s="115">
        <f>IF(G544="","",IFERROR(G544/MOTOR!$B$20,0))</f>
        <v/>
      </c>
      <c r="L544" s="117">
        <f>IF(C544="","",IF(F544="","EKSİK","TAM"))</f>
        <v/>
      </c>
      <c r="M544" s="118" t="n"/>
    </row>
    <row r="545" ht="15" customHeight="1" s="64">
      <c r="A545" s="118" t="n"/>
      <c r="B545" s="118" t="n"/>
      <c r="C545" s="118" t="n"/>
      <c r="D545" s="118" t="n"/>
      <c r="E545" s="118" t="n"/>
      <c r="F545" s="118" t="n"/>
      <c r="G545" s="120">
        <f>IF(C545="","",C545*D545)</f>
        <v/>
      </c>
      <c r="H545" s="120">
        <f>IF(C545="","",C545*E545)</f>
        <v/>
      </c>
      <c r="I545" s="115">
        <f>IF(C545="","",IFERROR(D545/(E545+(E545=0))-1,0))</f>
        <v/>
      </c>
      <c r="J545" s="117">
        <f>IF(C545="","",IF(ABS(I545)&gt;AYARLAR!$C$14,"RİSKLİ","NORMAL"))</f>
        <v/>
      </c>
      <c r="K545" s="115">
        <f>IF(G545="","",IFERROR(G545/MOTOR!$B$20,0))</f>
        <v/>
      </c>
      <c r="L545" s="117">
        <f>IF(C545="","",IF(F545="","EKSİK","TAM"))</f>
        <v/>
      </c>
      <c r="M545" s="118" t="n"/>
    </row>
    <row r="546" ht="15" customHeight="1" s="64">
      <c r="A546" s="118" t="n"/>
      <c r="B546" s="118" t="n"/>
      <c r="C546" s="118" t="n"/>
      <c r="D546" s="118" t="n"/>
      <c r="E546" s="118" t="n"/>
      <c r="F546" s="118" t="n"/>
      <c r="G546" s="120">
        <f>IF(C546="","",C546*D546)</f>
        <v/>
      </c>
      <c r="H546" s="120">
        <f>IF(C546="","",C546*E546)</f>
        <v/>
      </c>
      <c r="I546" s="115">
        <f>IF(C546="","",IFERROR(D546/(E546+(E546=0))-1,0))</f>
        <v/>
      </c>
      <c r="J546" s="117">
        <f>IF(C546="","",IF(ABS(I546)&gt;AYARLAR!$C$14,"RİSKLİ","NORMAL"))</f>
        <v/>
      </c>
      <c r="K546" s="115">
        <f>IF(G546="","",IFERROR(G546/MOTOR!$B$20,0))</f>
        <v/>
      </c>
      <c r="L546" s="117">
        <f>IF(C546="","",IF(F546="","EKSİK","TAM"))</f>
        <v/>
      </c>
      <c r="M546" s="118" t="n"/>
    </row>
    <row r="547" ht="15" customHeight="1" s="64">
      <c r="A547" s="118" t="n"/>
      <c r="B547" s="118" t="n"/>
      <c r="C547" s="118" t="n"/>
      <c r="D547" s="118" t="n"/>
      <c r="E547" s="118" t="n"/>
      <c r="F547" s="118" t="n"/>
      <c r="G547" s="120">
        <f>IF(C547="","",C547*D547)</f>
        <v/>
      </c>
      <c r="H547" s="120">
        <f>IF(C547="","",C547*E547)</f>
        <v/>
      </c>
      <c r="I547" s="115">
        <f>IF(C547="","",IFERROR(D547/(E547+(E547=0))-1,0))</f>
        <v/>
      </c>
      <c r="J547" s="117">
        <f>IF(C547="","",IF(ABS(I547)&gt;AYARLAR!$C$14,"RİSKLİ","NORMAL"))</f>
        <v/>
      </c>
      <c r="K547" s="115">
        <f>IF(G547="","",IFERROR(G547/MOTOR!$B$20,0))</f>
        <v/>
      </c>
      <c r="L547" s="117">
        <f>IF(C547="","",IF(F547="","EKSİK","TAM"))</f>
        <v/>
      </c>
      <c r="M547" s="118" t="n"/>
    </row>
    <row r="548" ht="15" customHeight="1" s="64">
      <c r="A548" s="118" t="n"/>
      <c r="B548" s="118" t="n"/>
      <c r="C548" s="118" t="n"/>
      <c r="D548" s="118" t="n"/>
      <c r="E548" s="118" t="n"/>
      <c r="F548" s="118" t="n"/>
      <c r="G548" s="120">
        <f>IF(C548="","",C548*D548)</f>
        <v/>
      </c>
      <c r="H548" s="120">
        <f>IF(C548="","",C548*E548)</f>
        <v/>
      </c>
      <c r="I548" s="115">
        <f>IF(C548="","",IFERROR(D548/(E548+(E548=0))-1,0))</f>
        <v/>
      </c>
      <c r="J548" s="117">
        <f>IF(C548="","",IF(ABS(I548)&gt;AYARLAR!$C$14,"RİSKLİ","NORMAL"))</f>
        <v/>
      </c>
      <c r="K548" s="115">
        <f>IF(G548="","",IFERROR(G548/MOTOR!$B$20,0))</f>
        <v/>
      </c>
      <c r="L548" s="117">
        <f>IF(C548="","",IF(F548="","EKSİK","TAM"))</f>
        <v/>
      </c>
      <c r="M548" s="118" t="n"/>
    </row>
    <row r="549" ht="15" customHeight="1" s="64">
      <c r="A549" s="118" t="n"/>
      <c r="B549" s="118" t="n"/>
      <c r="C549" s="118" t="n"/>
      <c r="D549" s="118" t="n"/>
      <c r="E549" s="118" t="n"/>
      <c r="F549" s="118" t="n"/>
      <c r="G549" s="120">
        <f>IF(C549="","",C549*D549)</f>
        <v/>
      </c>
      <c r="H549" s="120">
        <f>IF(C549="","",C549*E549)</f>
        <v/>
      </c>
      <c r="I549" s="115">
        <f>IF(C549="","",IFERROR(D549/(E549+(E549=0))-1,0))</f>
        <v/>
      </c>
      <c r="J549" s="117">
        <f>IF(C549="","",IF(ABS(I549)&gt;AYARLAR!$C$14,"RİSKLİ","NORMAL"))</f>
        <v/>
      </c>
      <c r="K549" s="115">
        <f>IF(G549="","",IFERROR(G549/MOTOR!$B$20,0))</f>
        <v/>
      </c>
      <c r="L549" s="117">
        <f>IF(C549="","",IF(F549="","EKSİK","TAM"))</f>
        <v/>
      </c>
      <c r="M549" s="118" t="n"/>
    </row>
    <row r="550" ht="15" customHeight="1" s="64">
      <c r="A550" s="118" t="n"/>
      <c r="B550" s="118" t="n"/>
      <c r="C550" s="118" t="n"/>
      <c r="D550" s="118" t="n"/>
      <c r="E550" s="118" t="n"/>
      <c r="F550" s="118" t="n"/>
      <c r="G550" s="120">
        <f>IF(C550="","",C550*D550)</f>
        <v/>
      </c>
      <c r="H550" s="120">
        <f>IF(C550="","",C550*E550)</f>
        <v/>
      </c>
      <c r="I550" s="115">
        <f>IF(C550="","",IFERROR(D550/(E550+(E550=0))-1,0))</f>
        <v/>
      </c>
      <c r="J550" s="117">
        <f>IF(C550="","",IF(ABS(I550)&gt;AYARLAR!$C$14,"RİSKLİ","NORMAL"))</f>
        <v/>
      </c>
      <c r="K550" s="115">
        <f>IF(G550="","",IFERROR(G550/MOTOR!$B$20,0))</f>
        <v/>
      </c>
      <c r="L550" s="117">
        <f>IF(C550="","",IF(F550="","EKSİK","TAM"))</f>
        <v/>
      </c>
      <c r="M550" s="118" t="n"/>
    </row>
    <row r="551" ht="15" customHeight="1" s="64">
      <c r="A551" s="118" t="n"/>
      <c r="B551" s="118" t="n"/>
      <c r="C551" s="118" t="n"/>
      <c r="D551" s="118" t="n"/>
      <c r="E551" s="118" t="n"/>
      <c r="F551" s="118" t="n"/>
      <c r="G551" s="120">
        <f>IF(C551="","",C551*D551)</f>
        <v/>
      </c>
      <c r="H551" s="120">
        <f>IF(C551="","",C551*E551)</f>
        <v/>
      </c>
      <c r="I551" s="115">
        <f>IF(C551="","",IFERROR(D551/(E551+(E551=0))-1,0))</f>
        <v/>
      </c>
      <c r="J551" s="117">
        <f>IF(C551="","",IF(ABS(I551)&gt;AYARLAR!$C$14,"RİSKLİ","NORMAL"))</f>
        <v/>
      </c>
      <c r="K551" s="115">
        <f>IF(G551="","",IFERROR(G551/MOTOR!$B$20,0))</f>
        <v/>
      </c>
      <c r="L551" s="117">
        <f>IF(C551="","",IF(F551="","EKSİK","TAM"))</f>
        <v/>
      </c>
      <c r="M551" s="118" t="n"/>
    </row>
    <row r="552" ht="15" customHeight="1" s="64">
      <c r="A552" s="118" t="n"/>
      <c r="B552" s="118" t="n"/>
      <c r="C552" s="118" t="n"/>
      <c r="D552" s="118" t="n"/>
      <c r="E552" s="118" t="n"/>
      <c r="F552" s="118" t="n"/>
      <c r="G552" s="120">
        <f>IF(C552="","",C552*D552)</f>
        <v/>
      </c>
      <c r="H552" s="120">
        <f>IF(C552="","",C552*E552)</f>
        <v/>
      </c>
      <c r="I552" s="115">
        <f>IF(C552="","",IFERROR(D552/(E552+(E552=0))-1,0))</f>
        <v/>
      </c>
      <c r="J552" s="117">
        <f>IF(C552="","",IF(ABS(I552)&gt;AYARLAR!$C$14,"RİSKLİ","NORMAL"))</f>
        <v/>
      </c>
      <c r="K552" s="115">
        <f>IF(G552="","",IFERROR(G552/MOTOR!$B$20,0))</f>
        <v/>
      </c>
      <c r="L552" s="117">
        <f>IF(C552="","",IF(F552="","EKSİK","TAM"))</f>
        <v/>
      </c>
      <c r="M552" s="118" t="n"/>
    </row>
    <row r="553" ht="15" customHeight="1" s="64">
      <c r="A553" s="118" t="n"/>
      <c r="B553" s="118" t="n"/>
      <c r="C553" s="118" t="n"/>
      <c r="D553" s="118" t="n"/>
      <c r="E553" s="118" t="n"/>
      <c r="F553" s="118" t="n"/>
      <c r="G553" s="120">
        <f>IF(C553="","",C553*D553)</f>
        <v/>
      </c>
      <c r="H553" s="120">
        <f>IF(C553="","",C553*E553)</f>
        <v/>
      </c>
      <c r="I553" s="115">
        <f>IF(C553="","",IFERROR(D553/(E553+(E553=0))-1,0))</f>
        <v/>
      </c>
      <c r="J553" s="117">
        <f>IF(C553="","",IF(ABS(I553)&gt;AYARLAR!$C$14,"RİSKLİ","NORMAL"))</f>
        <v/>
      </c>
      <c r="K553" s="115">
        <f>IF(G553="","",IFERROR(G553/MOTOR!$B$20,0))</f>
        <v/>
      </c>
      <c r="L553" s="117">
        <f>IF(C553="","",IF(F553="","EKSİK","TAM"))</f>
        <v/>
      </c>
      <c r="M553" s="118" t="n"/>
    </row>
    <row r="554" ht="15" customHeight="1" s="64">
      <c r="A554" s="118" t="n"/>
      <c r="B554" s="118" t="n"/>
      <c r="C554" s="118" t="n"/>
      <c r="D554" s="118" t="n"/>
      <c r="E554" s="118" t="n"/>
      <c r="F554" s="118" t="n"/>
      <c r="G554" s="120">
        <f>IF(C554="","",C554*D554)</f>
        <v/>
      </c>
      <c r="H554" s="120">
        <f>IF(C554="","",C554*E554)</f>
        <v/>
      </c>
      <c r="I554" s="115">
        <f>IF(C554="","",IFERROR(D554/(E554+(E554=0))-1,0))</f>
        <v/>
      </c>
      <c r="J554" s="117">
        <f>IF(C554="","",IF(ABS(I554)&gt;AYARLAR!$C$14,"RİSKLİ","NORMAL"))</f>
        <v/>
      </c>
      <c r="K554" s="115">
        <f>IF(G554="","",IFERROR(G554/MOTOR!$B$20,0))</f>
        <v/>
      </c>
      <c r="L554" s="117">
        <f>IF(C554="","",IF(F554="","EKSİK","TAM"))</f>
        <v/>
      </c>
      <c r="M554" s="118" t="n"/>
    </row>
    <row r="555" ht="15" customHeight="1" s="64">
      <c r="A555" s="118" t="n"/>
      <c r="B555" s="118" t="n"/>
      <c r="C555" s="118" t="n"/>
      <c r="D555" s="118" t="n"/>
      <c r="E555" s="118" t="n"/>
      <c r="F555" s="118" t="n"/>
      <c r="G555" s="120">
        <f>IF(C555="","",C555*D555)</f>
        <v/>
      </c>
      <c r="H555" s="120">
        <f>IF(C555="","",C555*E555)</f>
        <v/>
      </c>
      <c r="I555" s="115">
        <f>IF(C555="","",IFERROR(D555/(E555+(E555=0))-1,0))</f>
        <v/>
      </c>
      <c r="J555" s="117">
        <f>IF(C555="","",IF(ABS(I555)&gt;AYARLAR!$C$14,"RİSKLİ","NORMAL"))</f>
        <v/>
      </c>
      <c r="K555" s="115">
        <f>IF(G555="","",IFERROR(G555/MOTOR!$B$20,0))</f>
        <v/>
      </c>
      <c r="L555" s="117">
        <f>IF(C555="","",IF(F555="","EKSİK","TAM"))</f>
        <v/>
      </c>
      <c r="M555" s="118" t="n"/>
    </row>
    <row r="556" ht="15" customHeight="1" s="64">
      <c r="A556" s="118" t="n"/>
      <c r="B556" s="118" t="n"/>
      <c r="C556" s="118" t="n"/>
      <c r="D556" s="118" t="n"/>
      <c r="E556" s="118" t="n"/>
      <c r="F556" s="118" t="n"/>
      <c r="G556" s="120">
        <f>IF(C556="","",C556*D556)</f>
        <v/>
      </c>
      <c r="H556" s="120">
        <f>IF(C556="","",C556*E556)</f>
        <v/>
      </c>
      <c r="I556" s="115">
        <f>IF(C556="","",IFERROR(D556/(E556+(E556=0))-1,0))</f>
        <v/>
      </c>
      <c r="J556" s="117">
        <f>IF(C556="","",IF(ABS(I556)&gt;AYARLAR!$C$14,"RİSKLİ","NORMAL"))</f>
        <v/>
      </c>
      <c r="K556" s="115">
        <f>IF(G556="","",IFERROR(G556/MOTOR!$B$20,0))</f>
        <v/>
      </c>
      <c r="L556" s="117">
        <f>IF(C556="","",IF(F556="","EKSİK","TAM"))</f>
        <v/>
      </c>
      <c r="M556" s="118" t="n"/>
    </row>
    <row r="557" ht="15" customHeight="1" s="64">
      <c r="A557" s="118" t="n"/>
      <c r="B557" s="118" t="n"/>
      <c r="C557" s="118" t="n"/>
      <c r="D557" s="118" t="n"/>
      <c r="E557" s="118" t="n"/>
      <c r="F557" s="118" t="n"/>
      <c r="G557" s="120">
        <f>IF(C557="","",C557*D557)</f>
        <v/>
      </c>
      <c r="H557" s="120">
        <f>IF(C557="","",C557*E557)</f>
        <v/>
      </c>
      <c r="I557" s="115">
        <f>IF(C557="","",IFERROR(D557/(E557+(E557=0))-1,0))</f>
        <v/>
      </c>
      <c r="J557" s="117">
        <f>IF(C557="","",IF(ABS(I557)&gt;AYARLAR!$C$14,"RİSKLİ","NORMAL"))</f>
        <v/>
      </c>
      <c r="K557" s="115">
        <f>IF(G557="","",IFERROR(G557/MOTOR!$B$20,0))</f>
        <v/>
      </c>
      <c r="L557" s="117">
        <f>IF(C557="","",IF(F557="","EKSİK","TAM"))</f>
        <v/>
      </c>
      <c r="M557" s="118" t="n"/>
    </row>
    <row r="558" ht="15" customHeight="1" s="64">
      <c r="A558" s="118" t="n"/>
      <c r="B558" s="118" t="n"/>
      <c r="C558" s="118" t="n"/>
      <c r="D558" s="118" t="n"/>
      <c r="E558" s="118" t="n"/>
      <c r="F558" s="118" t="n"/>
      <c r="G558" s="120">
        <f>IF(C558="","",C558*D558)</f>
        <v/>
      </c>
      <c r="H558" s="120">
        <f>IF(C558="","",C558*E558)</f>
        <v/>
      </c>
      <c r="I558" s="115">
        <f>IF(C558="","",IFERROR(D558/(E558+(E558=0))-1,0))</f>
        <v/>
      </c>
      <c r="J558" s="117">
        <f>IF(C558="","",IF(ABS(I558)&gt;AYARLAR!$C$14,"RİSKLİ","NORMAL"))</f>
        <v/>
      </c>
      <c r="K558" s="115">
        <f>IF(G558="","",IFERROR(G558/MOTOR!$B$20,0))</f>
        <v/>
      </c>
      <c r="L558" s="117">
        <f>IF(C558="","",IF(F558="","EKSİK","TAM"))</f>
        <v/>
      </c>
      <c r="M558" s="118" t="n"/>
    </row>
    <row r="559" ht="15" customHeight="1" s="64">
      <c r="A559" s="118" t="n"/>
      <c r="B559" s="118" t="n"/>
      <c r="C559" s="118" t="n"/>
      <c r="D559" s="118" t="n"/>
      <c r="E559" s="118" t="n"/>
      <c r="F559" s="118" t="n"/>
      <c r="G559" s="120">
        <f>IF(C559="","",C559*D559)</f>
        <v/>
      </c>
      <c r="H559" s="120">
        <f>IF(C559="","",C559*E559)</f>
        <v/>
      </c>
      <c r="I559" s="115">
        <f>IF(C559="","",IFERROR(D559/(E559+(E559=0))-1,0))</f>
        <v/>
      </c>
      <c r="J559" s="117">
        <f>IF(C559="","",IF(ABS(I559)&gt;AYARLAR!$C$14,"RİSKLİ","NORMAL"))</f>
        <v/>
      </c>
      <c r="K559" s="115">
        <f>IF(G559="","",IFERROR(G559/MOTOR!$B$20,0))</f>
        <v/>
      </c>
      <c r="L559" s="117">
        <f>IF(C559="","",IF(F559="","EKSİK","TAM"))</f>
        <v/>
      </c>
      <c r="M559" s="118" t="n"/>
    </row>
    <row r="560" ht="15" customHeight="1" s="64">
      <c r="A560" s="118" t="n"/>
      <c r="B560" s="118" t="n"/>
      <c r="C560" s="118" t="n"/>
      <c r="D560" s="118" t="n"/>
      <c r="E560" s="118" t="n"/>
      <c r="F560" s="118" t="n"/>
      <c r="G560" s="120">
        <f>IF(C560="","",C560*D560)</f>
        <v/>
      </c>
      <c r="H560" s="120">
        <f>IF(C560="","",C560*E560)</f>
        <v/>
      </c>
      <c r="I560" s="115">
        <f>IF(C560="","",IFERROR(D560/(E560+(E560=0))-1,0))</f>
        <v/>
      </c>
      <c r="J560" s="117">
        <f>IF(C560="","",IF(ABS(I560)&gt;AYARLAR!$C$14,"RİSKLİ","NORMAL"))</f>
        <v/>
      </c>
      <c r="K560" s="115">
        <f>IF(G560="","",IFERROR(G560/MOTOR!$B$20,0))</f>
        <v/>
      </c>
      <c r="L560" s="117">
        <f>IF(C560="","",IF(F560="","EKSİK","TAM"))</f>
        <v/>
      </c>
      <c r="M560" s="118" t="n"/>
    </row>
    <row r="561" ht="15" customHeight="1" s="64">
      <c r="A561" s="118" t="n"/>
      <c r="B561" s="118" t="n"/>
      <c r="C561" s="118" t="n"/>
      <c r="D561" s="118" t="n"/>
      <c r="E561" s="118" t="n"/>
      <c r="F561" s="118" t="n"/>
      <c r="G561" s="120">
        <f>IF(C561="","",C561*D561)</f>
        <v/>
      </c>
      <c r="H561" s="120">
        <f>IF(C561="","",C561*E561)</f>
        <v/>
      </c>
      <c r="I561" s="115">
        <f>IF(C561="","",IFERROR(D561/(E561+(E561=0))-1,0))</f>
        <v/>
      </c>
      <c r="J561" s="117">
        <f>IF(C561="","",IF(ABS(I561)&gt;AYARLAR!$C$14,"RİSKLİ","NORMAL"))</f>
        <v/>
      </c>
      <c r="K561" s="115">
        <f>IF(G561="","",IFERROR(G561/MOTOR!$B$20,0))</f>
        <v/>
      </c>
      <c r="L561" s="117">
        <f>IF(C561="","",IF(F561="","EKSİK","TAM"))</f>
        <v/>
      </c>
      <c r="M561" s="118" t="n"/>
    </row>
    <row r="562" ht="15" customHeight="1" s="64">
      <c r="A562" s="118" t="n"/>
      <c r="B562" s="118" t="n"/>
      <c r="C562" s="118" t="n"/>
      <c r="D562" s="118" t="n"/>
      <c r="E562" s="118" t="n"/>
      <c r="F562" s="118" t="n"/>
      <c r="G562" s="120">
        <f>IF(C562="","",C562*D562)</f>
        <v/>
      </c>
      <c r="H562" s="120">
        <f>IF(C562="","",C562*E562)</f>
        <v/>
      </c>
      <c r="I562" s="115">
        <f>IF(C562="","",IFERROR(D562/(E562+(E562=0))-1,0))</f>
        <v/>
      </c>
      <c r="J562" s="117">
        <f>IF(C562="","",IF(ABS(I562)&gt;AYARLAR!$C$14,"RİSKLİ","NORMAL"))</f>
        <v/>
      </c>
      <c r="K562" s="115">
        <f>IF(G562="","",IFERROR(G562/MOTOR!$B$20,0))</f>
        <v/>
      </c>
      <c r="L562" s="117">
        <f>IF(C562="","",IF(F562="","EKSİK","TAM"))</f>
        <v/>
      </c>
      <c r="M562" s="118" t="n"/>
    </row>
    <row r="563" ht="15" customHeight="1" s="64">
      <c r="A563" s="118" t="n"/>
      <c r="B563" s="118" t="n"/>
      <c r="C563" s="118" t="n"/>
      <c r="D563" s="118" t="n"/>
      <c r="E563" s="118" t="n"/>
      <c r="F563" s="118" t="n"/>
      <c r="G563" s="120">
        <f>IF(C563="","",C563*D563)</f>
        <v/>
      </c>
      <c r="H563" s="120">
        <f>IF(C563="","",C563*E563)</f>
        <v/>
      </c>
      <c r="I563" s="115">
        <f>IF(C563="","",IFERROR(D563/(E563+(E563=0))-1,0))</f>
        <v/>
      </c>
      <c r="J563" s="117">
        <f>IF(C563="","",IF(ABS(I563)&gt;AYARLAR!$C$14,"RİSKLİ","NORMAL"))</f>
        <v/>
      </c>
      <c r="K563" s="115">
        <f>IF(G563="","",IFERROR(G563/MOTOR!$B$20,0))</f>
        <v/>
      </c>
      <c r="L563" s="117">
        <f>IF(C563="","",IF(F563="","EKSİK","TAM"))</f>
        <v/>
      </c>
      <c r="M563" s="118" t="n"/>
    </row>
    <row r="564" ht="15" customHeight="1" s="64">
      <c r="A564" s="118" t="n"/>
      <c r="B564" s="118" t="n"/>
      <c r="C564" s="118" t="n"/>
      <c r="D564" s="118" t="n"/>
      <c r="E564" s="118" t="n"/>
      <c r="F564" s="118" t="n"/>
      <c r="G564" s="120">
        <f>IF(C564="","",C564*D564)</f>
        <v/>
      </c>
      <c r="H564" s="120">
        <f>IF(C564="","",C564*E564)</f>
        <v/>
      </c>
      <c r="I564" s="115">
        <f>IF(C564="","",IFERROR(D564/(E564+(E564=0))-1,0))</f>
        <v/>
      </c>
      <c r="J564" s="117">
        <f>IF(C564="","",IF(ABS(I564)&gt;AYARLAR!$C$14,"RİSKLİ","NORMAL"))</f>
        <v/>
      </c>
      <c r="K564" s="115">
        <f>IF(G564="","",IFERROR(G564/MOTOR!$B$20,0))</f>
        <v/>
      </c>
      <c r="L564" s="117">
        <f>IF(C564="","",IF(F564="","EKSİK","TAM"))</f>
        <v/>
      </c>
      <c r="M564" s="118" t="n"/>
    </row>
    <row r="565" ht="15" customHeight="1" s="64">
      <c r="A565" s="118" t="n"/>
      <c r="B565" s="118" t="n"/>
      <c r="C565" s="118" t="n"/>
      <c r="D565" s="118" t="n"/>
      <c r="E565" s="118" t="n"/>
      <c r="F565" s="118" t="n"/>
      <c r="G565" s="120">
        <f>IF(C565="","",C565*D565)</f>
        <v/>
      </c>
      <c r="H565" s="120">
        <f>IF(C565="","",C565*E565)</f>
        <v/>
      </c>
      <c r="I565" s="115">
        <f>IF(C565="","",IFERROR(D565/(E565+(E565=0))-1,0))</f>
        <v/>
      </c>
      <c r="J565" s="117">
        <f>IF(C565="","",IF(ABS(I565)&gt;AYARLAR!$C$14,"RİSKLİ","NORMAL"))</f>
        <v/>
      </c>
      <c r="K565" s="115">
        <f>IF(G565="","",IFERROR(G565/MOTOR!$B$20,0))</f>
        <v/>
      </c>
      <c r="L565" s="117">
        <f>IF(C565="","",IF(F565="","EKSİK","TAM"))</f>
        <v/>
      </c>
      <c r="M565" s="118" t="n"/>
    </row>
    <row r="566" ht="15" customHeight="1" s="64">
      <c r="A566" s="118" t="n"/>
      <c r="B566" s="118" t="n"/>
      <c r="C566" s="118" t="n"/>
      <c r="D566" s="118" t="n"/>
      <c r="E566" s="118" t="n"/>
      <c r="F566" s="118" t="n"/>
      <c r="G566" s="120">
        <f>IF(C566="","",C566*D566)</f>
        <v/>
      </c>
      <c r="H566" s="120">
        <f>IF(C566="","",C566*E566)</f>
        <v/>
      </c>
      <c r="I566" s="115">
        <f>IF(C566="","",IFERROR(D566/(E566+(E566=0))-1,0))</f>
        <v/>
      </c>
      <c r="J566" s="117">
        <f>IF(C566="","",IF(ABS(I566)&gt;AYARLAR!$C$14,"RİSKLİ","NORMAL"))</f>
        <v/>
      </c>
      <c r="K566" s="115">
        <f>IF(G566="","",IFERROR(G566/MOTOR!$B$20,0))</f>
        <v/>
      </c>
      <c r="L566" s="117">
        <f>IF(C566="","",IF(F566="","EKSİK","TAM"))</f>
        <v/>
      </c>
      <c r="M566" s="118" t="n"/>
    </row>
    <row r="567" ht="15" customHeight="1" s="64">
      <c r="A567" s="118" t="n"/>
      <c r="B567" s="118" t="n"/>
      <c r="C567" s="118" t="n"/>
      <c r="D567" s="118" t="n"/>
      <c r="E567" s="118" t="n"/>
      <c r="F567" s="118" t="n"/>
      <c r="G567" s="120">
        <f>IF(C567="","",C567*D567)</f>
        <v/>
      </c>
      <c r="H567" s="120">
        <f>IF(C567="","",C567*E567)</f>
        <v/>
      </c>
      <c r="I567" s="115">
        <f>IF(C567="","",IFERROR(D567/(E567+(E567=0))-1,0))</f>
        <v/>
      </c>
      <c r="J567" s="117">
        <f>IF(C567="","",IF(ABS(I567)&gt;AYARLAR!$C$14,"RİSKLİ","NORMAL"))</f>
        <v/>
      </c>
      <c r="K567" s="115">
        <f>IF(G567="","",IFERROR(G567/MOTOR!$B$20,0))</f>
        <v/>
      </c>
      <c r="L567" s="117">
        <f>IF(C567="","",IF(F567="","EKSİK","TAM"))</f>
        <v/>
      </c>
      <c r="M567" s="118" t="n"/>
    </row>
    <row r="568" ht="15" customHeight="1" s="64">
      <c r="A568" s="118" t="n"/>
      <c r="B568" s="118" t="n"/>
      <c r="C568" s="118" t="n"/>
      <c r="D568" s="118" t="n"/>
      <c r="E568" s="118" t="n"/>
      <c r="F568" s="118" t="n"/>
      <c r="G568" s="120">
        <f>IF(C568="","",C568*D568)</f>
        <v/>
      </c>
      <c r="H568" s="120">
        <f>IF(C568="","",C568*E568)</f>
        <v/>
      </c>
      <c r="I568" s="115">
        <f>IF(C568="","",IFERROR(D568/(E568+(E568=0))-1,0))</f>
        <v/>
      </c>
      <c r="J568" s="117">
        <f>IF(C568="","",IF(ABS(I568)&gt;AYARLAR!$C$14,"RİSKLİ","NORMAL"))</f>
        <v/>
      </c>
      <c r="K568" s="115">
        <f>IF(G568="","",IFERROR(G568/MOTOR!$B$20,0))</f>
        <v/>
      </c>
      <c r="L568" s="117">
        <f>IF(C568="","",IF(F568="","EKSİK","TAM"))</f>
        <v/>
      </c>
      <c r="M568" s="118" t="n"/>
    </row>
    <row r="569" ht="15" customHeight="1" s="64">
      <c r="A569" s="118" t="n"/>
      <c r="B569" s="118" t="n"/>
      <c r="C569" s="118" t="n"/>
      <c r="D569" s="118" t="n"/>
      <c r="E569" s="118" t="n"/>
      <c r="F569" s="118" t="n"/>
      <c r="G569" s="120">
        <f>IF(C569="","",C569*D569)</f>
        <v/>
      </c>
      <c r="H569" s="120">
        <f>IF(C569="","",C569*E569)</f>
        <v/>
      </c>
      <c r="I569" s="115">
        <f>IF(C569="","",IFERROR(D569/(E569+(E569=0))-1,0))</f>
        <v/>
      </c>
      <c r="J569" s="117">
        <f>IF(C569="","",IF(ABS(I569)&gt;AYARLAR!$C$14,"RİSKLİ","NORMAL"))</f>
        <v/>
      </c>
      <c r="K569" s="115">
        <f>IF(G569="","",IFERROR(G569/MOTOR!$B$20,0))</f>
        <v/>
      </c>
      <c r="L569" s="117">
        <f>IF(C569="","",IF(F569="","EKSİK","TAM"))</f>
        <v/>
      </c>
      <c r="M569" s="118" t="n"/>
    </row>
    <row r="570" ht="15" customHeight="1" s="64">
      <c r="A570" s="118" t="n"/>
      <c r="B570" s="118" t="n"/>
      <c r="C570" s="118" t="n"/>
      <c r="D570" s="118" t="n"/>
      <c r="E570" s="118" t="n"/>
      <c r="F570" s="118" t="n"/>
      <c r="G570" s="120">
        <f>IF(C570="","",C570*D570)</f>
        <v/>
      </c>
      <c r="H570" s="120">
        <f>IF(C570="","",C570*E570)</f>
        <v/>
      </c>
      <c r="I570" s="115">
        <f>IF(C570="","",IFERROR(D570/(E570+(E570=0))-1,0))</f>
        <v/>
      </c>
      <c r="J570" s="117">
        <f>IF(C570="","",IF(ABS(I570)&gt;AYARLAR!$C$14,"RİSKLİ","NORMAL"))</f>
        <v/>
      </c>
      <c r="K570" s="115">
        <f>IF(G570="","",IFERROR(G570/MOTOR!$B$20,0))</f>
        <v/>
      </c>
      <c r="L570" s="117">
        <f>IF(C570="","",IF(F570="","EKSİK","TAM"))</f>
        <v/>
      </c>
      <c r="M570" s="118" t="n"/>
    </row>
    <row r="571" ht="15" customHeight="1" s="64">
      <c r="A571" s="118" t="n"/>
      <c r="B571" s="118" t="n"/>
      <c r="C571" s="118" t="n"/>
      <c r="D571" s="118" t="n"/>
      <c r="E571" s="118" t="n"/>
      <c r="F571" s="118" t="n"/>
      <c r="G571" s="120">
        <f>IF(C571="","",C571*D571)</f>
        <v/>
      </c>
      <c r="H571" s="120">
        <f>IF(C571="","",C571*E571)</f>
        <v/>
      </c>
      <c r="I571" s="115">
        <f>IF(C571="","",IFERROR(D571/(E571+(E571=0))-1,0))</f>
        <v/>
      </c>
      <c r="J571" s="117">
        <f>IF(C571="","",IF(ABS(I571)&gt;AYARLAR!$C$14,"RİSKLİ","NORMAL"))</f>
        <v/>
      </c>
      <c r="K571" s="115">
        <f>IF(G571="","",IFERROR(G571/MOTOR!$B$20,0))</f>
        <v/>
      </c>
      <c r="L571" s="117">
        <f>IF(C571="","",IF(F571="","EKSİK","TAM"))</f>
        <v/>
      </c>
      <c r="M571" s="118" t="n"/>
    </row>
    <row r="572" ht="15" customHeight="1" s="64">
      <c r="A572" s="118" t="n"/>
      <c r="B572" s="118" t="n"/>
      <c r="C572" s="118" t="n"/>
      <c r="D572" s="118" t="n"/>
      <c r="E572" s="118" t="n"/>
      <c r="F572" s="118" t="n"/>
      <c r="G572" s="120">
        <f>IF(C572="","",C572*D572)</f>
        <v/>
      </c>
      <c r="H572" s="120">
        <f>IF(C572="","",C572*E572)</f>
        <v/>
      </c>
      <c r="I572" s="115">
        <f>IF(C572="","",IFERROR(D572/(E572+(E572=0))-1,0))</f>
        <v/>
      </c>
      <c r="J572" s="117">
        <f>IF(C572="","",IF(ABS(I572)&gt;AYARLAR!$C$14,"RİSKLİ","NORMAL"))</f>
        <v/>
      </c>
      <c r="K572" s="115">
        <f>IF(G572="","",IFERROR(G572/MOTOR!$B$20,0))</f>
        <v/>
      </c>
      <c r="L572" s="117">
        <f>IF(C572="","",IF(F572="","EKSİK","TAM"))</f>
        <v/>
      </c>
      <c r="M572" s="118" t="n"/>
    </row>
    <row r="573" ht="15" customHeight="1" s="64">
      <c r="A573" s="118" t="n"/>
      <c r="B573" s="118" t="n"/>
      <c r="C573" s="118" t="n"/>
      <c r="D573" s="118" t="n"/>
      <c r="E573" s="118" t="n"/>
      <c r="F573" s="118" t="n"/>
      <c r="G573" s="120">
        <f>IF(C573="","",C573*D573)</f>
        <v/>
      </c>
      <c r="H573" s="120">
        <f>IF(C573="","",C573*E573)</f>
        <v/>
      </c>
      <c r="I573" s="115">
        <f>IF(C573="","",IFERROR(D573/(E573+(E573=0))-1,0))</f>
        <v/>
      </c>
      <c r="J573" s="117">
        <f>IF(C573="","",IF(ABS(I573)&gt;AYARLAR!$C$14,"RİSKLİ","NORMAL"))</f>
        <v/>
      </c>
      <c r="K573" s="115">
        <f>IF(G573="","",IFERROR(G573/MOTOR!$B$20,0))</f>
        <v/>
      </c>
      <c r="L573" s="117">
        <f>IF(C573="","",IF(F573="","EKSİK","TAM"))</f>
        <v/>
      </c>
      <c r="M573" s="118" t="n"/>
    </row>
    <row r="574" ht="15" customHeight="1" s="64">
      <c r="A574" s="118" t="n"/>
      <c r="B574" s="118" t="n"/>
      <c r="C574" s="118" t="n"/>
      <c r="D574" s="118" t="n"/>
      <c r="E574" s="118" t="n"/>
      <c r="F574" s="118" t="n"/>
      <c r="G574" s="120">
        <f>IF(C574="","",C574*D574)</f>
        <v/>
      </c>
      <c r="H574" s="120">
        <f>IF(C574="","",C574*E574)</f>
        <v/>
      </c>
      <c r="I574" s="115">
        <f>IF(C574="","",IFERROR(D574/(E574+(E574=0))-1,0))</f>
        <v/>
      </c>
      <c r="J574" s="117">
        <f>IF(C574="","",IF(ABS(I574)&gt;AYARLAR!$C$14,"RİSKLİ","NORMAL"))</f>
        <v/>
      </c>
      <c r="K574" s="115">
        <f>IF(G574="","",IFERROR(G574/MOTOR!$B$20,0))</f>
        <v/>
      </c>
      <c r="L574" s="117">
        <f>IF(C574="","",IF(F574="","EKSİK","TAM"))</f>
        <v/>
      </c>
      <c r="M574" s="118" t="n"/>
    </row>
    <row r="575" ht="15" customHeight="1" s="64">
      <c r="A575" s="118" t="n"/>
      <c r="B575" s="118" t="n"/>
      <c r="C575" s="118" t="n"/>
      <c r="D575" s="118" t="n"/>
      <c r="E575" s="118" t="n"/>
      <c r="F575" s="118" t="n"/>
      <c r="G575" s="120">
        <f>IF(C575="","",C575*D575)</f>
        <v/>
      </c>
      <c r="H575" s="120">
        <f>IF(C575="","",C575*E575)</f>
        <v/>
      </c>
      <c r="I575" s="115">
        <f>IF(C575="","",IFERROR(D575/(E575+(E575=0))-1,0))</f>
        <v/>
      </c>
      <c r="J575" s="117">
        <f>IF(C575="","",IF(ABS(I575)&gt;AYARLAR!$C$14,"RİSKLİ","NORMAL"))</f>
        <v/>
      </c>
      <c r="K575" s="115">
        <f>IF(G575="","",IFERROR(G575/MOTOR!$B$20,0))</f>
        <v/>
      </c>
      <c r="L575" s="117">
        <f>IF(C575="","",IF(F575="","EKSİK","TAM"))</f>
        <v/>
      </c>
      <c r="M575" s="118" t="n"/>
    </row>
    <row r="576" ht="15" customHeight="1" s="64">
      <c r="A576" s="118" t="n"/>
      <c r="B576" s="118" t="n"/>
      <c r="C576" s="118" t="n"/>
      <c r="D576" s="118" t="n"/>
      <c r="E576" s="118" t="n"/>
      <c r="F576" s="118" t="n"/>
      <c r="G576" s="120">
        <f>IF(C576="","",C576*D576)</f>
        <v/>
      </c>
      <c r="H576" s="120">
        <f>IF(C576="","",C576*E576)</f>
        <v/>
      </c>
      <c r="I576" s="115">
        <f>IF(C576="","",IFERROR(D576/(E576+(E576=0))-1,0))</f>
        <v/>
      </c>
      <c r="J576" s="117">
        <f>IF(C576="","",IF(ABS(I576)&gt;AYARLAR!$C$14,"RİSKLİ","NORMAL"))</f>
        <v/>
      </c>
      <c r="K576" s="115">
        <f>IF(G576="","",IFERROR(G576/MOTOR!$B$20,0))</f>
        <v/>
      </c>
      <c r="L576" s="117">
        <f>IF(C576="","",IF(F576="","EKSİK","TAM"))</f>
        <v/>
      </c>
      <c r="M576" s="118" t="n"/>
    </row>
    <row r="577" ht="15" customHeight="1" s="64">
      <c r="A577" s="118" t="n"/>
      <c r="B577" s="118" t="n"/>
      <c r="C577" s="118" t="n"/>
      <c r="D577" s="118" t="n"/>
      <c r="E577" s="118" t="n"/>
      <c r="F577" s="118" t="n"/>
      <c r="G577" s="120">
        <f>IF(C577="","",C577*D577)</f>
        <v/>
      </c>
      <c r="H577" s="120">
        <f>IF(C577="","",C577*E577)</f>
        <v/>
      </c>
      <c r="I577" s="115">
        <f>IF(C577="","",IFERROR(D577/(E577+(E577=0))-1,0))</f>
        <v/>
      </c>
      <c r="J577" s="117">
        <f>IF(C577="","",IF(ABS(I577)&gt;AYARLAR!$C$14,"RİSKLİ","NORMAL"))</f>
        <v/>
      </c>
      <c r="K577" s="115">
        <f>IF(G577="","",IFERROR(G577/MOTOR!$B$20,0))</f>
        <v/>
      </c>
      <c r="L577" s="117">
        <f>IF(C577="","",IF(F577="","EKSİK","TAM"))</f>
        <v/>
      </c>
      <c r="M577" s="118" t="n"/>
    </row>
    <row r="578" ht="15" customHeight="1" s="64">
      <c r="A578" s="118" t="n"/>
      <c r="B578" s="118" t="n"/>
      <c r="C578" s="118" t="n"/>
      <c r="D578" s="118" t="n"/>
      <c r="E578" s="118" t="n"/>
      <c r="F578" s="118" t="n"/>
      <c r="G578" s="120">
        <f>IF(C578="","",C578*D578)</f>
        <v/>
      </c>
      <c r="H578" s="120">
        <f>IF(C578="","",C578*E578)</f>
        <v/>
      </c>
      <c r="I578" s="115">
        <f>IF(C578="","",IFERROR(D578/(E578+(E578=0))-1,0))</f>
        <v/>
      </c>
      <c r="J578" s="117">
        <f>IF(C578="","",IF(ABS(I578)&gt;AYARLAR!$C$14,"RİSKLİ","NORMAL"))</f>
        <v/>
      </c>
      <c r="K578" s="115">
        <f>IF(G578="","",IFERROR(G578/MOTOR!$B$20,0))</f>
        <v/>
      </c>
      <c r="L578" s="117">
        <f>IF(C578="","",IF(F578="","EKSİK","TAM"))</f>
        <v/>
      </c>
      <c r="M578" s="118" t="n"/>
    </row>
    <row r="579" ht="15" customHeight="1" s="64">
      <c r="A579" s="118" t="n"/>
      <c r="B579" s="118" t="n"/>
      <c r="C579" s="118" t="n"/>
      <c r="D579" s="118" t="n"/>
      <c r="E579" s="118" t="n"/>
      <c r="F579" s="118" t="n"/>
      <c r="G579" s="120">
        <f>IF(C579="","",C579*D579)</f>
        <v/>
      </c>
      <c r="H579" s="120">
        <f>IF(C579="","",C579*E579)</f>
        <v/>
      </c>
      <c r="I579" s="115">
        <f>IF(C579="","",IFERROR(D579/(E579+(E579=0))-1,0))</f>
        <v/>
      </c>
      <c r="J579" s="117">
        <f>IF(C579="","",IF(ABS(I579)&gt;AYARLAR!$C$14,"RİSKLİ","NORMAL"))</f>
        <v/>
      </c>
      <c r="K579" s="115">
        <f>IF(G579="","",IFERROR(G579/MOTOR!$B$20,0))</f>
        <v/>
      </c>
      <c r="L579" s="117">
        <f>IF(C579="","",IF(F579="","EKSİK","TAM"))</f>
        <v/>
      </c>
      <c r="M579" s="118" t="n"/>
    </row>
    <row r="580" ht="15" customHeight="1" s="64">
      <c r="A580" s="118" t="n"/>
      <c r="B580" s="118" t="n"/>
      <c r="C580" s="118" t="n"/>
      <c r="D580" s="118" t="n"/>
      <c r="E580" s="118" t="n"/>
      <c r="F580" s="118" t="n"/>
      <c r="G580" s="120">
        <f>IF(C580="","",C580*D580)</f>
        <v/>
      </c>
      <c r="H580" s="120">
        <f>IF(C580="","",C580*E580)</f>
        <v/>
      </c>
      <c r="I580" s="115">
        <f>IF(C580="","",IFERROR(D580/(E580+(E580=0))-1,0))</f>
        <v/>
      </c>
      <c r="J580" s="117">
        <f>IF(C580="","",IF(ABS(I580)&gt;AYARLAR!$C$14,"RİSKLİ","NORMAL"))</f>
        <v/>
      </c>
      <c r="K580" s="115">
        <f>IF(G580="","",IFERROR(G580/MOTOR!$B$20,0))</f>
        <v/>
      </c>
      <c r="L580" s="117">
        <f>IF(C580="","",IF(F580="","EKSİK","TAM"))</f>
        <v/>
      </c>
      <c r="M580" s="118" t="n"/>
    </row>
    <row r="581" ht="15" customHeight="1" s="64">
      <c r="A581" s="118" t="n"/>
      <c r="B581" s="118" t="n"/>
      <c r="C581" s="118" t="n"/>
      <c r="D581" s="118" t="n"/>
      <c r="E581" s="118" t="n"/>
      <c r="F581" s="118" t="n"/>
      <c r="G581" s="120">
        <f>IF(C581="","",C581*D581)</f>
        <v/>
      </c>
      <c r="H581" s="120">
        <f>IF(C581="","",C581*E581)</f>
        <v/>
      </c>
      <c r="I581" s="115">
        <f>IF(C581="","",IFERROR(D581/(E581+(E581=0))-1,0))</f>
        <v/>
      </c>
      <c r="J581" s="117">
        <f>IF(C581="","",IF(ABS(I581)&gt;AYARLAR!$C$14,"RİSKLİ","NORMAL"))</f>
        <v/>
      </c>
      <c r="K581" s="115">
        <f>IF(G581="","",IFERROR(G581/MOTOR!$B$20,0))</f>
        <v/>
      </c>
      <c r="L581" s="117">
        <f>IF(C581="","",IF(F581="","EKSİK","TAM"))</f>
        <v/>
      </c>
      <c r="M581" s="118" t="n"/>
    </row>
    <row r="582" ht="15" customHeight="1" s="64">
      <c r="A582" s="118" t="n"/>
      <c r="B582" s="118" t="n"/>
      <c r="C582" s="118" t="n"/>
      <c r="D582" s="118" t="n"/>
      <c r="E582" s="118" t="n"/>
      <c r="F582" s="118" t="n"/>
      <c r="G582" s="120">
        <f>IF(C582="","",C582*D582)</f>
        <v/>
      </c>
      <c r="H582" s="120">
        <f>IF(C582="","",C582*E582)</f>
        <v/>
      </c>
      <c r="I582" s="115">
        <f>IF(C582="","",IFERROR(D582/(E582+(E582=0))-1,0))</f>
        <v/>
      </c>
      <c r="J582" s="117">
        <f>IF(C582="","",IF(ABS(I582)&gt;AYARLAR!$C$14,"RİSKLİ","NORMAL"))</f>
        <v/>
      </c>
      <c r="K582" s="115">
        <f>IF(G582="","",IFERROR(G582/MOTOR!$B$20,0))</f>
        <v/>
      </c>
      <c r="L582" s="117">
        <f>IF(C582="","",IF(F582="","EKSİK","TAM"))</f>
        <v/>
      </c>
      <c r="M582" s="118" t="n"/>
    </row>
    <row r="583" ht="15" customHeight="1" s="64">
      <c r="A583" s="118" t="n"/>
      <c r="B583" s="118" t="n"/>
      <c r="C583" s="118" t="n"/>
      <c r="D583" s="118" t="n"/>
      <c r="E583" s="118" t="n"/>
      <c r="F583" s="118" t="n"/>
      <c r="G583" s="120">
        <f>IF(C583="","",C583*D583)</f>
        <v/>
      </c>
      <c r="H583" s="120">
        <f>IF(C583="","",C583*E583)</f>
        <v/>
      </c>
      <c r="I583" s="115">
        <f>IF(C583="","",IFERROR(D583/(E583+(E583=0))-1,0))</f>
        <v/>
      </c>
      <c r="J583" s="117">
        <f>IF(C583="","",IF(ABS(I583)&gt;AYARLAR!$C$14,"RİSKLİ","NORMAL"))</f>
        <v/>
      </c>
      <c r="K583" s="115">
        <f>IF(G583="","",IFERROR(G583/MOTOR!$B$20,0))</f>
        <v/>
      </c>
      <c r="L583" s="117">
        <f>IF(C583="","",IF(F583="","EKSİK","TAM"))</f>
        <v/>
      </c>
      <c r="M583" s="118" t="n"/>
    </row>
    <row r="584" ht="15" customHeight="1" s="64">
      <c r="A584" s="118" t="n"/>
      <c r="B584" s="118" t="n"/>
      <c r="C584" s="118" t="n"/>
      <c r="D584" s="118" t="n"/>
      <c r="E584" s="118" t="n"/>
      <c r="F584" s="118" t="n"/>
      <c r="G584" s="120">
        <f>IF(C584="","",C584*D584)</f>
        <v/>
      </c>
      <c r="H584" s="120">
        <f>IF(C584="","",C584*E584)</f>
        <v/>
      </c>
      <c r="I584" s="115">
        <f>IF(C584="","",IFERROR(D584/(E584+(E584=0))-1,0))</f>
        <v/>
      </c>
      <c r="J584" s="117">
        <f>IF(C584="","",IF(ABS(I584)&gt;AYARLAR!$C$14,"RİSKLİ","NORMAL"))</f>
        <v/>
      </c>
      <c r="K584" s="115">
        <f>IF(G584="","",IFERROR(G584/MOTOR!$B$20,0))</f>
        <v/>
      </c>
      <c r="L584" s="117">
        <f>IF(C584="","",IF(F584="","EKSİK","TAM"))</f>
        <v/>
      </c>
      <c r="M584" s="118" t="n"/>
    </row>
    <row r="585" ht="15" customHeight="1" s="64">
      <c r="A585" s="118" t="n"/>
      <c r="B585" s="118" t="n"/>
      <c r="C585" s="118" t="n"/>
      <c r="D585" s="118" t="n"/>
      <c r="E585" s="118" t="n"/>
      <c r="F585" s="118" t="n"/>
      <c r="G585" s="120">
        <f>IF(C585="","",C585*D585)</f>
        <v/>
      </c>
      <c r="H585" s="120">
        <f>IF(C585="","",C585*E585)</f>
        <v/>
      </c>
      <c r="I585" s="115">
        <f>IF(C585="","",IFERROR(D585/(E585+(E585=0))-1,0))</f>
        <v/>
      </c>
      <c r="J585" s="117">
        <f>IF(C585="","",IF(ABS(I585)&gt;AYARLAR!$C$14,"RİSKLİ","NORMAL"))</f>
        <v/>
      </c>
      <c r="K585" s="115">
        <f>IF(G585="","",IFERROR(G585/MOTOR!$B$20,0))</f>
        <v/>
      </c>
      <c r="L585" s="117">
        <f>IF(C585="","",IF(F585="","EKSİK","TAM"))</f>
        <v/>
      </c>
      <c r="M585" s="118" t="n"/>
    </row>
    <row r="586" ht="15" customHeight="1" s="64">
      <c r="A586" s="118" t="n"/>
      <c r="B586" s="118" t="n"/>
      <c r="C586" s="118" t="n"/>
      <c r="D586" s="118" t="n"/>
      <c r="E586" s="118" t="n"/>
      <c r="F586" s="118" t="n"/>
      <c r="G586" s="120">
        <f>IF(C586="","",C586*D586)</f>
        <v/>
      </c>
      <c r="H586" s="120">
        <f>IF(C586="","",C586*E586)</f>
        <v/>
      </c>
      <c r="I586" s="115">
        <f>IF(C586="","",IFERROR(D586/(E586+(E586=0))-1,0))</f>
        <v/>
      </c>
      <c r="J586" s="117">
        <f>IF(C586="","",IF(ABS(I586)&gt;AYARLAR!$C$14,"RİSKLİ","NORMAL"))</f>
        <v/>
      </c>
      <c r="K586" s="115">
        <f>IF(G586="","",IFERROR(G586/MOTOR!$B$20,0))</f>
        <v/>
      </c>
      <c r="L586" s="117">
        <f>IF(C586="","",IF(F586="","EKSİK","TAM"))</f>
        <v/>
      </c>
      <c r="M586" s="118" t="n"/>
    </row>
    <row r="587" ht="15" customHeight="1" s="64">
      <c r="A587" s="118" t="n"/>
      <c r="B587" s="118" t="n"/>
      <c r="C587" s="118" t="n"/>
      <c r="D587" s="118" t="n"/>
      <c r="E587" s="118" t="n"/>
      <c r="F587" s="118" t="n"/>
      <c r="G587" s="120">
        <f>IF(C587="","",C587*D587)</f>
        <v/>
      </c>
      <c r="H587" s="120">
        <f>IF(C587="","",C587*E587)</f>
        <v/>
      </c>
      <c r="I587" s="115">
        <f>IF(C587="","",IFERROR(D587/(E587+(E587=0))-1,0))</f>
        <v/>
      </c>
      <c r="J587" s="117">
        <f>IF(C587="","",IF(ABS(I587)&gt;AYARLAR!$C$14,"RİSKLİ","NORMAL"))</f>
        <v/>
      </c>
      <c r="K587" s="115">
        <f>IF(G587="","",IFERROR(G587/MOTOR!$B$20,0))</f>
        <v/>
      </c>
      <c r="L587" s="117">
        <f>IF(C587="","",IF(F587="","EKSİK","TAM"))</f>
        <v/>
      </c>
      <c r="M587" s="118" t="n"/>
    </row>
    <row r="588" ht="15" customHeight="1" s="64">
      <c r="A588" s="118" t="n"/>
      <c r="B588" s="118" t="n"/>
      <c r="C588" s="118" t="n"/>
      <c r="D588" s="118" t="n"/>
      <c r="E588" s="118" t="n"/>
      <c r="F588" s="118" t="n"/>
      <c r="G588" s="120">
        <f>IF(C588="","",C588*D588)</f>
        <v/>
      </c>
      <c r="H588" s="120">
        <f>IF(C588="","",C588*E588)</f>
        <v/>
      </c>
      <c r="I588" s="115">
        <f>IF(C588="","",IFERROR(D588/(E588+(E588=0))-1,0))</f>
        <v/>
      </c>
      <c r="J588" s="117">
        <f>IF(C588="","",IF(ABS(I588)&gt;AYARLAR!$C$14,"RİSKLİ","NORMAL"))</f>
        <v/>
      </c>
      <c r="K588" s="115">
        <f>IF(G588="","",IFERROR(G588/MOTOR!$B$20,0))</f>
        <v/>
      </c>
      <c r="L588" s="117">
        <f>IF(C588="","",IF(F588="","EKSİK","TAM"))</f>
        <v/>
      </c>
      <c r="M588" s="118" t="n"/>
    </row>
    <row r="589" ht="15" customHeight="1" s="64">
      <c r="A589" s="118" t="n"/>
      <c r="B589" s="118" t="n"/>
      <c r="C589" s="118" t="n"/>
      <c r="D589" s="118" t="n"/>
      <c r="E589" s="118" t="n"/>
      <c r="F589" s="118" t="n"/>
      <c r="G589" s="120">
        <f>IF(C589="","",C589*D589)</f>
        <v/>
      </c>
      <c r="H589" s="120">
        <f>IF(C589="","",C589*E589)</f>
        <v/>
      </c>
      <c r="I589" s="115">
        <f>IF(C589="","",IFERROR(D589/(E589+(E589=0))-1,0))</f>
        <v/>
      </c>
      <c r="J589" s="117">
        <f>IF(C589="","",IF(ABS(I589)&gt;AYARLAR!$C$14,"RİSKLİ","NORMAL"))</f>
        <v/>
      </c>
      <c r="K589" s="115">
        <f>IF(G589="","",IFERROR(G589/MOTOR!$B$20,0))</f>
        <v/>
      </c>
      <c r="L589" s="117">
        <f>IF(C589="","",IF(F589="","EKSİK","TAM"))</f>
        <v/>
      </c>
      <c r="M589" s="118" t="n"/>
    </row>
    <row r="590" ht="15" customHeight="1" s="64">
      <c r="A590" s="118" t="n"/>
      <c r="B590" s="118" t="n"/>
      <c r="C590" s="118" t="n"/>
      <c r="D590" s="118" t="n"/>
      <c r="E590" s="118" t="n"/>
      <c r="F590" s="118" t="n"/>
      <c r="G590" s="120">
        <f>IF(C590="","",C590*D590)</f>
        <v/>
      </c>
      <c r="H590" s="120">
        <f>IF(C590="","",C590*E590)</f>
        <v/>
      </c>
      <c r="I590" s="115">
        <f>IF(C590="","",IFERROR(D590/(E590+(E590=0))-1,0))</f>
        <v/>
      </c>
      <c r="J590" s="117">
        <f>IF(C590="","",IF(ABS(I590)&gt;AYARLAR!$C$14,"RİSKLİ","NORMAL"))</f>
        <v/>
      </c>
      <c r="K590" s="115">
        <f>IF(G590="","",IFERROR(G590/MOTOR!$B$20,0))</f>
        <v/>
      </c>
      <c r="L590" s="117">
        <f>IF(C590="","",IF(F590="","EKSİK","TAM"))</f>
        <v/>
      </c>
      <c r="M590" s="118" t="n"/>
    </row>
    <row r="591" ht="15" customHeight="1" s="64">
      <c r="A591" s="118" t="n"/>
      <c r="B591" s="118" t="n"/>
      <c r="C591" s="118" t="n"/>
      <c r="D591" s="118" t="n"/>
      <c r="E591" s="118" t="n"/>
      <c r="F591" s="118" t="n"/>
      <c r="G591" s="120">
        <f>IF(C591="","",C591*D591)</f>
        <v/>
      </c>
      <c r="H591" s="120">
        <f>IF(C591="","",C591*E591)</f>
        <v/>
      </c>
      <c r="I591" s="115">
        <f>IF(C591="","",IFERROR(D591/(E591+(E591=0))-1,0))</f>
        <v/>
      </c>
      <c r="J591" s="117">
        <f>IF(C591="","",IF(ABS(I591)&gt;AYARLAR!$C$14,"RİSKLİ","NORMAL"))</f>
        <v/>
      </c>
      <c r="K591" s="115">
        <f>IF(G591="","",IFERROR(G591/MOTOR!$B$20,0))</f>
        <v/>
      </c>
      <c r="L591" s="117">
        <f>IF(C591="","",IF(F591="","EKSİK","TAM"))</f>
        <v/>
      </c>
      <c r="M591" s="118" t="n"/>
    </row>
    <row r="592" ht="15" customHeight="1" s="64">
      <c r="A592" s="118" t="n"/>
      <c r="B592" s="118" t="n"/>
      <c r="C592" s="118" t="n"/>
      <c r="D592" s="118" t="n"/>
      <c r="E592" s="118" t="n"/>
      <c r="F592" s="118" t="n"/>
      <c r="G592" s="120">
        <f>IF(C592="","",C592*D592)</f>
        <v/>
      </c>
      <c r="H592" s="120">
        <f>IF(C592="","",C592*E592)</f>
        <v/>
      </c>
      <c r="I592" s="115">
        <f>IF(C592="","",IFERROR(D592/(E592+(E592=0))-1,0))</f>
        <v/>
      </c>
      <c r="J592" s="117">
        <f>IF(C592="","",IF(ABS(I592)&gt;AYARLAR!$C$14,"RİSKLİ","NORMAL"))</f>
        <v/>
      </c>
      <c r="K592" s="115">
        <f>IF(G592="","",IFERROR(G592/MOTOR!$B$20,0))</f>
        <v/>
      </c>
      <c r="L592" s="117">
        <f>IF(C592="","",IF(F592="","EKSİK","TAM"))</f>
        <v/>
      </c>
      <c r="M592" s="118" t="n"/>
    </row>
    <row r="593" ht="15" customHeight="1" s="64">
      <c r="A593" s="118" t="n"/>
      <c r="B593" s="118" t="n"/>
      <c r="C593" s="118" t="n"/>
      <c r="D593" s="118" t="n"/>
      <c r="E593" s="118" t="n"/>
      <c r="F593" s="118" t="n"/>
      <c r="G593" s="120">
        <f>IF(C593="","",C593*D593)</f>
        <v/>
      </c>
      <c r="H593" s="120">
        <f>IF(C593="","",C593*E593)</f>
        <v/>
      </c>
      <c r="I593" s="115">
        <f>IF(C593="","",IFERROR(D593/(E593+(E593=0))-1,0))</f>
        <v/>
      </c>
      <c r="J593" s="117">
        <f>IF(C593="","",IF(ABS(I593)&gt;AYARLAR!$C$14,"RİSKLİ","NORMAL"))</f>
        <v/>
      </c>
      <c r="K593" s="115">
        <f>IF(G593="","",IFERROR(G593/MOTOR!$B$20,0))</f>
        <v/>
      </c>
      <c r="L593" s="117">
        <f>IF(C593="","",IF(F593="","EKSİK","TAM"))</f>
        <v/>
      </c>
      <c r="M593" s="118" t="n"/>
    </row>
    <row r="594" ht="15" customHeight="1" s="64">
      <c r="A594" s="118" t="n"/>
      <c r="B594" s="118" t="n"/>
      <c r="C594" s="118" t="n"/>
      <c r="D594" s="118" t="n"/>
      <c r="E594" s="118" t="n"/>
      <c r="F594" s="118" t="n"/>
      <c r="G594" s="120">
        <f>IF(C594="","",C594*D594)</f>
        <v/>
      </c>
      <c r="H594" s="120">
        <f>IF(C594="","",C594*E594)</f>
        <v/>
      </c>
      <c r="I594" s="115">
        <f>IF(C594="","",IFERROR(D594/(E594+(E594=0))-1,0))</f>
        <v/>
      </c>
      <c r="J594" s="117">
        <f>IF(C594="","",IF(ABS(I594)&gt;AYARLAR!$C$14,"RİSKLİ","NORMAL"))</f>
        <v/>
      </c>
      <c r="K594" s="115">
        <f>IF(G594="","",IFERROR(G594/MOTOR!$B$20,0))</f>
        <v/>
      </c>
      <c r="L594" s="117">
        <f>IF(C594="","",IF(F594="","EKSİK","TAM"))</f>
        <v/>
      </c>
      <c r="M594" s="118" t="n"/>
    </row>
    <row r="595" ht="15" customHeight="1" s="64">
      <c r="A595" s="118" t="n"/>
      <c r="B595" s="118" t="n"/>
      <c r="C595" s="118" t="n"/>
      <c r="D595" s="118" t="n"/>
      <c r="E595" s="118" t="n"/>
      <c r="F595" s="118" t="n"/>
      <c r="G595" s="120">
        <f>IF(C595="","",C595*D595)</f>
        <v/>
      </c>
      <c r="H595" s="120">
        <f>IF(C595="","",C595*E595)</f>
        <v/>
      </c>
      <c r="I595" s="115">
        <f>IF(C595="","",IFERROR(D595/(E595+(E595=0))-1,0))</f>
        <v/>
      </c>
      <c r="J595" s="117">
        <f>IF(C595="","",IF(ABS(I595)&gt;AYARLAR!$C$14,"RİSKLİ","NORMAL"))</f>
        <v/>
      </c>
      <c r="K595" s="115">
        <f>IF(G595="","",IFERROR(G595/MOTOR!$B$20,0))</f>
        <v/>
      </c>
      <c r="L595" s="117">
        <f>IF(C595="","",IF(F595="","EKSİK","TAM"))</f>
        <v/>
      </c>
      <c r="M595" s="118" t="n"/>
    </row>
    <row r="596" ht="15" customHeight="1" s="64">
      <c r="A596" s="118" t="n"/>
      <c r="B596" s="118" t="n"/>
      <c r="C596" s="118" t="n"/>
      <c r="D596" s="118" t="n"/>
      <c r="E596" s="118" t="n"/>
      <c r="F596" s="118" t="n"/>
      <c r="G596" s="120">
        <f>IF(C596="","",C596*D596)</f>
        <v/>
      </c>
      <c r="H596" s="120">
        <f>IF(C596="","",C596*E596)</f>
        <v/>
      </c>
      <c r="I596" s="115">
        <f>IF(C596="","",IFERROR(D596/(E596+(E596=0))-1,0))</f>
        <v/>
      </c>
      <c r="J596" s="117">
        <f>IF(C596="","",IF(ABS(I596)&gt;AYARLAR!$C$14,"RİSKLİ","NORMAL"))</f>
        <v/>
      </c>
      <c r="K596" s="115">
        <f>IF(G596="","",IFERROR(G596/MOTOR!$B$20,0))</f>
        <v/>
      </c>
      <c r="L596" s="117">
        <f>IF(C596="","",IF(F596="","EKSİK","TAM"))</f>
        <v/>
      </c>
      <c r="M596" s="118" t="n"/>
    </row>
    <row r="597" ht="15" customHeight="1" s="64">
      <c r="A597" s="118" t="n"/>
      <c r="B597" s="118" t="n"/>
      <c r="C597" s="118" t="n"/>
      <c r="D597" s="118" t="n"/>
      <c r="E597" s="118" t="n"/>
      <c r="F597" s="118" t="n"/>
      <c r="G597" s="120">
        <f>IF(C597="","",C597*D597)</f>
        <v/>
      </c>
      <c r="H597" s="120">
        <f>IF(C597="","",C597*E597)</f>
        <v/>
      </c>
      <c r="I597" s="115">
        <f>IF(C597="","",IFERROR(D597/(E597+(E597=0))-1,0))</f>
        <v/>
      </c>
      <c r="J597" s="117">
        <f>IF(C597="","",IF(ABS(I597)&gt;AYARLAR!$C$14,"RİSKLİ","NORMAL"))</f>
        <v/>
      </c>
      <c r="K597" s="115">
        <f>IF(G597="","",IFERROR(G597/MOTOR!$B$20,0))</f>
        <v/>
      </c>
      <c r="L597" s="117">
        <f>IF(C597="","",IF(F597="","EKSİK","TAM"))</f>
        <v/>
      </c>
      <c r="M597" s="118" t="n"/>
    </row>
    <row r="598" ht="15" customHeight="1" s="64">
      <c r="A598" s="118" t="n"/>
      <c r="B598" s="118" t="n"/>
      <c r="C598" s="118" t="n"/>
      <c r="D598" s="118" t="n"/>
      <c r="E598" s="118" t="n"/>
      <c r="F598" s="118" t="n"/>
      <c r="G598" s="120">
        <f>IF(C598="","",C598*D598)</f>
        <v/>
      </c>
      <c r="H598" s="120">
        <f>IF(C598="","",C598*E598)</f>
        <v/>
      </c>
      <c r="I598" s="115">
        <f>IF(C598="","",IFERROR(D598/(E598+(E598=0))-1,0))</f>
        <v/>
      </c>
      <c r="J598" s="117">
        <f>IF(C598="","",IF(ABS(I598)&gt;AYARLAR!$C$14,"RİSKLİ","NORMAL"))</f>
        <v/>
      </c>
      <c r="K598" s="115">
        <f>IF(G598="","",IFERROR(G598/MOTOR!$B$20,0))</f>
        <v/>
      </c>
      <c r="L598" s="117">
        <f>IF(C598="","",IF(F598="","EKSİK","TAM"))</f>
        <v/>
      </c>
      <c r="M598" s="118" t="n"/>
    </row>
    <row r="599" ht="15" customHeight="1" s="64">
      <c r="A599" s="118" t="n"/>
      <c r="B599" s="118" t="n"/>
      <c r="C599" s="118" t="n"/>
      <c r="D599" s="118" t="n"/>
      <c r="E599" s="118" t="n"/>
      <c r="F599" s="118" t="n"/>
      <c r="G599" s="120">
        <f>IF(C599="","",C599*D599)</f>
        <v/>
      </c>
      <c r="H599" s="120">
        <f>IF(C599="","",C599*E599)</f>
        <v/>
      </c>
      <c r="I599" s="115">
        <f>IF(C599="","",IFERROR(D599/(E599+(E599=0))-1,0))</f>
        <v/>
      </c>
      <c r="J599" s="117">
        <f>IF(C599="","",IF(ABS(I599)&gt;AYARLAR!$C$14,"RİSKLİ","NORMAL"))</f>
        <v/>
      </c>
      <c r="K599" s="115">
        <f>IF(G599="","",IFERROR(G599/MOTOR!$B$20,0))</f>
        <v/>
      </c>
      <c r="L599" s="117">
        <f>IF(C599="","",IF(F599="","EKSİK","TAM"))</f>
        <v/>
      </c>
      <c r="M599" s="118" t="n"/>
    </row>
    <row r="600" ht="15" customHeight="1" s="64">
      <c r="A600" s="118" t="n"/>
      <c r="B600" s="118" t="n"/>
      <c r="C600" s="118" t="n"/>
      <c r="D600" s="118" t="n"/>
      <c r="E600" s="118" t="n"/>
      <c r="F600" s="118" t="n"/>
      <c r="G600" s="120">
        <f>IF(C600="","",C600*D600)</f>
        <v/>
      </c>
      <c r="H600" s="120">
        <f>IF(C600="","",C600*E600)</f>
        <v/>
      </c>
      <c r="I600" s="115">
        <f>IF(C600="","",IFERROR(D600/(E600+(E600=0))-1,0))</f>
        <v/>
      </c>
      <c r="J600" s="117">
        <f>IF(C600="","",IF(ABS(I600)&gt;AYARLAR!$C$14,"RİSKLİ","NORMAL"))</f>
        <v/>
      </c>
      <c r="K600" s="115">
        <f>IF(G600="","",IFERROR(G600/MOTOR!$B$20,0))</f>
        <v/>
      </c>
      <c r="L600" s="117">
        <f>IF(C600="","",IF(F600="","EKSİK","TAM"))</f>
        <v/>
      </c>
      <c r="M600" s="118" t="n"/>
    </row>
    <row r="601" ht="15" customHeight="1" s="64">
      <c r="A601" s="118" t="n"/>
      <c r="B601" s="118" t="n"/>
      <c r="C601" s="118" t="n"/>
      <c r="D601" s="118" t="n"/>
      <c r="E601" s="118" t="n"/>
      <c r="F601" s="118" t="n"/>
      <c r="G601" s="120">
        <f>IF(C601="","",C601*D601)</f>
        <v/>
      </c>
      <c r="H601" s="120">
        <f>IF(C601="","",C601*E601)</f>
        <v/>
      </c>
      <c r="I601" s="115">
        <f>IF(C601="","",IFERROR(D601/(E601+(E601=0))-1,0))</f>
        <v/>
      </c>
      <c r="J601" s="117">
        <f>IF(C601="","",IF(ABS(I601)&gt;AYARLAR!$C$14,"RİSKLİ","NORMAL"))</f>
        <v/>
      </c>
      <c r="K601" s="115">
        <f>IF(G601="","",IFERROR(G601/MOTOR!$B$20,0))</f>
        <v/>
      </c>
      <c r="L601" s="117">
        <f>IF(C601="","",IF(F601="","EKSİK","TAM"))</f>
        <v/>
      </c>
      <c r="M601" s="118" t="n"/>
    </row>
    <row r="602" ht="15" customHeight="1" s="64">
      <c r="A602" s="118" t="n"/>
      <c r="B602" s="118" t="n"/>
      <c r="C602" s="118" t="n"/>
      <c r="D602" s="118" t="n"/>
      <c r="E602" s="118" t="n"/>
      <c r="F602" s="118" t="n"/>
      <c r="G602" s="120">
        <f>IF(C602="","",C602*D602)</f>
        <v/>
      </c>
      <c r="H602" s="120">
        <f>IF(C602="","",C602*E602)</f>
        <v/>
      </c>
      <c r="I602" s="115">
        <f>IF(C602="","",IFERROR(D602/(E602+(E602=0))-1,0))</f>
        <v/>
      </c>
      <c r="J602" s="117">
        <f>IF(C602="","",IF(ABS(I602)&gt;AYARLAR!$C$14,"RİSKLİ","NORMAL"))</f>
        <v/>
      </c>
      <c r="K602" s="115">
        <f>IF(G602="","",IFERROR(G602/MOTOR!$B$20,0))</f>
        <v/>
      </c>
      <c r="L602" s="117">
        <f>IF(C602="","",IF(F602="","EKSİK","TAM"))</f>
        <v/>
      </c>
      <c r="M602" s="118" t="n"/>
    </row>
    <row r="603" ht="15" customHeight="1" s="64">
      <c r="A603" s="118" t="n"/>
      <c r="B603" s="118" t="n"/>
      <c r="C603" s="118" t="n"/>
      <c r="D603" s="118" t="n"/>
      <c r="E603" s="118" t="n"/>
      <c r="F603" s="118" t="n"/>
      <c r="G603" s="120">
        <f>IF(C603="","",C603*D603)</f>
        <v/>
      </c>
      <c r="H603" s="120">
        <f>IF(C603="","",C603*E603)</f>
        <v/>
      </c>
      <c r="I603" s="115">
        <f>IF(C603="","",IFERROR(D603/(E603+(E603=0))-1,0))</f>
        <v/>
      </c>
      <c r="J603" s="117">
        <f>IF(C603="","",IF(ABS(I603)&gt;AYARLAR!$C$14,"RİSKLİ","NORMAL"))</f>
        <v/>
      </c>
      <c r="K603" s="115">
        <f>IF(G603="","",IFERROR(G603/MOTOR!$B$20,0))</f>
        <v/>
      </c>
      <c r="L603" s="117">
        <f>IF(C603="","",IF(F603="","EKSİK","TAM"))</f>
        <v/>
      </c>
      <c r="M603" s="118" t="n"/>
    </row>
    <row r="604" ht="15" customHeight="1" s="64">
      <c r="A604" s="118" t="n"/>
      <c r="B604" s="118" t="n"/>
      <c r="C604" s="118" t="n"/>
      <c r="D604" s="118" t="n"/>
      <c r="E604" s="118" t="n"/>
      <c r="F604" s="118" t="n"/>
      <c r="G604" s="120">
        <f>IF(C604="","",C604*D604)</f>
        <v/>
      </c>
      <c r="H604" s="120">
        <f>IF(C604="","",C604*E604)</f>
        <v/>
      </c>
      <c r="I604" s="115">
        <f>IF(C604="","",IFERROR(D604/(E604+(E604=0))-1,0))</f>
        <v/>
      </c>
      <c r="J604" s="117">
        <f>IF(C604="","",IF(ABS(I604)&gt;AYARLAR!$C$14,"RİSKLİ","NORMAL"))</f>
        <v/>
      </c>
      <c r="K604" s="115">
        <f>IF(G604="","",IFERROR(G604/MOTOR!$B$20,0))</f>
        <v/>
      </c>
      <c r="L604" s="117">
        <f>IF(C604="","",IF(F604="","EKSİK","TAM"))</f>
        <v/>
      </c>
      <c r="M604" s="118" t="n"/>
    </row>
    <row r="605" ht="15" customHeight="1" s="64">
      <c r="A605" s="118" t="n"/>
      <c r="B605" s="118" t="n"/>
      <c r="C605" s="118" t="n"/>
      <c r="D605" s="118" t="n"/>
      <c r="E605" s="118" t="n"/>
      <c r="F605" s="118" t="n"/>
      <c r="G605" s="120">
        <f>IF(C605="","",C605*D605)</f>
        <v/>
      </c>
      <c r="H605" s="120">
        <f>IF(C605="","",C605*E605)</f>
        <v/>
      </c>
      <c r="I605" s="115">
        <f>IF(C605="","",IFERROR(D605/(E605+(E605=0))-1,0))</f>
        <v/>
      </c>
      <c r="J605" s="117">
        <f>IF(C605="","",IF(ABS(I605)&gt;AYARLAR!$C$14,"RİSKLİ","NORMAL"))</f>
        <v/>
      </c>
      <c r="K605" s="115">
        <f>IF(G605="","",IFERROR(G605/MOTOR!$B$20,0))</f>
        <v/>
      </c>
      <c r="L605" s="117">
        <f>IF(C605="","",IF(F605="","EKSİK","TAM"))</f>
        <v/>
      </c>
      <c r="M605" s="118" t="n"/>
    </row>
    <row r="606" ht="15" customHeight="1" s="64">
      <c r="A606" s="118" t="n"/>
      <c r="B606" s="118" t="n"/>
      <c r="C606" s="118" t="n"/>
      <c r="D606" s="118" t="n"/>
      <c r="E606" s="118" t="n"/>
      <c r="F606" s="118" t="n"/>
      <c r="G606" s="120">
        <f>IF(C606="","",C606*D606)</f>
        <v/>
      </c>
      <c r="H606" s="120">
        <f>IF(C606="","",C606*E606)</f>
        <v/>
      </c>
      <c r="I606" s="115">
        <f>IF(C606="","",IFERROR(D606/(E606+(E606=0))-1,0))</f>
        <v/>
      </c>
      <c r="J606" s="117">
        <f>IF(C606="","",IF(ABS(I606)&gt;AYARLAR!$C$14,"RİSKLİ","NORMAL"))</f>
        <v/>
      </c>
      <c r="K606" s="115">
        <f>IF(G606="","",IFERROR(G606/MOTOR!$B$20,0))</f>
        <v/>
      </c>
      <c r="L606" s="117">
        <f>IF(C606="","",IF(F606="","EKSİK","TAM"))</f>
        <v/>
      </c>
      <c r="M606" s="118" t="n"/>
    </row>
    <row r="607" ht="15" customHeight="1" s="64">
      <c r="A607" s="118" t="n"/>
      <c r="B607" s="118" t="n"/>
      <c r="C607" s="118" t="n"/>
      <c r="D607" s="118" t="n"/>
      <c r="E607" s="118" t="n"/>
      <c r="F607" s="118" t="n"/>
      <c r="G607" s="120">
        <f>IF(C607="","",C607*D607)</f>
        <v/>
      </c>
      <c r="H607" s="120">
        <f>IF(C607="","",C607*E607)</f>
        <v/>
      </c>
      <c r="I607" s="115">
        <f>IF(C607="","",IFERROR(D607/(E607+(E607=0))-1,0))</f>
        <v/>
      </c>
      <c r="J607" s="117">
        <f>IF(C607="","",IF(ABS(I607)&gt;AYARLAR!$C$14,"RİSKLİ","NORMAL"))</f>
        <v/>
      </c>
      <c r="K607" s="115">
        <f>IF(G607="","",IFERROR(G607/MOTOR!$B$20,0))</f>
        <v/>
      </c>
      <c r="L607" s="117">
        <f>IF(C607="","",IF(F607="","EKSİK","TAM"))</f>
        <v/>
      </c>
      <c r="M607" s="118" t="n"/>
    </row>
    <row r="608" ht="15" customHeight="1" s="64">
      <c r="A608" s="118" t="n"/>
      <c r="B608" s="118" t="n"/>
      <c r="C608" s="118" t="n"/>
      <c r="D608" s="118" t="n"/>
      <c r="E608" s="118" t="n"/>
      <c r="F608" s="118" t="n"/>
      <c r="G608" s="120">
        <f>IF(C608="","",C608*D608)</f>
        <v/>
      </c>
      <c r="H608" s="120">
        <f>IF(C608="","",C608*E608)</f>
        <v/>
      </c>
      <c r="I608" s="115">
        <f>IF(C608="","",IFERROR(D608/(E608+(E608=0))-1,0))</f>
        <v/>
      </c>
      <c r="J608" s="117">
        <f>IF(C608="","",IF(ABS(I608)&gt;AYARLAR!$C$14,"RİSKLİ","NORMAL"))</f>
        <v/>
      </c>
      <c r="K608" s="115">
        <f>IF(G608="","",IFERROR(G608/MOTOR!$B$20,0))</f>
        <v/>
      </c>
      <c r="L608" s="117">
        <f>IF(C608="","",IF(F608="","EKSİK","TAM"))</f>
        <v/>
      </c>
      <c r="M608" s="118" t="n"/>
    </row>
    <row r="609" ht="15" customHeight="1" s="64">
      <c r="A609" s="118" t="n"/>
      <c r="B609" s="118" t="n"/>
      <c r="C609" s="118" t="n"/>
      <c r="D609" s="118" t="n"/>
      <c r="E609" s="118" t="n"/>
      <c r="F609" s="118" t="n"/>
      <c r="G609" s="120">
        <f>IF(C609="","",C609*D609)</f>
        <v/>
      </c>
      <c r="H609" s="120">
        <f>IF(C609="","",C609*E609)</f>
        <v/>
      </c>
      <c r="I609" s="115">
        <f>IF(C609="","",IFERROR(D609/(E609+(E609=0))-1,0))</f>
        <v/>
      </c>
      <c r="J609" s="117">
        <f>IF(C609="","",IF(ABS(I609)&gt;AYARLAR!$C$14,"RİSKLİ","NORMAL"))</f>
        <v/>
      </c>
      <c r="K609" s="115">
        <f>IF(G609="","",IFERROR(G609/MOTOR!$B$20,0))</f>
        <v/>
      </c>
      <c r="L609" s="117">
        <f>IF(C609="","",IF(F609="","EKSİK","TAM"))</f>
        <v/>
      </c>
      <c r="M609" s="118" t="n"/>
    </row>
    <row r="610" ht="15" customHeight="1" s="64">
      <c r="A610" s="118" t="n"/>
      <c r="B610" s="118" t="n"/>
      <c r="C610" s="118" t="n"/>
      <c r="D610" s="118" t="n"/>
      <c r="E610" s="118" t="n"/>
      <c r="F610" s="118" t="n"/>
      <c r="G610" s="120">
        <f>IF(C610="","",C610*D610)</f>
        <v/>
      </c>
      <c r="H610" s="120">
        <f>IF(C610="","",C610*E610)</f>
        <v/>
      </c>
      <c r="I610" s="115">
        <f>IF(C610="","",IFERROR(D610/(E610+(E610=0))-1,0))</f>
        <v/>
      </c>
      <c r="J610" s="117">
        <f>IF(C610="","",IF(ABS(I610)&gt;AYARLAR!$C$14,"RİSKLİ","NORMAL"))</f>
        <v/>
      </c>
      <c r="K610" s="115">
        <f>IF(G610="","",IFERROR(G610/MOTOR!$B$20,0))</f>
        <v/>
      </c>
      <c r="L610" s="117">
        <f>IF(C610="","",IF(F610="","EKSİK","TAM"))</f>
        <v/>
      </c>
      <c r="M610" s="118" t="n"/>
    </row>
    <row r="611" ht="15" customHeight="1" s="64">
      <c r="A611" s="118" t="n"/>
      <c r="B611" s="118" t="n"/>
      <c r="C611" s="118" t="n"/>
      <c r="D611" s="118" t="n"/>
      <c r="E611" s="118" t="n"/>
      <c r="F611" s="118" t="n"/>
      <c r="G611" s="120">
        <f>IF(C611="","",C611*D611)</f>
        <v/>
      </c>
      <c r="H611" s="120">
        <f>IF(C611="","",C611*E611)</f>
        <v/>
      </c>
      <c r="I611" s="115">
        <f>IF(C611="","",IFERROR(D611/(E611+(E611=0))-1,0))</f>
        <v/>
      </c>
      <c r="J611" s="117">
        <f>IF(C611="","",IF(ABS(I611)&gt;AYARLAR!$C$14,"RİSKLİ","NORMAL"))</f>
        <v/>
      </c>
      <c r="K611" s="115">
        <f>IF(G611="","",IFERROR(G611/MOTOR!$B$20,0))</f>
        <v/>
      </c>
      <c r="L611" s="117">
        <f>IF(C611="","",IF(F611="","EKSİK","TAM"))</f>
        <v/>
      </c>
      <c r="M611" s="118" t="n"/>
    </row>
    <row r="612" ht="15" customHeight="1" s="64">
      <c r="A612" s="118" t="n"/>
      <c r="B612" s="118" t="n"/>
      <c r="C612" s="118" t="n"/>
      <c r="D612" s="118" t="n"/>
      <c r="E612" s="118" t="n"/>
      <c r="F612" s="118" t="n"/>
      <c r="G612" s="120">
        <f>IF(C612="","",C612*D612)</f>
        <v/>
      </c>
      <c r="H612" s="120">
        <f>IF(C612="","",C612*E612)</f>
        <v/>
      </c>
      <c r="I612" s="115">
        <f>IF(C612="","",IFERROR(D612/(E612+(E612=0))-1,0))</f>
        <v/>
      </c>
      <c r="J612" s="117">
        <f>IF(C612="","",IF(ABS(I612)&gt;AYARLAR!$C$14,"RİSKLİ","NORMAL"))</f>
        <v/>
      </c>
      <c r="K612" s="115">
        <f>IF(G612="","",IFERROR(G612/MOTOR!$B$20,0))</f>
        <v/>
      </c>
      <c r="L612" s="117">
        <f>IF(C612="","",IF(F612="","EKSİK","TAM"))</f>
        <v/>
      </c>
      <c r="M612" s="118" t="n"/>
    </row>
    <row r="613" ht="15" customHeight="1" s="64">
      <c r="A613" s="118" t="n"/>
      <c r="B613" s="118" t="n"/>
      <c r="C613" s="118" t="n"/>
      <c r="D613" s="118" t="n"/>
      <c r="E613" s="118" t="n"/>
      <c r="F613" s="118" t="n"/>
      <c r="G613" s="120">
        <f>IF(C613="","",C613*D613)</f>
        <v/>
      </c>
      <c r="H613" s="120">
        <f>IF(C613="","",C613*E613)</f>
        <v/>
      </c>
      <c r="I613" s="115">
        <f>IF(C613="","",IFERROR(D613/(E613+(E613=0))-1,0))</f>
        <v/>
      </c>
      <c r="J613" s="117">
        <f>IF(C613="","",IF(ABS(I613)&gt;AYARLAR!$C$14,"RİSKLİ","NORMAL"))</f>
        <v/>
      </c>
      <c r="K613" s="115">
        <f>IF(G613="","",IFERROR(G613/MOTOR!$B$20,0))</f>
        <v/>
      </c>
      <c r="L613" s="117">
        <f>IF(C613="","",IF(F613="","EKSİK","TAM"))</f>
        <v/>
      </c>
      <c r="M613" s="118" t="n"/>
    </row>
    <row r="614" ht="15" customHeight="1" s="64">
      <c r="A614" s="118" t="n"/>
      <c r="B614" s="118" t="n"/>
      <c r="C614" s="118" t="n"/>
      <c r="D614" s="118" t="n"/>
      <c r="E614" s="118" t="n"/>
      <c r="F614" s="118" t="n"/>
      <c r="G614" s="120">
        <f>IF(C614="","",C614*D614)</f>
        <v/>
      </c>
      <c r="H614" s="120">
        <f>IF(C614="","",C614*E614)</f>
        <v/>
      </c>
      <c r="I614" s="115">
        <f>IF(C614="","",IFERROR(D614/(E614+(E614=0))-1,0))</f>
        <v/>
      </c>
      <c r="J614" s="117">
        <f>IF(C614="","",IF(ABS(I614)&gt;AYARLAR!$C$14,"RİSKLİ","NORMAL"))</f>
        <v/>
      </c>
      <c r="K614" s="115">
        <f>IF(G614="","",IFERROR(G614/MOTOR!$B$20,0))</f>
        <v/>
      </c>
      <c r="L614" s="117">
        <f>IF(C614="","",IF(F614="","EKSİK","TAM"))</f>
        <v/>
      </c>
      <c r="M614" s="118" t="n"/>
    </row>
    <row r="615" ht="15" customHeight="1" s="64">
      <c r="A615" s="118" t="n"/>
      <c r="B615" s="118" t="n"/>
      <c r="C615" s="118" t="n"/>
      <c r="D615" s="118" t="n"/>
      <c r="E615" s="118" t="n"/>
      <c r="F615" s="118" t="n"/>
      <c r="G615" s="120">
        <f>IF(C615="","",C615*D615)</f>
        <v/>
      </c>
      <c r="H615" s="120">
        <f>IF(C615="","",C615*E615)</f>
        <v/>
      </c>
      <c r="I615" s="115">
        <f>IF(C615="","",IFERROR(D615/(E615+(E615=0))-1,0))</f>
        <v/>
      </c>
      <c r="J615" s="117">
        <f>IF(C615="","",IF(ABS(I615)&gt;AYARLAR!$C$14,"RİSKLİ","NORMAL"))</f>
        <v/>
      </c>
      <c r="K615" s="115">
        <f>IF(G615="","",IFERROR(G615/MOTOR!$B$20,0))</f>
        <v/>
      </c>
      <c r="L615" s="117">
        <f>IF(C615="","",IF(F615="","EKSİK","TAM"))</f>
        <v/>
      </c>
      <c r="M615" s="118" t="n"/>
    </row>
    <row r="616" ht="15" customHeight="1" s="64">
      <c r="A616" s="118" t="n"/>
      <c r="B616" s="118" t="n"/>
      <c r="C616" s="118" t="n"/>
      <c r="D616" s="118" t="n"/>
      <c r="E616" s="118" t="n"/>
      <c r="F616" s="118" t="n"/>
      <c r="G616" s="120">
        <f>IF(C616="","",C616*D616)</f>
        <v/>
      </c>
      <c r="H616" s="120">
        <f>IF(C616="","",C616*E616)</f>
        <v/>
      </c>
      <c r="I616" s="115">
        <f>IF(C616="","",IFERROR(D616/(E616+(E616=0))-1,0))</f>
        <v/>
      </c>
      <c r="J616" s="117">
        <f>IF(C616="","",IF(ABS(I616)&gt;AYARLAR!$C$14,"RİSKLİ","NORMAL"))</f>
        <v/>
      </c>
      <c r="K616" s="115">
        <f>IF(G616="","",IFERROR(G616/MOTOR!$B$20,0))</f>
        <v/>
      </c>
      <c r="L616" s="117">
        <f>IF(C616="","",IF(F616="","EKSİK","TAM"))</f>
        <v/>
      </c>
      <c r="M616" s="118" t="n"/>
    </row>
    <row r="617" ht="15" customHeight="1" s="64">
      <c r="A617" s="118" t="n"/>
      <c r="B617" s="118" t="n"/>
      <c r="C617" s="118" t="n"/>
      <c r="D617" s="118" t="n"/>
      <c r="E617" s="118" t="n"/>
      <c r="F617" s="118" t="n"/>
      <c r="G617" s="120">
        <f>IF(C617="","",C617*D617)</f>
        <v/>
      </c>
      <c r="H617" s="120">
        <f>IF(C617="","",C617*E617)</f>
        <v/>
      </c>
      <c r="I617" s="115">
        <f>IF(C617="","",IFERROR(D617/(E617+(E617=0))-1,0))</f>
        <v/>
      </c>
      <c r="J617" s="117">
        <f>IF(C617="","",IF(ABS(I617)&gt;AYARLAR!$C$14,"RİSKLİ","NORMAL"))</f>
        <v/>
      </c>
      <c r="K617" s="115">
        <f>IF(G617="","",IFERROR(G617/MOTOR!$B$20,0))</f>
        <v/>
      </c>
      <c r="L617" s="117">
        <f>IF(C617="","",IF(F617="","EKSİK","TAM"))</f>
        <v/>
      </c>
      <c r="M617" s="118" t="n"/>
    </row>
    <row r="618" ht="15" customHeight="1" s="64">
      <c r="A618" s="118" t="n"/>
      <c r="B618" s="118" t="n"/>
      <c r="C618" s="118" t="n"/>
      <c r="D618" s="118" t="n"/>
      <c r="E618" s="118" t="n"/>
      <c r="F618" s="118" t="n"/>
      <c r="G618" s="120">
        <f>IF(C618="","",C618*D618)</f>
        <v/>
      </c>
      <c r="H618" s="120">
        <f>IF(C618="","",C618*E618)</f>
        <v/>
      </c>
      <c r="I618" s="115">
        <f>IF(C618="","",IFERROR(D618/(E618+(E618=0))-1,0))</f>
        <v/>
      </c>
      <c r="J618" s="117">
        <f>IF(C618="","",IF(ABS(I618)&gt;AYARLAR!$C$14,"RİSKLİ","NORMAL"))</f>
        <v/>
      </c>
      <c r="K618" s="115">
        <f>IF(G618="","",IFERROR(G618/MOTOR!$B$20,0))</f>
        <v/>
      </c>
      <c r="L618" s="117">
        <f>IF(C618="","",IF(F618="","EKSİK","TAM"))</f>
        <v/>
      </c>
      <c r="M618" s="118" t="n"/>
    </row>
    <row r="619" ht="15" customHeight="1" s="64">
      <c r="A619" s="118" t="n"/>
      <c r="B619" s="118" t="n"/>
      <c r="C619" s="118" t="n"/>
      <c r="D619" s="118" t="n"/>
      <c r="E619" s="118" t="n"/>
      <c r="F619" s="118" t="n"/>
      <c r="G619" s="120">
        <f>IF(C619="","",C619*D619)</f>
        <v/>
      </c>
      <c r="H619" s="120">
        <f>IF(C619="","",C619*E619)</f>
        <v/>
      </c>
      <c r="I619" s="115">
        <f>IF(C619="","",IFERROR(D619/(E619+(E619=0))-1,0))</f>
        <v/>
      </c>
      <c r="J619" s="117">
        <f>IF(C619="","",IF(ABS(I619)&gt;AYARLAR!$C$14,"RİSKLİ","NORMAL"))</f>
        <v/>
      </c>
      <c r="K619" s="115">
        <f>IF(G619="","",IFERROR(G619/MOTOR!$B$20,0))</f>
        <v/>
      </c>
      <c r="L619" s="117">
        <f>IF(C619="","",IF(F619="","EKSİK","TAM"))</f>
        <v/>
      </c>
      <c r="M619" s="118" t="n"/>
    </row>
    <row r="620" ht="15" customHeight="1" s="64">
      <c r="A620" s="118" t="n"/>
      <c r="B620" s="118" t="n"/>
      <c r="C620" s="118" t="n"/>
      <c r="D620" s="118" t="n"/>
      <c r="E620" s="118" t="n"/>
      <c r="F620" s="118" t="n"/>
      <c r="G620" s="120">
        <f>IF(C620="","",C620*D620)</f>
        <v/>
      </c>
      <c r="H620" s="120">
        <f>IF(C620="","",C620*E620)</f>
        <v/>
      </c>
      <c r="I620" s="115">
        <f>IF(C620="","",IFERROR(D620/(E620+(E620=0))-1,0))</f>
        <v/>
      </c>
      <c r="J620" s="117">
        <f>IF(C620="","",IF(ABS(I620)&gt;AYARLAR!$C$14,"RİSKLİ","NORMAL"))</f>
        <v/>
      </c>
      <c r="K620" s="115">
        <f>IF(G620="","",IFERROR(G620/MOTOR!$B$20,0))</f>
        <v/>
      </c>
      <c r="L620" s="117">
        <f>IF(C620="","",IF(F620="","EKSİK","TAM"))</f>
        <v/>
      </c>
      <c r="M620" s="118" t="n"/>
    </row>
    <row r="621" ht="15" customHeight="1" s="64">
      <c r="A621" s="118" t="n"/>
      <c r="B621" s="118" t="n"/>
      <c r="C621" s="118" t="n"/>
      <c r="D621" s="118" t="n"/>
      <c r="E621" s="118" t="n"/>
      <c r="F621" s="118" t="n"/>
      <c r="G621" s="120">
        <f>IF(C621="","",C621*D621)</f>
        <v/>
      </c>
      <c r="H621" s="120">
        <f>IF(C621="","",C621*E621)</f>
        <v/>
      </c>
      <c r="I621" s="115">
        <f>IF(C621="","",IFERROR(D621/(E621+(E621=0))-1,0))</f>
        <v/>
      </c>
      <c r="J621" s="117">
        <f>IF(C621="","",IF(ABS(I621)&gt;AYARLAR!$C$14,"RİSKLİ","NORMAL"))</f>
        <v/>
      </c>
      <c r="K621" s="115">
        <f>IF(G621="","",IFERROR(G621/MOTOR!$B$20,0))</f>
        <v/>
      </c>
      <c r="L621" s="117">
        <f>IF(C621="","",IF(F621="","EKSİK","TAM"))</f>
        <v/>
      </c>
      <c r="M621" s="118" t="n"/>
    </row>
    <row r="622" ht="15" customHeight="1" s="64">
      <c r="A622" s="118" t="n"/>
      <c r="B622" s="118" t="n"/>
      <c r="C622" s="118" t="n"/>
      <c r="D622" s="118" t="n"/>
      <c r="E622" s="118" t="n"/>
      <c r="F622" s="118" t="n"/>
      <c r="G622" s="120">
        <f>IF(C622="","",C622*D622)</f>
        <v/>
      </c>
      <c r="H622" s="120">
        <f>IF(C622="","",C622*E622)</f>
        <v/>
      </c>
      <c r="I622" s="115">
        <f>IF(C622="","",IFERROR(D622/(E622+(E622=0))-1,0))</f>
        <v/>
      </c>
      <c r="J622" s="117">
        <f>IF(C622="","",IF(ABS(I622)&gt;AYARLAR!$C$14,"RİSKLİ","NORMAL"))</f>
        <v/>
      </c>
      <c r="K622" s="115">
        <f>IF(G622="","",IFERROR(G622/MOTOR!$B$20,0))</f>
        <v/>
      </c>
      <c r="L622" s="117">
        <f>IF(C622="","",IF(F622="","EKSİK","TAM"))</f>
        <v/>
      </c>
      <c r="M622" s="118" t="n"/>
    </row>
    <row r="623" ht="15" customHeight="1" s="64">
      <c r="A623" s="118" t="n"/>
      <c r="B623" s="118" t="n"/>
      <c r="C623" s="118" t="n"/>
      <c r="D623" s="118" t="n"/>
      <c r="E623" s="118" t="n"/>
      <c r="F623" s="118" t="n"/>
      <c r="G623" s="120">
        <f>IF(C623="","",C623*D623)</f>
        <v/>
      </c>
      <c r="H623" s="120">
        <f>IF(C623="","",C623*E623)</f>
        <v/>
      </c>
      <c r="I623" s="115">
        <f>IF(C623="","",IFERROR(D623/(E623+(E623=0))-1,0))</f>
        <v/>
      </c>
      <c r="J623" s="117">
        <f>IF(C623="","",IF(ABS(I623)&gt;AYARLAR!$C$14,"RİSKLİ","NORMAL"))</f>
        <v/>
      </c>
      <c r="K623" s="115">
        <f>IF(G623="","",IFERROR(G623/MOTOR!$B$20,0))</f>
        <v/>
      </c>
      <c r="L623" s="117">
        <f>IF(C623="","",IF(F623="","EKSİK","TAM"))</f>
        <v/>
      </c>
      <c r="M623" s="118" t="n"/>
    </row>
    <row r="624" ht="15" customHeight="1" s="64">
      <c r="A624" s="118" t="n"/>
      <c r="B624" s="118" t="n"/>
      <c r="C624" s="118" t="n"/>
      <c r="D624" s="118" t="n"/>
      <c r="E624" s="118" t="n"/>
      <c r="F624" s="118" t="n"/>
      <c r="G624" s="120">
        <f>IF(C624="","",C624*D624)</f>
        <v/>
      </c>
      <c r="H624" s="120">
        <f>IF(C624="","",C624*E624)</f>
        <v/>
      </c>
      <c r="I624" s="115">
        <f>IF(C624="","",IFERROR(D624/(E624+(E624=0))-1,0))</f>
        <v/>
      </c>
      <c r="J624" s="117">
        <f>IF(C624="","",IF(ABS(I624)&gt;AYARLAR!$C$14,"RİSKLİ","NORMAL"))</f>
        <v/>
      </c>
      <c r="K624" s="115">
        <f>IF(G624="","",IFERROR(G624/MOTOR!$B$20,0))</f>
        <v/>
      </c>
      <c r="L624" s="117">
        <f>IF(C624="","",IF(F624="","EKSİK","TAM"))</f>
        <v/>
      </c>
      <c r="M624" s="118" t="n"/>
    </row>
    <row r="625" ht="15" customHeight="1" s="64">
      <c r="A625" s="118" t="n"/>
      <c r="B625" s="118" t="n"/>
      <c r="C625" s="118" t="n"/>
      <c r="D625" s="118" t="n"/>
      <c r="E625" s="118" t="n"/>
      <c r="F625" s="118" t="n"/>
      <c r="G625" s="120">
        <f>IF(C625="","",C625*D625)</f>
        <v/>
      </c>
      <c r="H625" s="120">
        <f>IF(C625="","",C625*E625)</f>
        <v/>
      </c>
      <c r="I625" s="115">
        <f>IF(C625="","",IFERROR(D625/(E625+(E625=0))-1,0))</f>
        <v/>
      </c>
      <c r="J625" s="117">
        <f>IF(C625="","",IF(ABS(I625)&gt;AYARLAR!$C$14,"RİSKLİ","NORMAL"))</f>
        <v/>
      </c>
      <c r="K625" s="115">
        <f>IF(G625="","",IFERROR(G625/MOTOR!$B$20,0))</f>
        <v/>
      </c>
      <c r="L625" s="117">
        <f>IF(C625="","",IF(F625="","EKSİK","TAM"))</f>
        <v/>
      </c>
      <c r="M625" s="118" t="n"/>
    </row>
    <row r="626" ht="15" customHeight="1" s="64">
      <c r="A626" s="118" t="n"/>
      <c r="B626" s="118" t="n"/>
      <c r="C626" s="118" t="n"/>
      <c r="D626" s="118" t="n"/>
      <c r="E626" s="118" t="n"/>
      <c r="F626" s="118" t="n"/>
      <c r="G626" s="120">
        <f>IF(C626="","",C626*D626)</f>
        <v/>
      </c>
      <c r="H626" s="120">
        <f>IF(C626="","",C626*E626)</f>
        <v/>
      </c>
      <c r="I626" s="115">
        <f>IF(C626="","",IFERROR(D626/(E626+(E626=0))-1,0))</f>
        <v/>
      </c>
      <c r="J626" s="117">
        <f>IF(C626="","",IF(ABS(I626)&gt;AYARLAR!$C$14,"RİSKLİ","NORMAL"))</f>
        <v/>
      </c>
      <c r="K626" s="115">
        <f>IF(G626="","",IFERROR(G626/MOTOR!$B$20,0))</f>
        <v/>
      </c>
      <c r="L626" s="117">
        <f>IF(C626="","",IF(F626="","EKSİK","TAM"))</f>
        <v/>
      </c>
      <c r="M626" s="118" t="n"/>
    </row>
    <row r="627" ht="15" customHeight="1" s="64">
      <c r="A627" s="118" t="n"/>
      <c r="B627" s="118" t="n"/>
      <c r="C627" s="118" t="n"/>
      <c r="D627" s="118" t="n"/>
      <c r="E627" s="118" t="n"/>
      <c r="F627" s="118" t="n"/>
      <c r="G627" s="120">
        <f>IF(C627="","",C627*D627)</f>
        <v/>
      </c>
      <c r="H627" s="120">
        <f>IF(C627="","",C627*E627)</f>
        <v/>
      </c>
      <c r="I627" s="115">
        <f>IF(C627="","",IFERROR(D627/(E627+(E627=0))-1,0))</f>
        <v/>
      </c>
      <c r="J627" s="117">
        <f>IF(C627="","",IF(ABS(I627)&gt;AYARLAR!$C$14,"RİSKLİ","NORMAL"))</f>
        <v/>
      </c>
      <c r="K627" s="115">
        <f>IF(G627="","",IFERROR(G627/MOTOR!$B$20,0))</f>
        <v/>
      </c>
      <c r="L627" s="117">
        <f>IF(C627="","",IF(F627="","EKSİK","TAM"))</f>
        <v/>
      </c>
      <c r="M627" s="118" t="n"/>
    </row>
    <row r="628" ht="15" customHeight="1" s="64">
      <c r="A628" s="118" t="n"/>
      <c r="B628" s="118" t="n"/>
      <c r="C628" s="118" t="n"/>
      <c r="D628" s="118" t="n"/>
      <c r="E628" s="118" t="n"/>
      <c r="F628" s="118" t="n"/>
      <c r="G628" s="120">
        <f>IF(C628="","",C628*D628)</f>
        <v/>
      </c>
      <c r="H628" s="120">
        <f>IF(C628="","",C628*E628)</f>
        <v/>
      </c>
      <c r="I628" s="115">
        <f>IF(C628="","",IFERROR(D628/(E628+(E628=0))-1,0))</f>
        <v/>
      </c>
      <c r="J628" s="117">
        <f>IF(C628="","",IF(ABS(I628)&gt;AYARLAR!$C$14,"RİSKLİ","NORMAL"))</f>
        <v/>
      </c>
      <c r="K628" s="115">
        <f>IF(G628="","",IFERROR(G628/MOTOR!$B$20,0))</f>
        <v/>
      </c>
      <c r="L628" s="117">
        <f>IF(C628="","",IF(F628="","EKSİK","TAM"))</f>
        <v/>
      </c>
      <c r="M628" s="118" t="n"/>
    </row>
    <row r="629" ht="15" customHeight="1" s="64">
      <c r="A629" s="118" t="n"/>
      <c r="B629" s="118" t="n"/>
      <c r="C629" s="118" t="n"/>
      <c r="D629" s="118" t="n"/>
      <c r="E629" s="118" t="n"/>
      <c r="F629" s="118" t="n"/>
      <c r="G629" s="120">
        <f>IF(C629="","",C629*D629)</f>
        <v/>
      </c>
      <c r="H629" s="120">
        <f>IF(C629="","",C629*E629)</f>
        <v/>
      </c>
      <c r="I629" s="115">
        <f>IF(C629="","",IFERROR(D629/(E629+(E629=0))-1,0))</f>
        <v/>
      </c>
      <c r="J629" s="117">
        <f>IF(C629="","",IF(ABS(I629)&gt;AYARLAR!$C$14,"RİSKLİ","NORMAL"))</f>
        <v/>
      </c>
      <c r="K629" s="115">
        <f>IF(G629="","",IFERROR(G629/MOTOR!$B$20,0))</f>
        <v/>
      </c>
      <c r="L629" s="117">
        <f>IF(C629="","",IF(F629="","EKSİK","TAM"))</f>
        <v/>
      </c>
      <c r="M629" s="118" t="n"/>
    </row>
    <row r="630" ht="15" customHeight="1" s="64">
      <c r="A630" s="118" t="n"/>
      <c r="B630" s="118" t="n"/>
      <c r="C630" s="118" t="n"/>
      <c r="D630" s="118" t="n"/>
      <c r="E630" s="118" t="n"/>
      <c r="F630" s="118" t="n"/>
      <c r="G630" s="120">
        <f>IF(C630="","",C630*D630)</f>
        <v/>
      </c>
      <c r="H630" s="120">
        <f>IF(C630="","",C630*E630)</f>
        <v/>
      </c>
      <c r="I630" s="115">
        <f>IF(C630="","",IFERROR(D630/(E630+(E630=0))-1,0))</f>
        <v/>
      </c>
      <c r="J630" s="117">
        <f>IF(C630="","",IF(ABS(I630)&gt;AYARLAR!$C$14,"RİSKLİ","NORMAL"))</f>
        <v/>
      </c>
      <c r="K630" s="115">
        <f>IF(G630="","",IFERROR(G630/MOTOR!$B$20,0))</f>
        <v/>
      </c>
      <c r="L630" s="117">
        <f>IF(C630="","",IF(F630="","EKSİK","TAM"))</f>
        <v/>
      </c>
      <c r="M630" s="118" t="n"/>
    </row>
    <row r="631" ht="15" customHeight="1" s="64">
      <c r="A631" s="118" t="n"/>
      <c r="B631" s="118" t="n"/>
      <c r="C631" s="118" t="n"/>
      <c r="D631" s="118" t="n"/>
      <c r="E631" s="118" t="n"/>
      <c r="F631" s="118" t="n"/>
      <c r="G631" s="120">
        <f>IF(C631="","",C631*D631)</f>
        <v/>
      </c>
      <c r="H631" s="120">
        <f>IF(C631="","",C631*E631)</f>
        <v/>
      </c>
      <c r="I631" s="115">
        <f>IF(C631="","",IFERROR(D631/(E631+(E631=0))-1,0))</f>
        <v/>
      </c>
      <c r="J631" s="117">
        <f>IF(C631="","",IF(ABS(I631)&gt;AYARLAR!$C$14,"RİSKLİ","NORMAL"))</f>
        <v/>
      </c>
      <c r="K631" s="115">
        <f>IF(G631="","",IFERROR(G631/MOTOR!$B$20,0))</f>
        <v/>
      </c>
      <c r="L631" s="117">
        <f>IF(C631="","",IF(F631="","EKSİK","TAM"))</f>
        <v/>
      </c>
      <c r="M631" s="118" t="n"/>
    </row>
    <row r="632" ht="15" customHeight="1" s="64">
      <c r="A632" s="118" t="n"/>
      <c r="B632" s="118" t="n"/>
      <c r="C632" s="118" t="n"/>
      <c r="D632" s="118" t="n"/>
      <c r="E632" s="118" t="n"/>
      <c r="F632" s="118" t="n"/>
      <c r="G632" s="120">
        <f>IF(C632="","",C632*D632)</f>
        <v/>
      </c>
      <c r="H632" s="120">
        <f>IF(C632="","",C632*E632)</f>
        <v/>
      </c>
      <c r="I632" s="115">
        <f>IF(C632="","",IFERROR(D632/(E632+(E632=0))-1,0))</f>
        <v/>
      </c>
      <c r="J632" s="117">
        <f>IF(C632="","",IF(ABS(I632)&gt;AYARLAR!$C$14,"RİSKLİ","NORMAL"))</f>
        <v/>
      </c>
      <c r="K632" s="115">
        <f>IF(G632="","",IFERROR(G632/MOTOR!$B$20,0))</f>
        <v/>
      </c>
      <c r="L632" s="117">
        <f>IF(C632="","",IF(F632="","EKSİK","TAM"))</f>
        <v/>
      </c>
      <c r="M632" s="118" t="n"/>
    </row>
    <row r="633" ht="15" customHeight="1" s="64">
      <c r="A633" s="118" t="n"/>
      <c r="B633" s="118" t="n"/>
      <c r="C633" s="118" t="n"/>
      <c r="D633" s="118" t="n"/>
      <c r="E633" s="118" t="n"/>
      <c r="F633" s="118" t="n"/>
      <c r="G633" s="120">
        <f>IF(C633="","",C633*D633)</f>
        <v/>
      </c>
      <c r="H633" s="120">
        <f>IF(C633="","",C633*E633)</f>
        <v/>
      </c>
      <c r="I633" s="115">
        <f>IF(C633="","",IFERROR(D633/(E633+(E633=0))-1,0))</f>
        <v/>
      </c>
      <c r="J633" s="117">
        <f>IF(C633="","",IF(ABS(I633)&gt;AYARLAR!$C$14,"RİSKLİ","NORMAL"))</f>
        <v/>
      </c>
      <c r="K633" s="115">
        <f>IF(G633="","",IFERROR(G633/MOTOR!$B$20,0))</f>
        <v/>
      </c>
      <c r="L633" s="117">
        <f>IF(C633="","",IF(F633="","EKSİK","TAM"))</f>
        <v/>
      </c>
      <c r="M633" s="118" t="n"/>
    </row>
    <row r="634" ht="15" customHeight="1" s="64">
      <c r="A634" s="118" t="n"/>
      <c r="B634" s="118" t="n"/>
      <c r="C634" s="118" t="n"/>
      <c r="D634" s="118" t="n"/>
      <c r="E634" s="118" t="n"/>
      <c r="F634" s="118" t="n"/>
      <c r="G634" s="120">
        <f>IF(C634="","",C634*D634)</f>
        <v/>
      </c>
      <c r="H634" s="120">
        <f>IF(C634="","",C634*E634)</f>
        <v/>
      </c>
      <c r="I634" s="115">
        <f>IF(C634="","",IFERROR(D634/(E634+(E634=0))-1,0))</f>
        <v/>
      </c>
      <c r="J634" s="117">
        <f>IF(C634="","",IF(ABS(I634)&gt;AYARLAR!$C$14,"RİSKLİ","NORMAL"))</f>
        <v/>
      </c>
      <c r="K634" s="115">
        <f>IF(G634="","",IFERROR(G634/MOTOR!$B$20,0))</f>
        <v/>
      </c>
      <c r="L634" s="117">
        <f>IF(C634="","",IF(F634="","EKSİK","TAM"))</f>
        <v/>
      </c>
      <c r="M634" s="118" t="n"/>
    </row>
    <row r="635" ht="15" customHeight="1" s="64">
      <c r="A635" s="118" t="n"/>
      <c r="B635" s="118" t="n"/>
      <c r="C635" s="118" t="n"/>
      <c r="D635" s="118" t="n"/>
      <c r="E635" s="118" t="n"/>
      <c r="F635" s="118" t="n"/>
      <c r="G635" s="120">
        <f>IF(C635="","",C635*D635)</f>
        <v/>
      </c>
      <c r="H635" s="120">
        <f>IF(C635="","",C635*E635)</f>
        <v/>
      </c>
      <c r="I635" s="115">
        <f>IF(C635="","",IFERROR(D635/(E635+(E635=0))-1,0))</f>
        <v/>
      </c>
      <c r="J635" s="117">
        <f>IF(C635="","",IF(ABS(I635)&gt;AYARLAR!$C$14,"RİSKLİ","NORMAL"))</f>
        <v/>
      </c>
      <c r="K635" s="115">
        <f>IF(G635="","",IFERROR(G635/MOTOR!$B$20,0))</f>
        <v/>
      </c>
      <c r="L635" s="117">
        <f>IF(C635="","",IF(F635="","EKSİK","TAM"))</f>
        <v/>
      </c>
      <c r="M635" s="118" t="n"/>
    </row>
    <row r="636" ht="15" customHeight="1" s="64">
      <c r="A636" s="118" t="n"/>
      <c r="B636" s="118" t="n"/>
      <c r="C636" s="118" t="n"/>
      <c r="D636" s="118" t="n"/>
      <c r="E636" s="118" t="n"/>
      <c r="F636" s="118" t="n"/>
      <c r="G636" s="120">
        <f>IF(C636="","",C636*D636)</f>
        <v/>
      </c>
      <c r="H636" s="120">
        <f>IF(C636="","",C636*E636)</f>
        <v/>
      </c>
      <c r="I636" s="115">
        <f>IF(C636="","",IFERROR(D636/(E636+(E636=0))-1,0))</f>
        <v/>
      </c>
      <c r="J636" s="117">
        <f>IF(C636="","",IF(ABS(I636)&gt;AYARLAR!$C$14,"RİSKLİ","NORMAL"))</f>
        <v/>
      </c>
      <c r="K636" s="115">
        <f>IF(G636="","",IFERROR(G636/MOTOR!$B$20,0))</f>
        <v/>
      </c>
      <c r="L636" s="117">
        <f>IF(C636="","",IF(F636="","EKSİK","TAM"))</f>
        <v/>
      </c>
      <c r="M636" s="118" t="n"/>
    </row>
    <row r="637" ht="15" customHeight="1" s="64">
      <c r="A637" s="118" t="n"/>
      <c r="B637" s="118" t="n"/>
      <c r="C637" s="118" t="n"/>
      <c r="D637" s="118" t="n"/>
      <c r="E637" s="118" t="n"/>
      <c r="F637" s="118" t="n"/>
      <c r="G637" s="120">
        <f>IF(C637="","",C637*D637)</f>
        <v/>
      </c>
      <c r="H637" s="120">
        <f>IF(C637="","",C637*E637)</f>
        <v/>
      </c>
      <c r="I637" s="115">
        <f>IF(C637="","",IFERROR(D637/(E637+(E637=0))-1,0))</f>
        <v/>
      </c>
      <c r="J637" s="117">
        <f>IF(C637="","",IF(ABS(I637)&gt;AYARLAR!$C$14,"RİSKLİ","NORMAL"))</f>
        <v/>
      </c>
      <c r="K637" s="115">
        <f>IF(G637="","",IFERROR(G637/MOTOR!$B$20,0))</f>
        <v/>
      </c>
      <c r="L637" s="117">
        <f>IF(C637="","",IF(F637="","EKSİK","TAM"))</f>
        <v/>
      </c>
      <c r="M637" s="118" t="n"/>
    </row>
    <row r="638" ht="15" customHeight="1" s="64">
      <c r="A638" s="118" t="n"/>
      <c r="B638" s="118" t="n"/>
      <c r="C638" s="118" t="n"/>
      <c r="D638" s="118" t="n"/>
      <c r="E638" s="118" t="n"/>
      <c r="F638" s="118" t="n"/>
      <c r="G638" s="120">
        <f>IF(C638="","",C638*D638)</f>
        <v/>
      </c>
      <c r="H638" s="120">
        <f>IF(C638="","",C638*E638)</f>
        <v/>
      </c>
      <c r="I638" s="115">
        <f>IF(C638="","",IFERROR(D638/(E638+(E638=0))-1,0))</f>
        <v/>
      </c>
      <c r="J638" s="117">
        <f>IF(C638="","",IF(ABS(I638)&gt;AYARLAR!$C$14,"RİSKLİ","NORMAL"))</f>
        <v/>
      </c>
      <c r="K638" s="115">
        <f>IF(G638="","",IFERROR(G638/MOTOR!$B$20,0))</f>
        <v/>
      </c>
      <c r="L638" s="117">
        <f>IF(C638="","",IF(F638="","EKSİK","TAM"))</f>
        <v/>
      </c>
      <c r="M638" s="118" t="n"/>
    </row>
    <row r="639" ht="15" customHeight="1" s="64">
      <c r="A639" s="118" t="n"/>
      <c r="B639" s="118" t="n"/>
      <c r="C639" s="118" t="n"/>
      <c r="D639" s="118" t="n"/>
      <c r="E639" s="118" t="n"/>
      <c r="F639" s="118" t="n"/>
      <c r="G639" s="120">
        <f>IF(C639="","",C639*D639)</f>
        <v/>
      </c>
      <c r="H639" s="120">
        <f>IF(C639="","",C639*E639)</f>
        <v/>
      </c>
      <c r="I639" s="115">
        <f>IF(C639="","",IFERROR(D639/(E639+(E639=0))-1,0))</f>
        <v/>
      </c>
      <c r="J639" s="117">
        <f>IF(C639="","",IF(ABS(I639)&gt;AYARLAR!$C$14,"RİSKLİ","NORMAL"))</f>
        <v/>
      </c>
      <c r="K639" s="115">
        <f>IF(G639="","",IFERROR(G639/MOTOR!$B$20,0))</f>
        <v/>
      </c>
      <c r="L639" s="117">
        <f>IF(C639="","",IF(F639="","EKSİK","TAM"))</f>
        <v/>
      </c>
      <c r="M639" s="118" t="n"/>
    </row>
    <row r="640" ht="15" customHeight="1" s="64">
      <c r="A640" s="118" t="n"/>
      <c r="B640" s="118" t="n"/>
      <c r="C640" s="118" t="n"/>
      <c r="D640" s="118" t="n"/>
      <c r="E640" s="118" t="n"/>
      <c r="F640" s="118" t="n"/>
      <c r="G640" s="120">
        <f>IF(C640="","",C640*D640)</f>
        <v/>
      </c>
      <c r="H640" s="120">
        <f>IF(C640="","",C640*E640)</f>
        <v/>
      </c>
      <c r="I640" s="115">
        <f>IF(C640="","",IFERROR(D640/(E640+(E640=0))-1,0))</f>
        <v/>
      </c>
      <c r="J640" s="117">
        <f>IF(C640="","",IF(ABS(I640)&gt;AYARLAR!$C$14,"RİSKLİ","NORMAL"))</f>
        <v/>
      </c>
      <c r="K640" s="115">
        <f>IF(G640="","",IFERROR(G640/MOTOR!$B$20,0))</f>
        <v/>
      </c>
      <c r="L640" s="117">
        <f>IF(C640="","",IF(F640="","EKSİK","TAM"))</f>
        <v/>
      </c>
      <c r="M640" s="118" t="n"/>
    </row>
    <row r="641" ht="15" customHeight="1" s="64">
      <c r="A641" s="118" t="n"/>
      <c r="B641" s="118" t="n"/>
      <c r="C641" s="118" t="n"/>
      <c r="D641" s="118" t="n"/>
      <c r="E641" s="118" t="n"/>
      <c r="F641" s="118" t="n"/>
      <c r="G641" s="120">
        <f>IF(C641="","",C641*D641)</f>
        <v/>
      </c>
      <c r="H641" s="120">
        <f>IF(C641="","",C641*E641)</f>
        <v/>
      </c>
      <c r="I641" s="115">
        <f>IF(C641="","",IFERROR(D641/(E641+(E641=0))-1,0))</f>
        <v/>
      </c>
      <c r="J641" s="117">
        <f>IF(C641="","",IF(ABS(I641)&gt;AYARLAR!$C$14,"RİSKLİ","NORMAL"))</f>
        <v/>
      </c>
      <c r="K641" s="115">
        <f>IF(G641="","",IFERROR(G641/MOTOR!$B$20,0))</f>
        <v/>
      </c>
      <c r="L641" s="117">
        <f>IF(C641="","",IF(F641="","EKSİK","TAM"))</f>
        <v/>
      </c>
      <c r="M641" s="118" t="n"/>
    </row>
    <row r="642" ht="15" customHeight="1" s="64">
      <c r="A642" s="118" t="n"/>
      <c r="B642" s="118" t="n"/>
      <c r="C642" s="118" t="n"/>
      <c r="D642" s="118" t="n"/>
      <c r="E642" s="118" t="n"/>
      <c r="F642" s="118" t="n"/>
      <c r="G642" s="120">
        <f>IF(C642="","",C642*D642)</f>
        <v/>
      </c>
      <c r="H642" s="120">
        <f>IF(C642="","",C642*E642)</f>
        <v/>
      </c>
      <c r="I642" s="115">
        <f>IF(C642="","",IFERROR(D642/(E642+(E642=0))-1,0))</f>
        <v/>
      </c>
      <c r="J642" s="117">
        <f>IF(C642="","",IF(ABS(I642)&gt;AYARLAR!$C$14,"RİSKLİ","NORMAL"))</f>
        <v/>
      </c>
      <c r="K642" s="115">
        <f>IF(G642="","",IFERROR(G642/MOTOR!$B$20,0))</f>
        <v/>
      </c>
      <c r="L642" s="117">
        <f>IF(C642="","",IF(F642="","EKSİK","TAM"))</f>
        <v/>
      </c>
      <c r="M642" s="118" t="n"/>
    </row>
    <row r="643" ht="15" customHeight="1" s="64">
      <c r="A643" s="118" t="n"/>
      <c r="B643" s="118" t="n"/>
      <c r="C643" s="118" t="n"/>
      <c r="D643" s="118" t="n"/>
      <c r="E643" s="118" t="n"/>
      <c r="F643" s="118" t="n"/>
      <c r="G643" s="120">
        <f>IF(C643="","",C643*D643)</f>
        <v/>
      </c>
      <c r="H643" s="120">
        <f>IF(C643="","",C643*E643)</f>
        <v/>
      </c>
      <c r="I643" s="115">
        <f>IF(C643="","",IFERROR(D643/(E643+(E643=0))-1,0))</f>
        <v/>
      </c>
      <c r="J643" s="117">
        <f>IF(C643="","",IF(ABS(I643)&gt;AYARLAR!$C$14,"RİSKLİ","NORMAL"))</f>
        <v/>
      </c>
      <c r="K643" s="115">
        <f>IF(G643="","",IFERROR(G643/MOTOR!$B$20,0))</f>
        <v/>
      </c>
      <c r="L643" s="117">
        <f>IF(C643="","",IF(F643="","EKSİK","TAM"))</f>
        <v/>
      </c>
      <c r="M643" s="118" t="n"/>
    </row>
    <row r="644" ht="15" customHeight="1" s="64">
      <c r="A644" s="118" t="n"/>
      <c r="B644" s="118" t="n"/>
      <c r="C644" s="118" t="n"/>
      <c r="D644" s="118" t="n"/>
      <c r="E644" s="118" t="n"/>
      <c r="F644" s="118" t="n"/>
      <c r="G644" s="120">
        <f>IF(C644="","",C644*D644)</f>
        <v/>
      </c>
      <c r="H644" s="120">
        <f>IF(C644="","",C644*E644)</f>
        <v/>
      </c>
      <c r="I644" s="115">
        <f>IF(C644="","",IFERROR(D644/(E644+(E644=0))-1,0))</f>
        <v/>
      </c>
      <c r="J644" s="117">
        <f>IF(C644="","",IF(ABS(I644)&gt;AYARLAR!$C$14,"RİSKLİ","NORMAL"))</f>
        <v/>
      </c>
      <c r="K644" s="115">
        <f>IF(G644="","",IFERROR(G644/MOTOR!$B$20,0))</f>
        <v/>
      </c>
      <c r="L644" s="117">
        <f>IF(C644="","",IF(F644="","EKSİK","TAM"))</f>
        <v/>
      </c>
      <c r="M644" s="118" t="n"/>
    </row>
    <row r="645" ht="15" customHeight="1" s="64">
      <c r="A645" s="118" t="n"/>
      <c r="B645" s="118" t="n"/>
      <c r="C645" s="118" t="n"/>
      <c r="D645" s="118" t="n"/>
      <c r="E645" s="118" t="n"/>
      <c r="F645" s="118" t="n"/>
      <c r="G645" s="120">
        <f>IF(C645="","",C645*D645)</f>
        <v/>
      </c>
      <c r="H645" s="120">
        <f>IF(C645="","",C645*E645)</f>
        <v/>
      </c>
      <c r="I645" s="115">
        <f>IF(C645="","",IFERROR(D645/(E645+(E645=0))-1,0))</f>
        <v/>
      </c>
      <c r="J645" s="117">
        <f>IF(C645="","",IF(ABS(I645)&gt;AYARLAR!$C$14,"RİSKLİ","NORMAL"))</f>
        <v/>
      </c>
      <c r="K645" s="115">
        <f>IF(G645="","",IFERROR(G645/MOTOR!$B$20,0))</f>
        <v/>
      </c>
      <c r="L645" s="117">
        <f>IF(C645="","",IF(F645="","EKSİK","TAM"))</f>
        <v/>
      </c>
      <c r="M645" s="118" t="n"/>
    </row>
    <row r="646" ht="15" customHeight="1" s="64">
      <c r="A646" s="118" t="n"/>
      <c r="B646" s="118" t="n"/>
      <c r="C646" s="118" t="n"/>
      <c r="D646" s="118" t="n"/>
      <c r="E646" s="118" t="n"/>
      <c r="F646" s="118" t="n"/>
      <c r="G646" s="120">
        <f>IF(C646="","",C646*D646)</f>
        <v/>
      </c>
      <c r="H646" s="120">
        <f>IF(C646="","",C646*E646)</f>
        <v/>
      </c>
      <c r="I646" s="115">
        <f>IF(C646="","",IFERROR(D646/(E646+(E646=0))-1,0))</f>
        <v/>
      </c>
      <c r="J646" s="117">
        <f>IF(C646="","",IF(ABS(I646)&gt;AYARLAR!$C$14,"RİSKLİ","NORMAL"))</f>
        <v/>
      </c>
      <c r="K646" s="115">
        <f>IF(G646="","",IFERROR(G646/MOTOR!$B$20,0))</f>
        <v/>
      </c>
      <c r="L646" s="117">
        <f>IF(C646="","",IF(F646="","EKSİK","TAM"))</f>
        <v/>
      </c>
      <c r="M646" s="118" t="n"/>
    </row>
    <row r="647" ht="15" customHeight="1" s="64">
      <c r="A647" s="118" t="n"/>
      <c r="B647" s="118" t="n"/>
      <c r="C647" s="118" t="n"/>
      <c r="D647" s="118" t="n"/>
      <c r="E647" s="118" t="n"/>
      <c r="F647" s="118" t="n"/>
      <c r="G647" s="120">
        <f>IF(C647="","",C647*D647)</f>
        <v/>
      </c>
      <c r="H647" s="120">
        <f>IF(C647="","",C647*E647)</f>
        <v/>
      </c>
      <c r="I647" s="115">
        <f>IF(C647="","",IFERROR(D647/(E647+(E647=0))-1,0))</f>
        <v/>
      </c>
      <c r="J647" s="117">
        <f>IF(C647="","",IF(ABS(I647)&gt;AYARLAR!$C$14,"RİSKLİ","NORMAL"))</f>
        <v/>
      </c>
      <c r="K647" s="115">
        <f>IF(G647="","",IFERROR(G647/MOTOR!$B$20,0))</f>
        <v/>
      </c>
      <c r="L647" s="117">
        <f>IF(C647="","",IF(F647="","EKSİK","TAM"))</f>
        <v/>
      </c>
      <c r="M647" s="118" t="n"/>
    </row>
    <row r="648" ht="15" customHeight="1" s="64">
      <c r="A648" s="118" t="n"/>
      <c r="B648" s="118" t="n"/>
      <c r="C648" s="118" t="n"/>
      <c r="D648" s="118" t="n"/>
      <c r="E648" s="118" t="n"/>
      <c r="F648" s="118" t="n"/>
      <c r="G648" s="120">
        <f>IF(C648="","",C648*D648)</f>
        <v/>
      </c>
      <c r="H648" s="120">
        <f>IF(C648="","",C648*E648)</f>
        <v/>
      </c>
      <c r="I648" s="115">
        <f>IF(C648="","",IFERROR(D648/(E648+(E648=0))-1,0))</f>
        <v/>
      </c>
      <c r="J648" s="117">
        <f>IF(C648="","",IF(ABS(I648)&gt;AYARLAR!$C$14,"RİSKLİ","NORMAL"))</f>
        <v/>
      </c>
      <c r="K648" s="115">
        <f>IF(G648="","",IFERROR(G648/MOTOR!$B$20,0))</f>
        <v/>
      </c>
      <c r="L648" s="117">
        <f>IF(C648="","",IF(F648="","EKSİK","TAM"))</f>
        <v/>
      </c>
      <c r="M648" s="118" t="n"/>
    </row>
    <row r="649" ht="15" customHeight="1" s="64">
      <c r="A649" s="118" t="n"/>
      <c r="B649" s="118" t="n"/>
      <c r="C649" s="118" t="n"/>
      <c r="D649" s="118" t="n"/>
      <c r="E649" s="118" t="n"/>
      <c r="F649" s="118" t="n"/>
      <c r="G649" s="120">
        <f>IF(C649="","",C649*D649)</f>
        <v/>
      </c>
      <c r="H649" s="120">
        <f>IF(C649="","",C649*E649)</f>
        <v/>
      </c>
      <c r="I649" s="115">
        <f>IF(C649="","",IFERROR(D649/(E649+(E649=0))-1,0))</f>
        <v/>
      </c>
      <c r="J649" s="117">
        <f>IF(C649="","",IF(ABS(I649)&gt;AYARLAR!$C$14,"RİSKLİ","NORMAL"))</f>
        <v/>
      </c>
      <c r="K649" s="115">
        <f>IF(G649="","",IFERROR(G649/MOTOR!$B$20,0))</f>
        <v/>
      </c>
      <c r="L649" s="117">
        <f>IF(C649="","",IF(F649="","EKSİK","TAM"))</f>
        <v/>
      </c>
      <c r="M649" s="118" t="n"/>
    </row>
    <row r="650" ht="15" customHeight="1" s="64">
      <c r="A650" s="118" t="n"/>
      <c r="B650" s="118" t="n"/>
      <c r="C650" s="118" t="n"/>
      <c r="D650" s="118" t="n"/>
      <c r="E650" s="118" t="n"/>
      <c r="F650" s="118" t="n"/>
      <c r="G650" s="120">
        <f>IF(C650="","",C650*D650)</f>
        <v/>
      </c>
      <c r="H650" s="120">
        <f>IF(C650="","",C650*E650)</f>
        <v/>
      </c>
      <c r="I650" s="115">
        <f>IF(C650="","",IFERROR(D650/(E650+(E650=0))-1,0))</f>
        <v/>
      </c>
      <c r="J650" s="117">
        <f>IF(C650="","",IF(ABS(I650)&gt;AYARLAR!$C$14,"RİSKLİ","NORMAL"))</f>
        <v/>
      </c>
      <c r="K650" s="115">
        <f>IF(G650="","",IFERROR(G650/MOTOR!$B$20,0))</f>
        <v/>
      </c>
      <c r="L650" s="117">
        <f>IF(C650="","",IF(F650="","EKSİK","TAM"))</f>
        <v/>
      </c>
      <c r="M650" s="118" t="n"/>
    </row>
    <row r="651" ht="15" customHeight="1" s="64">
      <c r="A651" s="118" t="n"/>
      <c r="B651" s="118" t="n"/>
      <c r="C651" s="118" t="n"/>
      <c r="D651" s="118" t="n"/>
      <c r="E651" s="118" t="n"/>
      <c r="F651" s="118" t="n"/>
      <c r="G651" s="120">
        <f>IF(C651="","",C651*D651)</f>
        <v/>
      </c>
      <c r="H651" s="120">
        <f>IF(C651="","",C651*E651)</f>
        <v/>
      </c>
      <c r="I651" s="115">
        <f>IF(C651="","",IFERROR(D651/(E651+(E651=0))-1,0))</f>
        <v/>
      </c>
      <c r="J651" s="117">
        <f>IF(C651="","",IF(ABS(I651)&gt;AYARLAR!$C$14,"RİSKLİ","NORMAL"))</f>
        <v/>
      </c>
      <c r="K651" s="115">
        <f>IF(G651="","",IFERROR(G651/MOTOR!$B$20,0))</f>
        <v/>
      </c>
      <c r="L651" s="117">
        <f>IF(C651="","",IF(F651="","EKSİK","TAM"))</f>
        <v/>
      </c>
      <c r="M651" s="118" t="n"/>
    </row>
    <row r="652" ht="15" customHeight="1" s="64">
      <c r="A652" s="118" t="n"/>
      <c r="B652" s="118" t="n"/>
      <c r="C652" s="118" t="n"/>
      <c r="D652" s="118" t="n"/>
      <c r="E652" s="118" t="n"/>
      <c r="F652" s="118" t="n"/>
      <c r="G652" s="120">
        <f>IF(C652="","",C652*D652)</f>
        <v/>
      </c>
      <c r="H652" s="120">
        <f>IF(C652="","",C652*E652)</f>
        <v/>
      </c>
      <c r="I652" s="115">
        <f>IF(C652="","",IFERROR(D652/(E652+(E652=0))-1,0))</f>
        <v/>
      </c>
      <c r="J652" s="117">
        <f>IF(C652="","",IF(ABS(I652)&gt;AYARLAR!$C$14,"RİSKLİ","NORMAL"))</f>
        <v/>
      </c>
      <c r="K652" s="115">
        <f>IF(G652="","",IFERROR(G652/MOTOR!$B$20,0))</f>
        <v/>
      </c>
      <c r="L652" s="117">
        <f>IF(C652="","",IF(F652="","EKSİK","TAM"))</f>
        <v/>
      </c>
      <c r="M652" s="118" t="n"/>
    </row>
    <row r="653" ht="15" customHeight="1" s="64">
      <c r="A653" s="118" t="n"/>
      <c r="B653" s="118" t="n"/>
      <c r="C653" s="118" t="n"/>
      <c r="D653" s="118" t="n"/>
      <c r="E653" s="118" t="n"/>
      <c r="F653" s="118" t="n"/>
      <c r="G653" s="120">
        <f>IF(C653="","",C653*D653)</f>
        <v/>
      </c>
      <c r="H653" s="120">
        <f>IF(C653="","",C653*E653)</f>
        <v/>
      </c>
      <c r="I653" s="115">
        <f>IF(C653="","",IFERROR(D653/(E653+(E653=0))-1,0))</f>
        <v/>
      </c>
      <c r="J653" s="117">
        <f>IF(C653="","",IF(ABS(I653)&gt;AYARLAR!$C$14,"RİSKLİ","NORMAL"))</f>
        <v/>
      </c>
      <c r="K653" s="115">
        <f>IF(G653="","",IFERROR(G653/MOTOR!$B$20,0))</f>
        <v/>
      </c>
      <c r="L653" s="117">
        <f>IF(C653="","",IF(F653="","EKSİK","TAM"))</f>
        <v/>
      </c>
      <c r="M653" s="118" t="n"/>
    </row>
    <row r="654" ht="15" customHeight="1" s="64">
      <c r="A654" s="118" t="n"/>
      <c r="B654" s="118" t="n"/>
      <c r="C654" s="118" t="n"/>
      <c r="D654" s="118" t="n"/>
      <c r="E654" s="118" t="n"/>
      <c r="F654" s="118" t="n"/>
      <c r="G654" s="120">
        <f>IF(C654="","",C654*D654)</f>
        <v/>
      </c>
      <c r="H654" s="120">
        <f>IF(C654="","",C654*E654)</f>
        <v/>
      </c>
      <c r="I654" s="115">
        <f>IF(C654="","",IFERROR(D654/(E654+(E654=0))-1,0))</f>
        <v/>
      </c>
      <c r="J654" s="117">
        <f>IF(C654="","",IF(ABS(I654)&gt;AYARLAR!$C$14,"RİSKLİ","NORMAL"))</f>
        <v/>
      </c>
      <c r="K654" s="115">
        <f>IF(G654="","",IFERROR(G654/MOTOR!$B$20,0))</f>
        <v/>
      </c>
      <c r="L654" s="117">
        <f>IF(C654="","",IF(F654="","EKSİK","TAM"))</f>
        <v/>
      </c>
      <c r="M654" s="118" t="n"/>
    </row>
    <row r="655" ht="15" customHeight="1" s="64">
      <c r="A655" s="118" t="n"/>
      <c r="B655" s="118" t="n"/>
      <c r="C655" s="118" t="n"/>
      <c r="D655" s="118" t="n"/>
      <c r="E655" s="118" t="n"/>
      <c r="F655" s="118" t="n"/>
      <c r="G655" s="120">
        <f>IF(C655="","",C655*D655)</f>
        <v/>
      </c>
      <c r="H655" s="120">
        <f>IF(C655="","",C655*E655)</f>
        <v/>
      </c>
      <c r="I655" s="115">
        <f>IF(C655="","",IFERROR(D655/(E655+(E655=0))-1,0))</f>
        <v/>
      </c>
      <c r="J655" s="117">
        <f>IF(C655="","",IF(ABS(I655)&gt;AYARLAR!$C$14,"RİSKLİ","NORMAL"))</f>
        <v/>
      </c>
      <c r="K655" s="115">
        <f>IF(G655="","",IFERROR(G655/MOTOR!$B$20,0))</f>
        <v/>
      </c>
      <c r="L655" s="117">
        <f>IF(C655="","",IF(F655="","EKSİK","TAM"))</f>
        <v/>
      </c>
      <c r="M655" s="118" t="n"/>
    </row>
    <row r="656" ht="15" customHeight="1" s="64">
      <c r="A656" s="118" t="n"/>
      <c r="B656" s="118" t="n"/>
      <c r="C656" s="118" t="n"/>
      <c r="D656" s="118" t="n"/>
      <c r="E656" s="118" t="n"/>
      <c r="F656" s="118" t="n"/>
      <c r="G656" s="120">
        <f>IF(C656="","",C656*D656)</f>
        <v/>
      </c>
      <c r="H656" s="120">
        <f>IF(C656="","",C656*E656)</f>
        <v/>
      </c>
      <c r="I656" s="115">
        <f>IF(C656="","",IFERROR(D656/(E656+(E656=0))-1,0))</f>
        <v/>
      </c>
      <c r="J656" s="117">
        <f>IF(C656="","",IF(ABS(I656)&gt;AYARLAR!$C$14,"RİSKLİ","NORMAL"))</f>
        <v/>
      </c>
      <c r="K656" s="115">
        <f>IF(G656="","",IFERROR(G656/MOTOR!$B$20,0))</f>
        <v/>
      </c>
      <c r="L656" s="117">
        <f>IF(C656="","",IF(F656="","EKSİK","TAM"))</f>
        <v/>
      </c>
      <c r="M656" s="118" t="n"/>
    </row>
    <row r="657" ht="15" customHeight="1" s="64">
      <c r="A657" s="118" t="n"/>
      <c r="B657" s="118" t="n"/>
      <c r="C657" s="118" t="n"/>
      <c r="D657" s="118" t="n"/>
      <c r="E657" s="118" t="n"/>
      <c r="F657" s="118" t="n"/>
      <c r="G657" s="120">
        <f>IF(C657="","",C657*D657)</f>
        <v/>
      </c>
      <c r="H657" s="120">
        <f>IF(C657="","",C657*E657)</f>
        <v/>
      </c>
      <c r="I657" s="115">
        <f>IF(C657="","",IFERROR(D657/(E657+(E657=0))-1,0))</f>
        <v/>
      </c>
      <c r="J657" s="117">
        <f>IF(C657="","",IF(ABS(I657)&gt;AYARLAR!$C$14,"RİSKLİ","NORMAL"))</f>
        <v/>
      </c>
      <c r="K657" s="115">
        <f>IF(G657="","",IFERROR(G657/MOTOR!$B$20,0))</f>
        <v/>
      </c>
      <c r="L657" s="117">
        <f>IF(C657="","",IF(F657="","EKSİK","TAM"))</f>
        <v/>
      </c>
      <c r="M657" s="118" t="n"/>
    </row>
    <row r="658" ht="15" customHeight="1" s="64">
      <c r="A658" s="118" t="n"/>
      <c r="B658" s="118" t="n"/>
      <c r="C658" s="118" t="n"/>
      <c r="D658" s="118" t="n"/>
      <c r="E658" s="118" t="n"/>
      <c r="F658" s="118" t="n"/>
      <c r="G658" s="120">
        <f>IF(C658="","",C658*D658)</f>
        <v/>
      </c>
      <c r="H658" s="120">
        <f>IF(C658="","",C658*E658)</f>
        <v/>
      </c>
      <c r="I658" s="115">
        <f>IF(C658="","",IFERROR(D658/(E658+(E658=0))-1,0))</f>
        <v/>
      </c>
      <c r="J658" s="117">
        <f>IF(C658="","",IF(ABS(I658)&gt;AYARLAR!$C$14,"RİSKLİ","NORMAL"))</f>
        <v/>
      </c>
      <c r="K658" s="115">
        <f>IF(G658="","",IFERROR(G658/MOTOR!$B$20,0))</f>
        <v/>
      </c>
      <c r="L658" s="117">
        <f>IF(C658="","",IF(F658="","EKSİK","TAM"))</f>
        <v/>
      </c>
      <c r="M658" s="118" t="n"/>
    </row>
    <row r="659" ht="15" customHeight="1" s="64">
      <c r="A659" s="118" t="n"/>
      <c r="B659" s="118" t="n"/>
      <c r="C659" s="118" t="n"/>
      <c r="D659" s="118" t="n"/>
      <c r="E659" s="118" t="n"/>
      <c r="F659" s="118" t="n"/>
      <c r="G659" s="120">
        <f>IF(C659="","",C659*D659)</f>
        <v/>
      </c>
      <c r="H659" s="120">
        <f>IF(C659="","",C659*E659)</f>
        <v/>
      </c>
      <c r="I659" s="115">
        <f>IF(C659="","",IFERROR(D659/(E659+(E659=0))-1,0))</f>
        <v/>
      </c>
      <c r="J659" s="117">
        <f>IF(C659="","",IF(ABS(I659)&gt;AYARLAR!$C$14,"RİSKLİ","NORMAL"))</f>
        <v/>
      </c>
      <c r="K659" s="115">
        <f>IF(G659="","",IFERROR(G659/MOTOR!$B$20,0))</f>
        <v/>
      </c>
      <c r="L659" s="117">
        <f>IF(C659="","",IF(F659="","EKSİK","TAM"))</f>
        <v/>
      </c>
      <c r="M659" s="118" t="n"/>
    </row>
    <row r="660" ht="15" customHeight="1" s="64">
      <c r="A660" s="118" t="n"/>
      <c r="B660" s="118" t="n"/>
      <c r="C660" s="118" t="n"/>
      <c r="D660" s="118" t="n"/>
      <c r="E660" s="118" t="n"/>
      <c r="F660" s="118" t="n"/>
      <c r="G660" s="120">
        <f>IF(C660="","",C660*D660)</f>
        <v/>
      </c>
      <c r="H660" s="120">
        <f>IF(C660="","",C660*E660)</f>
        <v/>
      </c>
      <c r="I660" s="115">
        <f>IF(C660="","",IFERROR(D660/(E660+(E660=0))-1,0))</f>
        <v/>
      </c>
      <c r="J660" s="117">
        <f>IF(C660="","",IF(ABS(I660)&gt;AYARLAR!$C$14,"RİSKLİ","NORMAL"))</f>
        <v/>
      </c>
      <c r="K660" s="115">
        <f>IF(G660="","",IFERROR(G660/MOTOR!$B$20,0))</f>
        <v/>
      </c>
      <c r="L660" s="117">
        <f>IF(C660="","",IF(F660="","EKSİK","TAM"))</f>
        <v/>
      </c>
      <c r="M660" s="118" t="n"/>
    </row>
    <row r="661" ht="15" customHeight="1" s="64">
      <c r="A661" s="118" t="n"/>
      <c r="B661" s="118" t="n"/>
      <c r="C661" s="118" t="n"/>
      <c r="D661" s="118" t="n"/>
      <c r="E661" s="118" t="n"/>
      <c r="F661" s="118" t="n"/>
      <c r="G661" s="120">
        <f>IF(C661="","",C661*D661)</f>
        <v/>
      </c>
      <c r="H661" s="120">
        <f>IF(C661="","",C661*E661)</f>
        <v/>
      </c>
      <c r="I661" s="115">
        <f>IF(C661="","",IFERROR(D661/(E661+(E661=0))-1,0))</f>
        <v/>
      </c>
      <c r="J661" s="117">
        <f>IF(C661="","",IF(ABS(I661)&gt;AYARLAR!$C$14,"RİSKLİ","NORMAL"))</f>
        <v/>
      </c>
      <c r="K661" s="115">
        <f>IF(G661="","",IFERROR(G661/MOTOR!$B$20,0))</f>
        <v/>
      </c>
      <c r="L661" s="117">
        <f>IF(C661="","",IF(F661="","EKSİK","TAM"))</f>
        <v/>
      </c>
      <c r="M661" s="118" t="n"/>
    </row>
    <row r="662" ht="15" customHeight="1" s="64">
      <c r="A662" s="118" t="n"/>
      <c r="B662" s="118" t="n"/>
      <c r="C662" s="118" t="n"/>
      <c r="D662" s="118" t="n"/>
      <c r="E662" s="118" t="n"/>
      <c r="F662" s="118" t="n"/>
      <c r="G662" s="120">
        <f>IF(C662="","",C662*D662)</f>
        <v/>
      </c>
      <c r="H662" s="120">
        <f>IF(C662="","",C662*E662)</f>
        <v/>
      </c>
      <c r="I662" s="115">
        <f>IF(C662="","",IFERROR(D662/(E662+(E662=0))-1,0))</f>
        <v/>
      </c>
      <c r="J662" s="117">
        <f>IF(C662="","",IF(ABS(I662)&gt;AYARLAR!$C$14,"RİSKLİ","NORMAL"))</f>
        <v/>
      </c>
      <c r="K662" s="115">
        <f>IF(G662="","",IFERROR(G662/MOTOR!$B$20,0))</f>
        <v/>
      </c>
      <c r="L662" s="117">
        <f>IF(C662="","",IF(F662="","EKSİK","TAM"))</f>
        <v/>
      </c>
      <c r="M662" s="118" t="n"/>
    </row>
    <row r="663" ht="15" customHeight="1" s="64">
      <c r="A663" s="118" t="n"/>
      <c r="B663" s="118" t="n"/>
      <c r="C663" s="118" t="n"/>
      <c r="D663" s="118" t="n"/>
      <c r="E663" s="118" t="n"/>
      <c r="F663" s="118" t="n"/>
      <c r="G663" s="120">
        <f>IF(C663="","",C663*D663)</f>
        <v/>
      </c>
      <c r="H663" s="120">
        <f>IF(C663="","",C663*E663)</f>
        <v/>
      </c>
      <c r="I663" s="115">
        <f>IF(C663="","",IFERROR(D663/(E663+(E663=0))-1,0))</f>
        <v/>
      </c>
      <c r="J663" s="117">
        <f>IF(C663="","",IF(ABS(I663)&gt;AYARLAR!$C$14,"RİSKLİ","NORMAL"))</f>
        <v/>
      </c>
      <c r="K663" s="115">
        <f>IF(G663="","",IFERROR(G663/MOTOR!$B$20,0))</f>
        <v/>
      </c>
      <c r="L663" s="117">
        <f>IF(C663="","",IF(F663="","EKSİK","TAM"))</f>
        <v/>
      </c>
      <c r="M663" s="118" t="n"/>
    </row>
    <row r="664" ht="15" customHeight="1" s="64">
      <c r="A664" s="118" t="n"/>
      <c r="B664" s="118" t="n"/>
      <c r="C664" s="118" t="n"/>
      <c r="D664" s="118" t="n"/>
      <c r="E664" s="118" t="n"/>
      <c r="F664" s="118" t="n"/>
      <c r="G664" s="120">
        <f>IF(C664="","",C664*D664)</f>
        <v/>
      </c>
      <c r="H664" s="120">
        <f>IF(C664="","",C664*E664)</f>
        <v/>
      </c>
      <c r="I664" s="115">
        <f>IF(C664="","",IFERROR(D664/(E664+(E664=0))-1,0))</f>
        <v/>
      </c>
      <c r="J664" s="117">
        <f>IF(C664="","",IF(ABS(I664)&gt;AYARLAR!$C$14,"RİSKLİ","NORMAL"))</f>
        <v/>
      </c>
      <c r="K664" s="115">
        <f>IF(G664="","",IFERROR(G664/MOTOR!$B$20,0))</f>
        <v/>
      </c>
      <c r="L664" s="117">
        <f>IF(C664="","",IF(F664="","EKSİK","TAM"))</f>
        <v/>
      </c>
      <c r="M664" s="118" t="n"/>
    </row>
    <row r="665" ht="15" customHeight="1" s="64">
      <c r="A665" s="118" t="n"/>
      <c r="B665" s="118" t="n"/>
      <c r="C665" s="118" t="n"/>
      <c r="D665" s="118" t="n"/>
      <c r="E665" s="118" t="n"/>
      <c r="F665" s="118" t="n"/>
      <c r="G665" s="120">
        <f>IF(C665="","",C665*D665)</f>
        <v/>
      </c>
      <c r="H665" s="120">
        <f>IF(C665="","",C665*E665)</f>
        <v/>
      </c>
      <c r="I665" s="115">
        <f>IF(C665="","",IFERROR(D665/(E665+(E665=0))-1,0))</f>
        <v/>
      </c>
      <c r="J665" s="117">
        <f>IF(C665="","",IF(ABS(I665)&gt;AYARLAR!$C$14,"RİSKLİ","NORMAL"))</f>
        <v/>
      </c>
      <c r="K665" s="115">
        <f>IF(G665="","",IFERROR(G665/MOTOR!$B$20,0))</f>
        <v/>
      </c>
      <c r="L665" s="117">
        <f>IF(C665="","",IF(F665="","EKSİK","TAM"))</f>
        <v/>
      </c>
      <c r="M665" s="118" t="n"/>
    </row>
    <row r="666" ht="15" customHeight="1" s="64">
      <c r="A666" s="118" t="n"/>
      <c r="B666" s="118" t="n"/>
      <c r="C666" s="118" t="n"/>
      <c r="D666" s="118" t="n"/>
      <c r="E666" s="118" t="n"/>
      <c r="F666" s="118" t="n"/>
      <c r="G666" s="120">
        <f>IF(C666="","",C666*D666)</f>
        <v/>
      </c>
      <c r="H666" s="120">
        <f>IF(C666="","",C666*E666)</f>
        <v/>
      </c>
      <c r="I666" s="115">
        <f>IF(C666="","",IFERROR(D666/(E666+(E666=0))-1,0))</f>
        <v/>
      </c>
      <c r="J666" s="117">
        <f>IF(C666="","",IF(ABS(I666)&gt;AYARLAR!$C$14,"RİSKLİ","NORMAL"))</f>
        <v/>
      </c>
      <c r="K666" s="115">
        <f>IF(G666="","",IFERROR(G666/MOTOR!$B$20,0))</f>
        <v/>
      </c>
      <c r="L666" s="117">
        <f>IF(C666="","",IF(F666="","EKSİK","TAM"))</f>
        <v/>
      </c>
      <c r="M666" s="118" t="n"/>
    </row>
    <row r="667" ht="15" customHeight="1" s="64">
      <c r="A667" s="118" t="n"/>
      <c r="B667" s="118" t="n"/>
      <c r="C667" s="118" t="n"/>
      <c r="D667" s="118" t="n"/>
      <c r="E667" s="118" t="n"/>
      <c r="F667" s="118" t="n"/>
      <c r="G667" s="120">
        <f>IF(C667="","",C667*D667)</f>
        <v/>
      </c>
      <c r="H667" s="120">
        <f>IF(C667="","",C667*E667)</f>
        <v/>
      </c>
      <c r="I667" s="115">
        <f>IF(C667="","",IFERROR(D667/(E667+(E667=0))-1,0))</f>
        <v/>
      </c>
      <c r="J667" s="117">
        <f>IF(C667="","",IF(ABS(I667)&gt;AYARLAR!$C$14,"RİSKLİ","NORMAL"))</f>
        <v/>
      </c>
      <c r="K667" s="115">
        <f>IF(G667="","",IFERROR(G667/MOTOR!$B$20,0))</f>
        <v/>
      </c>
      <c r="L667" s="117">
        <f>IF(C667="","",IF(F667="","EKSİK","TAM"))</f>
        <v/>
      </c>
      <c r="M667" s="118" t="n"/>
    </row>
    <row r="668" ht="15" customHeight="1" s="64">
      <c r="A668" s="118" t="n"/>
      <c r="B668" s="118" t="n"/>
      <c r="C668" s="118" t="n"/>
      <c r="D668" s="118" t="n"/>
      <c r="E668" s="118" t="n"/>
      <c r="F668" s="118" t="n"/>
      <c r="G668" s="120">
        <f>IF(C668="","",C668*D668)</f>
        <v/>
      </c>
      <c r="H668" s="120">
        <f>IF(C668="","",C668*E668)</f>
        <v/>
      </c>
      <c r="I668" s="115">
        <f>IF(C668="","",IFERROR(D668/(E668+(E668=0))-1,0))</f>
        <v/>
      </c>
      <c r="J668" s="117">
        <f>IF(C668="","",IF(ABS(I668)&gt;AYARLAR!$C$14,"RİSKLİ","NORMAL"))</f>
        <v/>
      </c>
      <c r="K668" s="115">
        <f>IF(G668="","",IFERROR(G668/MOTOR!$B$20,0))</f>
        <v/>
      </c>
      <c r="L668" s="117">
        <f>IF(C668="","",IF(F668="","EKSİK","TAM"))</f>
        <v/>
      </c>
      <c r="M668" s="118" t="n"/>
    </row>
    <row r="669" ht="15" customHeight="1" s="64">
      <c r="A669" s="118" t="n"/>
      <c r="B669" s="118" t="n"/>
      <c r="C669" s="118" t="n"/>
      <c r="D669" s="118" t="n"/>
      <c r="E669" s="118" t="n"/>
      <c r="F669" s="118" t="n"/>
      <c r="G669" s="120">
        <f>IF(C669="","",C669*D669)</f>
        <v/>
      </c>
      <c r="H669" s="120">
        <f>IF(C669="","",C669*E669)</f>
        <v/>
      </c>
      <c r="I669" s="115">
        <f>IF(C669="","",IFERROR(D669/(E669+(E669=0))-1,0))</f>
        <v/>
      </c>
      <c r="J669" s="117">
        <f>IF(C669="","",IF(ABS(I669)&gt;AYARLAR!$C$14,"RİSKLİ","NORMAL"))</f>
        <v/>
      </c>
      <c r="K669" s="115">
        <f>IF(G669="","",IFERROR(G669/MOTOR!$B$20,0))</f>
        <v/>
      </c>
      <c r="L669" s="117">
        <f>IF(C669="","",IF(F669="","EKSİK","TAM"))</f>
        <v/>
      </c>
      <c r="M669" s="118" t="n"/>
    </row>
    <row r="670" ht="15" customHeight="1" s="64">
      <c r="A670" s="118" t="n"/>
      <c r="B670" s="118" t="n"/>
      <c r="C670" s="118" t="n"/>
      <c r="D670" s="118" t="n"/>
      <c r="E670" s="118" t="n"/>
      <c r="F670" s="118" t="n"/>
      <c r="G670" s="120">
        <f>IF(C670="","",C670*D670)</f>
        <v/>
      </c>
      <c r="H670" s="120">
        <f>IF(C670="","",C670*E670)</f>
        <v/>
      </c>
      <c r="I670" s="115">
        <f>IF(C670="","",IFERROR(D670/(E670+(E670=0))-1,0))</f>
        <v/>
      </c>
      <c r="J670" s="117">
        <f>IF(C670="","",IF(ABS(I670)&gt;AYARLAR!$C$14,"RİSKLİ","NORMAL"))</f>
        <v/>
      </c>
      <c r="K670" s="115">
        <f>IF(G670="","",IFERROR(G670/MOTOR!$B$20,0))</f>
        <v/>
      </c>
      <c r="L670" s="117">
        <f>IF(C670="","",IF(F670="","EKSİK","TAM"))</f>
        <v/>
      </c>
      <c r="M670" s="118" t="n"/>
    </row>
    <row r="671" ht="15" customHeight="1" s="64">
      <c r="A671" s="118" t="n"/>
      <c r="B671" s="118" t="n"/>
      <c r="C671" s="118" t="n"/>
      <c r="D671" s="118" t="n"/>
      <c r="E671" s="118" t="n"/>
      <c r="F671" s="118" t="n"/>
      <c r="G671" s="120">
        <f>IF(C671="","",C671*D671)</f>
        <v/>
      </c>
      <c r="H671" s="120">
        <f>IF(C671="","",C671*E671)</f>
        <v/>
      </c>
      <c r="I671" s="115">
        <f>IF(C671="","",IFERROR(D671/(E671+(E671=0))-1,0))</f>
        <v/>
      </c>
      <c r="J671" s="117">
        <f>IF(C671="","",IF(ABS(I671)&gt;AYARLAR!$C$14,"RİSKLİ","NORMAL"))</f>
        <v/>
      </c>
      <c r="K671" s="115">
        <f>IF(G671="","",IFERROR(G671/MOTOR!$B$20,0))</f>
        <v/>
      </c>
      <c r="L671" s="117">
        <f>IF(C671="","",IF(F671="","EKSİK","TAM"))</f>
        <v/>
      </c>
      <c r="M671" s="118" t="n"/>
    </row>
    <row r="672" ht="15" customHeight="1" s="64">
      <c r="A672" s="118" t="n"/>
      <c r="B672" s="118" t="n"/>
      <c r="C672" s="118" t="n"/>
      <c r="D672" s="118" t="n"/>
      <c r="E672" s="118" t="n"/>
      <c r="F672" s="118" t="n"/>
      <c r="G672" s="120">
        <f>IF(C672="","",C672*D672)</f>
        <v/>
      </c>
      <c r="H672" s="120">
        <f>IF(C672="","",C672*E672)</f>
        <v/>
      </c>
      <c r="I672" s="115">
        <f>IF(C672="","",IFERROR(D672/(E672+(E672=0))-1,0))</f>
        <v/>
      </c>
      <c r="J672" s="117">
        <f>IF(C672="","",IF(ABS(I672)&gt;AYARLAR!$C$14,"RİSKLİ","NORMAL"))</f>
        <v/>
      </c>
      <c r="K672" s="115">
        <f>IF(G672="","",IFERROR(G672/MOTOR!$B$20,0))</f>
        <v/>
      </c>
      <c r="L672" s="117">
        <f>IF(C672="","",IF(F672="","EKSİK","TAM"))</f>
        <v/>
      </c>
      <c r="M672" s="118" t="n"/>
    </row>
    <row r="673" ht="15" customHeight="1" s="64">
      <c r="A673" s="118" t="n"/>
      <c r="B673" s="118" t="n"/>
      <c r="C673" s="118" t="n"/>
      <c r="D673" s="118" t="n"/>
      <c r="E673" s="118" t="n"/>
      <c r="F673" s="118" t="n"/>
      <c r="G673" s="120">
        <f>IF(C673="","",C673*D673)</f>
        <v/>
      </c>
      <c r="H673" s="120">
        <f>IF(C673="","",C673*E673)</f>
        <v/>
      </c>
      <c r="I673" s="115">
        <f>IF(C673="","",IFERROR(D673/(E673+(E673=0))-1,0))</f>
        <v/>
      </c>
      <c r="J673" s="117">
        <f>IF(C673="","",IF(ABS(I673)&gt;AYARLAR!$C$14,"RİSKLİ","NORMAL"))</f>
        <v/>
      </c>
      <c r="K673" s="115">
        <f>IF(G673="","",IFERROR(G673/MOTOR!$B$20,0))</f>
        <v/>
      </c>
      <c r="L673" s="117">
        <f>IF(C673="","",IF(F673="","EKSİK","TAM"))</f>
        <v/>
      </c>
      <c r="M673" s="118" t="n"/>
    </row>
    <row r="674" ht="15" customHeight="1" s="64">
      <c r="A674" s="118" t="n"/>
      <c r="B674" s="118" t="n"/>
      <c r="C674" s="118" t="n"/>
      <c r="D674" s="118" t="n"/>
      <c r="E674" s="118" t="n"/>
      <c r="F674" s="118" t="n"/>
      <c r="G674" s="120">
        <f>IF(C674="","",C674*D674)</f>
        <v/>
      </c>
      <c r="H674" s="120">
        <f>IF(C674="","",C674*E674)</f>
        <v/>
      </c>
      <c r="I674" s="115">
        <f>IF(C674="","",IFERROR(D674/(E674+(E674=0))-1,0))</f>
        <v/>
      </c>
      <c r="J674" s="117">
        <f>IF(C674="","",IF(ABS(I674)&gt;AYARLAR!$C$14,"RİSKLİ","NORMAL"))</f>
        <v/>
      </c>
      <c r="K674" s="115">
        <f>IF(G674="","",IFERROR(G674/MOTOR!$B$20,0))</f>
        <v/>
      </c>
      <c r="L674" s="117">
        <f>IF(C674="","",IF(F674="","EKSİK","TAM"))</f>
        <v/>
      </c>
      <c r="M674" s="118" t="n"/>
    </row>
    <row r="675" ht="15" customHeight="1" s="64">
      <c r="A675" s="118" t="n"/>
      <c r="B675" s="118" t="n"/>
      <c r="C675" s="118" t="n"/>
      <c r="D675" s="118" t="n"/>
      <c r="E675" s="118" t="n"/>
      <c r="F675" s="118" t="n"/>
      <c r="G675" s="120">
        <f>IF(C675="","",C675*D675)</f>
        <v/>
      </c>
      <c r="H675" s="120">
        <f>IF(C675="","",C675*E675)</f>
        <v/>
      </c>
      <c r="I675" s="115">
        <f>IF(C675="","",IFERROR(D675/(E675+(E675=0))-1,0))</f>
        <v/>
      </c>
      <c r="J675" s="117">
        <f>IF(C675="","",IF(ABS(I675)&gt;AYARLAR!$C$14,"RİSKLİ","NORMAL"))</f>
        <v/>
      </c>
      <c r="K675" s="115">
        <f>IF(G675="","",IFERROR(G675/MOTOR!$B$20,0))</f>
        <v/>
      </c>
      <c r="L675" s="117">
        <f>IF(C675="","",IF(F675="","EKSİK","TAM"))</f>
        <v/>
      </c>
      <c r="M675" s="118" t="n"/>
    </row>
    <row r="676" ht="15" customHeight="1" s="64">
      <c r="A676" s="118" t="n"/>
      <c r="B676" s="118" t="n"/>
      <c r="C676" s="118" t="n"/>
      <c r="D676" s="118" t="n"/>
      <c r="E676" s="118" t="n"/>
      <c r="F676" s="118" t="n"/>
      <c r="G676" s="120">
        <f>IF(C676="","",C676*D676)</f>
        <v/>
      </c>
      <c r="H676" s="120">
        <f>IF(C676="","",C676*E676)</f>
        <v/>
      </c>
      <c r="I676" s="115">
        <f>IF(C676="","",IFERROR(D676/(E676+(E676=0))-1,0))</f>
        <v/>
      </c>
      <c r="J676" s="117">
        <f>IF(C676="","",IF(ABS(I676)&gt;AYARLAR!$C$14,"RİSKLİ","NORMAL"))</f>
        <v/>
      </c>
      <c r="K676" s="115">
        <f>IF(G676="","",IFERROR(G676/MOTOR!$B$20,0))</f>
        <v/>
      </c>
      <c r="L676" s="117">
        <f>IF(C676="","",IF(F676="","EKSİK","TAM"))</f>
        <v/>
      </c>
      <c r="M676" s="118" t="n"/>
    </row>
    <row r="677" ht="15" customHeight="1" s="64">
      <c r="A677" s="118" t="n"/>
      <c r="B677" s="118" t="n"/>
      <c r="C677" s="118" t="n"/>
      <c r="D677" s="118" t="n"/>
      <c r="E677" s="118" t="n"/>
      <c r="F677" s="118" t="n"/>
      <c r="G677" s="120">
        <f>IF(C677="","",C677*D677)</f>
        <v/>
      </c>
      <c r="H677" s="120">
        <f>IF(C677="","",C677*E677)</f>
        <v/>
      </c>
      <c r="I677" s="115">
        <f>IF(C677="","",IFERROR(D677/(E677+(E677=0))-1,0))</f>
        <v/>
      </c>
      <c r="J677" s="117">
        <f>IF(C677="","",IF(ABS(I677)&gt;AYARLAR!$C$14,"RİSKLİ","NORMAL"))</f>
        <v/>
      </c>
      <c r="K677" s="115">
        <f>IF(G677="","",IFERROR(G677/MOTOR!$B$20,0))</f>
        <v/>
      </c>
      <c r="L677" s="117">
        <f>IF(C677="","",IF(F677="","EKSİK","TAM"))</f>
        <v/>
      </c>
      <c r="M677" s="118" t="n"/>
    </row>
    <row r="678" ht="15" customHeight="1" s="64">
      <c r="A678" s="118" t="n"/>
      <c r="B678" s="118" t="n"/>
      <c r="C678" s="118" t="n"/>
      <c r="D678" s="118" t="n"/>
      <c r="E678" s="118" t="n"/>
      <c r="F678" s="118" t="n"/>
      <c r="G678" s="120">
        <f>IF(C678="","",C678*D678)</f>
        <v/>
      </c>
      <c r="H678" s="120">
        <f>IF(C678="","",C678*E678)</f>
        <v/>
      </c>
      <c r="I678" s="115">
        <f>IF(C678="","",IFERROR(D678/(E678+(E678=0))-1,0))</f>
        <v/>
      </c>
      <c r="J678" s="117">
        <f>IF(C678="","",IF(ABS(I678)&gt;AYARLAR!$C$14,"RİSKLİ","NORMAL"))</f>
        <v/>
      </c>
      <c r="K678" s="115">
        <f>IF(G678="","",IFERROR(G678/MOTOR!$B$20,0))</f>
        <v/>
      </c>
      <c r="L678" s="117">
        <f>IF(C678="","",IF(F678="","EKSİK","TAM"))</f>
        <v/>
      </c>
      <c r="M678" s="118" t="n"/>
    </row>
    <row r="679" ht="15" customHeight="1" s="64">
      <c r="A679" s="118" t="n"/>
      <c r="B679" s="118" t="n"/>
      <c r="C679" s="118" t="n"/>
      <c r="D679" s="118" t="n"/>
      <c r="E679" s="118" t="n"/>
      <c r="F679" s="118" t="n"/>
      <c r="G679" s="120">
        <f>IF(C679="","",C679*D679)</f>
        <v/>
      </c>
      <c r="H679" s="120">
        <f>IF(C679="","",C679*E679)</f>
        <v/>
      </c>
      <c r="I679" s="115">
        <f>IF(C679="","",IFERROR(D679/(E679+(E679=0))-1,0))</f>
        <v/>
      </c>
      <c r="J679" s="117">
        <f>IF(C679="","",IF(ABS(I679)&gt;AYARLAR!$C$14,"RİSKLİ","NORMAL"))</f>
        <v/>
      </c>
      <c r="K679" s="115">
        <f>IF(G679="","",IFERROR(G679/MOTOR!$B$20,0))</f>
        <v/>
      </c>
      <c r="L679" s="117">
        <f>IF(C679="","",IF(F679="","EKSİK","TAM"))</f>
        <v/>
      </c>
      <c r="M679" s="118" t="n"/>
    </row>
    <row r="680" ht="15" customHeight="1" s="64">
      <c r="A680" s="118" t="n"/>
      <c r="B680" s="118" t="n"/>
      <c r="C680" s="118" t="n"/>
      <c r="D680" s="118" t="n"/>
      <c r="E680" s="118" t="n"/>
      <c r="F680" s="118" t="n"/>
      <c r="G680" s="120">
        <f>IF(C680="","",C680*D680)</f>
        <v/>
      </c>
      <c r="H680" s="120">
        <f>IF(C680="","",C680*E680)</f>
        <v/>
      </c>
      <c r="I680" s="115">
        <f>IF(C680="","",IFERROR(D680/(E680+(E680=0))-1,0))</f>
        <v/>
      </c>
      <c r="J680" s="117">
        <f>IF(C680="","",IF(ABS(I680)&gt;AYARLAR!$C$14,"RİSKLİ","NORMAL"))</f>
        <v/>
      </c>
      <c r="K680" s="115">
        <f>IF(G680="","",IFERROR(G680/MOTOR!$B$20,0))</f>
        <v/>
      </c>
      <c r="L680" s="117">
        <f>IF(C680="","",IF(F680="","EKSİK","TAM"))</f>
        <v/>
      </c>
      <c r="M680" s="118" t="n"/>
    </row>
    <row r="681" ht="15" customHeight="1" s="64">
      <c r="A681" s="118" t="n"/>
      <c r="B681" s="118" t="n"/>
      <c r="C681" s="118" t="n"/>
      <c r="D681" s="118" t="n"/>
      <c r="E681" s="118" t="n"/>
      <c r="F681" s="118" t="n"/>
      <c r="G681" s="120">
        <f>IF(C681="","",C681*D681)</f>
        <v/>
      </c>
      <c r="H681" s="120">
        <f>IF(C681="","",C681*E681)</f>
        <v/>
      </c>
      <c r="I681" s="115">
        <f>IF(C681="","",IFERROR(D681/(E681+(E681=0))-1,0))</f>
        <v/>
      </c>
      <c r="J681" s="117">
        <f>IF(C681="","",IF(ABS(I681)&gt;AYARLAR!$C$14,"RİSKLİ","NORMAL"))</f>
        <v/>
      </c>
      <c r="K681" s="115">
        <f>IF(G681="","",IFERROR(G681/MOTOR!$B$20,0))</f>
        <v/>
      </c>
      <c r="L681" s="117">
        <f>IF(C681="","",IF(F681="","EKSİK","TAM"))</f>
        <v/>
      </c>
      <c r="M681" s="118" t="n"/>
    </row>
    <row r="682" ht="15" customHeight="1" s="64">
      <c r="A682" s="118" t="n"/>
      <c r="B682" s="118" t="n"/>
      <c r="C682" s="118" t="n"/>
      <c r="D682" s="118" t="n"/>
      <c r="E682" s="118" t="n"/>
      <c r="F682" s="118" t="n"/>
      <c r="G682" s="120">
        <f>IF(C682="","",C682*D682)</f>
        <v/>
      </c>
      <c r="H682" s="120">
        <f>IF(C682="","",C682*E682)</f>
        <v/>
      </c>
      <c r="I682" s="115">
        <f>IF(C682="","",IFERROR(D682/(E682+(E682=0))-1,0))</f>
        <v/>
      </c>
      <c r="J682" s="117">
        <f>IF(C682="","",IF(ABS(I682)&gt;AYARLAR!$C$14,"RİSKLİ","NORMAL"))</f>
        <v/>
      </c>
      <c r="K682" s="115">
        <f>IF(G682="","",IFERROR(G682/MOTOR!$B$20,0))</f>
        <v/>
      </c>
      <c r="L682" s="117">
        <f>IF(C682="","",IF(F682="","EKSİK","TAM"))</f>
        <v/>
      </c>
      <c r="M682" s="118" t="n"/>
    </row>
    <row r="683" ht="15" customHeight="1" s="64">
      <c r="A683" s="118" t="n"/>
      <c r="B683" s="118" t="n"/>
      <c r="C683" s="118" t="n"/>
      <c r="D683" s="118" t="n"/>
      <c r="E683" s="118" t="n"/>
      <c r="F683" s="118" t="n"/>
      <c r="G683" s="120">
        <f>IF(C683="","",C683*D683)</f>
        <v/>
      </c>
      <c r="H683" s="120">
        <f>IF(C683="","",C683*E683)</f>
        <v/>
      </c>
      <c r="I683" s="115">
        <f>IF(C683="","",IFERROR(D683/(E683+(E683=0))-1,0))</f>
        <v/>
      </c>
      <c r="J683" s="117">
        <f>IF(C683="","",IF(ABS(I683)&gt;AYARLAR!$C$14,"RİSKLİ","NORMAL"))</f>
        <v/>
      </c>
      <c r="K683" s="115">
        <f>IF(G683="","",IFERROR(G683/MOTOR!$B$20,0))</f>
        <v/>
      </c>
      <c r="L683" s="117">
        <f>IF(C683="","",IF(F683="","EKSİK","TAM"))</f>
        <v/>
      </c>
      <c r="M683" s="118" t="n"/>
    </row>
    <row r="684" ht="15" customHeight="1" s="64">
      <c r="A684" s="118" t="n"/>
      <c r="B684" s="118" t="n"/>
      <c r="C684" s="118" t="n"/>
      <c r="D684" s="118" t="n"/>
      <c r="E684" s="118" t="n"/>
      <c r="F684" s="118" t="n"/>
      <c r="G684" s="120">
        <f>IF(C684="","",C684*D684)</f>
        <v/>
      </c>
      <c r="H684" s="120">
        <f>IF(C684="","",C684*E684)</f>
        <v/>
      </c>
      <c r="I684" s="115">
        <f>IF(C684="","",IFERROR(D684/(E684+(E684=0))-1,0))</f>
        <v/>
      </c>
      <c r="J684" s="117">
        <f>IF(C684="","",IF(ABS(I684)&gt;AYARLAR!$C$14,"RİSKLİ","NORMAL"))</f>
        <v/>
      </c>
      <c r="K684" s="115">
        <f>IF(G684="","",IFERROR(G684/MOTOR!$B$20,0))</f>
        <v/>
      </c>
      <c r="L684" s="117">
        <f>IF(C684="","",IF(F684="","EKSİK","TAM"))</f>
        <v/>
      </c>
      <c r="M684" s="118" t="n"/>
    </row>
    <row r="685" ht="15" customHeight="1" s="64">
      <c r="A685" s="118" t="n"/>
      <c r="B685" s="118" t="n"/>
      <c r="C685" s="118" t="n"/>
      <c r="D685" s="118" t="n"/>
      <c r="E685" s="118" t="n"/>
      <c r="F685" s="118" t="n"/>
      <c r="G685" s="120">
        <f>IF(C685="","",C685*D685)</f>
        <v/>
      </c>
      <c r="H685" s="120">
        <f>IF(C685="","",C685*E685)</f>
        <v/>
      </c>
      <c r="I685" s="115">
        <f>IF(C685="","",IFERROR(D685/(E685+(E685=0))-1,0))</f>
        <v/>
      </c>
      <c r="J685" s="117">
        <f>IF(C685="","",IF(ABS(I685)&gt;AYARLAR!$C$14,"RİSKLİ","NORMAL"))</f>
        <v/>
      </c>
      <c r="K685" s="115">
        <f>IF(G685="","",IFERROR(G685/MOTOR!$B$20,0))</f>
        <v/>
      </c>
      <c r="L685" s="117">
        <f>IF(C685="","",IF(F685="","EKSİK","TAM"))</f>
        <v/>
      </c>
      <c r="M685" s="118" t="n"/>
    </row>
    <row r="686" ht="15" customHeight="1" s="64">
      <c r="A686" s="118" t="n"/>
      <c r="B686" s="118" t="n"/>
      <c r="C686" s="118" t="n"/>
      <c r="D686" s="118" t="n"/>
      <c r="E686" s="118" t="n"/>
      <c r="F686" s="118" t="n"/>
      <c r="G686" s="120">
        <f>IF(C686="","",C686*D686)</f>
        <v/>
      </c>
      <c r="H686" s="120">
        <f>IF(C686="","",C686*E686)</f>
        <v/>
      </c>
      <c r="I686" s="115">
        <f>IF(C686="","",IFERROR(D686/(E686+(E686=0))-1,0))</f>
        <v/>
      </c>
      <c r="J686" s="117">
        <f>IF(C686="","",IF(ABS(I686)&gt;AYARLAR!$C$14,"RİSKLİ","NORMAL"))</f>
        <v/>
      </c>
      <c r="K686" s="115">
        <f>IF(G686="","",IFERROR(G686/MOTOR!$B$20,0))</f>
        <v/>
      </c>
      <c r="L686" s="117">
        <f>IF(C686="","",IF(F686="","EKSİK","TAM"))</f>
        <v/>
      </c>
      <c r="M686" s="118" t="n"/>
    </row>
    <row r="687" ht="15" customHeight="1" s="64">
      <c r="A687" s="118" t="n"/>
      <c r="B687" s="118" t="n"/>
      <c r="C687" s="118" t="n"/>
      <c r="D687" s="118" t="n"/>
      <c r="E687" s="118" t="n"/>
      <c r="F687" s="118" t="n"/>
      <c r="G687" s="120">
        <f>IF(C687="","",C687*D687)</f>
        <v/>
      </c>
      <c r="H687" s="120">
        <f>IF(C687="","",C687*E687)</f>
        <v/>
      </c>
      <c r="I687" s="115">
        <f>IF(C687="","",IFERROR(D687/(E687+(E687=0))-1,0))</f>
        <v/>
      </c>
      <c r="J687" s="117">
        <f>IF(C687="","",IF(ABS(I687)&gt;AYARLAR!$C$14,"RİSKLİ","NORMAL"))</f>
        <v/>
      </c>
      <c r="K687" s="115">
        <f>IF(G687="","",IFERROR(G687/MOTOR!$B$20,0))</f>
        <v/>
      </c>
      <c r="L687" s="117">
        <f>IF(C687="","",IF(F687="","EKSİK","TAM"))</f>
        <v/>
      </c>
      <c r="M687" s="118" t="n"/>
    </row>
    <row r="688" ht="15" customHeight="1" s="64">
      <c r="A688" s="118" t="n"/>
      <c r="B688" s="118" t="n"/>
      <c r="C688" s="118" t="n"/>
      <c r="D688" s="118" t="n"/>
      <c r="E688" s="118" t="n"/>
      <c r="F688" s="118" t="n"/>
      <c r="G688" s="120">
        <f>IF(C688="","",C688*D688)</f>
        <v/>
      </c>
      <c r="H688" s="120">
        <f>IF(C688="","",C688*E688)</f>
        <v/>
      </c>
      <c r="I688" s="115">
        <f>IF(C688="","",IFERROR(D688/(E688+(E688=0))-1,0))</f>
        <v/>
      </c>
      <c r="J688" s="117">
        <f>IF(C688="","",IF(ABS(I688)&gt;AYARLAR!$C$14,"RİSKLİ","NORMAL"))</f>
        <v/>
      </c>
      <c r="K688" s="115">
        <f>IF(G688="","",IFERROR(G688/MOTOR!$B$20,0))</f>
        <v/>
      </c>
      <c r="L688" s="117">
        <f>IF(C688="","",IF(F688="","EKSİK","TAM"))</f>
        <v/>
      </c>
      <c r="M688" s="118" t="n"/>
    </row>
    <row r="689" ht="15" customHeight="1" s="64">
      <c r="A689" s="118" t="n"/>
      <c r="B689" s="118" t="n"/>
      <c r="C689" s="118" t="n"/>
      <c r="D689" s="118" t="n"/>
      <c r="E689" s="118" t="n"/>
      <c r="F689" s="118" t="n"/>
      <c r="G689" s="120">
        <f>IF(C689="","",C689*D689)</f>
        <v/>
      </c>
      <c r="H689" s="120">
        <f>IF(C689="","",C689*E689)</f>
        <v/>
      </c>
      <c r="I689" s="115">
        <f>IF(C689="","",IFERROR(D689/(E689+(E689=0))-1,0))</f>
        <v/>
      </c>
      <c r="J689" s="117">
        <f>IF(C689="","",IF(ABS(I689)&gt;AYARLAR!$C$14,"RİSKLİ","NORMAL"))</f>
        <v/>
      </c>
      <c r="K689" s="115">
        <f>IF(G689="","",IFERROR(G689/MOTOR!$B$20,0))</f>
        <v/>
      </c>
      <c r="L689" s="117">
        <f>IF(C689="","",IF(F689="","EKSİK","TAM"))</f>
        <v/>
      </c>
      <c r="M689" s="118" t="n"/>
    </row>
    <row r="690" ht="15" customHeight="1" s="64">
      <c r="A690" s="118" t="n"/>
      <c r="B690" s="118" t="n"/>
      <c r="C690" s="118" t="n"/>
      <c r="D690" s="118" t="n"/>
      <c r="E690" s="118" t="n"/>
      <c r="F690" s="118" t="n"/>
      <c r="G690" s="120">
        <f>IF(C690="","",C690*D690)</f>
        <v/>
      </c>
      <c r="H690" s="120">
        <f>IF(C690="","",C690*E690)</f>
        <v/>
      </c>
      <c r="I690" s="115">
        <f>IF(C690="","",IFERROR(D690/(E690+(E690=0))-1,0))</f>
        <v/>
      </c>
      <c r="J690" s="117">
        <f>IF(C690="","",IF(ABS(I690)&gt;AYARLAR!$C$14,"RİSKLİ","NORMAL"))</f>
        <v/>
      </c>
      <c r="K690" s="115">
        <f>IF(G690="","",IFERROR(G690/MOTOR!$B$20,0))</f>
        <v/>
      </c>
      <c r="L690" s="117">
        <f>IF(C690="","",IF(F690="","EKSİK","TAM"))</f>
        <v/>
      </c>
      <c r="M690" s="118" t="n"/>
    </row>
    <row r="691" ht="15" customHeight="1" s="64">
      <c r="A691" s="118" t="n"/>
      <c r="B691" s="118" t="n"/>
      <c r="C691" s="118" t="n"/>
      <c r="D691" s="118" t="n"/>
      <c r="E691" s="118" t="n"/>
      <c r="F691" s="118" t="n"/>
      <c r="G691" s="120">
        <f>IF(C691="","",C691*D691)</f>
        <v/>
      </c>
      <c r="H691" s="120">
        <f>IF(C691="","",C691*E691)</f>
        <v/>
      </c>
      <c r="I691" s="115">
        <f>IF(C691="","",IFERROR(D691/(E691+(E691=0))-1,0))</f>
        <v/>
      </c>
      <c r="J691" s="117">
        <f>IF(C691="","",IF(ABS(I691)&gt;AYARLAR!$C$14,"RİSKLİ","NORMAL"))</f>
        <v/>
      </c>
      <c r="K691" s="115">
        <f>IF(G691="","",IFERROR(G691/MOTOR!$B$20,0))</f>
        <v/>
      </c>
      <c r="L691" s="117">
        <f>IF(C691="","",IF(F691="","EKSİK","TAM"))</f>
        <v/>
      </c>
      <c r="M691" s="118" t="n"/>
    </row>
    <row r="692" ht="15" customHeight="1" s="64">
      <c r="A692" s="118" t="n"/>
      <c r="B692" s="118" t="n"/>
      <c r="C692" s="118" t="n"/>
      <c r="D692" s="118" t="n"/>
      <c r="E692" s="118" t="n"/>
      <c r="F692" s="118" t="n"/>
      <c r="G692" s="120">
        <f>IF(C692="","",C692*D692)</f>
        <v/>
      </c>
      <c r="H692" s="120">
        <f>IF(C692="","",C692*E692)</f>
        <v/>
      </c>
      <c r="I692" s="115">
        <f>IF(C692="","",IFERROR(D692/(E692+(E692=0))-1,0))</f>
        <v/>
      </c>
      <c r="J692" s="117">
        <f>IF(C692="","",IF(ABS(I692)&gt;AYARLAR!$C$14,"RİSKLİ","NORMAL"))</f>
        <v/>
      </c>
      <c r="K692" s="115">
        <f>IF(G692="","",IFERROR(G692/MOTOR!$B$20,0))</f>
        <v/>
      </c>
      <c r="L692" s="117">
        <f>IF(C692="","",IF(F692="","EKSİK","TAM"))</f>
        <v/>
      </c>
      <c r="M692" s="118" t="n"/>
    </row>
    <row r="693" ht="15" customHeight="1" s="64">
      <c r="A693" s="118" t="n"/>
      <c r="B693" s="118" t="n"/>
      <c r="C693" s="118" t="n"/>
      <c r="D693" s="118" t="n"/>
      <c r="E693" s="118" t="n"/>
      <c r="F693" s="118" t="n"/>
      <c r="G693" s="120">
        <f>IF(C693="","",C693*D693)</f>
        <v/>
      </c>
      <c r="H693" s="120">
        <f>IF(C693="","",C693*E693)</f>
        <v/>
      </c>
      <c r="I693" s="115">
        <f>IF(C693="","",IFERROR(D693/(E693+(E693=0))-1,0))</f>
        <v/>
      </c>
      <c r="J693" s="117">
        <f>IF(C693="","",IF(ABS(I693)&gt;AYARLAR!$C$14,"RİSKLİ","NORMAL"))</f>
        <v/>
      </c>
      <c r="K693" s="115">
        <f>IF(G693="","",IFERROR(G693/MOTOR!$B$20,0))</f>
        <v/>
      </c>
      <c r="L693" s="117">
        <f>IF(C693="","",IF(F693="","EKSİK","TAM"))</f>
        <v/>
      </c>
      <c r="M693" s="118" t="n"/>
    </row>
    <row r="694" ht="15" customHeight="1" s="64">
      <c r="A694" s="118" t="n"/>
      <c r="B694" s="118" t="n"/>
      <c r="C694" s="118" t="n"/>
      <c r="D694" s="118" t="n"/>
      <c r="E694" s="118" t="n"/>
      <c r="F694" s="118" t="n"/>
      <c r="G694" s="120">
        <f>IF(C694="","",C694*D694)</f>
        <v/>
      </c>
      <c r="H694" s="120">
        <f>IF(C694="","",C694*E694)</f>
        <v/>
      </c>
      <c r="I694" s="115">
        <f>IF(C694="","",IFERROR(D694/(E694+(E694=0))-1,0))</f>
        <v/>
      </c>
      <c r="J694" s="117">
        <f>IF(C694="","",IF(ABS(I694)&gt;AYARLAR!$C$14,"RİSKLİ","NORMAL"))</f>
        <v/>
      </c>
      <c r="K694" s="115">
        <f>IF(G694="","",IFERROR(G694/MOTOR!$B$20,0))</f>
        <v/>
      </c>
      <c r="L694" s="117">
        <f>IF(C694="","",IF(F694="","EKSİK","TAM"))</f>
        <v/>
      </c>
      <c r="M694" s="118" t="n"/>
    </row>
    <row r="695" ht="15" customHeight="1" s="64">
      <c r="A695" s="118" t="n"/>
      <c r="B695" s="118" t="n"/>
      <c r="C695" s="118" t="n"/>
      <c r="D695" s="118" t="n"/>
      <c r="E695" s="118" t="n"/>
      <c r="F695" s="118" t="n"/>
      <c r="G695" s="120">
        <f>IF(C695="","",C695*D695)</f>
        <v/>
      </c>
      <c r="H695" s="120">
        <f>IF(C695="","",C695*E695)</f>
        <v/>
      </c>
      <c r="I695" s="115">
        <f>IF(C695="","",IFERROR(D695/(E695+(E695=0))-1,0))</f>
        <v/>
      </c>
      <c r="J695" s="117">
        <f>IF(C695="","",IF(ABS(I695)&gt;AYARLAR!$C$14,"RİSKLİ","NORMAL"))</f>
        <v/>
      </c>
      <c r="K695" s="115">
        <f>IF(G695="","",IFERROR(G695/MOTOR!$B$20,0))</f>
        <v/>
      </c>
      <c r="L695" s="117">
        <f>IF(C695="","",IF(F695="","EKSİK","TAM"))</f>
        <v/>
      </c>
      <c r="M695" s="118" t="n"/>
    </row>
    <row r="696" ht="15" customHeight="1" s="64">
      <c r="A696" s="118" t="n"/>
      <c r="B696" s="118" t="n"/>
      <c r="C696" s="118" t="n"/>
      <c r="D696" s="118" t="n"/>
      <c r="E696" s="118" t="n"/>
      <c r="F696" s="118" t="n"/>
      <c r="G696" s="120">
        <f>IF(C696="","",C696*D696)</f>
        <v/>
      </c>
      <c r="H696" s="120">
        <f>IF(C696="","",C696*E696)</f>
        <v/>
      </c>
      <c r="I696" s="115">
        <f>IF(C696="","",IFERROR(D696/(E696+(E696=0))-1,0))</f>
        <v/>
      </c>
      <c r="J696" s="117">
        <f>IF(C696="","",IF(ABS(I696)&gt;AYARLAR!$C$14,"RİSKLİ","NORMAL"))</f>
        <v/>
      </c>
      <c r="K696" s="115">
        <f>IF(G696="","",IFERROR(G696/MOTOR!$B$20,0))</f>
        <v/>
      </c>
      <c r="L696" s="117">
        <f>IF(C696="","",IF(F696="","EKSİK","TAM"))</f>
        <v/>
      </c>
      <c r="M696" s="118" t="n"/>
    </row>
    <row r="697" ht="15" customHeight="1" s="64">
      <c r="A697" s="118" t="n"/>
      <c r="B697" s="118" t="n"/>
      <c r="C697" s="118" t="n"/>
      <c r="D697" s="118" t="n"/>
      <c r="E697" s="118" t="n"/>
      <c r="F697" s="118" t="n"/>
      <c r="G697" s="120">
        <f>IF(C697="","",C697*D697)</f>
        <v/>
      </c>
      <c r="H697" s="120">
        <f>IF(C697="","",C697*E697)</f>
        <v/>
      </c>
      <c r="I697" s="115">
        <f>IF(C697="","",IFERROR(D697/(E697+(E697=0))-1,0))</f>
        <v/>
      </c>
      <c r="J697" s="117">
        <f>IF(C697="","",IF(ABS(I697)&gt;AYARLAR!$C$14,"RİSKLİ","NORMAL"))</f>
        <v/>
      </c>
      <c r="K697" s="115">
        <f>IF(G697="","",IFERROR(G697/MOTOR!$B$20,0))</f>
        <v/>
      </c>
      <c r="L697" s="117">
        <f>IF(C697="","",IF(F697="","EKSİK","TAM"))</f>
        <v/>
      </c>
      <c r="M697" s="118" t="n"/>
    </row>
    <row r="698" ht="15" customHeight="1" s="64">
      <c r="A698" s="118" t="n"/>
      <c r="B698" s="118" t="n"/>
      <c r="C698" s="118" t="n"/>
      <c r="D698" s="118" t="n"/>
      <c r="E698" s="118" t="n"/>
      <c r="F698" s="118" t="n"/>
      <c r="G698" s="120">
        <f>IF(C698="","",C698*D698)</f>
        <v/>
      </c>
      <c r="H698" s="120">
        <f>IF(C698="","",C698*E698)</f>
        <v/>
      </c>
      <c r="I698" s="115">
        <f>IF(C698="","",IFERROR(D698/(E698+(E698=0))-1,0))</f>
        <v/>
      </c>
      <c r="J698" s="117">
        <f>IF(C698="","",IF(ABS(I698)&gt;AYARLAR!$C$14,"RİSKLİ","NORMAL"))</f>
        <v/>
      </c>
      <c r="K698" s="115">
        <f>IF(G698="","",IFERROR(G698/MOTOR!$B$20,0))</f>
        <v/>
      </c>
      <c r="L698" s="117">
        <f>IF(C698="","",IF(F698="","EKSİK","TAM"))</f>
        <v/>
      </c>
      <c r="M698" s="118" t="n"/>
    </row>
    <row r="699" ht="15" customHeight="1" s="64">
      <c r="A699" s="118" t="n"/>
      <c r="B699" s="118" t="n"/>
      <c r="C699" s="118" t="n"/>
      <c r="D699" s="118" t="n"/>
      <c r="E699" s="118" t="n"/>
      <c r="F699" s="118" t="n"/>
      <c r="G699" s="120">
        <f>IF(C699="","",C699*D699)</f>
        <v/>
      </c>
      <c r="H699" s="120">
        <f>IF(C699="","",C699*E699)</f>
        <v/>
      </c>
      <c r="I699" s="115">
        <f>IF(C699="","",IFERROR(D699/(E699+(E699=0))-1,0))</f>
        <v/>
      </c>
      <c r="J699" s="117">
        <f>IF(C699="","",IF(ABS(I699)&gt;AYARLAR!$C$14,"RİSKLİ","NORMAL"))</f>
        <v/>
      </c>
      <c r="K699" s="115">
        <f>IF(G699="","",IFERROR(G699/MOTOR!$B$20,0))</f>
        <v/>
      </c>
      <c r="L699" s="117">
        <f>IF(C699="","",IF(F699="","EKSİK","TAM"))</f>
        <v/>
      </c>
      <c r="M699" s="118" t="n"/>
    </row>
    <row r="700" ht="15" customHeight="1" s="64">
      <c r="A700" s="118" t="n"/>
      <c r="B700" s="118" t="n"/>
      <c r="C700" s="118" t="n"/>
      <c r="D700" s="118" t="n"/>
      <c r="E700" s="118" t="n"/>
      <c r="F700" s="118" t="n"/>
      <c r="G700" s="120">
        <f>IF(C700="","",C700*D700)</f>
        <v/>
      </c>
      <c r="H700" s="120">
        <f>IF(C700="","",C700*E700)</f>
        <v/>
      </c>
      <c r="I700" s="115">
        <f>IF(C700="","",IFERROR(D700/(E700+(E700=0))-1,0))</f>
        <v/>
      </c>
      <c r="J700" s="117">
        <f>IF(C700="","",IF(ABS(I700)&gt;AYARLAR!$C$14,"RİSKLİ","NORMAL"))</f>
        <v/>
      </c>
      <c r="K700" s="115">
        <f>IF(G700="","",IFERROR(G700/MOTOR!$B$20,0))</f>
        <v/>
      </c>
      <c r="L700" s="117">
        <f>IF(C700="","",IF(F700="","EKSİK","TAM"))</f>
        <v/>
      </c>
      <c r="M700" s="118" t="n"/>
    </row>
    <row r="701" ht="15" customHeight="1" s="64">
      <c r="A701" s="118" t="n"/>
      <c r="B701" s="118" t="n"/>
      <c r="C701" s="118" t="n"/>
      <c r="D701" s="118" t="n"/>
      <c r="E701" s="118" t="n"/>
      <c r="F701" s="118" t="n"/>
      <c r="G701" s="120">
        <f>IF(C701="","",C701*D701)</f>
        <v/>
      </c>
      <c r="H701" s="120">
        <f>IF(C701="","",C701*E701)</f>
        <v/>
      </c>
      <c r="I701" s="115">
        <f>IF(C701="","",IFERROR(D701/(E701+(E701=0))-1,0))</f>
        <v/>
      </c>
      <c r="J701" s="117">
        <f>IF(C701="","",IF(ABS(I701)&gt;AYARLAR!$C$14,"RİSKLİ","NORMAL"))</f>
        <v/>
      </c>
      <c r="K701" s="115">
        <f>IF(G701="","",IFERROR(G701/MOTOR!$B$20,0))</f>
        <v/>
      </c>
      <c r="L701" s="117">
        <f>IF(C701="","",IF(F701="","EKSİK","TAM"))</f>
        <v/>
      </c>
      <c r="M701" s="118" t="n"/>
    </row>
    <row r="702" ht="15" customHeight="1" s="64">
      <c r="A702" s="118" t="n"/>
      <c r="B702" s="118" t="n"/>
      <c r="C702" s="118" t="n"/>
      <c r="D702" s="118" t="n"/>
      <c r="E702" s="118" t="n"/>
      <c r="F702" s="118" t="n"/>
      <c r="G702" s="120">
        <f>IF(C702="","",C702*D702)</f>
        <v/>
      </c>
      <c r="H702" s="120">
        <f>IF(C702="","",C702*E702)</f>
        <v/>
      </c>
      <c r="I702" s="115">
        <f>IF(C702="","",IFERROR(D702/(E702+(E702=0))-1,0))</f>
        <v/>
      </c>
      <c r="J702" s="117">
        <f>IF(C702="","",IF(ABS(I702)&gt;AYARLAR!$C$14,"RİSKLİ","NORMAL"))</f>
        <v/>
      </c>
      <c r="K702" s="115">
        <f>IF(G702="","",IFERROR(G702/MOTOR!$B$20,0))</f>
        <v/>
      </c>
      <c r="L702" s="117">
        <f>IF(C702="","",IF(F702="","EKSİK","TAM"))</f>
        <v/>
      </c>
      <c r="M702" s="118" t="n"/>
    </row>
    <row r="703" ht="15" customHeight="1" s="64">
      <c r="A703" s="118" t="n"/>
      <c r="B703" s="118" t="n"/>
      <c r="C703" s="118" t="n"/>
      <c r="D703" s="118" t="n"/>
      <c r="E703" s="118" t="n"/>
      <c r="F703" s="118" t="n"/>
      <c r="G703" s="120">
        <f>IF(C703="","",C703*D703)</f>
        <v/>
      </c>
      <c r="H703" s="120">
        <f>IF(C703="","",C703*E703)</f>
        <v/>
      </c>
      <c r="I703" s="115">
        <f>IF(C703="","",IFERROR(D703/(E703+(E703=0))-1,0))</f>
        <v/>
      </c>
      <c r="J703" s="117">
        <f>IF(C703="","",IF(ABS(I703)&gt;AYARLAR!$C$14,"RİSKLİ","NORMAL"))</f>
        <v/>
      </c>
      <c r="K703" s="115">
        <f>IF(G703="","",IFERROR(G703/MOTOR!$B$20,0))</f>
        <v/>
      </c>
      <c r="L703" s="117">
        <f>IF(C703="","",IF(F703="","EKSİK","TAM"))</f>
        <v/>
      </c>
      <c r="M703" s="118" t="n"/>
    </row>
    <row r="704" ht="15" customHeight="1" s="64">
      <c r="A704" s="118" t="n"/>
      <c r="B704" s="118" t="n"/>
      <c r="C704" s="118" t="n"/>
      <c r="D704" s="118" t="n"/>
      <c r="E704" s="118" t="n"/>
      <c r="F704" s="118" t="n"/>
      <c r="G704" s="120">
        <f>IF(C704="","",C704*D704)</f>
        <v/>
      </c>
      <c r="H704" s="120">
        <f>IF(C704="","",C704*E704)</f>
        <v/>
      </c>
      <c r="I704" s="115">
        <f>IF(C704="","",IFERROR(D704/(E704+(E704=0))-1,0))</f>
        <v/>
      </c>
      <c r="J704" s="117">
        <f>IF(C704="","",IF(ABS(I704)&gt;AYARLAR!$C$14,"RİSKLİ","NORMAL"))</f>
        <v/>
      </c>
      <c r="K704" s="115">
        <f>IF(G704="","",IFERROR(G704/MOTOR!$B$20,0))</f>
        <v/>
      </c>
      <c r="L704" s="117">
        <f>IF(C704="","",IF(F704="","EKSİK","TAM"))</f>
        <v/>
      </c>
      <c r="M704" s="118" t="n"/>
    </row>
    <row r="705" ht="15" customHeight="1" s="64">
      <c r="A705" s="118" t="n"/>
      <c r="B705" s="118" t="n"/>
      <c r="C705" s="118" t="n"/>
      <c r="D705" s="118" t="n"/>
      <c r="E705" s="118" t="n"/>
      <c r="F705" s="118" t="n"/>
      <c r="G705" s="120">
        <f>IF(C705="","",C705*D705)</f>
        <v/>
      </c>
      <c r="H705" s="120">
        <f>IF(C705="","",C705*E705)</f>
        <v/>
      </c>
      <c r="I705" s="115">
        <f>IF(C705="","",IFERROR(D705/(E705+(E705=0))-1,0))</f>
        <v/>
      </c>
      <c r="J705" s="117">
        <f>IF(C705="","",IF(ABS(I705)&gt;AYARLAR!$C$14,"RİSKLİ","NORMAL"))</f>
        <v/>
      </c>
      <c r="K705" s="115">
        <f>IF(G705="","",IFERROR(G705/MOTOR!$B$20,0))</f>
        <v/>
      </c>
      <c r="L705" s="117">
        <f>IF(C705="","",IF(F705="","EKSİK","TAM"))</f>
        <v/>
      </c>
      <c r="M705" s="118" t="n"/>
    </row>
    <row r="706" ht="15" customHeight="1" s="64">
      <c r="A706" s="118" t="n"/>
      <c r="B706" s="118" t="n"/>
      <c r="C706" s="118" t="n"/>
      <c r="D706" s="118" t="n"/>
      <c r="E706" s="118" t="n"/>
      <c r="F706" s="118" t="n"/>
      <c r="G706" s="120">
        <f>IF(C706="","",C706*D706)</f>
        <v/>
      </c>
      <c r="H706" s="120">
        <f>IF(C706="","",C706*E706)</f>
        <v/>
      </c>
      <c r="I706" s="115">
        <f>IF(C706="","",IFERROR(D706/(E706+(E706=0))-1,0))</f>
        <v/>
      </c>
      <c r="J706" s="117">
        <f>IF(C706="","",IF(ABS(I706)&gt;AYARLAR!$C$14,"RİSKLİ","NORMAL"))</f>
        <v/>
      </c>
      <c r="K706" s="115">
        <f>IF(G706="","",IFERROR(G706/MOTOR!$B$20,0))</f>
        <v/>
      </c>
      <c r="L706" s="117">
        <f>IF(C706="","",IF(F706="","EKSİK","TAM"))</f>
        <v/>
      </c>
      <c r="M706" s="118" t="n"/>
    </row>
    <row r="707" ht="15" customHeight="1" s="64">
      <c r="A707" s="118" t="n"/>
      <c r="B707" s="118" t="n"/>
      <c r="C707" s="118" t="n"/>
      <c r="D707" s="118" t="n"/>
      <c r="E707" s="118" t="n"/>
      <c r="F707" s="118" t="n"/>
      <c r="G707" s="120">
        <f>IF(C707="","",C707*D707)</f>
        <v/>
      </c>
      <c r="H707" s="120">
        <f>IF(C707="","",C707*E707)</f>
        <v/>
      </c>
      <c r="I707" s="115">
        <f>IF(C707="","",IFERROR(D707/(E707+(E707=0))-1,0))</f>
        <v/>
      </c>
      <c r="J707" s="117">
        <f>IF(C707="","",IF(ABS(I707)&gt;AYARLAR!$C$14,"RİSKLİ","NORMAL"))</f>
        <v/>
      </c>
      <c r="K707" s="115">
        <f>IF(G707="","",IFERROR(G707/MOTOR!$B$20,0))</f>
        <v/>
      </c>
      <c r="L707" s="117">
        <f>IF(C707="","",IF(F707="","EKSİK","TAM"))</f>
        <v/>
      </c>
      <c r="M707" s="118" t="n"/>
    </row>
    <row r="708" ht="15" customHeight="1" s="64">
      <c r="A708" s="118" t="n"/>
      <c r="B708" s="118" t="n"/>
      <c r="C708" s="118" t="n"/>
      <c r="D708" s="118" t="n"/>
      <c r="E708" s="118" t="n"/>
      <c r="F708" s="118" t="n"/>
      <c r="G708" s="120">
        <f>IF(C708="","",C708*D708)</f>
        <v/>
      </c>
      <c r="H708" s="120">
        <f>IF(C708="","",C708*E708)</f>
        <v/>
      </c>
      <c r="I708" s="115">
        <f>IF(C708="","",IFERROR(D708/(E708+(E708=0))-1,0))</f>
        <v/>
      </c>
      <c r="J708" s="117">
        <f>IF(C708="","",IF(ABS(I708)&gt;AYARLAR!$C$14,"RİSKLİ","NORMAL"))</f>
        <v/>
      </c>
      <c r="K708" s="115">
        <f>IF(G708="","",IFERROR(G708/MOTOR!$B$20,0))</f>
        <v/>
      </c>
      <c r="L708" s="117">
        <f>IF(C708="","",IF(F708="","EKSİK","TAM"))</f>
        <v/>
      </c>
      <c r="M708" s="118" t="n"/>
    </row>
    <row r="709" ht="15" customHeight="1" s="64">
      <c r="A709" s="118" t="n"/>
      <c r="B709" s="118" t="n"/>
      <c r="C709" s="118" t="n"/>
      <c r="D709" s="118" t="n"/>
      <c r="E709" s="118" t="n"/>
      <c r="F709" s="118" t="n"/>
      <c r="G709" s="120">
        <f>IF(C709="","",C709*D709)</f>
        <v/>
      </c>
      <c r="H709" s="120">
        <f>IF(C709="","",C709*E709)</f>
        <v/>
      </c>
      <c r="I709" s="115">
        <f>IF(C709="","",IFERROR(D709/(E709+(E709=0))-1,0))</f>
        <v/>
      </c>
      <c r="J709" s="117">
        <f>IF(C709="","",IF(ABS(I709)&gt;AYARLAR!$C$14,"RİSKLİ","NORMAL"))</f>
        <v/>
      </c>
      <c r="K709" s="115">
        <f>IF(G709="","",IFERROR(G709/MOTOR!$B$20,0))</f>
        <v/>
      </c>
      <c r="L709" s="117">
        <f>IF(C709="","",IF(F709="","EKSİK","TAM"))</f>
        <v/>
      </c>
      <c r="M709" s="118" t="n"/>
    </row>
    <row r="710" ht="15" customHeight="1" s="64">
      <c r="A710" s="118" t="n"/>
      <c r="B710" s="118" t="n"/>
      <c r="C710" s="118" t="n"/>
      <c r="D710" s="118" t="n"/>
      <c r="E710" s="118" t="n"/>
      <c r="F710" s="118" t="n"/>
      <c r="G710" s="120">
        <f>IF(C710="","",C710*D710)</f>
        <v/>
      </c>
      <c r="H710" s="120">
        <f>IF(C710="","",C710*E710)</f>
        <v/>
      </c>
      <c r="I710" s="115">
        <f>IF(C710="","",IFERROR(D710/(E710+(E710=0))-1,0))</f>
        <v/>
      </c>
      <c r="J710" s="117">
        <f>IF(C710="","",IF(ABS(I710)&gt;AYARLAR!$C$14,"RİSKLİ","NORMAL"))</f>
        <v/>
      </c>
      <c r="K710" s="115">
        <f>IF(G710="","",IFERROR(G710/MOTOR!$B$20,0))</f>
        <v/>
      </c>
      <c r="L710" s="117">
        <f>IF(C710="","",IF(F710="","EKSİK","TAM"))</f>
        <v/>
      </c>
      <c r="M710" s="118" t="n"/>
    </row>
    <row r="711" ht="15" customHeight="1" s="64">
      <c r="A711" s="118" t="n"/>
      <c r="B711" s="118" t="n"/>
      <c r="C711" s="118" t="n"/>
      <c r="D711" s="118" t="n"/>
      <c r="E711" s="118" t="n"/>
      <c r="F711" s="118" t="n"/>
      <c r="G711" s="120">
        <f>IF(C711="","",C711*D711)</f>
        <v/>
      </c>
      <c r="H711" s="120">
        <f>IF(C711="","",C711*E711)</f>
        <v/>
      </c>
      <c r="I711" s="115">
        <f>IF(C711="","",IFERROR(D711/(E711+(E711=0))-1,0))</f>
        <v/>
      </c>
      <c r="J711" s="117">
        <f>IF(C711="","",IF(ABS(I711)&gt;AYARLAR!$C$14,"RİSKLİ","NORMAL"))</f>
        <v/>
      </c>
      <c r="K711" s="115">
        <f>IF(G711="","",IFERROR(G711/MOTOR!$B$20,0))</f>
        <v/>
      </c>
      <c r="L711" s="117">
        <f>IF(C711="","",IF(F711="","EKSİK","TAM"))</f>
        <v/>
      </c>
      <c r="M711" s="118" t="n"/>
    </row>
    <row r="712" ht="15" customHeight="1" s="64">
      <c r="A712" s="118" t="n"/>
      <c r="B712" s="118" t="n"/>
      <c r="C712" s="118" t="n"/>
      <c r="D712" s="118" t="n"/>
      <c r="E712" s="118" t="n"/>
      <c r="F712" s="118" t="n"/>
      <c r="G712" s="120">
        <f>IF(C712="","",C712*D712)</f>
        <v/>
      </c>
      <c r="H712" s="120">
        <f>IF(C712="","",C712*E712)</f>
        <v/>
      </c>
      <c r="I712" s="115">
        <f>IF(C712="","",IFERROR(D712/(E712+(E712=0))-1,0))</f>
        <v/>
      </c>
      <c r="J712" s="117">
        <f>IF(C712="","",IF(ABS(I712)&gt;AYARLAR!$C$14,"RİSKLİ","NORMAL"))</f>
        <v/>
      </c>
      <c r="K712" s="115">
        <f>IF(G712="","",IFERROR(G712/MOTOR!$B$20,0))</f>
        <v/>
      </c>
      <c r="L712" s="117">
        <f>IF(C712="","",IF(F712="","EKSİK","TAM"))</f>
        <v/>
      </c>
      <c r="M712" s="118" t="n"/>
    </row>
    <row r="713" ht="15" customHeight="1" s="64">
      <c r="A713" s="118" t="n"/>
      <c r="B713" s="118" t="n"/>
      <c r="C713" s="118" t="n"/>
      <c r="D713" s="118" t="n"/>
      <c r="E713" s="118" t="n"/>
      <c r="F713" s="118" t="n"/>
      <c r="G713" s="120">
        <f>IF(C713="","",C713*D713)</f>
        <v/>
      </c>
      <c r="H713" s="120">
        <f>IF(C713="","",C713*E713)</f>
        <v/>
      </c>
      <c r="I713" s="115">
        <f>IF(C713="","",IFERROR(D713/(E713+(E713=0))-1,0))</f>
        <v/>
      </c>
      <c r="J713" s="117">
        <f>IF(C713="","",IF(ABS(I713)&gt;AYARLAR!$C$14,"RİSKLİ","NORMAL"))</f>
        <v/>
      </c>
      <c r="K713" s="115">
        <f>IF(G713="","",IFERROR(G713/MOTOR!$B$20,0))</f>
        <v/>
      </c>
      <c r="L713" s="117">
        <f>IF(C713="","",IF(F713="","EKSİK","TAM"))</f>
        <v/>
      </c>
      <c r="M713" s="118" t="n"/>
    </row>
    <row r="714" ht="15" customHeight="1" s="64">
      <c r="A714" s="118" t="n"/>
      <c r="B714" s="118" t="n"/>
      <c r="C714" s="118" t="n"/>
      <c r="D714" s="118" t="n"/>
      <c r="E714" s="118" t="n"/>
      <c r="F714" s="118" t="n"/>
      <c r="G714" s="120">
        <f>IF(C714="","",C714*D714)</f>
        <v/>
      </c>
      <c r="H714" s="120">
        <f>IF(C714="","",C714*E714)</f>
        <v/>
      </c>
      <c r="I714" s="115">
        <f>IF(C714="","",IFERROR(D714/(E714+(E714=0))-1,0))</f>
        <v/>
      </c>
      <c r="J714" s="117">
        <f>IF(C714="","",IF(ABS(I714)&gt;AYARLAR!$C$14,"RİSKLİ","NORMAL"))</f>
        <v/>
      </c>
      <c r="K714" s="115">
        <f>IF(G714="","",IFERROR(G714/MOTOR!$B$20,0))</f>
        <v/>
      </c>
      <c r="L714" s="117">
        <f>IF(C714="","",IF(F714="","EKSİK","TAM"))</f>
        <v/>
      </c>
      <c r="M714" s="118" t="n"/>
    </row>
    <row r="715" ht="15" customHeight="1" s="64">
      <c r="A715" s="118" t="n"/>
      <c r="B715" s="118" t="n"/>
      <c r="C715" s="118" t="n"/>
      <c r="D715" s="118" t="n"/>
      <c r="E715" s="118" t="n"/>
      <c r="F715" s="118" t="n"/>
      <c r="G715" s="120">
        <f>IF(C715="","",C715*D715)</f>
        <v/>
      </c>
      <c r="H715" s="120">
        <f>IF(C715="","",C715*E715)</f>
        <v/>
      </c>
      <c r="I715" s="115">
        <f>IF(C715="","",IFERROR(D715/(E715+(E715=0))-1,0))</f>
        <v/>
      </c>
      <c r="J715" s="117">
        <f>IF(C715="","",IF(ABS(I715)&gt;AYARLAR!$C$14,"RİSKLİ","NORMAL"))</f>
        <v/>
      </c>
      <c r="K715" s="115">
        <f>IF(G715="","",IFERROR(G715/MOTOR!$B$20,0))</f>
        <v/>
      </c>
      <c r="L715" s="117">
        <f>IF(C715="","",IF(F715="","EKSİK","TAM"))</f>
        <v/>
      </c>
      <c r="M715" s="118" t="n"/>
    </row>
    <row r="716" ht="15" customHeight="1" s="64">
      <c r="A716" s="118" t="n"/>
      <c r="B716" s="118" t="n"/>
      <c r="C716" s="118" t="n"/>
      <c r="D716" s="118" t="n"/>
      <c r="E716" s="118" t="n"/>
      <c r="F716" s="118" t="n"/>
      <c r="G716" s="120">
        <f>IF(C716="","",C716*D716)</f>
        <v/>
      </c>
      <c r="H716" s="120">
        <f>IF(C716="","",C716*E716)</f>
        <v/>
      </c>
      <c r="I716" s="115">
        <f>IF(C716="","",IFERROR(D716/(E716+(E716=0))-1,0))</f>
        <v/>
      </c>
      <c r="J716" s="117">
        <f>IF(C716="","",IF(ABS(I716)&gt;AYARLAR!$C$14,"RİSKLİ","NORMAL"))</f>
        <v/>
      </c>
      <c r="K716" s="115">
        <f>IF(G716="","",IFERROR(G716/MOTOR!$B$20,0))</f>
        <v/>
      </c>
      <c r="L716" s="117">
        <f>IF(C716="","",IF(F716="","EKSİK","TAM"))</f>
        <v/>
      </c>
      <c r="M716" s="118" t="n"/>
    </row>
    <row r="717" ht="15" customHeight="1" s="64">
      <c r="A717" s="118" t="n"/>
      <c r="B717" s="118" t="n"/>
      <c r="C717" s="118" t="n"/>
      <c r="D717" s="118" t="n"/>
      <c r="E717" s="118" t="n"/>
      <c r="F717" s="118" t="n"/>
      <c r="G717" s="120">
        <f>IF(C717="","",C717*D717)</f>
        <v/>
      </c>
      <c r="H717" s="120">
        <f>IF(C717="","",C717*E717)</f>
        <v/>
      </c>
      <c r="I717" s="115">
        <f>IF(C717="","",IFERROR(D717/(E717+(E717=0))-1,0))</f>
        <v/>
      </c>
      <c r="J717" s="117">
        <f>IF(C717="","",IF(ABS(I717)&gt;AYARLAR!$C$14,"RİSKLİ","NORMAL"))</f>
        <v/>
      </c>
      <c r="K717" s="115">
        <f>IF(G717="","",IFERROR(G717/MOTOR!$B$20,0))</f>
        <v/>
      </c>
      <c r="L717" s="117">
        <f>IF(C717="","",IF(F717="","EKSİK","TAM"))</f>
        <v/>
      </c>
      <c r="M717" s="118" t="n"/>
    </row>
    <row r="718" ht="15" customHeight="1" s="64">
      <c r="A718" s="118" t="n"/>
      <c r="B718" s="118" t="n"/>
      <c r="C718" s="118" t="n"/>
      <c r="D718" s="118" t="n"/>
      <c r="E718" s="118" t="n"/>
      <c r="F718" s="118" t="n"/>
      <c r="G718" s="120">
        <f>IF(C718="","",C718*D718)</f>
        <v/>
      </c>
      <c r="H718" s="120">
        <f>IF(C718="","",C718*E718)</f>
        <v/>
      </c>
      <c r="I718" s="115">
        <f>IF(C718="","",IFERROR(D718/(E718+(E718=0))-1,0))</f>
        <v/>
      </c>
      <c r="J718" s="117">
        <f>IF(C718="","",IF(ABS(I718)&gt;AYARLAR!$C$14,"RİSKLİ","NORMAL"))</f>
        <v/>
      </c>
      <c r="K718" s="115">
        <f>IF(G718="","",IFERROR(G718/MOTOR!$B$20,0))</f>
        <v/>
      </c>
      <c r="L718" s="117">
        <f>IF(C718="","",IF(F718="","EKSİK","TAM"))</f>
        <v/>
      </c>
      <c r="M718" s="118" t="n"/>
    </row>
    <row r="719" ht="15" customHeight="1" s="64">
      <c r="A719" s="118" t="n"/>
      <c r="B719" s="118" t="n"/>
      <c r="C719" s="118" t="n"/>
      <c r="D719" s="118" t="n"/>
      <c r="E719" s="118" t="n"/>
      <c r="F719" s="118" t="n"/>
      <c r="G719" s="120">
        <f>IF(C719="","",C719*D719)</f>
        <v/>
      </c>
      <c r="H719" s="120">
        <f>IF(C719="","",C719*E719)</f>
        <v/>
      </c>
      <c r="I719" s="115">
        <f>IF(C719="","",IFERROR(D719/(E719+(E719=0))-1,0))</f>
        <v/>
      </c>
      <c r="J719" s="117">
        <f>IF(C719="","",IF(ABS(I719)&gt;AYARLAR!$C$14,"RİSKLİ","NORMAL"))</f>
        <v/>
      </c>
      <c r="K719" s="115">
        <f>IF(G719="","",IFERROR(G719/MOTOR!$B$20,0))</f>
        <v/>
      </c>
      <c r="L719" s="117">
        <f>IF(C719="","",IF(F719="","EKSİK","TAM"))</f>
        <v/>
      </c>
      <c r="M719" s="118" t="n"/>
    </row>
    <row r="720" ht="15" customHeight="1" s="64">
      <c r="A720" s="118" t="n"/>
      <c r="B720" s="118" t="n"/>
      <c r="C720" s="118" t="n"/>
      <c r="D720" s="118" t="n"/>
      <c r="E720" s="118" t="n"/>
      <c r="F720" s="118" t="n"/>
      <c r="G720" s="120">
        <f>IF(C720="","",C720*D720)</f>
        <v/>
      </c>
      <c r="H720" s="120">
        <f>IF(C720="","",C720*E720)</f>
        <v/>
      </c>
      <c r="I720" s="115">
        <f>IF(C720="","",IFERROR(D720/(E720+(E720=0))-1,0))</f>
        <v/>
      </c>
      <c r="J720" s="117">
        <f>IF(C720="","",IF(ABS(I720)&gt;AYARLAR!$C$14,"RİSKLİ","NORMAL"))</f>
        <v/>
      </c>
      <c r="K720" s="115">
        <f>IF(G720="","",IFERROR(G720/MOTOR!$B$20,0))</f>
        <v/>
      </c>
      <c r="L720" s="117">
        <f>IF(C720="","",IF(F720="","EKSİK","TAM"))</f>
        <v/>
      </c>
      <c r="M720" s="118" t="n"/>
    </row>
    <row r="721" ht="15" customHeight="1" s="64">
      <c r="A721" s="118" t="n"/>
      <c r="B721" s="118" t="n"/>
      <c r="C721" s="118" t="n"/>
      <c r="D721" s="118" t="n"/>
      <c r="E721" s="118" t="n"/>
      <c r="F721" s="118" t="n"/>
      <c r="G721" s="120">
        <f>IF(C721="","",C721*D721)</f>
        <v/>
      </c>
      <c r="H721" s="120">
        <f>IF(C721="","",C721*E721)</f>
        <v/>
      </c>
      <c r="I721" s="115">
        <f>IF(C721="","",IFERROR(D721/(E721+(E721=0))-1,0))</f>
        <v/>
      </c>
      <c r="J721" s="117">
        <f>IF(C721="","",IF(ABS(I721)&gt;AYARLAR!$C$14,"RİSKLİ","NORMAL"))</f>
        <v/>
      </c>
      <c r="K721" s="115">
        <f>IF(G721="","",IFERROR(G721/MOTOR!$B$20,0))</f>
        <v/>
      </c>
      <c r="L721" s="117">
        <f>IF(C721="","",IF(F721="","EKSİK","TAM"))</f>
        <v/>
      </c>
      <c r="M721" s="118" t="n"/>
    </row>
    <row r="722" ht="15" customHeight="1" s="64">
      <c r="A722" s="118" t="n"/>
      <c r="B722" s="118" t="n"/>
      <c r="C722" s="118" t="n"/>
      <c r="D722" s="118" t="n"/>
      <c r="E722" s="118" t="n"/>
      <c r="F722" s="118" t="n"/>
      <c r="G722" s="120">
        <f>IF(C722="","",C722*D722)</f>
        <v/>
      </c>
      <c r="H722" s="120">
        <f>IF(C722="","",C722*E722)</f>
        <v/>
      </c>
      <c r="I722" s="115">
        <f>IF(C722="","",IFERROR(D722/(E722+(E722=0))-1,0))</f>
        <v/>
      </c>
      <c r="J722" s="117">
        <f>IF(C722="","",IF(ABS(I722)&gt;AYARLAR!$C$14,"RİSKLİ","NORMAL"))</f>
        <v/>
      </c>
      <c r="K722" s="115">
        <f>IF(G722="","",IFERROR(G722/MOTOR!$B$20,0))</f>
        <v/>
      </c>
      <c r="L722" s="117">
        <f>IF(C722="","",IF(F722="","EKSİK","TAM"))</f>
        <v/>
      </c>
      <c r="M722" s="118" t="n"/>
    </row>
    <row r="723" ht="15" customHeight="1" s="64">
      <c r="A723" s="118" t="n"/>
      <c r="B723" s="118" t="n"/>
      <c r="C723" s="118" t="n"/>
      <c r="D723" s="118" t="n"/>
      <c r="E723" s="118" t="n"/>
      <c r="F723" s="118" t="n"/>
      <c r="G723" s="120">
        <f>IF(C723="","",C723*D723)</f>
        <v/>
      </c>
      <c r="H723" s="120">
        <f>IF(C723="","",C723*E723)</f>
        <v/>
      </c>
      <c r="I723" s="115">
        <f>IF(C723="","",IFERROR(D723/(E723+(E723=0))-1,0))</f>
        <v/>
      </c>
      <c r="J723" s="117">
        <f>IF(C723="","",IF(ABS(I723)&gt;AYARLAR!$C$14,"RİSKLİ","NORMAL"))</f>
        <v/>
      </c>
      <c r="K723" s="115">
        <f>IF(G723="","",IFERROR(G723/MOTOR!$B$20,0))</f>
        <v/>
      </c>
      <c r="L723" s="117">
        <f>IF(C723="","",IF(F723="","EKSİK","TAM"))</f>
        <v/>
      </c>
      <c r="M723" s="118" t="n"/>
    </row>
    <row r="724" ht="15" customHeight="1" s="64">
      <c r="A724" s="118" t="n"/>
      <c r="B724" s="118" t="n"/>
      <c r="C724" s="118" t="n"/>
      <c r="D724" s="118" t="n"/>
      <c r="E724" s="118" t="n"/>
      <c r="F724" s="118" t="n"/>
      <c r="G724" s="120">
        <f>IF(C724="","",C724*D724)</f>
        <v/>
      </c>
      <c r="H724" s="120">
        <f>IF(C724="","",C724*E724)</f>
        <v/>
      </c>
      <c r="I724" s="115">
        <f>IF(C724="","",IFERROR(D724/(E724+(E724=0))-1,0))</f>
        <v/>
      </c>
      <c r="J724" s="117">
        <f>IF(C724="","",IF(ABS(I724)&gt;AYARLAR!$C$14,"RİSKLİ","NORMAL"))</f>
        <v/>
      </c>
      <c r="K724" s="115">
        <f>IF(G724="","",IFERROR(G724/MOTOR!$B$20,0))</f>
        <v/>
      </c>
      <c r="L724" s="117">
        <f>IF(C724="","",IF(F724="","EKSİK","TAM"))</f>
        <v/>
      </c>
      <c r="M724" s="118" t="n"/>
    </row>
    <row r="725" ht="15" customHeight="1" s="64">
      <c r="A725" s="118" t="n"/>
      <c r="B725" s="118" t="n"/>
      <c r="C725" s="118" t="n"/>
      <c r="D725" s="118" t="n"/>
      <c r="E725" s="118" t="n"/>
      <c r="F725" s="118" t="n"/>
      <c r="G725" s="120">
        <f>IF(C725="","",C725*D725)</f>
        <v/>
      </c>
      <c r="H725" s="120">
        <f>IF(C725="","",C725*E725)</f>
        <v/>
      </c>
      <c r="I725" s="115">
        <f>IF(C725="","",IFERROR(D725/(E725+(E725=0))-1,0))</f>
        <v/>
      </c>
      <c r="J725" s="117">
        <f>IF(C725="","",IF(ABS(I725)&gt;AYARLAR!$C$14,"RİSKLİ","NORMAL"))</f>
        <v/>
      </c>
      <c r="K725" s="115">
        <f>IF(G725="","",IFERROR(G725/MOTOR!$B$20,0))</f>
        <v/>
      </c>
      <c r="L725" s="117">
        <f>IF(C725="","",IF(F725="","EKSİK","TAM"))</f>
        <v/>
      </c>
      <c r="M725" s="118" t="n"/>
    </row>
    <row r="726" ht="15" customHeight="1" s="64">
      <c r="A726" s="118" t="n"/>
      <c r="B726" s="118" t="n"/>
      <c r="C726" s="118" t="n"/>
      <c r="D726" s="118" t="n"/>
      <c r="E726" s="118" t="n"/>
      <c r="F726" s="118" t="n"/>
      <c r="G726" s="120">
        <f>IF(C726="","",C726*D726)</f>
        <v/>
      </c>
      <c r="H726" s="120">
        <f>IF(C726="","",C726*E726)</f>
        <v/>
      </c>
      <c r="I726" s="115">
        <f>IF(C726="","",IFERROR(D726/(E726+(E726=0))-1,0))</f>
        <v/>
      </c>
      <c r="J726" s="117">
        <f>IF(C726="","",IF(ABS(I726)&gt;AYARLAR!$C$14,"RİSKLİ","NORMAL"))</f>
        <v/>
      </c>
      <c r="K726" s="115">
        <f>IF(G726="","",IFERROR(G726/MOTOR!$B$20,0))</f>
        <v/>
      </c>
      <c r="L726" s="117">
        <f>IF(C726="","",IF(F726="","EKSİK","TAM"))</f>
        <v/>
      </c>
      <c r="M726" s="118" t="n"/>
    </row>
    <row r="727" ht="15" customHeight="1" s="64">
      <c r="A727" s="118" t="n"/>
      <c r="B727" s="118" t="n"/>
      <c r="C727" s="118" t="n"/>
      <c r="D727" s="118" t="n"/>
      <c r="E727" s="118" t="n"/>
      <c r="F727" s="118" t="n"/>
      <c r="G727" s="120">
        <f>IF(C727="","",C727*D727)</f>
        <v/>
      </c>
      <c r="H727" s="120">
        <f>IF(C727="","",C727*E727)</f>
        <v/>
      </c>
      <c r="I727" s="115">
        <f>IF(C727="","",IFERROR(D727/(E727+(E727=0))-1,0))</f>
        <v/>
      </c>
      <c r="J727" s="117">
        <f>IF(C727="","",IF(ABS(I727)&gt;AYARLAR!$C$14,"RİSKLİ","NORMAL"))</f>
        <v/>
      </c>
      <c r="K727" s="115">
        <f>IF(G727="","",IFERROR(G727/MOTOR!$B$20,0))</f>
        <v/>
      </c>
      <c r="L727" s="117">
        <f>IF(C727="","",IF(F727="","EKSİK","TAM"))</f>
        <v/>
      </c>
      <c r="M727" s="118" t="n"/>
    </row>
    <row r="728" ht="15" customHeight="1" s="64">
      <c r="A728" s="118" t="n"/>
      <c r="B728" s="118" t="n"/>
      <c r="C728" s="118" t="n"/>
      <c r="D728" s="118" t="n"/>
      <c r="E728" s="118" t="n"/>
      <c r="F728" s="118" t="n"/>
      <c r="G728" s="120">
        <f>IF(C728="","",C728*D728)</f>
        <v/>
      </c>
      <c r="H728" s="120">
        <f>IF(C728="","",C728*E728)</f>
        <v/>
      </c>
      <c r="I728" s="115">
        <f>IF(C728="","",IFERROR(D728/(E728+(E728=0))-1,0))</f>
        <v/>
      </c>
      <c r="J728" s="117">
        <f>IF(C728="","",IF(ABS(I728)&gt;AYARLAR!$C$14,"RİSKLİ","NORMAL"))</f>
        <v/>
      </c>
      <c r="K728" s="115">
        <f>IF(G728="","",IFERROR(G728/MOTOR!$B$20,0))</f>
        <v/>
      </c>
      <c r="L728" s="117">
        <f>IF(C728="","",IF(F728="","EKSİK","TAM"))</f>
        <v/>
      </c>
      <c r="M728" s="118" t="n"/>
    </row>
    <row r="729" ht="15" customHeight="1" s="64">
      <c r="A729" s="118" t="n"/>
      <c r="B729" s="118" t="n"/>
      <c r="C729" s="118" t="n"/>
      <c r="D729" s="118" t="n"/>
      <c r="E729" s="118" t="n"/>
      <c r="F729" s="118" t="n"/>
      <c r="G729" s="120">
        <f>IF(C729="","",C729*D729)</f>
        <v/>
      </c>
      <c r="H729" s="120">
        <f>IF(C729="","",C729*E729)</f>
        <v/>
      </c>
      <c r="I729" s="115">
        <f>IF(C729="","",IFERROR(D729/(E729+(E729=0))-1,0))</f>
        <v/>
      </c>
      <c r="J729" s="117">
        <f>IF(C729="","",IF(ABS(I729)&gt;AYARLAR!$C$14,"RİSKLİ","NORMAL"))</f>
        <v/>
      </c>
      <c r="K729" s="115">
        <f>IF(G729="","",IFERROR(G729/MOTOR!$B$20,0))</f>
        <v/>
      </c>
      <c r="L729" s="117">
        <f>IF(C729="","",IF(F729="","EKSİK","TAM"))</f>
        <v/>
      </c>
      <c r="M729" s="118" t="n"/>
    </row>
    <row r="730" ht="15" customHeight="1" s="64">
      <c r="A730" s="118" t="n"/>
      <c r="B730" s="118" t="n"/>
      <c r="C730" s="118" t="n"/>
      <c r="D730" s="118" t="n"/>
      <c r="E730" s="118" t="n"/>
      <c r="F730" s="118" t="n"/>
      <c r="G730" s="120">
        <f>IF(C730="","",C730*D730)</f>
        <v/>
      </c>
      <c r="H730" s="120">
        <f>IF(C730="","",C730*E730)</f>
        <v/>
      </c>
      <c r="I730" s="115">
        <f>IF(C730="","",IFERROR(D730/(E730+(E730=0))-1,0))</f>
        <v/>
      </c>
      <c r="J730" s="117">
        <f>IF(C730="","",IF(ABS(I730)&gt;AYARLAR!$C$14,"RİSKLİ","NORMAL"))</f>
        <v/>
      </c>
      <c r="K730" s="115">
        <f>IF(G730="","",IFERROR(G730/MOTOR!$B$20,0))</f>
        <v/>
      </c>
      <c r="L730" s="117">
        <f>IF(C730="","",IF(F730="","EKSİK","TAM"))</f>
        <v/>
      </c>
      <c r="M730" s="118" t="n"/>
    </row>
    <row r="731" ht="15" customHeight="1" s="64">
      <c r="A731" s="118" t="n"/>
      <c r="B731" s="118" t="n"/>
      <c r="C731" s="118" t="n"/>
      <c r="D731" s="118" t="n"/>
      <c r="E731" s="118" t="n"/>
      <c r="F731" s="118" t="n"/>
      <c r="G731" s="120">
        <f>IF(C731="","",C731*D731)</f>
        <v/>
      </c>
      <c r="H731" s="120">
        <f>IF(C731="","",C731*E731)</f>
        <v/>
      </c>
      <c r="I731" s="115">
        <f>IF(C731="","",IFERROR(D731/(E731+(E731=0))-1,0))</f>
        <v/>
      </c>
      <c r="J731" s="117">
        <f>IF(C731="","",IF(ABS(I731)&gt;AYARLAR!$C$14,"RİSKLİ","NORMAL"))</f>
        <v/>
      </c>
      <c r="K731" s="115">
        <f>IF(G731="","",IFERROR(G731/MOTOR!$B$20,0))</f>
        <v/>
      </c>
      <c r="L731" s="117">
        <f>IF(C731="","",IF(F731="","EKSİK","TAM"))</f>
        <v/>
      </c>
      <c r="M731" s="118" t="n"/>
    </row>
    <row r="732" ht="15" customHeight="1" s="64">
      <c r="A732" s="118" t="n"/>
      <c r="B732" s="118" t="n"/>
      <c r="C732" s="118" t="n"/>
      <c r="D732" s="118" t="n"/>
      <c r="E732" s="118" t="n"/>
      <c r="F732" s="118" t="n"/>
      <c r="G732" s="120">
        <f>IF(C732="","",C732*D732)</f>
        <v/>
      </c>
      <c r="H732" s="120">
        <f>IF(C732="","",C732*E732)</f>
        <v/>
      </c>
      <c r="I732" s="115">
        <f>IF(C732="","",IFERROR(D732/(E732+(E732=0))-1,0))</f>
        <v/>
      </c>
      <c r="J732" s="117">
        <f>IF(C732="","",IF(ABS(I732)&gt;AYARLAR!$C$14,"RİSKLİ","NORMAL"))</f>
        <v/>
      </c>
      <c r="K732" s="115">
        <f>IF(G732="","",IFERROR(G732/MOTOR!$B$20,0))</f>
        <v/>
      </c>
      <c r="L732" s="117">
        <f>IF(C732="","",IF(F732="","EKSİK","TAM"))</f>
        <v/>
      </c>
      <c r="M732" s="118" t="n"/>
    </row>
    <row r="733" ht="15" customHeight="1" s="64">
      <c r="A733" s="118" t="n"/>
      <c r="B733" s="118" t="n"/>
      <c r="C733" s="118" t="n"/>
      <c r="D733" s="118" t="n"/>
      <c r="E733" s="118" t="n"/>
      <c r="F733" s="118" t="n"/>
      <c r="G733" s="120">
        <f>IF(C733="","",C733*D733)</f>
        <v/>
      </c>
      <c r="H733" s="120">
        <f>IF(C733="","",C733*E733)</f>
        <v/>
      </c>
      <c r="I733" s="115">
        <f>IF(C733="","",IFERROR(D733/(E733+(E733=0))-1,0))</f>
        <v/>
      </c>
      <c r="J733" s="117">
        <f>IF(C733="","",IF(ABS(I733)&gt;AYARLAR!$C$14,"RİSKLİ","NORMAL"))</f>
        <v/>
      </c>
      <c r="K733" s="115">
        <f>IF(G733="","",IFERROR(G733/MOTOR!$B$20,0))</f>
        <v/>
      </c>
      <c r="L733" s="117">
        <f>IF(C733="","",IF(F733="","EKSİK","TAM"))</f>
        <v/>
      </c>
      <c r="M733" s="118" t="n"/>
    </row>
    <row r="734" ht="15" customHeight="1" s="64">
      <c r="A734" s="118" t="n"/>
      <c r="B734" s="118" t="n"/>
      <c r="C734" s="118" t="n"/>
      <c r="D734" s="118" t="n"/>
      <c r="E734" s="118" t="n"/>
      <c r="F734" s="118" t="n"/>
      <c r="G734" s="120">
        <f>IF(C734="","",C734*D734)</f>
        <v/>
      </c>
      <c r="H734" s="120">
        <f>IF(C734="","",C734*E734)</f>
        <v/>
      </c>
      <c r="I734" s="115">
        <f>IF(C734="","",IFERROR(D734/(E734+(E734=0))-1,0))</f>
        <v/>
      </c>
      <c r="J734" s="117">
        <f>IF(C734="","",IF(ABS(I734)&gt;AYARLAR!$C$14,"RİSKLİ","NORMAL"))</f>
        <v/>
      </c>
      <c r="K734" s="115">
        <f>IF(G734="","",IFERROR(G734/MOTOR!$B$20,0))</f>
        <v/>
      </c>
      <c r="L734" s="117">
        <f>IF(C734="","",IF(F734="","EKSİK","TAM"))</f>
        <v/>
      </c>
      <c r="M734" s="118" t="n"/>
    </row>
    <row r="735" ht="15" customHeight="1" s="64">
      <c r="A735" s="118" t="n"/>
      <c r="B735" s="118" t="n"/>
      <c r="C735" s="118" t="n"/>
      <c r="D735" s="118" t="n"/>
      <c r="E735" s="118" t="n"/>
      <c r="F735" s="118" t="n"/>
      <c r="G735" s="120">
        <f>IF(C735="","",C735*D735)</f>
        <v/>
      </c>
      <c r="H735" s="120">
        <f>IF(C735="","",C735*E735)</f>
        <v/>
      </c>
      <c r="I735" s="115">
        <f>IF(C735="","",IFERROR(D735/(E735+(E735=0))-1,0))</f>
        <v/>
      </c>
      <c r="J735" s="117">
        <f>IF(C735="","",IF(ABS(I735)&gt;AYARLAR!$C$14,"RİSKLİ","NORMAL"))</f>
        <v/>
      </c>
      <c r="K735" s="115">
        <f>IF(G735="","",IFERROR(G735/MOTOR!$B$20,0))</f>
        <v/>
      </c>
      <c r="L735" s="117">
        <f>IF(C735="","",IF(F735="","EKSİK","TAM"))</f>
        <v/>
      </c>
      <c r="M735" s="118" t="n"/>
    </row>
    <row r="736" ht="15" customHeight="1" s="64">
      <c r="A736" s="118" t="n"/>
      <c r="B736" s="118" t="n"/>
      <c r="C736" s="118" t="n"/>
      <c r="D736" s="118" t="n"/>
      <c r="E736" s="118" t="n"/>
      <c r="F736" s="118" t="n"/>
      <c r="G736" s="120">
        <f>IF(C736="","",C736*D736)</f>
        <v/>
      </c>
      <c r="H736" s="120">
        <f>IF(C736="","",C736*E736)</f>
        <v/>
      </c>
      <c r="I736" s="115">
        <f>IF(C736="","",IFERROR(D736/(E736+(E736=0))-1,0))</f>
        <v/>
      </c>
      <c r="J736" s="117">
        <f>IF(C736="","",IF(ABS(I736)&gt;AYARLAR!$C$14,"RİSKLİ","NORMAL"))</f>
        <v/>
      </c>
      <c r="K736" s="115">
        <f>IF(G736="","",IFERROR(G736/MOTOR!$B$20,0))</f>
        <v/>
      </c>
      <c r="L736" s="117">
        <f>IF(C736="","",IF(F736="","EKSİK","TAM"))</f>
        <v/>
      </c>
      <c r="M736" s="118" t="n"/>
    </row>
    <row r="737" ht="15" customHeight="1" s="64">
      <c r="A737" s="118" t="n"/>
      <c r="B737" s="118" t="n"/>
      <c r="C737" s="118" t="n"/>
      <c r="D737" s="118" t="n"/>
      <c r="E737" s="118" t="n"/>
      <c r="F737" s="118" t="n"/>
      <c r="G737" s="120">
        <f>IF(C737="","",C737*D737)</f>
        <v/>
      </c>
      <c r="H737" s="120">
        <f>IF(C737="","",C737*E737)</f>
        <v/>
      </c>
      <c r="I737" s="115">
        <f>IF(C737="","",IFERROR(D737/(E737+(E737=0))-1,0))</f>
        <v/>
      </c>
      <c r="J737" s="117">
        <f>IF(C737="","",IF(ABS(I737)&gt;AYARLAR!$C$14,"RİSKLİ","NORMAL"))</f>
        <v/>
      </c>
      <c r="K737" s="115">
        <f>IF(G737="","",IFERROR(G737/MOTOR!$B$20,0))</f>
        <v/>
      </c>
      <c r="L737" s="117">
        <f>IF(C737="","",IF(F737="","EKSİK","TAM"))</f>
        <v/>
      </c>
      <c r="M737" s="118" t="n"/>
    </row>
    <row r="738" ht="15" customHeight="1" s="64">
      <c r="A738" s="118" t="n"/>
      <c r="B738" s="118" t="n"/>
      <c r="C738" s="118" t="n"/>
      <c r="D738" s="118" t="n"/>
      <c r="E738" s="118" t="n"/>
      <c r="F738" s="118" t="n"/>
      <c r="G738" s="120">
        <f>IF(C738="","",C738*D738)</f>
        <v/>
      </c>
      <c r="H738" s="120">
        <f>IF(C738="","",C738*E738)</f>
        <v/>
      </c>
      <c r="I738" s="115">
        <f>IF(C738="","",IFERROR(D738/(E738+(E738=0))-1,0))</f>
        <v/>
      </c>
      <c r="J738" s="117">
        <f>IF(C738="","",IF(ABS(I738)&gt;AYARLAR!$C$14,"RİSKLİ","NORMAL"))</f>
        <v/>
      </c>
      <c r="K738" s="115">
        <f>IF(G738="","",IFERROR(G738/MOTOR!$B$20,0))</f>
        <v/>
      </c>
      <c r="L738" s="117">
        <f>IF(C738="","",IF(F738="","EKSİK","TAM"))</f>
        <v/>
      </c>
      <c r="M738" s="118" t="n"/>
    </row>
    <row r="739" ht="15" customHeight="1" s="64">
      <c r="A739" s="118" t="n"/>
      <c r="B739" s="118" t="n"/>
      <c r="C739" s="118" t="n"/>
      <c r="D739" s="118" t="n"/>
      <c r="E739" s="118" t="n"/>
      <c r="F739" s="118" t="n"/>
      <c r="G739" s="120">
        <f>IF(C739="","",C739*D739)</f>
        <v/>
      </c>
      <c r="H739" s="120">
        <f>IF(C739="","",C739*E739)</f>
        <v/>
      </c>
      <c r="I739" s="115">
        <f>IF(C739="","",IFERROR(D739/(E739+(E739=0))-1,0))</f>
        <v/>
      </c>
      <c r="J739" s="117">
        <f>IF(C739="","",IF(ABS(I739)&gt;AYARLAR!$C$14,"RİSKLİ","NORMAL"))</f>
        <v/>
      </c>
      <c r="K739" s="115">
        <f>IF(G739="","",IFERROR(G739/MOTOR!$B$20,0))</f>
        <v/>
      </c>
      <c r="L739" s="117">
        <f>IF(C739="","",IF(F739="","EKSİK","TAM"))</f>
        <v/>
      </c>
      <c r="M739" s="118" t="n"/>
    </row>
    <row r="740" ht="15" customHeight="1" s="64">
      <c r="A740" s="118" t="n"/>
      <c r="B740" s="118" t="n"/>
      <c r="C740" s="118" t="n"/>
      <c r="D740" s="118" t="n"/>
      <c r="E740" s="118" t="n"/>
      <c r="F740" s="118" t="n"/>
      <c r="G740" s="120">
        <f>IF(C740="","",C740*D740)</f>
        <v/>
      </c>
      <c r="H740" s="120">
        <f>IF(C740="","",C740*E740)</f>
        <v/>
      </c>
      <c r="I740" s="115">
        <f>IF(C740="","",IFERROR(D740/(E740+(E740=0))-1,0))</f>
        <v/>
      </c>
      <c r="J740" s="117">
        <f>IF(C740="","",IF(ABS(I740)&gt;AYARLAR!$C$14,"RİSKLİ","NORMAL"))</f>
        <v/>
      </c>
      <c r="K740" s="115">
        <f>IF(G740="","",IFERROR(G740/MOTOR!$B$20,0))</f>
        <v/>
      </c>
      <c r="L740" s="117">
        <f>IF(C740="","",IF(F740="","EKSİK","TAM"))</f>
        <v/>
      </c>
      <c r="M740" s="118" t="n"/>
    </row>
    <row r="741" ht="15" customHeight="1" s="64">
      <c r="A741" s="118" t="n"/>
      <c r="B741" s="118" t="n"/>
      <c r="C741" s="118" t="n"/>
      <c r="D741" s="118" t="n"/>
      <c r="E741" s="118" t="n"/>
      <c r="F741" s="118" t="n"/>
      <c r="G741" s="120">
        <f>IF(C741="","",C741*D741)</f>
        <v/>
      </c>
      <c r="H741" s="120">
        <f>IF(C741="","",C741*E741)</f>
        <v/>
      </c>
      <c r="I741" s="115">
        <f>IF(C741="","",IFERROR(D741/(E741+(E741=0))-1,0))</f>
        <v/>
      </c>
      <c r="J741" s="117">
        <f>IF(C741="","",IF(ABS(I741)&gt;AYARLAR!$C$14,"RİSKLİ","NORMAL"))</f>
        <v/>
      </c>
      <c r="K741" s="115">
        <f>IF(G741="","",IFERROR(G741/MOTOR!$B$20,0))</f>
        <v/>
      </c>
      <c r="L741" s="117">
        <f>IF(C741="","",IF(F741="","EKSİK","TAM"))</f>
        <v/>
      </c>
      <c r="M741" s="118" t="n"/>
    </row>
    <row r="742" ht="15" customHeight="1" s="64">
      <c r="A742" s="118" t="n"/>
      <c r="B742" s="118" t="n"/>
      <c r="C742" s="118" t="n"/>
      <c r="D742" s="118" t="n"/>
      <c r="E742" s="118" t="n"/>
      <c r="F742" s="118" t="n"/>
      <c r="G742" s="120">
        <f>IF(C742="","",C742*D742)</f>
        <v/>
      </c>
      <c r="H742" s="120">
        <f>IF(C742="","",C742*E742)</f>
        <v/>
      </c>
      <c r="I742" s="115">
        <f>IF(C742="","",IFERROR(D742/(E742+(E742=0))-1,0))</f>
        <v/>
      </c>
      <c r="J742" s="117">
        <f>IF(C742="","",IF(ABS(I742)&gt;AYARLAR!$C$14,"RİSKLİ","NORMAL"))</f>
        <v/>
      </c>
      <c r="K742" s="115">
        <f>IF(G742="","",IFERROR(G742/MOTOR!$B$20,0))</f>
        <v/>
      </c>
      <c r="L742" s="117">
        <f>IF(C742="","",IF(F742="","EKSİK","TAM"))</f>
        <v/>
      </c>
      <c r="M742" s="118" t="n"/>
    </row>
    <row r="743" ht="15" customHeight="1" s="64">
      <c r="A743" s="118" t="n"/>
      <c r="B743" s="118" t="n"/>
      <c r="C743" s="118" t="n"/>
      <c r="D743" s="118" t="n"/>
      <c r="E743" s="118" t="n"/>
      <c r="F743" s="118" t="n"/>
      <c r="G743" s="120">
        <f>IF(C743="","",C743*D743)</f>
        <v/>
      </c>
      <c r="H743" s="120">
        <f>IF(C743="","",C743*E743)</f>
        <v/>
      </c>
      <c r="I743" s="115">
        <f>IF(C743="","",IFERROR(D743/(E743+(E743=0))-1,0))</f>
        <v/>
      </c>
      <c r="J743" s="117">
        <f>IF(C743="","",IF(ABS(I743)&gt;AYARLAR!$C$14,"RİSKLİ","NORMAL"))</f>
        <v/>
      </c>
      <c r="K743" s="115">
        <f>IF(G743="","",IFERROR(G743/MOTOR!$B$20,0))</f>
        <v/>
      </c>
      <c r="L743" s="117">
        <f>IF(C743="","",IF(F743="","EKSİK","TAM"))</f>
        <v/>
      </c>
      <c r="M743" s="118" t="n"/>
    </row>
    <row r="744" ht="15" customHeight="1" s="64">
      <c r="A744" s="118" t="n"/>
      <c r="B744" s="118" t="n"/>
      <c r="C744" s="118" t="n"/>
      <c r="D744" s="118" t="n"/>
      <c r="E744" s="118" t="n"/>
      <c r="F744" s="118" t="n"/>
      <c r="G744" s="120">
        <f>IF(C744="","",C744*D744)</f>
        <v/>
      </c>
      <c r="H744" s="120">
        <f>IF(C744="","",C744*E744)</f>
        <v/>
      </c>
      <c r="I744" s="115">
        <f>IF(C744="","",IFERROR(D744/(E744+(E744=0))-1,0))</f>
        <v/>
      </c>
      <c r="J744" s="117">
        <f>IF(C744="","",IF(ABS(I744)&gt;AYARLAR!$C$14,"RİSKLİ","NORMAL"))</f>
        <v/>
      </c>
      <c r="K744" s="115">
        <f>IF(G744="","",IFERROR(G744/MOTOR!$B$20,0))</f>
        <v/>
      </c>
      <c r="L744" s="117">
        <f>IF(C744="","",IF(F744="","EKSİK","TAM"))</f>
        <v/>
      </c>
      <c r="M744" s="118" t="n"/>
    </row>
    <row r="745" ht="15" customHeight="1" s="64">
      <c r="A745" s="118" t="n"/>
      <c r="B745" s="118" t="n"/>
      <c r="C745" s="118" t="n"/>
      <c r="D745" s="118" t="n"/>
      <c r="E745" s="118" t="n"/>
      <c r="F745" s="118" t="n"/>
      <c r="G745" s="120">
        <f>IF(C745="","",C745*D745)</f>
        <v/>
      </c>
      <c r="H745" s="120">
        <f>IF(C745="","",C745*E745)</f>
        <v/>
      </c>
      <c r="I745" s="115">
        <f>IF(C745="","",IFERROR(D745/(E745+(E745=0))-1,0))</f>
        <v/>
      </c>
      <c r="J745" s="117">
        <f>IF(C745="","",IF(ABS(I745)&gt;AYARLAR!$C$14,"RİSKLİ","NORMAL"))</f>
        <v/>
      </c>
      <c r="K745" s="115">
        <f>IF(G745="","",IFERROR(G745/MOTOR!$B$20,0))</f>
        <v/>
      </c>
      <c r="L745" s="117">
        <f>IF(C745="","",IF(F745="","EKSİK","TAM"))</f>
        <v/>
      </c>
      <c r="M745" s="118" t="n"/>
    </row>
    <row r="746" ht="15" customHeight="1" s="64">
      <c r="A746" s="118" t="n"/>
      <c r="B746" s="118" t="n"/>
      <c r="C746" s="118" t="n"/>
      <c r="D746" s="118" t="n"/>
      <c r="E746" s="118" t="n"/>
      <c r="F746" s="118" t="n"/>
      <c r="G746" s="120">
        <f>IF(C746="","",C746*D746)</f>
        <v/>
      </c>
      <c r="H746" s="120">
        <f>IF(C746="","",C746*E746)</f>
        <v/>
      </c>
      <c r="I746" s="115">
        <f>IF(C746="","",IFERROR(D746/(E746+(E746=0))-1,0))</f>
        <v/>
      </c>
      <c r="J746" s="117">
        <f>IF(C746="","",IF(ABS(I746)&gt;AYARLAR!$C$14,"RİSKLİ","NORMAL"))</f>
        <v/>
      </c>
      <c r="K746" s="115">
        <f>IF(G746="","",IFERROR(G746/MOTOR!$B$20,0))</f>
        <v/>
      </c>
      <c r="L746" s="117">
        <f>IF(C746="","",IF(F746="","EKSİK","TAM"))</f>
        <v/>
      </c>
      <c r="M746" s="118" t="n"/>
    </row>
    <row r="747" ht="15" customHeight="1" s="64">
      <c r="A747" s="118" t="n"/>
      <c r="B747" s="118" t="n"/>
      <c r="C747" s="118" t="n"/>
      <c r="D747" s="118" t="n"/>
      <c r="E747" s="118" t="n"/>
      <c r="F747" s="118" t="n"/>
      <c r="G747" s="120">
        <f>IF(C747="","",C747*D747)</f>
        <v/>
      </c>
      <c r="H747" s="120">
        <f>IF(C747="","",C747*E747)</f>
        <v/>
      </c>
      <c r="I747" s="115">
        <f>IF(C747="","",IFERROR(D747/(E747+(E747=0))-1,0))</f>
        <v/>
      </c>
      <c r="J747" s="117">
        <f>IF(C747="","",IF(ABS(I747)&gt;AYARLAR!$C$14,"RİSKLİ","NORMAL"))</f>
        <v/>
      </c>
      <c r="K747" s="115">
        <f>IF(G747="","",IFERROR(G747/MOTOR!$B$20,0))</f>
        <v/>
      </c>
      <c r="L747" s="117">
        <f>IF(C747="","",IF(F747="","EKSİK","TAM"))</f>
        <v/>
      </c>
      <c r="M747" s="118" t="n"/>
    </row>
    <row r="748" ht="15" customHeight="1" s="64">
      <c r="A748" s="118" t="n"/>
      <c r="B748" s="118" t="n"/>
      <c r="C748" s="118" t="n"/>
      <c r="D748" s="118" t="n"/>
      <c r="E748" s="118" t="n"/>
      <c r="F748" s="118" t="n"/>
      <c r="G748" s="120">
        <f>IF(C748="","",C748*D748)</f>
        <v/>
      </c>
      <c r="H748" s="120">
        <f>IF(C748="","",C748*E748)</f>
        <v/>
      </c>
      <c r="I748" s="115">
        <f>IF(C748="","",IFERROR(D748/(E748+(E748=0))-1,0))</f>
        <v/>
      </c>
      <c r="J748" s="117">
        <f>IF(C748="","",IF(ABS(I748)&gt;AYARLAR!$C$14,"RİSKLİ","NORMAL"))</f>
        <v/>
      </c>
      <c r="K748" s="115">
        <f>IF(G748="","",IFERROR(G748/MOTOR!$B$20,0))</f>
        <v/>
      </c>
      <c r="L748" s="117">
        <f>IF(C748="","",IF(F748="","EKSİK","TAM"))</f>
        <v/>
      </c>
      <c r="M748" s="118" t="n"/>
    </row>
    <row r="749" ht="15" customHeight="1" s="64">
      <c r="A749" s="118" t="n"/>
      <c r="B749" s="118" t="n"/>
      <c r="C749" s="118" t="n"/>
      <c r="D749" s="118" t="n"/>
      <c r="E749" s="118" t="n"/>
      <c r="F749" s="118" t="n"/>
      <c r="G749" s="120">
        <f>IF(C749="","",C749*D749)</f>
        <v/>
      </c>
      <c r="H749" s="120">
        <f>IF(C749="","",C749*E749)</f>
        <v/>
      </c>
      <c r="I749" s="115">
        <f>IF(C749="","",IFERROR(D749/(E749+(E749=0))-1,0))</f>
        <v/>
      </c>
      <c r="J749" s="117">
        <f>IF(C749="","",IF(ABS(I749)&gt;AYARLAR!$C$14,"RİSKLİ","NORMAL"))</f>
        <v/>
      </c>
      <c r="K749" s="115">
        <f>IF(G749="","",IFERROR(G749/MOTOR!$B$20,0))</f>
        <v/>
      </c>
      <c r="L749" s="117">
        <f>IF(C749="","",IF(F749="","EKSİK","TAM"))</f>
        <v/>
      </c>
      <c r="M749" s="118" t="n"/>
    </row>
    <row r="750" ht="15" customHeight="1" s="64">
      <c r="A750" s="118" t="n"/>
      <c r="B750" s="118" t="n"/>
      <c r="C750" s="118" t="n"/>
      <c r="D750" s="118" t="n"/>
      <c r="E750" s="118" t="n"/>
      <c r="F750" s="118" t="n"/>
      <c r="G750" s="120">
        <f>IF(C750="","",C750*D750)</f>
        <v/>
      </c>
      <c r="H750" s="120">
        <f>IF(C750="","",C750*E750)</f>
        <v/>
      </c>
      <c r="I750" s="115">
        <f>IF(C750="","",IFERROR(D750/(E750+(E750=0))-1,0))</f>
        <v/>
      </c>
      <c r="J750" s="117">
        <f>IF(C750="","",IF(ABS(I750)&gt;AYARLAR!$C$14,"RİSKLİ","NORMAL"))</f>
        <v/>
      </c>
      <c r="K750" s="115">
        <f>IF(G750="","",IFERROR(G750/MOTOR!$B$20,0))</f>
        <v/>
      </c>
      <c r="L750" s="117">
        <f>IF(C750="","",IF(F750="","EKSİK","TAM"))</f>
        <v/>
      </c>
      <c r="M750" s="118" t="n"/>
    </row>
    <row r="751" ht="15" customHeight="1" s="64">
      <c r="A751" s="118" t="n"/>
      <c r="B751" s="118" t="n"/>
      <c r="C751" s="118" t="n"/>
      <c r="D751" s="118" t="n"/>
      <c r="E751" s="118" t="n"/>
      <c r="F751" s="118" t="n"/>
      <c r="G751" s="120">
        <f>IF(C751="","",C751*D751)</f>
        <v/>
      </c>
      <c r="H751" s="120">
        <f>IF(C751="","",C751*E751)</f>
        <v/>
      </c>
      <c r="I751" s="115">
        <f>IF(C751="","",IFERROR(D751/(E751+(E751=0))-1,0))</f>
        <v/>
      </c>
      <c r="J751" s="117">
        <f>IF(C751="","",IF(ABS(I751)&gt;AYARLAR!$C$14,"RİSKLİ","NORMAL"))</f>
        <v/>
      </c>
      <c r="K751" s="115">
        <f>IF(G751="","",IFERROR(G751/MOTOR!$B$20,0))</f>
        <v/>
      </c>
      <c r="L751" s="117">
        <f>IF(C751="","",IF(F751="","EKSİK","TAM"))</f>
        <v/>
      </c>
      <c r="M751" s="118" t="n"/>
    </row>
    <row r="752" ht="15" customHeight="1" s="64">
      <c r="A752" s="118" t="n"/>
      <c r="B752" s="118" t="n"/>
      <c r="C752" s="118" t="n"/>
      <c r="D752" s="118" t="n"/>
      <c r="E752" s="118" t="n"/>
      <c r="F752" s="118" t="n"/>
      <c r="G752" s="120">
        <f>IF(C752="","",C752*D752)</f>
        <v/>
      </c>
      <c r="H752" s="120">
        <f>IF(C752="","",C752*E752)</f>
        <v/>
      </c>
      <c r="I752" s="115">
        <f>IF(C752="","",IFERROR(D752/(E752+(E752=0))-1,0))</f>
        <v/>
      </c>
      <c r="J752" s="117">
        <f>IF(C752="","",IF(ABS(I752)&gt;AYARLAR!$C$14,"RİSKLİ","NORMAL"))</f>
        <v/>
      </c>
      <c r="K752" s="115">
        <f>IF(G752="","",IFERROR(G752/MOTOR!$B$20,0))</f>
        <v/>
      </c>
      <c r="L752" s="117">
        <f>IF(C752="","",IF(F752="","EKSİK","TAM"))</f>
        <v/>
      </c>
      <c r="M752" s="118" t="n"/>
    </row>
    <row r="753" ht="15" customHeight="1" s="64">
      <c r="A753" s="118" t="n"/>
      <c r="B753" s="118" t="n"/>
      <c r="C753" s="118" t="n"/>
      <c r="D753" s="118" t="n"/>
      <c r="E753" s="118" t="n"/>
      <c r="F753" s="118" t="n"/>
      <c r="G753" s="120">
        <f>IF(C753="","",C753*D753)</f>
        <v/>
      </c>
      <c r="H753" s="120">
        <f>IF(C753="","",C753*E753)</f>
        <v/>
      </c>
      <c r="I753" s="115">
        <f>IF(C753="","",IFERROR(D753/(E753+(E753=0))-1,0))</f>
        <v/>
      </c>
      <c r="J753" s="117">
        <f>IF(C753="","",IF(ABS(I753)&gt;AYARLAR!$C$14,"RİSKLİ","NORMAL"))</f>
        <v/>
      </c>
      <c r="K753" s="115">
        <f>IF(G753="","",IFERROR(G753/MOTOR!$B$20,0))</f>
        <v/>
      </c>
      <c r="L753" s="117">
        <f>IF(C753="","",IF(F753="","EKSİK","TAM"))</f>
        <v/>
      </c>
      <c r="M753" s="118" t="n"/>
    </row>
    <row r="754" ht="15" customHeight="1" s="64">
      <c r="A754" s="118" t="n"/>
      <c r="B754" s="118" t="n"/>
      <c r="C754" s="118" t="n"/>
      <c r="D754" s="118" t="n"/>
      <c r="E754" s="118" t="n"/>
      <c r="F754" s="118" t="n"/>
      <c r="G754" s="120">
        <f>IF(C754="","",C754*D754)</f>
        <v/>
      </c>
      <c r="H754" s="120">
        <f>IF(C754="","",C754*E754)</f>
        <v/>
      </c>
      <c r="I754" s="115">
        <f>IF(C754="","",IFERROR(D754/(E754+(E754=0))-1,0))</f>
        <v/>
      </c>
      <c r="J754" s="117">
        <f>IF(C754="","",IF(ABS(I754)&gt;AYARLAR!$C$14,"RİSKLİ","NORMAL"))</f>
        <v/>
      </c>
      <c r="K754" s="115">
        <f>IF(G754="","",IFERROR(G754/MOTOR!$B$20,0))</f>
        <v/>
      </c>
      <c r="L754" s="117">
        <f>IF(C754="","",IF(F754="","EKSİK","TAM"))</f>
        <v/>
      </c>
      <c r="M754" s="118" t="n"/>
    </row>
    <row r="755" ht="15" customHeight="1" s="64">
      <c r="A755" s="118" t="n"/>
      <c r="B755" s="118" t="n"/>
      <c r="C755" s="118" t="n"/>
      <c r="D755" s="118" t="n"/>
      <c r="E755" s="118" t="n"/>
      <c r="F755" s="118" t="n"/>
      <c r="G755" s="120">
        <f>IF(C755="","",C755*D755)</f>
        <v/>
      </c>
      <c r="H755" s="120">
        <f>IF(C755="","",C755*E755)</f>
        <v/>
      </c>
      <c r="I755" s="115">
        <f>IF(C755="","",IFERROR(D755/(E755+(E755=0))-1,0))</f>
        <v/>
      </c>
      <c r="J755" s="117">
        <f>IF(C755="","",IF(ABS(I755)&gt;AYARLAR!$C$14,"RİSKLİ","NORMAL"))</f>
        <v/>
      </c>
      <c r="K755" s="115">
        <f>IF(G755="","",IFERROR(G755/MOTOR!$B$20,0))</f>
        <v/>
      </c>
      <c r="L755" s="117">
        <f>IF(C755="","",IF(F755="","EKSİK","TAM"))</f>
        <v/>
      </c>
      <c r="M755" s="118" t="n"/>
    </row>
    <row r="756" ht="15" customHeight="1" s="64">
      <c r="A756" s="118" t="n"/>
      <c r="B756" s="118" t="n"/>
      <c r="C756" s="118" t="n"/>
      <c r="D756" s="118" t="n"/>
      <c r="E756" s="118" t="n"/>
      <c r="F756" s="118" t="n"/>
      <c r="G756" s="120">
        <f>IF(C756="","",C756*D756)</f>
        <v/>
      </c>
      <c r="H756" s="120">
        <f>IF(C756="","",C756*E756)</f>
        <v/>
      </c>
      <c r="I756" s="115">
        <f>IF(C756="","",IFERROR(D756/(E756+(E756=0))-1,0))</f>
        <v/>
      </c>
      <c r="J756" s="117">
        <f>IF(C756="","",IF(ABS(I756)&gt;AYARLAR!$C$14,"RİSKLİ","NORMAL"))</f>
        <v/>
      </c>
      <c r="K756" s="115">
        <f>IF(G756="","",IFERROR(G756/MOTOR!$B$20,0))</f>
        <v/>
      </c>
      <c r="L756" s="117">
        <f>IF(C756="","",IF(F756="","EKSİK","TAM"))</f>
        <v/>
      </c>
      <c r="M756" s="118" t="n"/>
    </row>
    <row r="757" ht="15" customHeight="1" s="64">
      <c r="A757" s="118" t="n"/>
      <c r="B757" s="118" t="n"/>
      <c r="C757" s="118" t="n"/>
      <c r="D757" s="118" t="n"/>
      <c r="E757" s="118" t="n"/>
      <c r="F757" s="118" t="n"/>
      <c r="G757" s="120">
        <f>IF(C757="","",C757*D757)</f>
        <v/>
      </c>
      <c r="H757" s="120">
        <f>IF(C757="","",C757*E757)</f>
        <v/>
      </c>
      <c r="I757" s="115">
        <f>IF(C757="","",IFERROR(D757/(E757+(E757=0))-1,0))</f>
        <v/>
      </c>
      <c r="J757" s="117">
        <f>IF(C757="","",IF(ABS(I757)&gt;AYARLAR!$C$14,"RİSKLİ","NORMAL"))</f>
        <v/>
      </c>
      <c r="K757" s="115">
        <f>IF(G757="","",IFERROR(G757/MOTOR!$B$20,0))</f>
        <v/>
      </c>
      <c r="L757" s="117">
        <f>IF(C757="","",IF(F757="","EKSİK","TAM"))</f>
        <v/>
      </c>
      <c r="M757" s="118" t="n"/>
    </row>
    <row r="758" ht="15" customHeight="1" s="64">
      <c r="A758" s="118" t="n"/>
      <c r="B758" s="118" t="n"/>
      <c r="C758" s="118" t="n"/>
      <c r="D758" s="118" t="n"/>
      <c r="E758" s="118" t="n"/>
      <c r="F758" s="118" t="n"/>
      <c r="G758" s="120">
        <f>IF(C758="","",C758*D758)</f>
        <v/>
      </c>
      <c r="H758" s="120">
        <f>IF(C758="","",C758*E758)</f>
        <v/>
      </c>
      <c r="I758" s="115">
        <f>IF(C758="","",IFERROR(D758/(E758+(E758=0))-1,0))</f>
        <v/>
      </c>
      <c r="J758" s="117">
        <f>IF(C758="","",IF(ABS(I758)&gt;AYARLAR!$C$14,"RİSKLİ","NORMAL"))</f>
        <v/>
      </c>
      <c r="K758" s="115">
        <f>IF(G758="","",IFERROR(G758/MOTOR!$B$20,0))</f>
        <v/>
      </c>
      <c r="L758" s="117">
        <f>IF(C758="","",IF(F758="","EKSİK","TAM"))</f>
        <v/>
      </c>
      <c r="M758" s="118" t="n"/>
    </row>
    <row r="759" ht="15" customHeight="1" s="64">
      <c r="A759" s="118" t="n"/>
      <c r="B759" s="118" t="n"/>
      <c r="C759" s="118" t="n"/>
      <c r="D759" s="118" t="n"/>
      <c r="E759" s="118" t="n"/>
      <c r="F759" s="118" t="n"/>
      <c r="G759" s="120">
        <f>IF(C759="","",C759*D759)</f>
        <v/>
      </c>
      <c r="H759" s="120">
        <f>IF(C759="","",C759*E759)</f>
        <v/>
      </c>
      <c r="I759" s="115">
        <f>IF(C759="","",IFERROR(D759/(E759+(E759=0))-1,0))</f>
        <v/>
      </c>
      <c r="J759" s="117">
        <f>IF(C759="","",IF(ABS(I759)&gt;AYARLAR!$C$14,"RİSKLİ","NORMAL"))</f>
        <v/>
      </c>
      <c r="K759" s="115">
        <f>IF(G759="","",IFERROR(G759/MOTOR!$B$20,0))</f>
        <v/>
      </c>
      <c r="L759" s="117">
        <f>IF(C759="","",IF(F759="","EKSİK","TAM"))</f>
        <v/>
      </c>
      <c r="M759" s="118" t="n"/>
    </row>
    <row r="760" ht="15" customHeight="1" s="64">
      <c r="A760" s="118" t="n"/>
      <c r="B760" s="118" t="n"/>
      <c r="C760" s="118" t="n"/>
      <c r="D760" s="118" t="n"/>
      <c r="E760" s="118" t="n"/>
      <c r="F760" s="118" t="n"/>
      <c r="G760" s="120">
        <f>IF(C760="","",C760*D760)</f>
        <v/>
      </c>
      <c r="H760" s="120">
        <f>IF(C760="","",C760*E760)</f>
        <v/>
      </c>
      <c r="I760" s="115">
        <f>IF(C760="","",IFERROR(D760/(E760+(E760=0))-1,0))</f>
        <v/>
      </c>
      <c r="J760" s="117">
        <f>IF(C760="","",IF(ABS(I760)&gt;AYARLAR!$C$14,"RİSKLİ","NORMAL"))</f>
        <v/>
      </c>
      <c r="K760" s="115">
        <f>IF(G760="","",IFERROR(G760/MOTOR!$B$20,0))</f>
        <v/>
      </c>
      <c r="L760" s="117">
        <f>IF(C760="","",IF(F760="","EKSİK","TAM"))</f>
        <v/>
      </c>
      <c r="M760" s="118" t="n"/>
    </row>
    <row r="761" ht="15" customHeight="1" s="64">
      <c r="A761" s="118" t="n"/>
      <c r="B761" s="118" t="n"/>
      <c r="C761" s="118" t="n"/>
      <c r="D761" s="118" t="n"/>
      <c r="E761" s="118" t="n"/>
      <c r="F761" s="118" t="n"/>
      <c r="G761" s="120">
        <f>IF(C761="","",C761*D761)</f>
        <v/>
      </c>
      <c r="H761" s="120">
        <f>IF(C761="","",C761*E761)</f>
        <v/>
      </c>
      <c r="I761" s="115">
        <f>IF(C761="","",IFERROR(D761/(E761+(E761=0))-1,0))</f>
        <v/>
      </c>
      <c r="J761" s="117">
        <f>IF(C761="","",IF(ABS(I761)&gt;AYARLAR!$C$14,"RİSKLİ","NORMAL"))</f>
        <v/>
      </c>
      <c r="K761" s="115">
        <f>IF(G761="","",IFERROR(G761/MOTOR!$B$20,0))</f>
        <v/>
      </c>
      <c r="L761" s="117">
        <f>IF(C761="","",IF(F761="","EKSİK","TAM"))</f>
        <v/>
      </c>
      <c r="M761" s="118" t="n"/>
    </row>
    <row r="762" ht="15" customHeight="1" s="64">
      <c r="A762" s="118" t="n"/>
      <c r="B762" s="118" t="n"/>
      <c r="C762" s="118" t="n"/>
      <c r="D762" s="118" t="n"/>
      <c r="E762" s="118" t="n"/>
      <c r="F762" s="118" t="n"/>
      <c r="G762" s="120">
        <f>IF(C762="","",C762*D762)</f>
        <v/>
      </c>
      <c r="H762" s="120">
        <f>IF(C762="","",C762*E762)</f>
        <v/>
      </c>
      <c r="I762" s="115">
        <f>IF(C762="","",IFERROR(D762/(E762+(E762=0))-1,0))</f>
        <v/>
      </c>
      <c r="J762" s="117">
        <f>IF(C762="","",IF(ABS(I762)&gt;AYARLAR!$C$14,"RİSKLİ","NORMAL"))</f>
        <v/>
      </c>
      <c r="K762" s="115">
        <f>IF(G762="","",IFERROR(G762/MOTOR!$B$20,0))</f>
        <v/>
      </c>
      <c r="L762" s="117">
        <f>IF(C762="","",IF(F762="","EKSİK","TAM"))</f>
        <v/>
      </c>
      <c r="M762" s="118" t="n"/>
    </row>
    <row r="763" ht="15" customHeight="1" s="64">
      <c r="A763" s="118" t="n"/>
      <c r="B763" s="118" t="n"/>
      <c r="C763" s="118" t="n"/>
      <c r="D763" s="118" t="n"/>
      <c r="E763" s="118" t="n"/>
      <c r="F763" s="118" t="n"/>
      <c r="G763" s="120">
        <f>IF(C763="","",C763*D763)</f>
        <v/>
      </c>
      <c r="H763" s="120">
        <f>IF(C763="","",C763*E763)</f>
        <v/>
      </c>
      <c r="I763" s="115">
        <f>IF(C763="","",IFERROR(D763/(E763+(E763=0))-1,0))</f>
        <v/>
      </c>
      <c r="J763" s="117">
        <f>IF(C763="","",IF(ABS(I763)&gt;AYARLAR!$C$14,"RİSKLİ","NORMAL"))</f>
        <v/>
      </c>
      <c r="K763" s="115">
        <f>IF(G763="","",IFERROR(G763/MOTOR!$B$20,0))</f>
        <v/>
      </c>
      <c r="L763" s="117">
        <f>IF(C763="","",IF(F763="","EKSİK","TAM"))</f>
        <v/>
      </c>
      <c r="M763" s="118" t="n"/>
    </row>
    <row r="764" ht="15" customHeight="1" s="64">
      <c r="A764" s="118" t="n"/>
      <c r="B764" s="118" t="n"/>
      <c r="C764" s="118" t="n"/>
      <c r="D764" s="118" t="n"/>
      <c r="E764" s="118" t="n"/>
      <c r="F764" s="118" t="n"/>
      <c r="G764" s="120">
        <f>IF(C764="","",C764*D764)</f>
        <v/>
      </c>
      <c r="H764" s="120">
        <f>IF(C764="","",C764*E764)</f>
        <v/>
      </c>
      <c r="I764" s="115">
        <f>IF(C764="","",IFERROR(D764/(E764+(E764=0))-1,0))</f>
        <v/>
      </c>
      <c r="J764" s="117">
        <f>IF(C764="","",IF(ABS(I764)&gt;AYARLAR!$C$14,"RİSKLİ","NORMAL"))</f>
        <v/>
      </c>
      <c r="K764" s="115">
        <f>IF(G764="","",IFERROR(G764/MOTOR!$B$20,0))</f>
        <v/>
      </c>
      <c r="L764" s="117">
        <f>IF(C764="","",IF(F764="","EKSİK","TAM"))</f>
        <v/>
      </c>
      <c r="M764" s="118" t="n"/>
    </row>
    <row r="765" ht="15" customHeight="1" s="64">
      <c r="A765" s="118" t="n"/>
      <c r="B765" s="118" t="n"/>
      <c r="C765" s="118" t="n"/>
      <c r="D765" s="118" t="n"/>
      <c r="E765" s="118" t="n"/>
      <c r="F765" s="118" t="n"/>
      <c r="G765" s="120">
        <f>IF(C765="","",C765*D765)</f>
        <v/>
      </c>
      <c r="H765" s="120">
        <f>IF(C765="","",C765*E765)</f>
        <v/>
      </c>
      <c r="I765" s="115">
        <f>IF(C765="","",IFERROR(D765/(E765+(E765=0))-1,0))</f>
        <v/>
      </c>
      <c r="J765" s="117">
        <f>IF(C765="","",IF(ABS(I765)&gt;AYARLAR!$C$14,"RİSKLİ","NORMAL"))</f>
        <v/>
      </c>
      <c r="K765" s="115">
        <f>IF(G765="","",IFERROR(G765/MOTOR!$B$20,0))</f>
        <v/>
      </c>
      <c r="L765" s="117">
        <f>IF(C765="","",IF(F765="","EKSİK","TAM"))</f>
        <v/>
      </c>
      <c r="M765" s="118" t="n"/>
    </row>
    <row r="766" ht="15" customHeight="1" s="64">
      <c r="A766" s="118" t="n"/>
      <c r="B766" s="118" t="n"/>
      <c r="C766" s="118" t="n"/>
      <c r="D766" s="118" t="n"/>
      <c r="E766" s="118" t="n"/>
      <c r="F766" s="118" t="n"/>
      <c r="G766" s="120">
        <f>IF(C766="","",C766*D766)</f>
        <v/>
      </c>
      <c r="H766" s="120">
        <f>IF(C766="","",C766*E766)</f>
        <v/>
      </c>
      <c r="I766" s="115">
        <f>IF(C766="","",IFERROR(D766/(E766+(E766=0))-1,0))</f>
        <v/>
      </c>
      <c r="J766" s="117">
        <f>IF(C766="","",IF(ABS(I766)&gt;AYARLAR!$C$14,"RİSKLİ","NORMAL"))</f>
        <v/>
      </c>
      <c r="K766" s="115">
        <f>IF(G766="","",IFERROR(G766/MOTOR!$B$20,0))</f>
        <v/>
      </c>
      <c r="L766" s="117">
        <f>IF(C766="","",IF(F766="","EKSİK","TAM"))</f>
        <v/>
      </c>
      <c r="M766" s="118" t="n"/>
    </row>
    <row r="767" ht="15" customHeight="1" s="64">
      <c r="A767" s="118" t="n"/>
      <c r="B767" s="118" t="n"/>
      <c r="C767" s="118" t="n"/>
      <c r="D767" s="118" t="n"/>
      <c r="E767" s="118" t="n"/>
      <c r="F767" s="118" t="n"/>
      <c r="G767" s="120">
        <f>IF(C767="","",C767*D767)</f>
        <v/>
      </c>
      <c r="H767" s="120">
        <f>IF(C767="","",C767*E767)</f>
        <v/>
      </c>
      <c r="I767" s="115">
        <f>IF(C767="","",IFERROR(D767/(E767+(E767=0))-1,0))</f>
        <v/>
      </c>
      <c r="J767" s="117">
        <f>IF(C767="","",IF(ABS(I767)&gt;AYARLAR!$C$14,"RİSKLİ","NORMAL"))</f>
        <v/>
      </c>
      <c r="K767" s="115">
        <f>IF(G767="","",IFERROR(G767/MOTOR!$B$20,0))</f>
        <v/>
      </c>
      <c r="L767" s="117">
        <f>IF(C767="","",IF(F767="","EKSİK","TAM"))</f>
        <v/>
      </c>
      <c r="M767" s="118" t="n"/>
    </row>
    <row r="768" ht="15" customHeight="1" s="64">
      <c r="A768" s="118" t="n"/>
      <c r="B768" s="118" t="n"/>
      <c r="C768" s="118" t="n"/>
      <c r="D768" s="118" t="n"/>
      <c r="E768" s="118" t="n"/>
      <c r="F768" s="118" t="n"/>
      <c r="G768" s="120">
        <f>IF(C768="","",C768*D768)</f>
        <v/>
      </c>
      <c r="H768" s="120">
        <f>IF(C768="","",C768*E768)</f>
        <v/>
      </c>
      <c r="I768" s="115">
        <f>IF(C768="","",IFERROR(D768/(E768+(E768=0))-1,0))</f>
        <v/>
      </c>
      <c r="J768" s="117">
        <f>IF(C768="","",IF(ABS(I768)&gt;AYARLAR!$C$14,"RİSKLİ","NORMAL"))</f>
        <v/>
      </c>
      <c r="K768" s="115">
        <f>IF(G768="","",IFERROR(G768/MOTOR!$B$20,0))</f>
        <v/>
      </c>
      <c r="L768" s="117">
        <f>IF(C768="","",IF(F768="","EKSİK","TAM"))</f>
        <v/>
      </c>
      <c r="M768" s="118" t="n"/>
    </row>
    <row r="769" ht="15" customHeight="1" s="64">
      <c r="A769" s="118" t="n"/>
      <c r="B769" s="118" t="n"/>
      <c r="C769" s="118" t="n"/>
      <c r="D769" s="118" t="n"/>
      <c r="E769" s="118" t="n"/>
      <c r="F769" s="118" t="n"/>
      <c r="G769" s="120">
        <f>IF(C769="","",C769*D769)</f>
        <v/>
      </c>
      <c r="H769" s="120">
        <f>IF(C769="","",C769*E769)</f>
        <v/>
      </c>
      <c r="I769" s="115">
        <f>IF(C769="","",IFERROR(D769/(E769+(E769=0))-1,0))</f>
        <v/>
      </c>
      <c r="J769" s="117">
        <f>IF(C769="","",IF(ABS(I769)&gt;AYARLAR!$C$14,"RİSKLİ","NORMAL"))</f>
        <v/>
      </c>
      <c r="K769" s="115">
        <f>IF(G769="","",IFERROR(G769/MOTOR!$B$20,0))</f>
        <v/>
      </c>
      <c r="L769" s="117">
        <f>IF(C769="","",IF(F769="","EKSİK","TAM"))</f>
        <v/>
      </c>
      <c r="M769" s="118" t="n"/>
    </row>
    <row r="770" ht="15" customHeight="1" s="64">
      <c r="A770" s="118" t="n"/>
      <c r="B770" s="118" t="n"/>
      <c r="C770" s="118" t="n"/>
      <c r="D770" s="118" t="n"/>
      <c r="E770" s="118" t="n"/>
      <c r="F770" s="118" t="n"/>
      <c r="G770" s="120">
        <f>IF(C770="","",C770*D770)</f>
        <v/>
      </c>
      <c r="H770" s="120">
        <f>IF(C770="","",C770*E770)</f>
        <v/>
      </c>
      <c r="I770" s="115">
        <f>IF(C770="","",IFERROR(D770/(E770+(E770=0))-1,0))</f>
        <v/>
      </c>
      <c r="J770" s="117">
        <f>IF(C770="","",IF(ABS(I770)&gt;AYARLAR!$C$14,"RİSKLİ","NORMAL"))</f>
        <v/>
      </c>
      <c r="K770" s="115">
        <f>IF(G770="","",IFERROR(G770/MOTOR!$B$20,0))</f>
        <v/>
      </c>
      <c r="L770" s="117">
        <f>IF(C770="","",IF(F770="","EKSİK","TAM"))</f>
        <v/>
      </c>
      <c r="M770" s="118" t="n"/>
    </row>
    <row r="771" ht="15" customHeight="1" s="64">
      <c r="A771" s="118" t="n"/>
      <c r="B771" s="118" t="n"/>
      <c r="C771" s="118" t="n"/>
      <c r="D771" s="118" t="n"/>
      <c r="E771" s="118" t="n"/>
      <c r="F771" s="118" t="n"/>
      <c r="G771" s="120">
        <f>IF(C771="","",C771*D771)</f>
        <v/>
      </c>
      <c r="H771" s="120">
        <f>IF(C771="","",C771*E771)</f>
        <v/>
      </c>
      <c r="I771" s="115">
        <f>IF(C771="","",IFERROR(D771/(E771+(E771=0))-1,0))</f>
        <v/>
      </c>
      <c r="J771" s="117">
        <f>IF(C771="","",IF(ABS(I771)&gt;AYARLAR!$C$14,"RİSKLİ","NORMAL"))</f>
        <v/>
      </c>
      <c r="K771" s="115">
        <f>IF(G771="","",IFERROR(G771/MOTOR!$B$20,0))</f>
        <v/>
      </c>
      <c r="L771" s="117">
        <f>IF(C771="","",IF(F771="","EKSİK","TAM"))</f>
        <v/>
      </c>
      <c r="M771" s="118" t="n"/>
    </row>
    <row r="772" ht="15" customHeight="1" s="64">
      <c r="A772" s="118" t="n"/>
      <c r="B772" s="118" t="n"/>
      <c r="C772" s="118" t="n"/>
      <c r="D772" s="118" t="n"/>
      <c r="E772" s="118" t="n"/>
      <c r="F772" s="118" t="n"/>
      <c r="G772" s="120">
        <f>IF(C772="","",C772*D772)</f>
        <v/>
      </c>
      <c r="H772" s="120">
        <f>IF(C772="","",C772*E772)</f>
        <v/>
      </c>
      <c r="I772" s="115">
        <f>IF(C772="","",IFERROR(D772/(E772+(E772=0))-1,0))</f>
        <v/>
      </c>
      <c r="J772" s="117">
        <f>IF(C772="","",IF(ABS(I772)&gt;AYARLAR!$C$14,"RİSKLİ","NORMAL"))</f>
        <v/>
      </c>
      <c r="K772" s="115">
        <f>IF(G772="","",IFERROR(G772/MOTOR!$B$20,0))</f>
        <v/>
      </c>
      <c r="L772" s="117">
        <f>IF(C772="","",IF(F772="","EKSİK","TAM"))</f>
        <v/>
      </c>
      <c r="M772" s="118" t="n"/>
    </row>
    <row r="773" ht="15" customHeight="1" s="64">
      <c r="A773" s="118" t="n"/>
      <c r="B773" s="118" t="n"/>
      <c r="C773" s="118" t="n"/>
      <c r="D773" s="118" t="n"/>
      <c r="E773" s="118" t="n"/>
      <c r="F773" s="118" t="n"/>
      <c r="G773" s="120">
        <f>IF(C773="","",C773*D773)</f>
        <v/>
      </c>
      <c r="H773" s="120">
        <f>IF(C773="","",C773*E773)</f>
        <v/>
      </c>
      <c r="I773" s="115">
        <f>IF(C773="","",IFERROR(D773/(E773+(E773=0))-1,0))</f>
        <v/>
      </c>
      <c r="J773" s="117">
        <f>IF(C773="","",IF(ABS(I773)&gt;AYARLAR!$C$14,"RİSKLİ","NORMAL"))</f>
        <v/>
      </c>
      <c r="K773" s="115">
        <f>IF(G773="","",IFERROR(G773/MOTOR!$B$20,0))</f>
        <v/>
      </c>
      <c r="L773" s="117">
        <f>IF(C773="","",IF(F773="","EKSİK","TAM"))</f>
        <v/>
      </c>
      <c r="M773" s="118" t="n"/>
    </row>
    <row r="774" ht="15" customHeight="1" s="64">
      <c r="A774" s="118" t="n"/>
      <c r="B774" s="118" t="n"/>
      <c r="C774" s="118" t="n"/>
      <c r="D774" s="118" t="n"/>
      <c r="E774" s="118" t="n"/>
      <c r="F774" s="118" t="n"/>
      <c r="G774" s="120">
        <f>IF(C774="","",C774*D774)</f>
        <v/>
      </c>
      <c r="H774" s="120">
        <f>IF(C774="","",C774*E774)</f>
        <v/>
      </c>
      <c r="I774" s="115">
        <f>IF(C774="","",IFERROR(D774/(E774+(E774=0))-1,0))</f>
        <v/>
      </c>
      <c r="J774" s="117">
        <f>IF(C774="","",IF(ABS(I774)&gt;AYARLAR!$C$14,"RİSKLİ","NORMAL"))</f>
        <v/>
      </c>
      <c r="K774" s="115">
        <f>IF(G774="","",IFERROR(G774/MOTOR!$B$20,0))</f>
        <v/>
      </c>
      <c r="L774" s="117">
        <f>IF(C774="","",IF(F774="","EKSİK","TAM"))</f>
        <v/>
      </c>
      <c r="M774" s="118" t="n"/>
    </row>
    <row r="775" ht="15" customHeight="1" s="64">
      <c r="A775" s="118" t="n"/>
      <c r="B775" s="118" t="n"/>
      <c r="C775" s="118" t="n"/>
      <c r="D775" s="118" t="n"/>
      <c r="E775" s="118" t="n"/>
      <c r="F775" s="118" t="n"/>
      <c r="G775" s="120">
        <f>IF(C775="","",C775*D775)</f>
        <v/>
      </c>
      <c r="H775" s="120">
        <f>IF(C775="","",C775*E775)</f>
        <v/>
      </c>
      <c r="I775" s="115">
        <f>IF(C775="","",IFERROR(D775/(E775+(E775=0))-1,0))</f>
        <v/>
      </c>
      <c r="J775" s="117">
        <f>IF(C775="","",IF(ABS(I775)&gt;AYARLAR!$C$14,"RİSKLİ","NORMAL"))</f>
        <v/>
      </c>
      <c r="K775" s="115">
        <f>IF(G775="","",IFERROR(G775/MOTOR!$B$20,0))</f>
        <v/>
      </c>
      <c r="L775" s="117">
        <f>IF(C775="","",IF(F775="","EKSİK","TAM"))</f>
        <v/>
      </c>
      <c r="M775" s="118" t="n"/>
    </row>
    <row r="776" ht="15" customHeight="1" s="64">
      <c r="A776" s="118" t="n"/>
      <c r="B776" s="118" t="n"/>
      <c r="C776" s="118" t="n"/>
      <c r="D776" s="118" t="n"/>
      <c r="E776" s="118" t="n"/>
      <c r="F776" s="118" t="n"/>
      <c r="G776" s="120">
        <f>IF(C776="","",C776*D776)</f>
        <v/>
      </c>
      <c r="H776" s="120">
        <f>IF(C776="","",C776*E776)</f>
        <v/>
      </c>
      <c r="I776" s="115">
        <f>IF(C776="","",IFERROR(D776/(E776+(E776=0))-1,0))</f>
        <v/>
      </c>
      <c r="J776" s="117">
        <f>IF(C776="","",IF(ABS(I776)&gt;AYARLAR!$C$14,"RİSKLİ","NORMAL"))</f>
        <v/>
      </c>
      <c r="K776" s="115">
        <f>IF(G776="","",IFERROR(G776/MOTOR!$B$20,0))</f>
        <v/>
      </c>
      <c r="L776" s="117">
        <f>IF(C776="","",IF(F776="","EKSİK","TAM"))</f>
        <v/>
      </c>
      <c r="M776" s="118" t="n"/>
    </row>
    <row r="777" ht="15" customHeight="1" s="64">
      <c r="A777" s="118" t="n"/>
      <c r="B777" s="118" t="n"/>
      <c r="C777" s="118" t="n"/>
      <c r="D777" s="118" t="n"/>
      <c r="E777" s="118" t="n"/>
      <c r="F777" s="118" t="n"/>
      <c r="G777" s="120">
        <f>IF(C777="","",C777*D777)</f>
        <v/>
      </c>
      <c r="H777" s="120">
        <f>IF(C777="","",C777*E777)</f>
        <v/>
      </c>
      <c r="I777" s="115">
        <f>IF(C777="","",IFERROR(D777/(E777+(E777=0))-1,0))</f>
        <v/>
      </c>
      <c r="J777" s="117">
        <f>IF(C777="","",IF(ABS(I777)&gt;AYARLAR!$C$14,"RİSKLİ","NORMAL"))</f>
        <v/>
      </c>
      <c r="K777" s="115">
        <f>IF(G777="","",IFERROR(G777/MOTOR!$B$20,0))</f>
        <v/>
      </c>
      <c r="L777" s="117">
        <f>IF(C777="","",IF(F777="","EKSİK","TAM"))</f>
        <v/>
      </c>
      <c r="M777" s="118" t="n"/>
    </row>
    <row r="778" ht="15" customHeight="1" s="64">
      <c r="A778" s="118" t="n"/>
      <c r="B778" s="118" t="n"/>
      <c r="C778" s="118" t="n"/>
      <c r="D778" s="118" t="n"/>
      <c r="E778" s="118" t="n"/>
      <c r="F778" s="118" t="n"/>
      <c r="G778" s="120">
        <f>IF(C778="","",C778*D778)</f>
        <v/>
      </c>
      <c r="H778" s="120">
        <f>IF(C778="","",C778*E778)</f>
        <v/>
      </c>
      <c r="I778" s="115">
        <f>IF(C778="","",IFERROR(D778/(E778+(E778=0))-1,0))</f>
        <v/>
      </c>
      <c r="J778" s="117">
        <f>IF(C778="","",IF(ABS(I778)&gt;AYARLAR!$C$14,"RİSKLİ","NORMAL"))</f>
        <v/>
      </c>
      <c r="K778" s="115">
        <f>IF(G778="","",IFERROR(G778/MOTOR!$B$20,0))</f>
        <v/>
      </c>
      <c r="L778" s="117">
        <f>IF(C778="","",IF(F778="","EKSİK","TAM"))</f>
        <v/>
      </c>
      <c r="M778" s="118" t="n"/>
    </row>
    <row r="779" ht="15" customHeight="1" s="64">
      <c r="A779" s="118" t="n"/>
      <c r="B779" s="118" t="n"/>
      <c r="C779" s="118" t="n"/>
      <c r="D779" s="118" t="n"/>
      <c r="E779" s="118" t="n"/>
      <c r="F779" s="118" t="n"/>
      <c r="G779" s="120">
        <f>IF(C779="","",C779*D779)</f>
        <v/>
      </c>
      <c r="H779" s="120">
        <f>IF(C779="","",C779*E779)</f>
        <v/>
      </c>
      <c r="I779" s="115">
        <f>IF(C779="","",IFERROR(D779/(E779+(E779=0))-1,0))</f>
        <v/>
      </c>
      <c r="J779" s="117">
        <f>IF(C779="","",IF(ABS(I779)&gt;AYARLAR!$C$14,"RİSKLİ","NORMAL"))</f>
        <v/>
      </c>
      <c r="K779" s="115">
        <f>IF(G779="","",IFERROR(G779/MOTOR!$B$20,0))</f>
        <v/>
      </c>
      <c r="L779" s="117">
        <f>IF(C779="","",IF(F779="","EKSİK","TAM"))</f>
        <v/>
      </c>
      <c r="M779" s="118" t="n"/>
    </row>
    <row r="780" ht="15" customHeight="1" s="64">
      <c r="A780" s="118" t="n"/>
      <c r="B780" s="118" t="n"/>
      <c r="C780" s="118" t="n"/>
      <c r="D780" s="118" t="n"/>
      <c r="E780" s="118" t="n"/>
      <c r="F780" s="118" t="n"/>
      <c r="G780" s="120">
        <f>IF(C780="","",C780*D780)</f>
        <v/>
      </c>
      <c r="H780" s="120">
        <f>IF(C780="","",C780*E780)</f>
        <v/>
      </c>
      <c r="I780" s="115">
        <f>IF(C780="","",IFERROR(D780/(E780+(E780=0))-1,0))</f>
        <v/>
      </c>
      <c r="J780" s="117">
        <f>IF(C780="","",IF(ABS(I780)&gt;AYARLAR!$C$14,"RİSKLİ","NORMAL"))</f>
        <v/>
      </c>
      <c r="K780" s="115">
        <f>IF(G780="","",IFERROR(G780/MOTOR!$B$20,0))</f>
        <v/>
      </c>
      <c r="L780" s="117">
        <f>IF(C780="","",IF(F780="","EKSİK","TAM"))</f>
        <v/>
      </c>
      <c r="M780" s="118" t="n"/>
    </row>
    <row r="781" ht="15" customHeight="1" s="64">
      <c r="A781" s="118" t="n"/>
      <c r="B781" s="118" t="n"/>
      <c r="C781" s="118" t="n"/>
      <c r="D781" s="118" t="n"/>
      <c r="E781" s="118" t="n"/>
      <c r="F781" s="118" t="n"/>
      <c r="G781" s="120">
        <f>IF(C781="","",C781*D781)</f>
        <v/>
      </c>
      <c r="H781" s="120">
        <f>IF(C781="","",C781*E781)</f>
        <v/>
      </c>
      <c r="I781" s="115">
        <f>IF(C781="","",IFERROR(D781/(E781+(E781=0))-1,0))</f>
        <v/>
      </c>
      <c r="J781" s="117">
        <f>IF(C781="","",IF(ABS(I781)&gt;AYARLAR!$C$14,"RİSKLİ","NORMAL"))</f>
        <v/>
      </c>
      <c r="K781" s="115">
        <f>IF(G781="","",IFERROR(G781/MOTOR!$B$20,0))</f>
        <v/>
      </c>
      <c r="L781" s="117">
        <f>IF(C781="","",IF(F781="","EKSİK","TAM"))</f>
        <v/>
      </c>
      <c r="M781" s="118" t="n"/>
    </row>
    <row r="782" ht="15" customHeight="1" s="64">
      <c r="A782" s="118" t="n"/>
      <c r="B782" s="118" t="n"/>
      <c r="C782" s="118" t="n"/>
      <c r="D782" s="118" t="n"/>
      <c r="E782" s="118" t="n"/>
      <c r="F782" s="118" t="n"/>
      <c r="G782" s="120">
        <f>IF(C782="","",C782*D782)</f>
        <v/>
      </c>
      <c r="H782" s="120">
        <f>IF(C782="","",C782*E782)</f>
        <v/>
      </c>
      <c r="I782" s="115">
        <f>IF(C782="","",IFERROR(D782/(E782+(E782=0))-1,0))</f>
        <v/>
      </c>
      <c r="J782" s="117">
        <f>IF(C782="","",IF(ABS(I782)&gt;AYARLAR!$C$14,"RİSKLİ","NORMAL"))</f>
        <v/>
      </c>
      <c r="K782" s="115">
        <f>IF(G782="","",IFERROR(G782/MOTOR!$B$20,0))</f>
        <v/>
      </c>
      <c r="L782" s="117">
        <f>IF(C782="","",IF(F782="","EKSİK","TAM"))</f>
        <v/>
      </c>
      <c r="M782" s="118" t="n"/>
    </row>
    <row r="783" ht="15" customHeight="1" s="64">
      <c r="A783" s="118" t="n"/>
      <c r="B783" s="118" t="n"/>
      <c r="C783" s="118" t="n"/>
      <c r="D783" s="118" t="n"/>
      <c r="E783" s="118" t="n"/>
      <c r="F783" s="118" t="n"/>
      <c r="G783" s="120">
        <f>IF(C783="","",C783*D783)</f>
        <v/>
      </c>
      <c r="H783" s="120">
        <f>IF(C783="","",C783*E783)</f>
        <v/>
      </c>
      <c r="I783" s="115">
        <f>IF(C783="","",IFERROR(D783/(E783+(E783=0))-1,0))</f>
        <v/>
      </c>
      <c r="J783" s="117">
        <f>IF(C783="","",IF(ABS(I783)&gt;AYARLAR!$C$14,"RİSKLİ","NORMAL"))</f>
        <v/>
      </c>
      <c r="K783" s="115">
        <f>IF(G783="","",IFERROR(G783/MOTOR!$B$20,0))</f>
        <v/>
      </c>
      <c r="L783" s="117">
        <f>IF(C783="","",IF(F783="","EKSİK","TAM"))</f>
        <v/>
      </c>
      <c r="M783" s="118" t="n"/>
    </row>
    <row r="784" ht="15" customHeight="1" s="64">
      <c r="A784" s="118" t="n"/>
      <c r="B784" s="118" t="n"/>
      <c r="C784" s="118" t="n"/>
      <c r="D784" s="118" t="n"/>
      <c r="E784" s="118" t="n"/>
      <c r="F784" s="118" t="n"/>
      <c r="G784" s="120">
        <f>IF(C784="","",C784*D784)</f>
        <v/>
      </c>
      <c r="H784" s="120">
        <f>IF(C784="","",C784*E784)</f>
        <v/>
      </c>
      <c r="I784" s="115">
        <f>IF(C784="","",IFERROR(D784/(E784+(E784=0))-1,0))</f>
        <v/>
      </c>
      <c r="J784" s="117">
        <f>IF(C784="","",IF(ABS(I784)&gt;AYARLAR!$C$14,"RİSKLİ","NORMAL"))</f>
        <v/>
      </c>
      <c r="K784" s="115">
        <f>IF(G784="","",IFERROR(G784/MOTOR!$B$20,0))</f>
        <v/>
      </c>
      <c r="L784" s="117">
        <f>IF(C784="","",IF(F784="","EKSİK","TAM"))</f>
        <v/>
      </c>
      <c r="M784" s="118" t="n"/>
    </row>
    <row r="785" ht="15" customHeight="1" s="64">
      <c r="A785" s="118" t="n"/>
      <c r="B785" s="118" t="n"/>
      <c r="C785" s="118" t="n"/>
      <c r="D785" s="118" t="n"/>
      <c r="E785" s="118" t="n"/>
      <c r="F785" s="118" t="n"/>
      <c r="G785" s="120">
        <f>IF(C785="","",C785*D785)</f>
        <v/>
      </c>
      <c r="H785" s="120">
        <f>IF(C785="","",C785*E785)</f>
        <v/>
      </c>
      <c r="I785" s="115">
        <f>IF(C785="","",IFERROR(D785/(E785+(E785=0))-1,0))</f>
        <v/>
      </c>
      <c r="J785" s="117">
        <f>IF(C785="","",IF(ABS(I785)&gt;AYARLAR!$C$14,"RİSKLİ","NORMAL"))</f>
        <v/>
      </c>
      <c r="K785" s="115">
        <f>IF(G785="","",IFERROR(G785/MOTOR!$B$20,0))</f>
        <v/>
      </c>
      <c r="L785" s="117">
        <f>IF(C785="","",IF(F785="","EKSİK","TAM"))</f>
        <v/>
      </c>
      <c r="M785" s="118" t="n"/>
    </row>
    <row r="786" ht="15" customHeight="1" s="64">
      <c r="A786" s="118" t="n"/>
      <c r="B786" s="118" t="n"/>
      <c r="C786" s="118" t="n"/>
      <c r="D786" s="118" t="n"/>
      <c r="E786" s="118" t="n"/>
      <c r="F786" s="118" t="n"/>
      <c r="G786" s="120">
        <f>IF(C786="","",C786*D786)</f>
        <v/>
      </c>
      <c r="H786" s="120">
        <f>IF(C786="","",C786*E786)</f>
        <v/>
      </c>
      <c r="I786" s="115">
        <f>IF(C786="","",IFERROR(D786/(E786+(E786=0))-1,0))</f>
        <v/>
      </c>
      <c r="J786" s="117">
        <f>IF(C786="","",IF(ABS(I786)&gt;AYARLAR!$C$14,"RİSKLİ","NORMAL"))</f>
        <v/>
      </c>
      <c r="K786" s="115">
        <f>IF(G786="","",IFERROR(G786/MOTOR!$B$20,0))</f>
        <v/>
      </c>
      <c r="L786" s="117">
        <f>IF(C786="","",IF(F786="","EKSİK","TAM"))</f>
        <v/>
      </c>
      <c r="M786" s="118" t="n"/>
    </row>
    <row r="787" ht="15" customHeight="1" s="64">
      <c r="A787" s="118" t="n"/>
      <c r="B787" s="118" t="n"/>
      <c r="C787" s="118" t="n"/>
      <c r="D787" s="118" t="n"/>
      <c r="E787" s="118" t="n"/>
      <c r="F787" s="118" t="n"/>
      <c r="G787" s="120">
        <f>IF(C787="","",C787*D787)</f>
        <v/>
      </c>
      <c r="H787" s="120">
        <f>IF(C787="","",C787*E787)</f>
        <v/>
      </c>
      <c r="I787" s="115">
        <f>IF(C787="","",IFERROR(D787/(E787+(E787=0))-1,0))</f>
        <v/>
      </c>
      <c r="J787" s="117">
        <f>IF(C787="","",IF(ABS(I787)&gt;AYARLAR!$C$14,"RİSKLİ","NORMAL"))</f>
        <v/>
      </c>
      <c r="K787" s="115">
        <f>IF(G787="","",IFERROR(G787/MOTOR!$B$20,0))</f>
        <v/>
      </c>
      <c r="L787" s="117">
        <f>IF(C787="","",IF(F787="","EKSİK","TAM"))</f>
        <v/>
      </c>
      <c r="M787" s="118" t="n"/>
    </row>
    <row r="788" ht="15" customHeight="1" s="64">
      <c r="A788" s="118" t="n"/>
      <c r="B788" s="118" t="n"/>
      <c r="C788" s="118" t="n"/>
      <c r="D788" s="118" t="n"/>
      <c r="E788" s="118" t="n"/>
      <c r="F788" s="118" t="n"/>
      <c r="G788" s="120">
        <f>IF(C788="","",C788*D788)</f>
        <v/>
      </c>
      <c r="H788" s="120">
        <f>IF(C788="","",C788*E788)</f>
        <v/>
      </c>
      <c r="I788" s="115">
        <f>IF(C788="","",IFERROR(D788/(E788+(E788=0))-1,0))</f>
        <v/>
      </c>
      <c r="J788" s="117">
        <f>IF(C788="","",IF(ABS(I788)&gt;AYARLAR!$C$14,"RİSKLİ","NORMAL"))</f>
        <v/>
      </c>
      <c r="K788" s="115">
        <f>IF(G788="","",IFERROR(G788/MOTOR!$B$20,0))</f>
        <v/>
      </c>
      <c r="L788" s="117">
        <f>IF(C788="","",IF(F788="","EKSİK","TAM"))</f>
        <v/>
      </c>
      <c r="M788" s="118" t="n"/>
    </row>
    <row r="789" ht="15" customHeight="1" s="64">
      <c r="A789" s="118" t="n"/>
      <c r="B789" s="118" t="n"/>
      <c r="C789" s="118" t="n"/>
      <c r="D789" s="118" t="n"/>
      <c r="E789" s="118" t="n"/>
      <c r="F789" s="118" t="n"/>
      <c r="G789" s="120">
        <f>IF(C789="","",C789*D789)</f>
        <v/>
      </c>
      <c r="H789" s="120">
        <f>IF(C789="","",C789*E789)</f>
        <v/>
      </c>
      <c r="I789" s="115">
        <f>IF(C789="","",IFERROR(D789/(E789+(E789=0))-1,0))</f>
        <v/>
      </c>
      <c r="J789" s="117">
        <f>IF(C789="","",IF(ABS(I789)&gt;AYARLAR!$C$14,"RİSKLİ","NORMAL"))</f>
        <v/>
      </c>
      <c r="K789" s="115">
        <f>IF(G789="","",IFERROR(G789/MOTOR!$B$20,0))</f>
        <v/>
      </c>
      <c r="L789" s="117">
        <f>IF(C789="","",IF(F789="","EKSİK","TAM"))</f>
        <v/>
      </c>
      <c r="M789" s="118" t="n"/>
    </row>
    <row r="790" ht="15" customHeight="1" s="64">
      <c r="A790" s="118" t="n"/>
      <c r="B790" s="118" t="n"/>
      <c r="C790" s="118" t="n"/>
      <c r="D790" s="118" t="n"/>
      <c r="E790" s="118" t="n"/>
      <c r="F790" s="118" t="n"/>
      <c r="G790" s="120">
        <f>IF(C790="","",C790*D790)</f>
        <v/>
      </c>
      <c r="H790" s="120">
        <f>IF(C790="","",C790*E790)</f>
        <v/>
      </c>
      <c r="I790" s="115">
        <f>IF(C790="","",IFERROR(D790/(E790+(E790=0))-1,0))</f>
        <v/>
      </c>
      <c r="J790" s="117">
        <f>IF(C790="","",IF(ABS(I790)&gt;AYARLAR!$C$14,"RİSKLİ","NORMAL"))</f>
        <v/>
      </c>
      <c r="K790" s="115">
        <f>IF(G790="","",IFERROR(G790/MOTOR!$B$20,0))</f>
        <v/>
      </c>
      <c r="L790" s="117">
        <f>IF(C790="","",IF(F790="","EKSİK","TAM"))</f>
        <v/>
      </c>
      <c r="M790" s="118" t="n"/>
    </row>
    <row r="791" ht="15" customHeight="1" s="64">
      <c r="A791" s="118" t="n"/>
      <c r="B791" s="118" t="n"/>
      <c r="C791" s="118" t="n"/>
      <c r="D791" s="118" t="n"/>
      <c r="E791" s="118" t="n"/>
      <c r="F791" s="118" t="n"/>
      <c r="G791" s="120">
        <f>IF(C791="","",C791*D791)</f>
        <v/>
      </c>
      <c r="H791" s="120">
        <f>IF(C791="","",C791*E791)</f>
        <v/>
      </c>
      <c r="I791" s="115">
        <f>IF(C791="","",IFERROR(D791/(E791+(E791=0))-1,0))</f>
        <v/>
      </c>
      <c r="J791" s="117">
        <f>IF(C791="","",IF(ABS(I791)&gt;AYARLAR!$C$14,"RİSKLİ","NORMAL"))</f>
        <v/>
      </c>
      <c r="K791" s="115">
        <f>IF(G791="","",IFERROR(G791/MOTOR!$B$20,0))</f>
        <v/>
      </c>
      <c r="L791" s="117">
        <f>IF(C791="","",IF(F791="","EKSİK","TAM"))</f>
        <v/>
      </c>
      <c r="M791" s="118" t="n"/>
    </row>
    <row r="792" ht="15" customHeight="1" s="64">
      <c r="A792" s="118" t="n"/>
      <c r="B792" s="118" t="n"/>
      <c r="C792" s="118" t="n"/>
      <c r="D792" s="118" t="n"/>
      <c r="E792" s="118" t="n"/>
      <c r="F792" s="118" t="n"/>
      <c r="G792" s="120">
        <f>IF(C792="","",C792*D792)</f>
        <v/>
      </c>
      <c r="H792" s="120">
        <f>IF(C792="","",C792*E792)</f>
        <v/>
      </c>
      <c r="I792" s="115">
        <f>IF(C792="","",IFERROR(D792/(E792+(E792=0))-1,0))</f>
        <v/>
      </c>
      <c r="J792" s="117">
        <f>IF(C792="","",IF(ABS(I792)&gt;AYARLAR!$C$14,"RİSKLİ","NORMAL"))</f>
        <v/>
      </c>
      <c r="K792" s="115">
        <f>IF(G792="","",IFERROR(G792/MOTOR!$B$20,0))</f>
        <v/>
      </c>
      <c r="L792" s="117">
        <f>IF(C792="","",IF(F792="","EKSİK","TAM"))</f>
        <v/>
      </c>
      <c r="M792" s="118" t="n"/>
    </row>
    <row r="793" ht="15" customHeight="1" s="64">
      <c r="A793" s="118" t="n"/>
      <c r="B793" s="118" t="n"/>
      <c r="C793" s="118" t="n"/>
      <c r="D793" s="118" t="n"/>
      <c r="E793" s="118" t="n"/>
      <c r="F793" s="118" t="n"/>
      <c r="G793" s="120">
        <f>IF(C793="","",C793*D793)</f>
        <v/>
      </c>
      <c r="H793" s="120">
        <f>IF(C793="","",C793*E793)</f>
        <v/>
      </c>
      <c r="I793" s="115">
        <f>IF(C793="","",IFERROR(D793/(E793+(E793=0))-1,0))</f>
        <v/>
      </c>
      <c r="J793" s="117">
        <f>IF(C793="","",IF(ABS(I793)&gt;AYARLAR!$C$14,"RİSKLİ","NORMAL"))</f>
        <v/>
      </c>
      <c r="K793" s="115">
        <f>IF(G793="","",IFERROR(G793/MOTOR!$B$20,0))</f>
        <v/>
      </c>
      <c r="L793" s="117">
        <f>IF(C793="","",IF(F793="","EKSİK","TAM"))</f>
        <v/>
      </c>
      <c r="M793" s="118" t="n"/>
    </row>
    <row r="794" ht="15" customHeight="1" s="64">
      <c r="A794" s="118" t="n"/>
      <c r="B794" s="118" t="n"/>
      <c r="C794" s="118" t="n"/>
      <c r="D794" s="118" t="n"/>
      <c r="E794" s="118" t="n"/>
      <c r="F794" s="118" t="n"/>
      <c r="G794" s="120">
        <f>IF(C794="","",C794*D794)</f>
        <v/>
      </c>
      <c r="H794" s="120">
        <f>IF(C794="","",C794*E794)</f>
        <v/>
      </c>
      <c r="I794" s="115">
        <f>IF(C794="","",IFERROR(D794/(E794+(E794=0))-1,0))</f>
        <v/>
      </c>
      <c r="J794" s="117">
        <f>IF(C794="","",IF(ABS(I794)&gt;AYARLAR!$C$14,"RİSKLİ","NORMAL"))</f>
        <v/>
      </c>
      <c r="K794" s="115">
        <f>IF(G794="","",IFERROR(G794/MOTOR!$B$20,0))</f>
        <v/>
      </c>
      <c r="L794" s="117">
        <f>IF(C794="","",IF(F794="","EKSİK","TAM"))</f>
        <v/>
      </c>
      <c r="M794" s="118" t="n"/>
    </row>
    <row r="795" ht="15" customHeight="1" s="64">
      <c r="A795" s="118" t="n"/>
      <c r="B795" s="118" t="n"/>
      <c r="C795" s="118" t="n"/>
      <c r="D795" s="118" t="n"/>
      <c r="E795" s="118" t="n"/>
      <c r="F795" s="118" t="n"/>
      <c r="G795" s="120">
        <f>IF(C795="","",C795*D795)</f>
        <v/>
      </c>
      <c r="H795" s="120">
        <f>IF(C795="","",C795*E795)</f>
        <v/>
      </c>
      <c r="I795" s="115">
        <f>IF(C795="","",IFERROR(D795/(E795+(E795=0))-1,0))</f>
        <v/>
      </c>
      <c r="J795" s="117">
        <f>IF(C795="","",IF(ABS(I795)&gt;AYARLAR!$C$14,"RİSKLİ","NORMAL"))</f>
        <v/>
      </c>
      <c r="K795" s="115">
        <f>IF(G795="","",IFERROR(G795/MOTOR!$B$20,0))</f>
        <v/>
      </c>
      <c r="L795" s="117">
        <f>IF(C795="","",IF(F795="","EKSİK","TAM"))</f>
        <v/>
      </c>
      <c r="M795" s="118" t="n"/>
    </row>
    <row r="796" ht="15" customHeight="1" s="64">
      <c r="A796" s="118" t="n"/>
      <c r="B796" s="118" t="n"/>
      <c r="C796" s="118" t="n"/>
      <c r="D796" s="118" t="n"/>
      <c r="E796" s="118" t="n"/>
      <c r="F796" s="118" t="n"/>
      <c r="G796" s="120">
        <f>IF(C796="","",C796*D796)</f>
        <v/>
      </c>
      <c r="H796" s="120">
        <f>IF(C796="","",C796*E796)</f>
        <v/>
      </c>
      <c r="I796" s="115">
        <f>IF(C796="","",IFERROR(D796/(E796+(E796=0))-1,0))</f>
        <v/>
      </c>
      <c r="J796" s="117">
        <f>IF(C796="","",IF(ABS(I796)&gt;AYARLAR!$C$14,"RİSKLİ","NORMAL"))</f>
        <v/>
      </c>
      <c r="K796" s="115">
        <f>IF(G796="","",IFERROR(G796/MOTOR!$B$20,0))</f>
        <v/>
      </c>
      <c r="L796" s="117">
        <f>IF(C796="","",IF(F796="","EKSİK","TAM"))</f>
        <v/>
      </c>
      <c r="M796" s="118" t="n"/>
    </row>
    <row r="797" ht="15" customHeight="1" s="64">
      <c r="A797" s="118" t="n"/>
      <c r="B797" s="118" t="n"/>
      <c r="C797" s="118" t="n"/>
      <c r="D797" s="118" t="n"/>
      <c r="E797" s="118" t="n"/>
      <c r="F797" s="118" t="n"/>
      <c r="G797" s="120">
        <f>IF(C797="","",C797*D797)</f>
        <v/>
      </c>
      <c r="H797" s="120">
        <f>IF(C797="","",C797*E797)</f>
        <v/>
      </c>
      <c r="I797" s="115">
        <f>IF(C797="","",IFERROR(D797/(E797+(E797=0))-1,0))</f>
        <v/>
      </c>
      <c r="J797" s="117">
        <f>IF(C797="","",IF(ABS(I797)&gt;AYARLAR!$C$14,"RİSKLİ","NORMAL"))</f>
        <v/>
      </c>
      <c r="K797" s="115">
        <f>IF(G797="","",IFERROR(G797/MOTOR!$B$20,0))</f>
        <v/>
      </c>
      <c r="L797" s="117">
        <f>IF(C797="","",IF(F797="","EKSİK","TAM"))</f>
        <v/>
      </c>
      <c r="M797" s="118" t="n"/>
    </row>
    <row r="798" ht="15" customHeight="1" s="64">
      <c r="A798" s="118" t="n"/>
      <c r="B798" s="118" t="n"/>
      <c r="C798" s="118" t="n"/>
      <c r="D798" s="118" t="n"/>
      <c r="E798" s="118" t="n"/>
      <c r="F798" s="118" t="n"/>
      <c r="G798" s="120">
        <f>IF(C798="","",C798*D798)</f>
        <v/>
      </c>
      <c r="H798" s="120">
        <f>IF(C798="","",C798*E798)</f>
        <v/>
      </c>
      <c r="I798" s="115">
        <f>IF(C798="","",IFERROR(D798/(E798+(E798=0))-1,0))</f>
        <v/>
      </c>
      <c r="J798" s="117">
        <f>IF(C798="","",IF(ABS(I798)&gt;AYARLAR!$C$14,"RİSKLİ","NORMAL"))</f>
        <v/>
      </c>
      <c r="K798" s="115">
        <f>IF(G798="","",IFERROR(G798/MOTOR!$B$20,0))</f>
        <v/>
      </c>
      <c r="L798" s="117">
        <f>IF(C798="","",IF(F798="","EKSİK","TAM"))</f>
        <v/>
      </c>
      <c r="M798" s="118" t="n"/>
    </row>
    <row r="799" ht="15" customHeight="1" s="64">
      <c r="A799" s="118" t="n"/>
      <c r="B799" s="118" t="n"/>
      <c r="C799" s="118" t="n"/>
      <c r="D799" s="118" t="n"/>
      <c r="E799" s="118" t="n"/>
      <c r="F799" s="118" t="n"/>
      <c r="G799" s="120">
        <f>IF(C799="","",C799*D799)</f>
        <v/>
      </c>
      <c r="H799" s="120">
        <f>IF(C799="","",C799*E799)</f>
        <v/>
      </c>
      <c r="I799" s="115">
        <f>IF(C799="","",IFERROR(D799/(E799+(E799=0))-1,0))</f>
        <v/>
      </c>
      <c r="J799" s="117">
        <f>IF(C799="","",IF(ABS(I799)&gt;AYARLAR!$C$14,"RİSKLİ","NORMAL"))</f>
        <v/>
      </c>
      <c r="K799" s="115">
        <f>IF(G799="","",IFERROR(G799/MOTOR!$B$20,0))</f>
        <v/>
      </c>
      <c r="L799" s="117">
        <f>IF(C799="","",IF(F799="","EKSİK","TAM"))</f>
        <v/>
      </c>
      <c r="M799" s="118" t="n"/>
    </row>
    <row r="800" ht="15" customHeight="1" s="64">
      <c r="A800" s="118" t="n"/>
      <c r="B800" s="118" t="n"/>
      <c r="C800" s="118" t="n"/>
      <c r="D800" s="118" t="n"/>
      <c r="E800" s="118" t="n"/>
      <c r="F800" s="118" t="n"/>
      <c r="G800" s="120">
        <f>IF(C800="","",C800*D800)</f>
        <v/>
      </c>
      <c r="H800" s="120">
        <f>IF(C800="","",C800*E800)</f>
        <v/>
      </c>
      <c r="I800" s="115">
        <f>IF(C800="","",IFERROR(D800/(E800+(E800=0))-1,0))</f>
        <v/>
      </c>
      <c r="J800" s="117">
        <f>IF(C800="","",IF(ABS(I800)&gt;AYARLAR!$C$14,"RİSKLİ","NORMAL"))</f>
        <v/>
      </c>
      <c r="K800" s="115">
        <f>IF(G800="","",IFERROR(G800/MOTOR!$B$20,0))</f>
        <v/>
      </c>
      <c r="L800" s="117">
        <f>IF(C800="","",IF(F800="","EKSİK","TAM"))</f>
        <v/>
      </c>
      <c r="M800" s="118" t="n"/>
    </row>
    <row r="801" ht="15" customHeight="1" s="64">
      <c r="A801" s="118" t="n"/>
      <c r="B801" s="118" t="n"/>
      <c r="C801" s="118" t="n"/>
      <c r="D801" s="118" t="n"/>
      <c r="E801" s="118" t="n"/>
      <c r="F801" s="118" t="n"/>
      <c r="G801" s="120">
        <f>IF(C801="","",C801*D801)</f>
        <v/>
      </c>
      <c r="H801" s="120">
        <f>IF(C801="","",C801*E801)</f>
        <v/>
      </c>
      <c r="I801" s="115">
        <f>IF(C801="","",IFERROR(D801/(E801+(E801=0))-1,0))</f>
        <v/>
      </c>
      <c r="J801" s="117">
        <f>IF(C801="","",IF(ABS(I801)&gt;AYARLAR!$C$14,"RİSKLİ","NORMAL"))</f>
        <v/>
      </c>
      <c r="K801" s="115">
        <f>IF(G801="","",IFERROR(G801/MOTOR!$B$20,0))</f>
        <v/>
      </c>
      <c r="L801" s="117">
        <f>IF(C801="","",IF(F801="","EKSİK","TAM"))</f>
        <v/>
      </c>
      <c r="M801" s="118" t="n"/>
    </row>
    <row r="802" ht="15" customHeight="1" s="64">
      <c r="A802" s="118" t="n"/>
      <c r="B802" s="118" t="n"/>
      <c r="C802" s="118" t="n"/>
      <c r="D802" s="118" t="n"/>
      <c r="E802" s="118" t="n"/>
      <c r="F802" s="118" t="n"/>
      <c r="G802" s="120">
        <f>IF(C802="","",C802*D802)</f>
        <v/>
      </c>
      <c r="H802" s="120">
        <f>IF(C802="","",C802*E802)</f>
        <v/>
      </c>
      <c r="I802" s="115">
        <f>IF(C802="","",IFERROR(D802/(E802+(E802=0))-1,0))</f>
        <v/>
      </c>
      <c r="J802" s="117">
        <f>IF(C802="","",IF(ABS(I802)&gt;AYARLAR!$C$14,"RİSKLİ","NORMAL"))</f>
        <v/>
      </c>
      <c r="K802" s="115">
        <f>IF(G802="","",IFERROR(G802/MOTOR!$B$20,0))</f>
        <v/>
      </c>
      <c r="L802" s="117">
        <f>IF(C802="","",IF(F802="","EKSİK","TAM"))</f>
        <v/>
      </c>
      <c r="M802" s="118" t="n"/>
    </row>
    <row r="803" ht="15" customHeight="1" s="64">
      <c r="A803" s="118" t="n"/>
      <c r="B803" s="118" t="n"/>
      <c r="C803" s="118" t="n"/>
      <c r="D803" s="118" t="n"/>
      <c r="E803" s="118" t="n"/>
      <c r="F803" s="118" t="n"/>
      <c r="G803" s="120">
        <f>IF(C803="","",C803*D803)</f>
        <v/>
      </c>
      <c r="H803" s="120">
        <f>IF(C803="","",C803*E803)</f>
        <v/>
      </c>
      <c r="I803" s="115">
        <f>IF(C803="","",IFERROR(D803/(E803+(E803=0))-1,0))</f>
        <v/>
      </c>
      <c r="J803" s="117">
        <f>IF(C803="","",IF(ABS(I803)&gt;AYARLAR!$C$14,"RİSKLİ","NORMAL"))</f>
        <v/>
      </c>
      <c r="K803" s="115">
        <f>IF(G803="","",IFERROR(G803/MOTOR!$B$20,0))</f>
        <v/>
      </c>
      <c r="L803" s="117">
        <f>IF(C803="","",IF(F803="","EKSİK","TAM"))</f>
        <v/>
      </c>
      <c r="M803" s="118" t="n"/>
    </row>
    <row r="804" ht="15" customHeight="1" s="64">
      <c r="A804" s="118" t="n"/>
      <c r="B804" s="118" t="n"/>
      <c r="C804" s="118" t="n"/>
      <c r="D804" s="118" t="n"/>
      <c r="E804" s="118" t="n"/>
      <c r="F804" s="118" t="n"/>
      <c r="G804" s="120">
        <f>IF(C804="","",C804*D804)</f>
        <v/>
      </c>
      <c r="H804" s="120">
        <f>IF(C804="","",C804*E804)</f>
        <v/>
      </c>
      <c r="I804" s="115">
        <f>IF(C804="","",IFERROR(D804/(E804+(E804=0))-1,0))</f>
        <v/>
      </c>
      <c r="J804" s="117">
        <f>IF(C804="","",IF(ABS(I804)&gt;AYARLAR!$C$14,"RİSKLİ","NORMAL"))</f>
        <v/>
      </c>
      <c r="K804" s="115">
        <f>IF(G804="","",IFERROR(G804/MOTOR!$B$20,0))</f>
        <v/>
      </c>
      <c r="L804" s="117">
        <f>IF(C804="","",IF(F804="","EKSİK","TAM"))</f>
        <v/>
      </c>
      <c r="M804" s="118" t="n"/>
    </row>
    <row r="805" ht="15" customHeight="1" s="64">
      <c r="A805" s="118" t="n"/>
      <c r="B805" s="118" t="n"/>
      <c r="C805" s="118" t="n"/>
      <c r="D805" s="118" t="n"/>
      <c r="E805" s="118" t="n"/>
      <c r="F805" s="118" t="n"/>
      <c r="G805" s="120">
        <f>IF(C805="","",C805*D805)</f>
        <v/>
      </c>
      <c r="H805" s="120">
        <f>IF(C805="","",C805*E805)</f>
        <v/>
      </c>
      <c r="I805" s="115">
        <f>IF(C805="","",IFERROR(D805/(E805+(E805=0))-1,0))</f>
        <v/>
      </c>
      <c r="J805" s="117">
        <f>IF(C805="","",IF(ABS(I805)&gt;AYARLAR!$C$14,"RİSKLİ","NORMAL"))</f>
        <v/>
      </c>
      <c r="K805" s="115">
        <f>IF(G805="","",IFERROR(G805/MOTOR!$B$20,0))</f>
        <v/>
      </c>
      <c r="L805" s="117">
        <f>IF(C805="","",IF(F805="","EKSİK","TAM"))</f>
        <v/>
      </c>
      <c r="M805" s="118" t="n"/>
    </row>
    <row r="806" ht="15" customHeight="1" s="64">
      <c r="A806" s="118" t="n"/>
      <c r="B806" s="118" t="n"/>
      <c r="C806" s="118" t="n"/>
      <c r="D806" s="118" t="n"/>
      <c r="E806" s="118" t="n"/>
      <c r="F806" s="118" t="n"/>
      <c r="G806" s="120">
        <f>IF(C806="","",C806*D806)</f>
        <v/>
      </c>
      <c r="H806" s="120">
        <f>IF(C806="","",C806*E806)</f>
        <v/>
      </c>
      <c r="I806" s="115">
        <f>IF(C806="","",IFERROR(D806/(E806+(E806=0))-1,0))</f>
        <v/>
      </c>
      <c r="J806" s="117">
        <f>IF(C806="","",IF(ABS(I806)&gt;AYARLAR!$C$14,"RİSKLİ","NORMAL"))</f>
        <v/>
      </c>
      <c r="K806" s="115">
        <f>IF(G806="","",IFERROR(G806/MOTOR!$B$20,0))</f>
        <v/>
      </c>
      <c r="L806" s="117">
        <f>IF(C806="","",IF(F806="","EKSİK","TAM"))</f>
        <v/>
      </c>
      <c r="M806" s="118" t="n"/>
    </row>
    <row r="807" ht="15" customHeight="1" s="64">
      <c r="A807" s="118" t="n"/>
      <c r="B807" s="118" t="n"/>
      <c r="C807" s="118" t="n"/>
      <c r="D807" s="118" t="n"/>
      <c r="E807" s="118" t="n"/>
      <c r="F807" s="118" t="n"/>
      <c r="G807" s="120">
        <f>IF(C807="","",C807*D807)</f>
        <v/>
      </c>
      <c r="H807" s="120">
        <f>IF(C807="","",C807*E807)</f>
        <v/>
      </c>
      <c r="I807" s="115">
        <f>IF(C807="","",IFERROR(D807/(E807+(E807=0))-1,0))</f>
        <v/>
      </c>
      <c r="J807" s="117">
        <f>IF(C807="","",IF(ABS(I807)&gt;AYARLAR!$C$14,"RİSKLİ","NORMAL"))</f>
        <v/>
      </c>
      <c r="K807" s="115">
        <f>IF(G807="","",IFERROR(G807/MOTOR!$B$20,0))</f>
        <v/>
      </c>
      <c r="L807" s="117">
        <f>IF(C807="","",IF(F807="","EKSİK","TAM"))</f>
        <v/>
      </c>
      <c r="M807" s="118" t="n"/>
    </row>
    <row r="808" ht="15" customHeight="1" s="64">
      <c r="A808" s="118" t="n"/>
      <c r="B808" s="118" t="n"/>
      <c r="C808" s="118" t="n"/>
      <c r="D808" s="118" t="n"/>
      <c r="E808" s="118" t="n"/>
      <c r="F808" s="118" t="n"/>
      <c r="G808" s="120">
        <f>IF(C808="","",C808*D808)</f>
        <v/>
      </c>
      <c r="H808" s="120">
        <f>IF(C808="","",C808*E808)</f>
        <v/>
      </c>
      <c r="I808" s="115">
        <f>IF(C808="","",IFERROR(D808/(E808+(E808=0))-1,0))</f>
        <v/>
      </c>
      <c r="J808" s="117">
        <f>IF(C808="","",IF(ABS(I808)&gt;AYARLAR!$C$14,"RİSKLİ","NORMAL"))</f>
        <v/>
      </c>
      <c r="K808" s="115">
        <f>IF(G808="","",IFERROR(G808/MOTOR!$B$20,0))</f>
        <v/>
      </c>
      <c r="L808" s="117">
        <f>IF(C808="","",IF(F808="","EKSİK","TAM"))</f>
        <v/>
      </c>
      <c r="M808" s="118" t="n"/>
    </row>
    <row r="809" ht="15" customHeight="1" s="64">
      <c r="A809" s="118" t="n"/>
      <c r="B809" s="118" t="n"/>
      <c r="C809" s="118" t="n"/>
      <c r="D809" s="118" t="n"/>
      <c r="E809" s="118" t="n"/>
      <c r="F809" s="118" t="n"/>
      <c r="G809" s="120">
        <f>IF(C809="","",C809*D809)</f>
        <v/>
      </c>
      <c r="H809" s="120">
        <f>IF(C809="","",C809*E809)</f>
        <v/>
      </c>
      <c r="I809" s="115">
        <f>IF(C809="","",IFERROR(D809/(E809+(E809=0))-1,0))</f>
        <v/>
      </c>
      <c r="J809" s="117">
        <f>IF(C809="","",IF(ABS(I809)&gt;AYARLAR!$C$14,"RİSKLİ","NORMAL"))</f>
        <v/>
      </c>
      <c r="K809" s="115">
        <f>IF(G809="","",IFERROR(G809/MOTOR!$B$20,0))</f>
        <v/>
      </c>
      <c r="L809" s="117">
        <f>IF(C809="","",IF(F809="","EKSİK","TAM"))</f>
        <v/>
      </c>
      <c r="M809" s="118" t="n"/>
    </row>
    <row r="810" ht="15" customHeight="1" s="64">
      <c r="A810" s="118" t="n"/>
      <c r="B810" s="118" t="n"/>
      <c r="C810" s="118" t="n"/>
      <c r="D810" s="118" t="n"/>
      <c r="E810" s="118" t="n"/>
      <c r="F810" s="118" t="n"/>
      <c r="G810" s="120">
        <f>IF(C810="","",C810*D810)</f>
        <v/>
      </c>
      <c r="H810" s="120">
        <f>IF(C810="","",C810*E810)</f>
        <v/>
      </c>
      <c r="I810" s="115">
        <f>IF(C810="","",IFERROR(D810/(E810+(E810=0))-1,0))</f>
        <v/>
      </c>
      <c r="J810" s="117">
        <f>IF(C810="","",IF(ABS(I810)&gt;AYARLAR!$C$14,"RİSKLİ","NORMAL"))</f>
        <v/>
      </c>
      <c r="K810" s="115">
        <f>IF(G810="","",IFERROR(G810/MOTOR!$B$20,0))</f>
        <v/>
      </c>
      <c r="L810" s="117">
        <f>IF(C810="","",IF(F810="","EKSİK","TAM"))</f>
        <v/>
      </c>
      <c r="M810" s="118" t="n"/>
    </row>
    <row r="811" ht="15" customHeight="1" s="64">
      <c r="A811" s="118" t="n"/>
      <c r="B811" s="118" t="n"/>
      <c r="C811" s="118" t="n"/>
      <c r="D811" s="118" t="n"/>
      <c r="E811" s="118" t="n"/>
      <c r="F811" s="118" t="n"/>
      <c r="G811" s="120">
        <f>IF(C811="","",C811*D811)</f>
        <v/>
      </c>
      <c r="H811" s="120">
        <f>IF(C811="","",C811*E811)</f>
        <v/>
      </c>
      <c r="I811" s="115">
        <f>IF(C811="","",IFERROR(D811/(E811+(E811=0))-1,0))</f>
        <v/>
      </c>
      <c r="J811" s="117">
        <f>IF(C811="","",IF(ABS(I811)&gt;AYARLAR!$C$14,"RİSKLİ","NORMAL"))</f>
        <v/>
      </c>
      <c r="K811" s="115">
        <f>IF(G811="","",IFERROR(G811/MOTOR!$B$20,0))</f>
        <v/>
      </c>
      <c r="L811" s="117">
        <f>IF(C811="","",IF(F811="","EKSİK","TAM"))</f>
        <v/>
      </c>
      <c r="M811" s="118" t="n"/>
    </row>
    <row r="812" ht="15" customHeight="1" s="64">
      <c r="A812" s="118" t="n"/>
      <c r="B812" s="118" t="n"/>
      <c r="C812" s="118" t="n"/>
      <c r="D812" s="118" t="n"/>
      <c r="E812" s="118" t="n"/>
      <c r="F812" s="118" t="n"/>
      <c r="G812" s="120">
        <f>IF(C812="","",C812*D812)</f>
        <v/>
      </c>
      <c r="H812" s="120">
        <f>IF(C812="","",C812*E812)</f>
        <v/>
      </c>
      <c r="I812" s="115">
        <f>IF(C812="","",IFERROR(D812/(E812+(E812=0))-1,0))</f>
        <v/>
      </c>
      <c r="J812" s="117">
        <f>IF(C812="","",IF(ABS(I812)&gt;AYARLAR!$C$14,"RİSKLİ","NORMAL"))</f>
        <v/>
      </c>
      <c r="K812" s="115">
        <f>IF(G812="","",IFERROR(G812/MOTOR!$B$20,0))</f>
        <v/>
      </c>
      <c r="L812" s="117">
        <f>IF(C812="","",IF(F812="","EKSİK","TAM"))</f>
        <v/>
      </c>
      <c r="M812" s="118" t="n"/>
    </row>
    <row r="813" ht="15" customHeight="1" s="64">
      <c r="A813" s="118" t="n"/>
      <c r="B813" s="118" t="n"/>
      <c r="C813" s="118" t="n"/>
      <c r="D813" s="118" t="n"/>
      <c r="E813" s="118" t="n"/>
      <c r="F813" s="118" t="n"/>
      <c r="G813" s="120">
        <f>IF(C813="","",C813*D813)</f>
        <v/>
      </c>
      <c r="H813" s="120">
        <f>IF(C813="","",C813*E813)</f>
        <v/>
      </c>
      <c r="I813" s="115">
        <f>IF(C813="","",IFERROR(D813/(E813+(E813=0))-1,0))</f>
        <v/>
      </c>
      <c r="J813" s="117">
        <f>IF(C813="","",IF(ABS(I813)&gt;AYARLAR!$C$14,"RİSKLİ","NORMAL"))</f>
        <v/>
      </c>
      <c r="K813" s="115">
        <f>IF(G813="","",IFERROR(G813/MOTOR!$B$20,0))</f>
        <v/>
      </c>
      <c r="L813" s="117">
        <f>IF(C813="","",IF(F813="","EKSİK","TAM"))</f>
        <v/>
      </c>
      <c r="M813" s="118" t="n"/>
    </row>
    <row r="814" ht="15" customHeight="1" s="64">
      <c r="A814" s="118" t="n"/>
      <c r="B814" s="118" t="n"/>
      <c r="C814" s="118" t="n"/>
      <c r="D814" s="118" t="n"/>
      <c r="E814" s="118" t="n"/>
      <c r="F814" s="118" t="n"/>
      <c r="G814" s="120">
        <f>IF(C814="","",C814*D814)</f>
        <v/>
      </c>
      <c r="H814" s="120">
        <f>IF(C814="","",C814*E814)</f>
        <v/>
      </c>
      <c r="I814" s="115">
        <f>IF(C814="","",IFERROR(D814/(E814+(E814=0))-1,0))</f>
        <v/>
      </c>
      <c r="J814" s="117">
        <f>IF(C814="","",IF(ABS(I814)&gt;AYARLAR!$C$14,"RİSKLİ","NORMAL"))</f>
        <v/>
      </c>
      <c r="K814" s="115">
        <f>IF(G814="","",IFERROR(G814/MOTOR!$B$20,0))</f>
        <v/>
      </c>
      <c r="L814" s="117">
        <f>IF(C814="","",IF(F814="","EKSİK","TAM"))</f>
        <v/>
      </c>
      <c r="M814" s="118" t="n"/>
    </row>
    <row r="815" ht="15" customHeight="1" s="64">
      <c r="A815" s="118" t="n"/>
      <c r="B815" s="118" t="n"/>
      <c r="C815" s="118" t="n"/>
      <c r="D815" s="118" t="n"/>
      <c r="E815" s="118" t="n"/>
      <c r="F815" s="118" t="n"/>
      <c r="G815" s="120">
        <f>IF(C815="","",C815*D815)</f>
        <v/>
      </c>
      <c r="H815" s="120">
        <f>IF(C815="","",C815*E815)</f>
        <v/>
      </c>
      <c r="I815" s="115">
        <f>IF(C815="","",IFERROR(D815/(E815+(E815=0))-1,0))</f>
        <v/>
      </c>
      <c r="J815" s="117">
        <f>IF(C815="","",IF(ABS(I815)&gt;AYARLAR!$C$14,"RİSKLİ","NORMAL"))</f>
        <v/>
      </c>
      <c r="K815" s="115">
        <f>IF(G815="","",IFERROR(G815/MOTOR!$B$20,0))</f>
        <v/>
      </c>
      <c r="L815" s="117">
        <f>IF(C815="","",IF(F815="","EKSİK","TAM"))</f>
        <v/>
      </c>
      <c r="M815" s="118" t="n"/>
    </row>
    <row r="816" ht="15" customHeight="1" s="64">
      <c r="A816" s="118" t="n"/>
      <c r="B816" s="118" t="n"/>
      <c r="C816" s="118" t="n"/>
      <c r="D816" s="118" t="n"/>
      <c r="E816" s="118" t="n"/>
      <c r="F816" s="118" t="n"/>
      <c r="G816" s="120">
        <f>IF(C816="","",C816*D816)</f>
        <v/>
      </c>
      <c r="H816" s="120">
        <f>IF(C816="","",C816*E816)</f>
        <v/>
      </c>
      <c r="I816" s="115">
        <f>IF(C816="","",IFERROR(D816/(E816+(E816=0))-1,0))</f>
        <v/>
      </c>
      <c r="J816" s="117">
        <f>IF(C816="","",IF(ABS(I816)&gt;AYARLAR!$C$14,"RİSKLİ","NORMAL"))</f>
        <v/>
      </c>
      <c r="K816" s="115">
        <f>IF(G816="","",IFERROR(G816/MOTOR!$B$20,0))</f>
        <v/>
      </c>
      <c r="L816" s="117">
        <f>IF(C816="","",IF(F816="","EKSİK","TAM"))</f>
        <v/>
      </c>
      <c r="M816" s="118" t="n"/>
    </row>
    <row r="817" ht="15" customHeight="1" s="64">
      <c r="A817" s="118" t="n"/>
      <c r="B817" s="118" t="n"/>
      <c r="C817" s="118" t="n"/>
      <c r="D817" s="118" t="n"/>
      <c r="E817" s="118" t="n"/>
      <c r="F817" s="118" t="n"/>
      <c r="G817" s="120">
        <f>IF(C817="","",C817*D817)</f>
        <v/>
      </c>
      <c r="H817" s="120">
        <f>IF(C817="","",C817*E817)</f>
        <v/>
      </c>
      <c r="I817" s="115">
        <f>IF(C817="","",IFERROR(D817/(E817+(E817=0))-1,0))</f>
        <v/>
      </c>
      <c r="J817" s="117">
        <f>IF(C817="","",IF(ABS(I817)&gt;AYARLAR!$C$14,"RİSKLİ","NORMAL"))</f>
        <v/>
      </c>
      <c r="K817" s="115">
        <f>IF(G817="","",IFERROR(G817/MOTOR!$B$20,0))</f>
        <v/>
      </c>
      <c r="L817" s="117">
        <f>IF(C817="","",IF(F817="","EKSİK","TAM"))</f>
        <v/>
      </c>
      <c r="M817" s="118" t="n"/>
    </row>
    <row r="818" ht="15" customHeight="1" s="64">
      <c r="A818" s="118" t="n"/>
      <c r="B818" s="118" t="n"/>
      <c r="C818" s="118" t="n"/>
      <c r="D818" s="118" t="n"/>
      <c r="E818" s="118" t="n"/>
      <c r="F818" s="118" t="n"/>
      <c r="G818" s="120">
        <f>IF(C818="","",C818*D818)</f>
        <v/>
      </c>
      <c r="H818" s="120">
        <f>IF(C818="","",C818*E818)</f>
        <v/>
      </c>
      <c r="I818" s="115">
        <f>IF(C818="","",IFERROR(D818/(E818+(E818=0))-1,0))</f>
        <v/>
      </c>
      <c r="J818" s="117">
        <f>IF(C818="","",IF(ABS(I818)&gt;AYARLAR!$C$14,"RİSKLİ","NORMAL"))</f>
        <v/>
      </c>
      <c r="K818" s="115">
        <f>IF(G818="","",IFERROR(G818/MOTOR!$B$20,0))</f>
        <v/>
      </c>
      <c r="L818" s="117">
        <f>IF(C818="","",IF(F818="","EKSİK","TAM"))</f>
        <v/>
      </c>
      <c r="M818" s="118" t="n"/>
    </row>
    <row r="819" ht="15" customHeight="1" s="64">
      <c r="A819" s="118" t="n"/>
      <c r="B819" s="118" t="n"/>
      <c r="C819" s="118" t="n"/>
      <c r="D819" s="118" t="n"/>
      <c r="E819" s="118" t="n"/>
      <c r="F819" s="118" t="n"/>
      <c r="G819" s="120">
        <f>IF(C819="","",C819*D819)</f>
        <v/>
      </c>
      <c r="H819" s="120">
        <f>IF(C819="","",C819*E819)</f>
        <v/>
      </c>
      <c r="I819" s="115">
        <f>IF(C819="","",IFERROR(D819/(E819+(E819=0))-1,0))</f>
        <v/>
      </c>
      <c r="J819" s="117">
        <f>IF(C819="","",IF(ABS(I819)&gt;AYARLAR!$C$14,"RİSKLİ","NORMAL"))</f>
        <v/>
      </c>
      <c r="K819" s="115">
        <f>IF(G819="","",IFERROR(G819/MOTOR!$B$20,0))</f>
        <v/>
      </c>
      <c r="L819" s="117">
        <f>IF(C819="","",IF(F819="","EKSİK","TAM"))</f>
        <v/>
      </c>
      <c r="M819" s="118" t="n"/>
    </row>
    <row r="820" ht="15" customHeight="1" s="64">
      <c r="A820" s="118" t="n"/>
      <c r="B820" s="118" t="n"/>
      <c r="C820" s="118" t="n"/>
      <c r="D820" s="118" t="n"/>
      <c r="E820" s="118" t="n"/>
      <c r="F820" s="118" t="n"/>
      <c r="G820" s="120">
        <f>IF(C820="","",C820*D820)</f>
        <v/>
      </c>
      <c r="H820" s="120">
        <f>IF(C820="","",C820*E820)</f>
        <v/>
      </c>
      <c r="I820" s="115">
        <f>IF(C820="","",IFERROR(D820/(E820+(E820=0))-1,0))</f>
        <v/>
      </c>
      <c r="J820" s="117">
        <f>IF(C820="","",IF(ABS(I820)&gt;AYARLAR!$C$14,"RİSKLİ","NORMAL"))</f>
        <v/>
      </c>
      <c r="K820" s="115">
        <f>IF(G820="","",IFERROR(G820/MOTOR!$B$20,0))</f>
        <v/>
      </c>
      <c r="L820" s="117">
        <f>IF(C820="","",IF(F820="","EKSİK","TAM"))</f>
        <v/>
      </c>
      <c r="M820" s="118" t="n"/>
    </row>
    <row r="821" ht="15" customHeight="1" s="64">
      <c r="A821" s="118" t="n"/>
      <c r="B821" s="118" t="n"/>
      <c r="C821" s="118" t="n"/>
      <c r="D821" s="118" t="n"/>
      <c r="E821" s="118" t="n"/>
      <c r="F821" s="118" t="n"/>
      <c r="G821" s="120">
        <f>IF(C821="","",C821*D821)</f>
        <v/>
      </c>
      <c r="H821" s="120">
        <f>IF(C821="","",C821*E821)</f>
        <v/>
      </c>
      <c r="I821" s="115">
        <f>IF(C821="","",IFERROR(D821/(E821+(E821=0))-1,0))</f>
        <v/>
      </c>
      <c r="J821" s="117">
        <f>IF(C821="","",IF(ABS(I821)&gt;AYARLAR!$C$14,"RİSKLİ","NORMAL"))</f>
        <v/>
      </c>
      <c r="K821" s="115">
        <f>IF(G821="","",IFERROR(G821/MOTOR!$B$20,0))</f>
        <v/>
      </c>
      <c r="L821" s="117">
        <f>IF(C821="","",IF(F821="","EKSİK","TAM"))</f>
        <v/>
      </c>
      <c r="M821" s="118" t="n"/>
    </row>
    <row r="822" ht="15" customHeight="1" s="64">
      <c r="A822" s="118" t="n"/>
      <c r="B822" s="118" t="n"/>
      <c r="C822" s="118" t="n"/>
      <c r="D822" s="118" t="n"/>
      <c r="E822" s="118" t="n"/>
      <c r="F822" s="118" t="n"/>
      <c r="G822" s="120">
        <f>IF(C822="","",C822*D822)</f>
        <v/>
      </c>
      <c r="H822" s="120">
        <f>IF(C822="","",C822*E822)</f>
        <v/>
      </c>
      <c r="I822" s="115">
        <f>IF(C822="","",IFERROR(D822/(E822+(E822=0))-1,0))</f>
        <v/>
      </c>
      <c r="J822" s="117">
        <f>IF(C822="","",IF(ABS(I822)&gt;AYARLAR!$C$14,"RİSKLİ","NORMAL"))</f>
        <v/>
      </c>
      <c r="K822" s="115">
        <f>IF(G822="","",IFERROR(G822/MOTOR!$B$20,0))</f>
        <v/>
      </c>
      <c r="L822" s="117">
        <f>IF(C822="","",IF(F822="","EKSİK","TAM"))</f>
        <v/>
      </c>
      <c r="M822" s="118" t="n"/>
    </row>
    <row r="823" ht="15" customHeight="1" s="64">
      <c r="A823" s="118" t="n"/>
      <c r="B823" s="118" t="n"/>
      <c r="C823" s="118" t="n"/>
      <c r="D823" s="118" t="n"/>
      <c r="E823" s="118" t="n"/>
      <c r="F823" s="118" t="n"/>
      <c r="G823" s="120">
        <f>IF(C823="","",C823*D823)</f>
        <v/>
      </c>
      <c r="H823" s="120">
        <f>IF(C823="","",C823*E823)</f>
        <v/>
      </c>
      <c r="I823" s="115">
        <f>IF(C823="","",IFERROR(D823/(E823+(E823=0))-1,0))</f>
        <v/>
      </c>
      <c r="J823" s="117">
        <f>IF(C823="","",IF(ABS(I823)&gt;AYARLAR!$C$14,"RİSKLİ","NORMAL"))</f>
        <v/>
      </c>
      <c r="K823" s="115">
        <f>IF(G823="","",IFERROR(G823/MOTOR!$B$20,0))</f>
        <v/>
      </c>
      <c r="L823" s="117">
        <f>IF(C823="","",IF(F823="","EKSİK","TAM"))</f>
        <v/>
      </c>
      <c r="M823" s="118" t="n"/>
    </row>
    <row r="824" ht="15" customHeight="1" s="64">
      <c r="A824" s="118" t="n"/>
      <c r="B824" s="118" t="n"/>
      <c r="C824" s="118" t="n"/>
      <c r="D824" s="118" t="n"/>
      <c r="E824" s="118" t="n"/>
      <c r="F824" s="118" t="n"/>
      <c r="G824" s="120">
        <f>IF(C824="","",C824*D824)</f>
        <v/>
      </c>
      <c r="H824" s="120">
        <f>IF(C824="","",C824*E824)</f>
        <v/>
      </c>
      <c r="I824" s="115">
        <f>IF(C824="","",IFERROR(D824/(E824+(E824=0))-1,0))</f>
        <v/>
      </c>
      <c r="J824" s="117">
        <f>IF(C824="","",IF(ABS(I824)&gt;AYARLAR!$C$14,"RİSKLİ","NORMAL"))</f>
        <v/>
      </c>
      <c r="K824" s="115">
        <f>IF(G824="","",IFERROR(G824/MOTOR!$B$20,0))</f>
        <v/>
      </c>
      <c r="L824" s="117">
        <f>IF(C824="","",IF(F824="","EKSİK","TAM"))</f>
        <v/>
      </c>
      <c r="M824" s="118" t="n"/>
    </row>
    <row r="825" ht="15" customHeight="1" s="64">
      <c r="A825" s="118" t="n"/>
      <c r="B825" s="118" t="n"/>
      <c r="C825" s="118" t="n"/>
      <c r="D825" s="118" t="n"/>
      <c r="E825" s="118" t="n"/>
      <c r="F825" s="118" t="n"/>
      <c r="G825" s="120">
        <f>IF(C825="","",C825*D825)</f>
        <v/>
      </c>
      <c r="H825" s="120">
        <f>IF(C825="","",C825*E825)</f>
        <v/>
      </c>
      <c r="I825" s="115">
        <f>IF(C825="","",IFERROR(D825/(E825+(E825=0))-1,0))</f>
        <v/>
      </c>
      <c r="J825" s="117">
        <f>IF(C825="","",IF(ABS(I825)&gt;AYARLAR!$C$14,"RİSKLİ","NORMAL"))</f>
        <v/>
      </c>
      <c r="K825" s="115">
        <f>IF(G825="","",IFERROR(G825/MOTOR!$B$20,0))</f>
        <v/>
      </c>
      <c r="L825" s="117">
        <f>IF(C825="","",IF(F825="","EKSİK","TAM"))</f>
        <v/>
      </c>
      <c r="M825" s="118" t="n"/>
    </row>
    <row r="826" ht="15" customHeight="1" s="64">
      <c r="A826" s="118" t="n"/>
      <c r="B826" s="118" t="n"/>
      <c r="C826" s="118" t="n"/>
      <c r="D826" s="118" t="n"/>
      <c r="E826" s="118" t="n"/>
      <c r="F826" s="118" t="n"/>
      <c r="G826" s="120">
        <f>IF(C826="","",C826*D826)</f>
        <v/>
      </c>
      <c r="H826" s="120">
        <f>IF(C826="","",C826*E826)</f>
        <v/>
      </c>
      <c r="I826" s="115">
        <f>IF(C826="","",IFERROR(D826/(E826+(E826=0))-1,0))</f>
        <v/>
      </c>
      <c r="J826" s="117">
        <f>IF(C826="","",IF(ABS(I826)&gt;AYARLAR!$C$14,"RİSKLİ","NORMAL"))</f>
        <v/>
      </c>
      <c r="K826" s="115">
        <f>IF(G826="","",IFERROR(G826/MOTOR!$B$20,0))</f>
        <v/>
      </c>
      <c r="L826" s="117">
        <f>IF(C826="","",IF(F826="","EKSİK","TAM"))</f>
        <v/>
      </c>
      <c r="M826" s="118" t="n"/>
    </row>
    <row r="827" ht="15" customHeight="1" s="64">
      <c r="A827" s="118" t="n"/>
      <c r="B827" s="118" t="n"/>
      <c r="C827" s="118" t="n"/>
      <c r="D827" s="118" t="n"/>
      <c r="E827" s="118" t="n"/>
      <c r="F827" s="118" t="n"/>
      <c r="G827" s="120">
        <f>IF(C827="","",C827*D827)</f>
        <v/>
      </c>
      <c r="H827" s="120">
        <f>IF(C827="","",C827*E827)</f>
        <v/>
      </c>
      <c r="I827" s="115">
        <f>IF(C827="","",IFERROR(D827/(E827+(E827=0))-1,0))</f>
        <v/>
      </c>
      <c r="J827" s="117">
        <f>IF(C827="","",IF(ABS(I827)&gt;AYARLAR!$C$14,"RİSKLİ","NORMAL"))</f>
        <v/>
      </c>
      <c r="K827" s="115">
        <f>IF(G827="","",IFERROR(G827/MOTOR!$B$20,0))</f>
        <v/>
      </c>
      <c r="L827" s="117">
        <f>IF(C827="","",IF(F827="","EKSİK","TAM"))</f>
        <v/>
      </c>
      <c r="M827" s="118" t="n"/>
    </row>
    <row r="828" ht="15" customHeight="1" s="64">
      <c r="A828" s="118" t="n"/>
      <c r="B828" s="118" t="n"/>
      <c r="C828" s="118" t="n"/>
      <c r="D828" s="118" t="n"/>
      <c r="E828" s="118" t="n"/>
      <c r="F828" s="118" t="n"/>
      <c r="G828" s="120">
        <f>IF(C828="","",C828*D828)</f>
        <v/>
      </c>
      <c r="H828" s="120">
        <f>IF(C828="","",C828*E828)</f>
        <v/>
      </c>
      <c r="I828" s="115">
        <f>IF(C828="","",IFERROR(D828/(E828+(E828=0))-1,0))</f>
        <v/>
      </c>
      <c r="J828" s="117">
        <f>IF(C828="","",IF(ABS(I828)&gt;AYARLAR!$C$14,"RİSKLİ","NORMAL"))</f>
        <v/>
      </c>
      <c r="K828" s="115">
        <f>IF(G828="","",IFERROR(G828/MOTOR!$B$20,0))</f>
        <v/>
      </c>
      <c r="L828" s="117">
        <f>IF(C828="","",IF(F828="","EKSİK","TAM"))</f>
        <v/>
      </c>
      <c r="M828" s="118" t="n"/>
    </row>
    <row r="829" ht="15" customHeight="1" s="64">
      <c r="A829" s="118" t="n"/>
      <c r="B829" s="118" t="n"/>
      <c r="C829" s="118" t="n"/>
      <c r="D829" s="118" t="n"/>
      <c r="E829" s="118" t="n"/>
      <c r="F829" s="118" t="n"/>
      <c r="G829" s="120">
        <f>IF(C829="","",C829*D829)</f>
        <v/>
      </c>
      <c r="H829" s="120">
        <f>IF(C829="","",C829*E829)</f>
        <v/>
      </c>
      <c r="I829" s="115">
        <f>IF(C829="","",IFERROR(D829/(E829+(E829=0))-1,0))</f>
        <v/>
      </c>
      <c r="J829" s="117">
        <f>IF(C829="","",IF(ABS(I829)&gt;AYARLAR!$C$14,"RİSKLİ","NORMAL"))</f>
        <v/>
      </c>
      <c r="K829" s="115">
        <f>IF(G829="","",IFERROR(G829/MOTOR!$B$20,0))</f>
        <v/>
      </c>
      <c r="L829" s="117">
        <f>IF(C829="","",IF(F829="","EKSİK","TAM"))</f>
        <v/>
      </c>
      <c r="M829" s="118" t="n"/>
    </row>
    <row r="830" ht="15" customHeight="1" s="64">
      <c r="A830" s="118" t="n"/>
      <c r="B830" s="118" t="n"/>
      <c r="C830" s="118" t="n"/>
      <c r="D830" s="118" t="n"/>
      <c r="E830" s="118" t="n"/>
      <c r="F830" s="118" t="n"/>
      <c r="G830" s="120">
        <f>IF(C830="","",C830*D830)</f>
        <v/>
      </c>
      <c r="H830" s="120">
        <f>IF(C830="","",C830*E830)</f>
        <v/>
      </c>
      <c r="I830" s="115">
        <f>IF(C830="","",IFERROR(D830/(E830+(E830=0))-1,0))</f>
        <v/>
      </c>
      <c r="J830" s="117">
        <f>IF(C830="","",IF(ABS(I830)&gt;AYARLAR!$C$14,"RİSKLİ","NORMAL"))</f>
        <v/>
      </c>
      <c r="K830" s="115">
        <f>IF(G830="","",IFERROR(G830/MOTOR!$B$20,0))</f>
        <v/>
      </c>
      <c r="L830" s="117">
        <f>IF(C830="","",IF(F830="","EKSİK","TAM"))</f>
        <v/>
      </c>
      <c r="M830" s="118" t="n"/>
    </row>
    <row r="831" ht="15" customHeight="1" s="64">
      <c r="A831" s="118" t="n"/>
      <c r="B831" s="118" t="n"/>
      <c r="C831" s="118" t="n"/>
      <c r="D831" s="118" t="n"/>
      <c r="E831" s="118" t="n"/>
      <c r="F831" s="118" t="n"/>
      <c r="G831" s="120">
        <f>IF(C831="","",C831*D831)</f>
        <v/>
      </c>
      <c r="H831" s="120">
        <f>IF(C831="","",C831*E831)</f>
        <v/>
      </c>
      <c r="I831" s="115">
        <f>IF(C831="","",IFERROR(D831/(E831+(E831=0))-1,0))</f>
        <v/>
      </c>
      <c r="J831" s="117">
        <f>IF(C831="","",IF(ABS(I831)&gt;AYARLAR!$C$14,"RİSKLİ","NORMAL"))</f>
        <v/>
      </c>
      <c r="K831" s="115">
        <f>IF(G831="","",IFERROR(G831/MOTOR!$B$20,0))</f>
        <v/>
      </c>
      <c r="L831" s="117">
        <f>IF(C831="","",IF(F831="","EKSİK","TAM"))</f>
        <v/>
      </c>
      <c r="M831" s="118" t="n"/>
    </row>
    <row r="832" ht="15" customHeight="1" s="64">
      <c r="A832" s="118" t="n"/>
      <c r="B832" s="118" t="n"/>
      <c r="C832" s="118" t="n"/>
      <c r="D832" s="118" t="n"/>
      <c r="E832" s="118" t="n"/>
      <c r="F832" s="118" t="n"/>
      <c r="G832" s="120">
        <f>IF(C832="","",C832*D832)</f>
        <v/>
      </c>
      <c r="H832" s="120">
        <f>IF(C832="","",C832*E832)</f>
        <v/>
      </c>
      <c r="I832" s="115">
        <f>IF(C832="","",IFERROR(D832/(E832+(E832=0))-1,0))</f>
        <v/>
      </c>
      <c r="J832" s="117">
        <f>IF(C832="","",IF(ABS(I832)&gt;AYARLAR!$C$14,"RİSKLİ","NORMAL"))</f>
        <v/>
      </c>
      <c r="K832" s="115">
        <f>IF(G832="","",IFERROR(G832/MOTOR!$B$20,0))</f>
        <v/>
      </c>
      <c r="L832" s="117">
        <f>IF(C832="","",IF(F832="","EKSİK","TAM"))</f>
        <v/>
      </c>
      <c r="M832" s="118" t="n"/>
    </row>
    <row r="833" ht="15" customHeight="1" s="64">
      <c r="A833" s="118" t="n"/>
      <c r="B833" s="118" t="n"/>
      <c r="C833" s="118" t="n"/>
      <c r="D833" s="118" t="n"/>
      <c r="E833" s="118" t="n"/>
      <c r="F833" s="118" t="n"/>
      <c r="G833" s="120">
        <f>IF(C833="","",C833*D833)</f>
        <v/>
      </c>
      <c r="H833" s="120">
        <f>IF(C833="","",C833*E833)</f>
        <v/>
      </c>
      <c r="I833" s="115">
        <f>IF(C833="","",IFERROR(D833/(E833+(E833=0))-1,0))</f>
        <v/>
      </c>
      <c r="J833" s="117">
        <f>IF(C833="","",IF(ABS(I833)&gt;AYARLAR!$C$14,"RİSKLİ","NORMAL"))</f>
        <v/>
      </c>
      <c r="K833" s="115">
        <f>IF(G833="","",IFERROR(G833/MOTOR!$B$20,0))</f>
        <v/>
      </c>
      <c r="L833" s="117">
        <f>IF(C833="","",IF(F833="","EKSİK","TAM"))</f>
        <v/>
      </c>
      <c r="M833" s="118" t="n"/>
    </row>
    <row r="834" ht="15" customHeight="1" s="64">
      <c r="A834" s="118" t="n"/>
      <c r="B834" s="118" t="n"/>
      <c r="C834" s="118" t="n"/>
      <c r="D834" s="118" t="n"/>
      <c r="E834" s="118" t="n"/>
      <c r="F834" s="118" t="n"/>
      <c r="G834" s="120">
        <f>IF(C834="","",C834*D834)</f>
        <v/>
      </c>
      <c r="H834" s="120">
        <f>IF(C834="","",C834*E834)</f>
        <v/>
      </c>
      <c r="I834" s="115">
        <f>IF(C834="","",IFERROR(D834/(E834+(E834=0))-1,0))</f>
        <v/>
      </c>
      <c r="J834" s="117">
        <f>IF(C834="","",IF(ABS(I834)&gt;AYARLAR!$C$14,"RİSKLİ","NORMAL"))</f>
        <v/>
      </c>
      <c r="K834" s="115">
        <f>IF(G834="","",IFERROR(G834/MOTOR!$B$20,0))</f>
        <v/>
      </c>
      <c r="L834" s="117">
        <f>IF(C834="","",IF(F834="","EKSİK","TAM"))</f>
        <v/>
      </c>
      <c r="M834" s="118" t="n"/>
    </row>
    <row r="835" ht="15" customHeight="1" s="64">
      <c r="A835" s="118" t="n"/>
      <c r="B835" s="118" t="n"/>
      <c r="C835" s="118" t="n"/>
      <c r="D835" s="118" t="n"/>
      <c r="E835" s="118" t="n"/>
      <c r="F835" s="118" t="n"/>
      <c r="G835" s="120">
        <f>IF(C835="","",C835*D835)</f>
        <v/>
      </c>
      <c r="H835" s="120">
        <f>IF(C835="","",C835*E835)</f>
        <v/>
      </c>
      <c r="I835" s="115">
        <f>IF(C835="","",IFERROR(D835/(E835+(E835=0))-1,0))</f>
        <v/>
      </c>
      <c r="J835" s="117">
        <f>IF(C835="","",IF(ABS(I835)&gt;AYARLAR!$C$14,"RİSKLİ","NORMAL"))</f>
        <v/>
      </c>
      <c r="K835" s="115">
        <f>IF(G835="","",IFERROR(G835/MOTOR!$B$20,0))</f>
        <v/>
      </c>
      <c r="L835" s="117">
        <f>IF(C835="","",IF(F835="","EKSİK","TAM"))</f>
        <v/>
      </c>
      <c r="M835" s="118" t="n"/>
    </row>
    <row r="836" ht="15" customHeight="1" s="64">
      <c r="A836" s="118" t="n"/>
      <c r="B836" s="118" t="n"/>
      <c r="C836" s="118" t="n"/>
      <c r="D836" s="118" t="n"/>
      <c r="E836" s="118" t="n"/>
      <c r="F836" s="118" t="n"/>
      <c r="G836" s="120">
        <f>IF(C836="","",C836*D836)</f>
        <v/>
      </c>
      <c r="H836" s="120">
        <f>IF(C836="","",C836*E836)</f>
        <v/>
      </c>
      <c r="I836" s="115">
        <f>IF(C836="","",IFERROR(D836/(E836+(E836=0))-1,0))</f>
        <v/>
      </c>
      <c r="J836" s="117">
        <f>IF(C836="","",IF(ABS(I836)&gt;AYARLAR!$C$14,"RİSKLİ","NORMAL"))</f>
        <v/>
      </c>
      <c r="K836" s="115">
        <f>IF(G836="","",IFERROR(G836/MOTOR!$B$20,0))</f>
        <v/>
      </c>
      <c r="L836" s="117">
        <f>IF(C836="","",IF(F836="","EKSİK","TAM"))</f>
        <v/>
      </c>
      <c r="M836" s="118" t="n"/>
    </row>
    <row r="837" ht="15" customHeight="1" s="64">
      <c r="A837" s="118" t="n"/>
      <c r="B837" s="118" t="n"/>
      <c r="C837" s="118" t="n"/>
      <c r="D837" s="118" t="n"/>
      <c r="E837" s="118" t="n"/>
      <c r="F837" s="118" t="n"/>
      <c r="G837" s="120">
        <f>IF(C837="","",C837*D837)</f>
        <v/>
      </c>
      <c r="H837" s="120">
        <f>IF(C837="","",C837*E837)</f>
        <v/>
      </c>
      <c r="I837" s="115">
        <f>IF(C837="","",IFERROR(D837/(E837+(E837=0))-1,0))</f>
        <v/>
      </c>
      <c r="J837" s="117">
        <f>IF(C837="","",IF(ABS(I837)&gt;AYARLAR!$C$14,"RİSKLİ","NORMAL"))</f>
        <v/>
      </c>
      <c r="K837" s="115">
        <f>IF(G837="","",IFERROR(G837/MOTOR!$B$20,0))</f>
        <v/>
      </c>
      <c r="L837" s="117">
        <f>IF(C837="","",IF(F837="","EKSİK","TAM"))</f>
        <v/>
      </c>
      <c r="M837" s="118" t="n"/>
    </row>
    <row r="838" ht="15" customHeight="1" s="64">
      <c r="A838" s="118" t="n"/>
      <c r="B838" s="118" t="n"/>
      <c r="C838" s="118" t="n"/>
      <c r="D838" s="118" t="n"/>
      <c r="E838" s="118" t="n"/>
      <c r="F838" s="118" t="n"/>
      <c r="G838" s="120">
        <f>IF(C838="","",C838*D838)</f>
        <v/>
      </c>
      <c r="H838" s="120">
        <f>IF(C838="","",C838*E838)</f>
        <v/>
      </c>
      <c r="I838" s="115">
        <f>IF(C838="","",IFERROR(D838/(E838+(E838=0))-1,0))</f>
        <v/>
      </c>
      <c r="J838" s="117">
        <f>IF(C838="","",IF(ABS(I838)&gt;AYARLAR!$C$14,"RİSKLİ","NORMAL"))</f>
        <v/>
      </c>
      <c r="K838" s="115">
        <f>IF(G838="","",IFERROR(G838/MOTOR!$B$20,0))</f>
        <v/>
      </c>
      <c r="L838" s="117">
        <f>IF(C838="","",IF(F838="","EKSİK","TAM"))</f>
        <v/>
      </c>
      <c r="M838" s="118" t="n"/>
    </row>
    <row r="839" ht="15" customHeight="1" s="64">
      <c r="A839" s="118" t="n"/>
      <c r="B839" s="118" t="n"/>
      <c r="C839" s="118" t="n"/>
      <c r="D839" s="118" t="n"/>
      <c r="E839" s="118" t="n"/>
      <c r="F839" s="118" t="n"/>
      <c r="G839" s="120">
        <f>IF(C839="","",C839*D839)</f>
        <v/>
      </c>
      <c r="H839" s="120">
        <f>IF(C839="","",C839*E839)</f>
        <v/>
      </c>
      <c r="I839" s="115">
        <f>IF(C839="","",IFERROR(D839/(E839+(E839=0))-1,0))</f>
        <v/>
      </c>
      <c r="J839" s="117">
        <f>IF(C839="","",IF(ABS(I839)&gt;AYARLAR!$C$14,"RİSKLİ","NORMAL"))</f>
        <v/>
      </c>
      <c r="K839" s="115">
        <f>IF(G839="","",IFERROR(G839/MOTOR!$B$20,0))</f>
        <v/>
      </c>
      <c r="L839" s="117">
        <f>IF(C839="","",IF(F839="","EKSİK","TAM"))</f>
        <v/>
      </c>
      <c r="M839" s="118" t="n"/>
    </row>
    <row r="840" ht="15" customHeight="1" s="64">
      <c r="A840" s="118" t="n"/>
      <c r="B840" s="118" t="n"/>
      <c r="C840" s="118" t="n"/>
      <c r="D840" s="118" t="n"/>
      <c r="E840" s="118" t="n"/>
      <c r="F840" s="118" t="n"/>
      <c r="G840" s="120">
        <f>IF(C840="","",C840*D840)</f>
        <v/>
      </c>
      <c r="H840" s="120">
        <f>IF(C840="","",C840*E840)</f>
        <v/>
      </c>
      <c r="I840" s="115">
        <f>IF(C840="","",IFERROR(D840/(E840+(E840=0))-1,0))</f>
        <v/>
      </c>
      <c r="J840" s="117">
        <f>IF(C840="","",IF(ABS(I840)&gt;AYARLAR!$C$14,"RİSKLİ","NORMAL"))</f>
        <v/>
      </c>
      <c r="K840" s="115">
        <f>IF(G840="","",IFERROR(G840/MOTOR!$B$20,0))</f>
        <v/>
      </c>
      <c r="L840" s="117">
        <f>IF(C840="","",IF(F840="","EKSİK","TAM"))</f>
        <v/>
      </c>
      <c r="M840" s="118" t="n"/>
    </row>
    <row r="841" ht="15" customHeight="1" s="64">
      <c r="A841" s="118" t="n"/>
      <c r="B841" s="118" t="n"/>
      <c r="C841" s="118" t="n"/>
      <c r="D841" s="118" t="n"/>
      <c r="E841" s="118" t="n"/>
      <c r="F841" s="118" t="n"/>
      <c r="G841" s="120">
        <f>IF(C841="","",C841*D841)</f>
        <v/>
      </c>
      <c r="H841" s="120">
        <f>IF(C841="","",C841*E841)</f>
        <v/>
      </c>
      <c r="I841" s="115">
        <f>IF(C841="","",IFERROR(D841/(E841+(E841=0))-1,0))</f>
        <v/>
      </c>
      <c r="J841" s="117">
        <f>IF(C841="","",IF(ABS(I841)&gt;AYARLAR!$C$14,"RİSKLİ","NORMAL"))</f>
        <v/>
      </c>
      <c r="K841" s="115">
        <f>IF(G841="","",IFERROR(G841/MOTOR!$B$20,0))</f>
        <v/>
      </c>
      <c r="L841" s="117">
        <f>IF(C841="","",IF(F841="","EKSİK","TAM"))</f>
        <v/>
      </c>
      <c r="M841" s="118" t="n"/>
    </row>
    <row r="842" ht="15" customHeight="1" s="64">
      <c r="A842" s="118" t="n"/>
      <c r="B842" s="118" t="n"/>
      <c r="C842" s="118" t="n"/>
      <c r="D842" s="118" t="n"/>
      <c r="E842" s="118" t="n"/>
      <c r="F842" s="118" t="n"/>
      <c r="G842" s="120">
        <f>IF(C842="","",C842*D842)</f>
        <v/>
      </c>
      <c r="H842" s="120">
        <f>IF(C842="","",C842*E842)</f>
        <v/>
      </c>
      <c r="I842" s="115">
        <f>IF(C842="","",IFERROR(D842/(E842+(E842=0))-1,0))</f>
        <v/>
      </c>
      <c r="J842" s="117">
        <f>IF(C842="","",IF(ABS(I842)&gt;AYARLAR!$C$14,"RİSKLİ","NORMAL"))</f>
        <v/>
      </c>
      <c r="K842" s="115">
        <f>IF(G842="","",IFERROR(G842/MOTOR!$B$20,0))</f>
        <v/>
      </c>
      <c r="L842" s="117">
        <f>IF(C842="","",IF(F842="","EKSİK","TAM"))</f>
        <v/>
      </c>
      <c r="M842" s="118" t="n"/>
    </row>
    <row r="843" ht="15" customHeight="1" s="64">
      <c r="A843" s="118" t="n"/>
      <c r="B843" s="118" t="n"/>
      <c r="C843" s="118" t="n"/>
      <c r="D843" s="118" t="n"/>
      <c r="E843" s="118" t="n"/>
      <c r="F843" s="118" t="n"/>
      <c r="G843" s="120">
        <f>IF(C843="","",C843*D843)</f>
        <v/>
      </c>
      <c r="H843" s="120">
        <f>IF(C843="","",C843*E843)</f>
        <v/>
      </c>
      <c r="I843" s="115">
        <f>IF(C843="","",IFERROR(D843/(E843+(E843=0))-1,0))</f>
        <v/>
      </c>
      <c r="J843" s="117">
        <f>IF(C843="","",IF(ABS(I843)&gt;AYARLAR!$C$14,"RİSKLİ","NORMAL"))</f>
        <v/>
      </c>
      <c r="K843" s="115">
        <f>IF(G843="","",IFERROR(G843/MOTOR!$B$20,0))</f>
        <v/>
      </c>
      <c r="L843" s="117">
        <f>IF(C843="","",IF(F843="","EKSİK","TAM"))</f>
        <v/>
      </c>
      <c r="M843" s="118" t="n"/>
    </row>
    <row r="844" ht="15" customHeight="1" s="64">
      <c r="A844" s="118" t="n"/>
      <c r="B844" s="118" t="n"/>
      <c r="C844" s="118" t="n"/>
      <c r="D844" s="118" t="n"/>
      <c r="E844" s="118" t="n"/>
      <c r="F844" s="118" t="n"/>
      <c r="G844" s="120">
        <f>IF(C844="","",C844*D844)</f>
        <v/>
      </c>
      <c r="H844" s="120">
        <f>IF(C844="","",C844*E844)</f>
        <v/>
      </c>
      <c r="I844" s="115">
        <f>IF(C844="","",IFERROR(D844/(E844+(E844=0))-1,0))</f>
        <v/>
      </c>
      <c r="J844" s="117">
        <f>IF(C844="","",IF(ABS(I844)&gt;AYARLAR!$C$14,"RİSKLİ","NORMAL"))</f>
        <v/>
      </c>
      <c r="K844" s="115">
        <f>IF(G844="","",IFERROR(G844/MOTOR!$B$20,0))</f>
        <v/>
      </c>
      <c r="L844" s="117">
        <f>IF(C844="","",IF(F844="","EKSİK","TAM"))</f>
        <v/>
      </c>
      <c r="M844" s="118" t="n"/>
    </row>
    <row r="845" ht="15" customHeight="1" s="64">
      <c r="A845" s="118" t="n"/>
      <c r="B845" s="118" t="n"/>
      <c r="C845" s="118" t="n"/>
      <c r="D845" s="118" t="n"/>
      <c r="E845" s="118" t="n"/>
      <c r="F845" s="118" t="n"/>
      <c r="G845" s="120">
        <f>IF(C845="","",C845*D845)</f>
        <v/>
      </c>
      <c r="H845" s="120">
        <f>IF(C845="","",C845*E845)</f>
        <v/>
      </c>
      <c r="I845" s="115">
        <f>IF(C845="","",IFERROR(D845/(E845+(E845=0))-1,0))</f>
        <v/>
      </c>
      <c r="J845" s="117">
        <f>IF(C845="","",IF(ABS(I845)&gt;AYARLAR!$C$14,"RİSKLİ","NORMAL"))</f>
        <v/>
      </c>
      <c r="K845" s="115">
        <f>IF(G845="","",IFERROR(G845/MOTOR!$B$20,0))</f>
        <v/>
      </c>
      <c r="L845" s="117">
        <f>IF(C845="","",IF(F845="","EKSİK","TAM"))</f>
        <v/>
      </c>
      <c r="M845" s="118" t="n"/>
    </row>
    <row r="846" ht="15" customHeight="1" s="64">
      <c r="A846" s="118" t="n"/>
      <c r="B846" s="118" t="n"/>
      <c r="C846" s="118" t="n"/>
      <c r="D846" s="118" t="n"/>
      <c r="E846" s="118" t="n"/>
      <c r="F846" s="118" t="n"/>
      <c r="G846" s="120">
        <f>IF(C846="","",C846*D846)</f>
        <v/>
      </c>
      <c r="H846" s="120">
        <f>IF(C846="","",C846*E846)</f>
        <v/>
      </c>
      <c r="I846" s="115">
        <f>IF(C846="","",IFERROR(D846/(E846+(E846=0))-1,0))</f>
        <v/>
      </c>
      <c r="J846" s="117">
        <f>IF(C846="","",IF(ABS(I846)&gt;AYARLAR!$C$14,"RİSKLİ","NORMAL"))</f>
        <v/>
      </c>
      <c r="K846" s="115">
        <f>IF(G846="","",IFERROR(G846/MOTOR!$B$20,0))</f>
        <v/>
      </c>
      <c r="L846" s="117">
        <f>IF(C846="","",IF(F846="","EKSİK","TAM"))</f>
        <v/>
      </c>
      <c r="M846" s="118" t="n"/>
    </row>
    <row r="847" ht="15" customHeight="1" s="64">
      <c r="A847" s="118" t="n"/>
      <c r="B847" s="118" t="n"/>
      <c r="C847" s="118" t="n"/>
      <c r="D847" s="118" t="n"/>
      <c r="E847" s="118" t="n"/>
      <c r="F847" s="118" t="n"/>
      <c r="G847" s="120">
        <f>IF(C847="","",C847*D847)</f>
        <v/>
      </c>
      <c r="H847" s="120">
        <f>IF(C847="","",C847*E847)</f>
        <v/>
      </c>
      <c r="I847" s="115">
        <f>IF(C847="","",IFERROR(D847/(E847+(E847=0))-1,0))</f>
        <v/>
      </c>
      <c r="J847" s="117">
        <f>IF(C847="","",IF(ABS(I847)&gt;AYARLAR!$C$14,"RİSKLİ","NORMAL"))</f>
        <v/>
      </c>
      <c r="K847" s="115">
        <f>IF(G847="","",IFERROR(G847/MOTOR!$B$20,0))</f>
        <v/>
      </c>
      <c r="L847" s="117">
        <f>IF(C847="","",IF(F847="","EKSİK","TAM"))</f>
        <v/>
      </c>
      <c r="M847" s="118" t="n"/>
    </row>
    <row r="848" ht="15" customHeight="1" s="64">
      <c r="A848" s="118" t="n"/>
      <c r="B848" s="118" t="n"/>
      <c r="C848" s="118" t="n"/>
      <c r="D848" s="118" t="n"/>
      <c r="E848" s="118" t="n"/>
      <c r="F848" s="118" t="n"/>
      <c r="G848" s="120">
        <f>IF(C848="","",C848*D848)</f>
        <v/>
      </c>
      <c r="H848" s="120">
        <f>IF(C848="","",C848*E848)</f>
        <v/>
      </c>
      <c r="I848" s="115">
        <f>IF(C848="","",IFERROR(D848/(E848+(E848=0))-1,0))</f>
        <v/>
      </c>
      <c r="J848" s="117">
        <f>IF(C848="","",IF(ABS(I848)&gt;AYARLAR!$C$14,"RİSKLİ","NORMAL"))</f>
        <v/>
      </c>
      <c r="K848" s="115">
        <f>IF(G848="","",IFERROR(G848/MOTOR!$B$20,0))</f>
        <v/>
      </c>
      <c r="L848" s="117">
        <f>IF(C848="","",IF(F848="","EKSİK","TAM"))</f>
        <v/>
      </c>
      <c r="M848" s="118" t="n"/>
    </row>
    <row r="849" ht="15" customHeight="1" s="64">
      <c r="A849" s="118" t="n"/>
      <c r="B849" s="118" t="n"/>
      <c r="C849" s="118" t="n"/>
      <c r="D849" s="118" t="n"/>
      <c r="E849" s="118" t="n"/>
      <c r="F849" s="118" t="n"/>
      <c r="G849" s="120">
        <f>IF(C849="","",C849*D849)</f>
        <v/>
      </c>
      <c r="H849" s="120">
        <f>IF(C849="","",C849*E849)</f>
        <v/>
      </c>
      <c r="I849" s="115">
        <f>IF(C849="","",IFERROR(D849/(E849+(E849=0))-1,0))</f>
        <v/>
      </c>
      <c r="J849" s="117">
        <f>IF(C849="","",IF(ABS(I849)&gt;AYARLAR!$C$14,"RİSKLİ","NORMAL"))</f>
        <v/>
      </c>
      <c r="K849" s="115">
        <f>IF(G849="","",IFERROR(G849/MOTOR!$B$20,0))</f>
        <v/>
      </c>
      <c r="L849" s="117">
        <f>IF(C849="","",IF(F849="","EKSİK","TAM"))</f>
        <v/>
      </c>
      <c r="M849" s="118" t="n"/>
    </row>
    <row r="850" ht="15" customHeight="1" s="64">
      <c r="A850" s="118" t="n"/>
      <c r="B850" s="118" t="n"/>
      <c r="C850" s="118" t="n"/>
      <c r="D850" s="118" t="n"/>
      <c r="E850" s="118" t="n"/>
      <c r="F850" s="118" t="n"/>
      <c r="G850" s="120">
        <f>IF(C850="","",C850*D850)</f>
        <v/>
      </c>
      <c r="H850" s="120">
        <f>IF(C850="","",C850*E850)</f>
        <v/>
      </c>
      <c r="I850" s="115">
        <f>IF(C850="","",IFERROR(D850/(E850+(E850=0))-1,0))</f>
        <v/>
      </c>
      <c r="J850" s="117">
        <f>IF(C850="","",IF(ABS(I850)&gt;AYARLAR!$C$14,"RİSKLİ","NORMAL"))</f>
        <v/>
      </c>
      <c r="K850" s="115">
        <f>IF(G850="","",IFERROR(G850/MOTOR!$B$20,0))</f>
        <v/>
      </c>
      <c r="L850" s="117">
        <f>IF(C850="","",IF(F850="","EKSİK","TAM"))</f>
        <v/>
      </c>
      <c r="M850" s="118" t="n"/>
    </row>
    <row r="851" ht="15" customHeight="1" s="64">
      <c r="A851" s="118" t="n"/>
      <c r="B851" s="118" t="n"/>
      <c r="C851" s="118" t="n"/>
      <c r="D851" s="118" t="n"/>
      <c r="E851" s="118" t="n"/>
      <c r="F851" s="118" t="n"/>
      <c r="G851" s="120">
        <f>IF(C851="","",C851*D851)</f>
        <v/>
      </c>
      <c r="H851" s="120">
        <f>IF(C851="","",C851*E851)</f>
        <v/>
      </c>
      <c r="I851" s="115">
        <f>IF(C851="","",IFERROR(D851/(E851+(E851=0))-1,0))</f>
        <v/>
      </c>
      <c r="J851" s="117">
        <f>IF(C851="","",IF(ABS(I851)&gt;AYARLAR!$C$14,"RİSKLİ","NORMAL"))</f>
        <v/>
      </c>
      <c r="K851" s="115">
        <f>IF(G851="","",IFERROR(G851/MOTOR!$B$20,0))</f>
        <v/>
      </c>
      <c r="L851" s="117">
        <f>IF(C851="","",IF(F851="","EKSİK","TAM"))</f>
        <v/>
      </c>
      <c r="M851" s="118" t="n"/>
    </row>
    <row r="852" ht="15" customHeight="1" s="64">
      <c r="A852" s="118" t="n"/>
      <c r="B852" s="118" t="n"/>
      <c r="C852" s="118" t="n"/>
      <c r="D852" s="118" t="n"/>
      <c r="E852" s="118" t="n"/>
      <c r="F852" s="118" t="n"/>
      <c r="G852" s="120">
        <f>IF(C852="","",C852*D852)</f>
        <v/>
      </c>
      <c r="H852" s="120">
        <f>IF(C852="","",C852*E852)</f>
        <v/>
      </c>
      <c r="I852" s="115">
        <f>IF(C852="","",IFERROR(D852/(E852+(E852=0))-1,0))</f>
        <v/>
      </c>
      <c r="J852" s="117">
        <f>IF(C852="","",IF(ABS(I852)&gt;AYARLAR!$C$14,"RİSKLİ","NORMAL"))</f>
        <v/>
      </c>
      <c r="K852" s="115">
        <f>IF(G852="","",IFERROR(G852/MOTOR!$B$20,0))</f>
        <v/>
      </c>
      <c r="L852" s="117">
        <f>IF(C852="","",IF(F852="","EKSİK","TAM"))</f>
        <v/>
      </c>
      <c r="M852" s="118" t="n"/>
    </row>
    <row r="853" ht="15" customHeight="1" s="64">
      <c r="A853" s="118" t="n"/>
      <c r="B853" s="118" t="n"/>
      <c r="C853" s="118" t="n"/>
      <c r="D853" s="118" t="n"/>
      <c r="E853" s="118" t="n"/>
      <c r="F853" s="118" t="n"/>
      <c r="G853" s="120">
        <f>IF(C853="","",C853*D853)</f>
        <v/>
      </c>
      <c r="H853" s="120">
        <f>IF(C853="","",C853*E853)</f>
        <v/>
      </c>
      <c r="I853" s="115">
        <f>IF(C853="","",IFERROR(D853/(E853+(E853=0))-1,0))</f>
        <v/>
      </c>
      <c r="J853" s="117">
        <f>IF(C853="","",IF(ABS(I853)&gt;AYARLAR!$C$14,"RİSKLİ","NORMAL"))</f>
        <v/>
      </c>
      <c r="K853" s="115">
        <f>IF(G853="","",IFERROR(G853/MOTOR!$B$20,0))</f>
        <v/>
      </c>
      <c r="L853" s="117">
        <f>IF(C853="","",IF(F853="","EKSİK","TAM"))</f>
        <v/>
      </c>
      <c r="M853" s="118" t="n"/>
    </row>
    <row r="854" ht="15" customHeight="1" s="64">
      <c r="A854" s="118" t="n"/>
      <c r="B854" s="118" t="n"/>
      <c r="C854" s="118" t="n"/>
      <c r="D854" s="118" t="n"/>
      <c r="E854" s="118" t="n"/>
      <c r="F854" s="118" t="n"/>
      <c r="G854" s="120">
        <f>IF(C854="","",C854*D854)</f>
        <v/>
      </c>
      <c r="H854" s="120">
        <f>IF(C854="","",C854*E854)</f>
        <v/>
      </c>
      <c r="I854" s="115">
        <f>IF(C854="","",IFERROR(D854/(E854+(E854=0))-1,0))</f>
        <v/>
      </c>
      <c r="J854" s="117">
        <f>IF(C854="","",IF(ABS(I854)&gt;AYARLAR!$C$14,"RİSKLİ","NORMAL"))</f>
        <v/>
      </c>
      <c r="K854" s="115">
        <f>IF(G854="","",IFERROR(G854/MOTOR!$B$20,0))</f>
        <v/>
      </c>
      <c r="L854" s="117">
        <f>IF(C854="","",IF(F854="","EKSİK","TAM"))</f>
        <v/>
      </c>
      <c r="M854" s="118" t="n"/>
    </row>
    <row r="855" ht="15" customHeight="1" s="64">
      <c r="A855" s="118" t="n"/>
      <c r="B855" s="118" t="n"/>
      <c r="C855" s="118" t="n"/>
      <c r="D855" s="118" t="n"/>
      <c r="E855" s="118" t="n"/>
      <c r="F855" s="118" t="n"/>
      <c r="G855" s="120">
        <f>IF(C855="","",C855*D855)</f>
        <v/>
      </c>
      <c r="H855" s="120">
        <f>IF(C855="","",C855*E855)</f>
        <v/>
      </c>
      <c r="I855" s="115">
        <f>IF(C855="","",IFERROR(D855/(E855+(E855=0))-1,0))</f>
        <v/>
      </c>
      <c r="J855" s="117">
        <f>IF(C855="","",IF(ABS(I855)&gt;AYARLAR!$C$14,"RİSKLİ","NORMAL"))</f>
        <v/>
      </c>
      <c r="K855" s="115">
        <f>IF(G855="","",IFERROR(G855/MOTOR!$B$20,0))</f>
        <v/>
      </c>
      <c r="L855" s="117">
        <f>IF(C855="","",IF(F855="","EKSİK","TAM"))</f>
        <v/>
      </c>
      <c r="M855" s="118" t="n"/>
    </row>
    <row r="856" ht="15" customHeight="1" s="64">
      <c r="A856" s="118" t="n"/>
      <c r="B856" s="118" t="n"/>
      <c r="C856" s="118" t="n"/>
      <c r="D856" s="118" t="n"/>
      <c r="E856" s="118" t="n"/>
      <c r="F856" s="118" t="n"/>
      <c r="G856" s="120">
        <f>IF(C856="","",C856*D856)</f>
        <v/>
      </c>
      <c r="H856" s="120">
        <f>IF(C856="","",C856*E856)</f>
        <v/>
      </c>
      <c r="I856" s="115">
        <f>IF(C856="","",IFERROR(D856/(E856+(E856=0))-1,0))</f>
        <v/>
      </c>
      <c r="J856" s="117">
        <f>IF(C856="","",IF(ABS(I856)&gt;AYARLAR!$C$14,"RİSKLİ","NORMAL"))</f>
        <v/>
      </c>
      <c r="K856" s="115">
        <f>IF(G856="","",IFERROR(G856/MOTOR!$B$20,0))</f>
        <v/>
      </c>
      <c r="L856" s="117">
        <f>IF(C856="","",IF(F856="","EKSİK","TAM"))</f>
        <v/>
      </c>
      <c r="M856" s="118" t="n"/>
    </row>
    <row r="857" ht="15" customHeight="1" s="64">
      <c r="A857" s="118" t="n"/>
      <c r="B857" s="118" t="n"/>
      <c r="C857" s="118" t="n"/>
      <c r="D857" s="118" t="n"/>
      <c r="E857" s="118" t="n"/>
      <c r="F857" s="118" t="n"/>
      <c r="G857" s="120">
        <f>IF(C857="","",C857*D857)</f>
        <v/>
      </c>
      <c r="H857" s="120">
        <f>IF(C857="","",C857*E857)</f>
        <v/>
      </c>
      <c r="I857" s="115">
        <f>IF(C857="","",IFERROR(D857/(E857+(E857=0))-1,0))</f>
        <v/>
      </c>
      <c r="J857" s="117">
        <f>IF(C857="","",IF(ABS(I857)&gt;AYARLAR!$C$14,"RİSKLİ","NORMAL"))</f>
        <v/>
      </c>
      <c r="K857" s="115">
        <f>IF(G857="","",IFERROR(G857/MOTOR!$B$20,0))</f>
        <v/>
      </c>
      <c r="L857" s="117">
        <f>IF(C857="","",IF(F857="","EKSİK","TAM"))</f>
        <v/>
      </c>
      <c r="M857" s="118" t="n"/>
    </row>
    <row r="858" ht="15" customHeight="1" s="64">
      <c r="A858" s="118" t="n"/>
      <c r="B858" s="118" t="n"/>
      <c r="C858" s="118" t="n"/>
      <c r="D858" s="118" t="n"/>
      <c r="E858" s="118" t="n"/>
      <c r="F858" s="118" t="n"/>
      <c r="G858" s="120">
        <f>IF(C858="","",C858*D858)</f>
        <v/>
      </c>
      <c r="H858" s="120">
        <f>IF(C858="","",C858*E858)</f>
        <v/>
      </c>
      <c r="I858" s="115">
        <f>IF(C858="","",IFERROR(D858/(E858+(E858=0))-1,0))</f>
        <v/>
      </c>
      <c r="J858" s="117">
        <f>IF(C858="","",IF(ABS(I858)&gt;AYARLAR!$C$14,"RİSKLİ","NORMAL"))</f>
        <v/>
      </c>
      <c r="K858" s="115">
        <f>IF(G858="","",IFERROR(G858/MOTOR!$B$20,0))</f>
        <v/>
      </c>
      <c r="L858" s="117">
        <f>IF(C858="","",IF(F858="","EKSİK","TAM"))</f>
        <v/>
      </c>
      <c r="M858" s="118" t="n"/>
    </row>
    <row r="859" ht="15" customHeight="1" s="64">
      <c r="A859" s="118" t="n"/>
      <c r="B859" s="118" t="n"/>
      <c r="C859" s="118" t="n"/>
      <c r="D859" s="118" t="n"/>
      <c r="E859" s="118" t="n"/>
      <c r="F859" s="118" t="n"/>
      <c r="G859" s="120">
        <f>IF(C859="","",C859*D859)</f>
        <v/>
      </c>
      <c r="H859" s="120">
        <f>IF(C859="","",C859*E859)</f>
        <v/>
      </c>
      <c r="I859" s="115">
        <f>IF(C859="","",IFERROR(D859/(E859+(E859=0))-1,0))</f>
        <v/>
      </c>
      <c r="J859" s="117">
        <f>IF(C859="","",IF(ABS(I859)&gt;AYARLAR!$C$14,"RİSKLİ","NORMAL"))</f>
        <v/>
      </c>
      <c r="K859" s="115">
        <f>IF(G859="","",IFERROR(G859/MOTOR!$B$20,0))</f>
        <v/>
      </c>
      <c r="L859" s="117">
        <f>IF(C859="","",IF(F859="","EKSİK","TAM"))</f>
        <v/>
      </c>
      <c r="M859" s="118" t="n"/>
    </row>
    <row r="860" ht="15" customHeight="1" s="64">
      <c r="A860" s="118" t="n"/>
      <c r="B860" s="118" t="n"/>
      <c r="C860" s="118" t="n"/>
      <c r="D860" s="118" t="n"/>
      <c r="E860" s="118" t="n"/>
      <c r="F860" s="118" t="n"/>
      <c r="G860" s="120">
        <f>IF(C860="","",C860*D860)</f>
        <v/>
      </c>
      <c r="H860" s="120">
        <f>IF(C860="","",C860*E860)</f>
        <v/>
      </c>
      <c r="I860" s="115">
        <f>IF(C860="","",IFERROR(D860/(E860+(E860=0))-1,0))</f>
        <v/>
      </c>
      <c r="J860" s="117">
        <f>IF(C860="","",IF(ABS(I860)&gt;AYARLAR!$C$14,"RİSKLİ","NORMAL"))</f>
        <v/>
      </c>
      <c r="K860" s="115">
        <f>IF(G860="","",IFERROR(G860/MOTOR!$B$20,0))</f>
        <v/>
      </c>
      <c r="L860" s="117">
        <f>IF(C860="","",IF(F860="","EKSİK","TAM"))</f>
        <v/>
      </c>
      <c r="M860" s="118" t="n"/>
    </row>
    <row r="861" ht="15" customHeight="1" s="64">
      <c r="A861" s="118" t="n"/>
      <c r="B861" s="118" t="n"/>
      <c r="C861" s="118" t="n"/>
      <c r="D861" s="118" t="n"/>
      <c r="E861" s="118" t="n"/>
      <c r="F861" s="118" t="n"/>
      <c r="G861" s="120">
        <f>IF(C861="","",C861*D861)</f>
        <v/>
      </c>
      <c r="H861" s="120">
        <f>IF(C861="","",C861*E861)</f>
        <v/>
      </c>
      <c r="I861" s="115">
        <f>IF(C861="","",IFERROR(D861/(E861+(E861=0))-1,0))</f>
        <v/>
      </c>
      <c r="J861" s="117">
        <f>IF(C861="","",IF(ABS(I861)&gt;AYARLAR!$C$14,"RİSKLİ","NORMAL"))</f>
        <v/>
      </c>
      <c r="K861" s="115">
        <f>IF(G861="","",IFERROR(G861/MOTOR!$B$20,0))</f>
        <v/>
      </c>
      <c r="L861" s="117">
        <f>IF(C861="","",IF(F861="","EKSİK","TAM"))</f>
        <v/>
      </c>
      <c r="M861" s="118" t="n"/>
    </row>
    <row r="862" ht="15" customHeight="1" s="64">
      <c r="A862" s="118" t="n"/>
      <c r="B862" s="118" t="n"/>
      <c r="C862" s="118" t="n"/>
      <c r="D862" s="118" t="n"/>
      <c r="E862" s="118" t="n"/>
      <c r="F862" s="118" t="n"/>
      <c r="G862" s="120">
        <f>IF(C862="","",C862*D862)</f>
        <v/>
      </c>
      <c r="H862" s="120">
        <f>IF(C862="","",C862*E862)</f>
        <v/>
      </c>
      <c r="I862" s="115">
        <f>IF(C862="","",IFERROR(D862/(E862+(E862=0))-1,0))</f>
        <v/>
      </c>
      <c r="J862" s="117">
        <f>IF(C862="","",IF(ABS(I862)&gt;AYARLAR!$C$14,"RİSKLİ","NORMAL"))</f>
        <v/>
      </c>
      <c r="K862" s="115">
        <f>IF(G862="","",IFERROR(G862/MOTOR!$B$20,0))</f>
        <v/>
      </c>
      <c r="L862" s="117">
        <f>IF(C862="","",IF(F862="","EKSİK","TAM"))</f>
        <v/>
      </c>
      <c r="M862" s="118" t="n"/>
    </row>
    <row r="863" ht="15" customHeight="1" s="64">
      <c r="A863" s="118" t="n"/>
      <c r="B863" s="118" t="n"/>
      <c r="C863" s="118" t="n"/>
      <c r="D863" s="118" t="n"/>
      <c r="E863" s="118" t="n"/>
      <c r="F863" s="118" t="n"/>
      <c r="G863" s="120">
        <f>IF(C863="","",C863*D863)</f>
        <v/>
      </c>
      <c r="H863" s="120">
        <f>IF(C863="","",C863*E863)</f>
        <v/>
      </c>
      <c r="I863" s="115">
        <f>IF(C863="","",IFERROR(D863/(E863+(E863=0))-1,0))</f>
        <v/>
      </c>
      <c r="J863" s="117">
        <f>IF(C863="","",IF(ABS(I863)&gt;AYARLAR!$C$14,"RİSKLİ","NORMAL"))</f>
        <v/>
      </c>
      <c r="K863" s="115">
        <f>IF(G863="","",IFERROR(G863/MOTOR!$B$20,0))</f>
        <v/>
      </c>
      <c r="L863" s="117">
        <f>IF(C863="","",IF(F863="","EKSİK","TAM"))</f>
        <v/>
      </c>
      <c r="M863" s="118" t="n"/>
    </row>
    <row r="864" ht="15" customHeight="1" s="64">
      <c r="A864" s="118" t="n"/>
      <c r="B864" s="118" t="n"/>
      <c r="C864" s="118" t="n"/>
      <c r="D864" s="118" t="n"/>
      <c r="E864" s="118" t="n"/>
      <c r="F864" s="118" t="n"/>
      <c r="G864" s="120">
        <f>IF(C864="","",C864*D864)</f>
        <v/>
      </c>
      <c r="H864" s="120">
        <f>IF(C864="","",C864*E864)</f>
        <v/>
      </c>
      <c r="I864" s="115">
        <f>IF(C864="","",IFERROR(D864/(E864+(E864=0))-1,0))</f>
        <v/>
      </c>
      <c r="J864" s="117">
        <f>IF(C864="","",IF(ABS(I864)&gt;AYARLAR!$C$14,"RİSKLİ","NORMAL"))</f>
        <v/>
      </c>
      <c r="K864" s="115">
        <f>IF(G864="","",IFERROR(G864/MOTOR!$B$20,0))</f>
        <v/>
      </c>
      <c r="L864" s="117">
        <f>IF(C864="","",IF(F864="","EKSİK","TAM"))</f>
        <v/>
      </c>
      <c r="M864" s="118" t="n"/>
    </row>
    <row r="865" ht="15" customHeight="1" s="64">
      <c r="A865" s="118" t="n"/>
      <c r="B865" s="118" t="n"/>
      <c r="C865" s="118" t="n"/>
      <c r="D865" s="118" t="n"/>
      <c r="E865" s="118" t="n"/>
      <c r="F865" s="118" t="n"/>
      <c r="G865" s="120">
        <f>IF(C865="","",C865*D865)</f>
        <v/>
      </c>
      <c r="H865" s="120">
        <f>IF(C865="","",C865*E865)</f>
        <v/>
      </c>
      <c r="I865" s="115">
        <f>IF(C865="","",IFERROR(D865/(E865+(E865=0))-1,0))</f>
        <v/>
      </c>
      <c r="J865" s="117">
        <f>IF(C865="","",IF(ABS(I865)&gt;AYARLAR!$C$14,"RİSKLİ","NORMAL"))</f>
        <v/>
      </c>
      <c r="K865" s="115">
        <f>IF(G865="","",IFERROR(G865/MOTOR!$B$20,0))</f>
        <v/>
      </c>
      <c r="L865" s="117">
        <f>IF(C865="","",IF(F865="","EKSİK","TAM"))</f>
        <v/>
      </c>
      <c r="M865" s="118" t="n"/>
    </row>
    <row r="866" ht="15" customHeight="1" s="64">
      <c r="A866" s="118" t="n"/>
      <c r="B866" s="118" t="n"/>
      <c r="C866" s="118" t="n"/>
      <c r="D866" s="118" t="n"/>
      <c r="E866" s="118" t="n"/>
      <c r="F866" s="118" t="n"/>
      <c r="G866" s="120">
        <f>IF(C866="","",C866*D866)</f>
        <v/>
      </c>
      <c r="H866" s="120">
        <f>IF(C866="","",C866*E866)</f>
        <v/>
      </c>
      <c r="I866" s="115">
        <f>IF(C866="","",IFERROR(D866/(E866+(E866=0))-1,0))</f>
        <v/>
      </c>
      <c r="J866" s="117">
        <f>IF(C866="","",IF(ABS(I866)&gt;AYARLAR!$C$14,"RİSKLİ","NORMAL"))</f>
        <v/>
      </c>
      <c r="K866" s="115">
        <f>IF(G866="","",IFERROR(G866/MOTOR!$B$20,0))</f>
        <v/>
      </c>
      <c r="L866" s="117">
        <f>IF(C866="","",IF(F866="","EKSİK","TAM"))</f>
        <v/>
      </c>
      <c r="M866" s="118" t="n"/>
    </row>
    <row r="867" ht="15" customHeight="1" s="64">
      <c r="A867" s="118" t="n"/>
      <c r="B867" s="118" t="n"/>
      <c r="C867" s="118" t="n"/>
      <c r="D867" s="118" t="n"/>
      <c r="E867" s="118" t="n"/>
      <c r="F867" s="118" t="n"/>
      <c r="G867" s="120">
        <f>IF(C867="","",C867*D867)</f>
        <v/>
      </c>
      <c r="H867" s="120">
        <f>IF(C867="","",C867*E867)</f>
        <v/>
      </c>
      <c r="I867" s="115">
        <f>IF(C867="","",IFERROR(D867/(E867+(E867=0))-1,0))</f>
        <v/>
      </c>
      <c r="J867" s="117">
        <f>IF(C867="","",IF(ABS(I867)&gt;AYARLAR!$C$14,"RİSKLİ","NORMAL"))</f>
        <v/>
      </c>
      <c r="K867" s="115">
        <f>IF(G867="","",IFERROR(G867/MOTOR!$B$20,0))</f>
        <v/>
      </c>
      <c r="L867" s="117">
        <f>IF(C867="","",IF(F867="","EKSİK","TAM"))</f>
        <v/>
      </c>
      <c r="M867" s="118" t="n"/>
    </row>
    <row r="868" ht="15" customHeight="1" s="64">
      <c r="A868" s="118" t="n"/>
      <c r="B868" s="118" t="n"/>
      <c r="C868" s="118" t="n"/>
      <c r="D868" s="118" t="n"/>
      <c r="E868" s="118" t="n"/>
      <c r="F868" s="118" t="n"/>
      <c r="G868" s="120">
        <f>IF(C868="","",C868*D868)</f>
        <v/>
      </c>
      <c r="H868" s="120">
        <f>IF(C868="","",C868*E868)</f>
        <v/>
      </c>
      <c r="I868" s="115">
        <f>IF(C868="","",IFERROR(D868/(E868+(E868=0))-1,0))</f>
        <v/>
      </c>
      <c r="J868" s="117">
        <f>IF(C868="","",IF(ABS(I868)&gt;AYARLAR!$C$14,"RİSKLİ","NORMAL"))</f>
        <v/>
      </c>
      <c r="K868" s="115">
        <f>IF(G868="","",IFERROR(G868/MOTOR!$B$20,0))</f>
        <v/>
      </c>
      <c r="L868" s="117">
        <f>IF(C868="","",IF(F868="","EKSİK","TAM"))</f>
        <v/>
      </c>
      <c r="M868" s="118" t="n"/>
    </row>
    <row r="869" ht="15" customHeight="1" s="64">
      <c r="A869" s="118" t="n"/>
      <c r="B869" s="118" t="n"/>
      <c r="C869" s="118" t="n"/>
      <c r="D869" s="118" t="n"/>
      <c r="E869" s="118" t="n"/>
      <c r="F869" s="118" t="n"/>
      <c r="G869" s="120">
        <f>IF(C869="","",C869*D869)</f>
        <v/>
      </c>
      <c r="H869" s="120">
        <f>IF(C869="","",C869*E869)</f>
        <v/>
      </c>
      <c r="I869" s="115">
        <f>IF(C869="","",IFERROR(D869/(E869+(E869=0))-1,0))</f>
        <v/>
      </c>
      <c r="J869" s="117">
        <f>IF(C869="","",IF(ABS(I869)&gt;AYARLAR!$C$14,"RİSKLİ","NORMAL"))</f>
        <v/>
      </c>
      <c r="K869" s="115">
        <f>IF(G869="","",IFERROR(G869/MOTOR!$B$20,0))</f>
        <v/>
      </c>
      <c r="L869" s="117">
        <f>IF(C869="","",IF(F869="","EKSİK","TAM"))</f>
        <v/>
      </c>
      <c r="M869" s="118" t="n"/>
    </row>
    <row r="870" ht="15" customHeight="1" s="64">
      <c r="A870" s="118" t="n"/>
      <c r="B870" s="118" t="n"/>
      <c r="C870" s="118" t="n"/>
      <c r="D870" s="118" t="n"/>
      <c r="E870" s="118" t="n"/>
      <c r="F870" s="118" t="n"/>
      <c r="G870" s="120">
        <f>IF(C870="","",C870*D870)</f>
        <v/>
      </c>
      <c r="H870" s="120">
        <f>IF(C870="","",C870*E870)</f>
        <v/>
      </c>
      <c r="I870" s="115">
        <f>IF(C870="","",IFERROR(D870/(E870+(E870=0))-1,0))</f>
        <v/>
      </c>
      <c r="J870" s="117">
        <f>IF(C870="","",IF(ABS(I870)&gt;AYARLAR!$C$14,"RİSKLİ","NORMAL"))</f>
        <v/>
      </c>
      <c r="K870" s="115">
        <f>IF(G870="","",IFERROR(G870/MOTOR!$B$20,0))</f>
        <v/>
      </c>
      <c r="L870" s="117">
        <f>IF(C870="","",IF(F870="","EKSİK","TAM"))</f>
        <v/>
      </c>
      <c r="M870" s="118" t="n"/>
    </row>
    <row r="871" ht="15" customHeight="1" s="64">
      <c r="A871" s="118" t="n"/>
      <c r="B871" s="118" t="n"/>
      <c r="C871" s="118" t="n"/>
      <c r="D871" s="118" t="n"/>
      <c r="E871" s="118" t="n"/>
      <c r="F871" s="118" t="n"/>
      <c r="G871" s="120">
        <f>IF(C871="","",C871*D871)</f>
        <v/>
      </c>
      <c r="H871" s="120">
        <f>IF(C871="","",C871*E871)</f>
        <v/>
      </c>
      <c r="I871" s="115">
        <f>IF(C871="","",IFERROR(D871/(E871+(E871=0))-1,0))</f>
        <v/>
      </c>
      <c r="J871" s="117">
        <f>IF(C871="","",IF(ABS(I871)&gt;AYARLAR!$C$14,"RİSKLİ","NORMAL"))</f>
        <v/>
      </c>
      <c r="K871" s="115">
        <f>IF(G871="","",IFERROR(G871/MOTOR!$B$20,0))</f>
        <v/>
      </c>
      <c r="L871" s="117">
        <f>IF(C871="","",IF(F871="","EKSİK","TAM"))</f>
        <v/>
      </c>
      <c r="M871" s="118" t="n"/>
    </row>
    <row r="872" ht="15" customHeight="1" s="64">
      <c r="A872" s="118" t="n"/>
      <c r="B872" s="118" t="n"/>
      <c r="C872" s="118" t="n"/>
      <c r="D872" s="118" t="n"/>
      <c r="E872" s="118" t="n"/>
      <c r="F872" s="118" t="n"/>
      <c r="G872" s="120">
        <f>IF(C872="","",C872*D872)</f>
        <v/>
      </c>
      <c r="H872" s="120">
        <f>IF(C872="","",C872*E872)</f>
        <v/>
      </c>
      <c r="I872" s="115">
        <f>IF(C872="","",IFERROR(D872/(E872+(E872=0))-1,0))</f>
        <v/>
      </c>
      <c r="J872" s="117">
        <f>IF(C872="","",IF(ABS(I872)&gt;AYARLAR!$C$14,"RİSKLİ","NORMAL"))</f>
        <v/>
      </c>
      <c r="K872" s="115">
        <f>IF(G872="","",IFERROR(G872/MOTOR!$B$20,0))</f>
        <v/>
      </c>
      <c r="L872" s="117">
        <f>IF(C872="","",IF(F872="","EKSİK","TAM"))</f>
        <v/>
      </c>
      <c r="M872" s="118" t="n"/>
    </row>
    <row r="873" ht="15" customHeight="1" s="64">
      <c r="A873" s="118" t="n"/>
      <c r="B873" s="118" t="n"/>
      <c r="C873" s="118" t="n"/>
      <c r="D873" s="118" t="n"/>
      <c r="E873" s="118" t="n"/>
      <c r="F873" s="118" t="n"/>
      <c r="G873" s="120">
        <f>IF(C873="","",C873*D873)</f>
        <v/>
      </c>
      <c r="H873" s="120">
        <f>IF(C873="","",C873*E873)</f>
        <v/>
      </c>
      <c r="I873" s="115">
        <f>IF(C873="","",IFERROR(D873/(E873+(E873=0))-1,0))</f>
        <v/>
      </c>
      <c r="J873" s="117">
        <f>IF(C873="","",IF(ABS(I873)&gt;AYARLAR!$C$14,"RİSKLİ","NORMAL"))</f>
        <v/>
      </c>
      <c r="K873" s="115">
        <f>IF(G873="","",IFERROR(G873/MOTOR!$B$20,0))</f>
        <v/>
      </c>
      <c r="L873" s="117">
        <f>IF(C873="","",IF(F873="","EKSİK","TAM"))</f>
        <v/>
      </c>
      <c r="M873" s="118" t="n"/>
    </row>
    <row r="874" ht="15" customHeight="1" s="64">
      <c r="A874" s="118" t="n"/>
      <c r="B874" s="118" t="n"/>
      <c r="C874" s="118" t="n"/>
      <c r="D874" s="118" t="n"/>
      <c r="E874" s="118" t="n"/>
      <c r="F874" s="118" t="n"/>
      <c r="G874" s="120">
        <f>IF(C874="","",C874*D874)</f>
        <v/>
      </c>
      <c r="H874" s="120">
        <f>IF(C874="","",C874*E874)</f>
        <v/>
      </c>
      <c r="I874" s="115">
        <f>IF(C874="","",IFERROR(D874/(E874+(E874=0))-1,0))</f>
        <v/>
      </c>
      <c r="J874" s="117">
        <f>IF(C874="","",IF(ABS(I874)&gt;AYARLAR!$C$14,"RİSKLİ","NORMAL"))</f>
        <v/>
      </c>
      <c r="K874" s="115">
        <f>IF(G874="","",IFERROR(G874/MOTOR!$B$20,0))</f>
        <v/>
      </c>
      <c r="L874" s="117">
        <f>IF(C874="","",IF(F874="","EKSİK","TAM"))</f>
        <v/>
      </c>
      <c r="M874" s="118" t="n"/>
    </row>
    <row r="875" ht="15" customHeight="1" s="64">
      <c r="A875" s="118" t="n"/>
      <c r="B875" s="118" t="n"/>
      <c r="C875" s="118" t="n"/>
      <c r="D875" s="118" t="n"/>
      <c r="E875" s="118" t="n"/>
      <c r="F875" s="118" t="n"/>
      <c r="G875" s="120">
        <f>IF(C875="","",C875*D875)</f>
        <v/>
      </c>
      <c r="H875" s="120">
        <f>IF(C875="","",C875*E875)</f>
        <v/>
      </c>
      <c r="I875" s="115">
        <f>IF(C875="","",IFERROR(D875/(E875+(E875=0))-1,0))</f>
        <v/>
      </c>
      <c r="J875" s="117">
        <f>IF(C875="","",IF(ABS(I875)&gt;AYARLAR!$C$14,"RİSKLİ","NORMAL"))</f>
        <v/>
      </c>
      <c r="K875" s="115">
        <f>IF(G875="","",IFERROR(G875/MOTOR!$B$20,0))</f>
        <v/>
      </c>
      <c r="L875" s="117">
        <f>IF(C875="","",IF(F875="","EKSİK","TAM"))</f>
        <v/>
      </c>
      <c r="M875" s="118" t="n"/>
    </row>
    <row r="876" ht="15" customHeight="1" s="64">
      <c r="A876" s="118" t="n"/>
      <c r="B876" s="118" t="n"/>
      <c r="C876" s="118" t="n"/>
      <c r="D876" s="118" t="n"/>
      <c r="E876" s="118" t="n"/>
      <c r="F876" s="118" t="n"/>
      <c r="G876" s="120">
        <f>IF(C876="","",C876*D876)</f>
        <v/>
      </c>
      <c r="H876" s="120">
        <f>IF(C876="","",C876*E876)</f>
        <v/>
      </c>
      <c r="I876" s="115">
        <f>IF(C876="","",IFERROR(D876/(E876+(E876=0))-1,0))</f>
        <v/>
      </c>
      <c r="J876" s="117">
        <f>IF(C876="","",IF(ABS(I876)&gt;AYARLAR!$C$14,"RİSKLİ","NORMAL"))</f>
        <v/>
      </c>
      <c r="K876" s="115">
        <f>IF(G876="","",IFERROR(G876/MOTOR!$B$20,0))</f>
        <v/>
      </c>
      <c r="L876" s="117">
        <f>IF(C876="","",IF(F876="","EKSİK","TAM"))</f>
        <v/>
      </c>
      <c r="M876" s="118" t="n"/>
    </row>
    <row r="877" ht="15" customHeight="1" s="64">
      <c r="A877" s="118" t="n"/>
      <c r="B877" s="118" t="n"/>
      <c r="C877" s="118" t="n"/>
      <c r="D877" s="118" t="n"/>
      <c r="E877" s="118" t="n"/>
      <c r="F877" s="118" t="n"/>
      <c r="G877" s="120">
        <f>IF(C877="","",C877*D877)</f>
        <v/>
      </c>
      <c r="H877" s="120">
        <f>IF(C877="","",C877*E877)</f>
        <v/>
      </c>
      <c r="I877" s="115">
        <f>IF(C877="","",IFERROR(D877/(E877+(E877=0))-1,0))</f>
        <v/>
      </c>
      <c r="J877" s="117">
        <f>IF(C877="","",IF(ABS(I877)&gt;AYARLAR!$C$14,"RİSKLİ","NORMAL"))</f>
        <v/>
      </c>
      <c r="K877" s="115">
        <f>IF(G877="","",IFERROR(G877/MOTOR!$B$20,0))</f>
        <v/>
      </c>
      <c r="L877" s="117">
        <f>IF(C877="","",IF(F877="","EKSİK","TAM"))</f>
        <v/>
      </c>
      <c r="M877" s="118" t="n"/>
    </row>
    <row r="878" ht="15" customHeight="1" s="64">
      <c r="A878" s="118" t="n"/>
      <c r="B878" s="118" t="n"/>
      <c r="C878" s="118" t="n"/>
      <c r="D878" s="118" t="n"/>
      <c r="E878" s="118" t="n"/>
      <c r="F878" s="118" t="n"/>
      <c r="G878" s="120">
        <f>IF(C878="","",C878*D878)</f>
        <v/>
      </c>
      <c r="H878" s="120">
        <f>IF(C878="","",C878*E878)</f>
        <v/>
      </c>
      <c r="I878" s="115">
        <f>IF(C878="","",IFERROR(D878/(E878+(E878=0))-1,0))</f>
        <v/>
      </c>
      <c r="J878" s="117">
        <f>IF(C878="","",IF(ABS(I878)&gt;AYARLAR!$C$14,"RİSKLİ","NORMAL"))</f>
        <v/>
      </c>
      <c r="K878" s="115">
        <f>IF(G878="","",IFERROR(G878/MOTOR!$B$20,0))</f>
        <v/>
      </c>
      <c r="L878" s="117">
        <f>IF(C878="","",IF(F878="","EKSİK","TAM"))</f>
        <v/>
      </c>
      <c r="M878" s="118" t="n"/>
    </row>
    <row r="879" ht="15" customHeight="1" s="64">
      <c r="A879" s="118" t="n"/>
      <c r="B879" s="118" t="n"/>
      <c r="C879" s="118" t="n"/>
      <c r="D879" s="118" t="n"/>
      <c r="E879" s="118" t="n"/>
      <c r="F879" s="118" t="n"/>
      <c r="G879" s="120">
        <f>IF(C879="","",C879*D879)</f>
        <v/>
      </c>
      <c r="H879" s="120">
        <f>IF(C879="","",C879*E879)</f>
        <v/>
      </c>
      <c r="I879" s="115">
        <f>IF(C879="","",IFERROR(D879/(E879+(E879=0))-1,0))</f>
        <v/>
      </c>
      <c r="J879" s="117">
        <f>IF(C879="","",IF(ABS(I879)&gt;AYARLAR!$C$14,"RİSKLİ","NORMAL"))</f>
        <v/>
      </c>
      <c r="K879" s="115">
        <f>IF(G879="","",IFERROR(G879/MOTOR!$B$20,0))</f>
        <v/>
      </c>
      <c r="L879" s="117">
        <f>IF(C879="","",IF(F879="","EKSİK","TAM"))</f>
        <v/>
      </c>
      <c r="M879" s="118" t="n"/>
    </row>
    <row r="880" ht="15" customHeight="1" s="64">
      <c r="A880" s="118" t="n"/>
      <c r="B880" s="118" t="n"/>
      <c r="C880" s="118" t="n"/>
      <c r="D880" s="118" t="n"/>
      <c r="E880" s="118" t="n"/>
      <c r="F880" s="118" t="n"/>
      <c r="G880" s="120">
        <f>IF(C880="","",C880*D880)</f>
        <v/>
      </c>
      <c r="H880" s="120">
        <f>IF(C880="","",C880*E880)</f>
        <v/>
      </c>
      <c r="I880" s="115">
        <f>IF(C880="","",IFERROR(D880/(E880+(E880=0))-1,0))</f>
        <v/>
      </c>
      <c r="J880" s="117">
        <f>IF(C880="","",IF(ABS(I880)&gt;AYARLAR!$C$14,"RİSKLİ","NORMAL"))</f>
        <v/>
      </c>
      <c r="K880" s="115">
        <f>IF(G880="","",IFERROR(G880/MOTOR!$B$20,0))</f>
        <v/>
      </c>
      <c r="L880" s="117">
        <f>IF(C880="","",IF(F880="","EKSİK","TAM"))</f>
        <v/>
      </c>
      <c r="M880" s="118" t="n"/>
    </row>
    <row r="881" ht="15" customHeight="1" s="64">
      <c r="A881" s="118" t="n"/>
      <c r="B881" s="118" t="n"/>
      <c r="C881" s="118" t="n"/>
      <c r="D881" s="118" t="n"/>
      <c r="E881" s="118" t="n"/>
      <c r="F881" s="118" t="n"/>
      <c r="G881" s="120">
        <f>IF(C881="","",C881*D881)</f>
        <v/>
      </c>
      <c r="H881" s="120">
        <f>IF(C881="","",C881*E881)</f>
        <v/>
      </c>
      <c r="I881" s="115">
        <f>IF(C881="","",IFERROR(D881/(E881+(E881=0))-1,0))</f>
        <v/>
      </c>
      <c r="J881" s="117">
        <f>IF(C881="","",IF(ABS(I881)&gt;AYARLAR!$C$14,"RİSKLİ","NORMAL"))</f>
        <v/>
      </c>
      <c r="K881" s="115">
        <f>IF(G881="","",IFERROR(G881/MOTOR!$B$20,0))</f>
        <v/>
      </c>
      <c r="L881" s="117">
        <f>IF(C881="","",IF(F881="","EKSİK","TAM"))</f>
        <v/>
      </c>
      <c r="M881" s="118" t="n"/>
    </row>
    <row r="882" ht="15" customHeight="1" s="64">
      <c r="A882" s="118" t="n"/>
      <c r="B882" s="118" t="n"/>
      <c r="C882" s="118" t="n"/>
      <c r="D882" s="118" t="n"/>
      <c r="E882" s="118" t="n"/>
      <c r="F882" s="118" t="n"/>
      <c r="G882" s="120">
        <f>IF(C882="","",C882*D882)</f>
        <v/>
      </c>
      <c r="H882" s="120">
        <f>IF(C882="","",C882*E882)</f>
        <v/>
      </c>
      <c r="I882" s="115">
        <f>IF(C882="","",IFERROR(D882/(E882+(E882=0))-1,0))</f>
        <v/>
      </c>
      <c r="J882" s="117">
        <f>IF(C882="","",IF(ABS(I882)&gt;AYARLAR!$C$14,"RİSKLİ","NORMAL"))</f>
        <v/>
      </c>
      <c r="K882" s="115">
        <f>IF(G882="","",IFERROR(G882/MOTOR!$B$20,0))</f>
        <v/>
      </c>
      <c r="L882" s="117">
        <f>IF(C882="","",IF(F882="","EKSİK","TAM"))</f>
        <v/>
      </c>
      <c r="M882" s="118" t="n"/>
    </row>
    <row r="883" ht="15" customHeight="1" s="64">
      <c r="A883" s="118" t="n"/>
      <c r="B883" s="118" t="n"/>
      <c r="C883" s="118" t="n"/>
      <c r="D883" s="118" t="n"/>
      <c r="E883" s="118" t="n"/>
      <c r="F883" s="118" t="n"/>
      <c r="G883" s="120">
        <f>IF(C883="","",C883*D883)</f>
        <v/>
      </c>
      <c r="H883" s="120">
        <f>IF(C883="","",C883*E883)</f>
        <v/>
      </c>
      <c r="I883" s="115">
        <f>IF(C883="","",IFERROR(D883/(E883+(E883=0))-1,0))</f>
        <v/>
      </c>
      <c r="J883" s="117">
        <f>IF(C883="","",IF(ABS(I883)&gt;AYARLAR!$C$14,"RİSKLİ","NORMAL"))</f>
        <v/>
      </c>
      <c r="K883" s="115">
        <f>IF(G883="","",IFERROR(G883/MOTOR!$B$20,0))</f>
        <v/>
      </c>
      <c r="L883" s="117">
        <f>IF(C883="","",IF(F883="","EKSİK","TAM"))</f>
        <v/>
      </c>
      <c r="M883" s="118" t="n"/>
    </row>
    <row r="884" ht="15" customHeight="1" s="64">
      <c r="A884" s="118" t="n"/>
      <c r="B884" s="118" t="n"/>
      <c r="C884" s="118" t="n"/>
      <c r="D884" s="118" t="n"/>
      <c r="E884" s="118" t="n"/>
      <c r="F884" s="118" t="n"/>
      <c r="G884" s="120">
        <f>IF(C884="","",C884*D884)</f>
        <v/>
      </c>
      <c r="H884" s="120">
        <f>IF(C884="","",C884*E884)</f>
        <v/>
      </c>
      <c r="I884" s="115">
        <f>IF(C884="","",IFERROR(D884/(E884+(E884=0))-1,0))</f>
        <v/>
      </c>
      <c r="J884" s="117">
        <f>IF(C884="","",IF(ABS(I884)&gt;AYARLAR!$C$14,"RİSKLİ","NORMAL"))</f>
        <v/>
      </c>
      <c r="K884" s="115">
        <f>IF(G884="","",IFERROR(G884/MOTOR!$B$20,0))</f>
        <v/>
      </c>
      <c r="L884" s="117">
        <f>IF(C884="","",IF(F884="","EKSİK","TAM"))</f>
        <v/>
      </c>
      <c r="M884" s="118" t="n"/>
    </row>
    <row r="885" ht="15" customHeight="1" s="64">
      <c r="A885" s="118" t="n"/>
      <c r="B885" s="118" t="n"/>
      <c r="C885" s="118" t="n"/>
      <c r="D885" s="118" t="n"/>
      <c r="E885" s="118" t="n"/>
      <c r="F885" s="118" t="n"/>
      <c r="G885" s="120">
        <f>IF(C885="","",C885*D885)</f>
        <v/>
      </c>
      <c r="H885" s="120">
        <f>IF(C885="","",C885*E885)</f>
        <v/>
      </c>
      <c r="I885" s="115">
        <f>IF(C885="","",IFERROR(D885/(E885+(E885=0))-1,0))</f>
        <v/>
      </c>
      <c r="J885" s="117">
        <f>IF(C885="","",IF(ABS(I885)&gt;AYARLAR!$C$14,"RİSKLİ","NORMAL"))</f>
        <v/>
      </c>
      <c r="K885" s="115">
        <f>IF(G885="","",IFERROR(G885/MOTOR!$B$20,0))</f>
        <v/>
      </c>
      <c r="L885" s="117">
        <f>IF(C885="","",IF(F885="","EKSİK","TAM"))</f>
        <v/>
      </c>
      <c r="M885" s="118" t="n"/>
    </row>
    <row r="886" ht="15" customHeight="1" s="64">
      <c r="A886" s="118" t="n"/>
      <c r="B886" s="118" t="n"/>
      <c r="C886" s="118" t="n"/>
      <c r="D886" s="118" t="n"/>
      <c r="E886" s="118" t="n"/>
      <c r="F886" s="118" t="n"/>
      <c r="G886" s="120">
        <f>IF(C886="","",C886*D886)</f>
        <v/>
      </c>
      <c r="H886" s="120">
        <f>IF(C886="","",C886*E886)</f>
        <v/>
      </c>
      <c r="I886" s="115">
        <f>IF(C886="","",IFERROR(D886/(E886+(E886=0))-1,0))</f>
        <v/>
      </c>
      <c r="J886" s="117">
        <f>IF(C886="","",IF(ABS(I886)&gt;AYARLAR!$C$14,"RİSKLİ","NORMAL"))</f>
        <v/>
      </c>
      <c r="K886" s="115">
        <f>IF(G886="","",IFERROR(G886/MOTOR!$B$20,0))</f>
        <v/>
      </c>
      <c r="L886" s="117">
        <f>IF(C886="","",IF(F886="","EKSİK","TAM"))</f>
        <v/>
      </c>
      <c r="M886" s="118" t="n"/>
    </row>
    <row r="887" ht="15" customHeight="1" s="64">
      <c r="A887" s="118" t="n"/>
      <c r="B887" s="118" t="n"/>
      <c r="C887" s="118" t="n"/>
      <c r="D887" s="118" t="n"/>
      <c r="E887" s="118" t="n"/>
      <c r="F887" s="118" t="n"/>
      <c r="G887" s="120">
        <f>IF(C887="","",C887*D887)</f>
        <v/>
      </c>
      <c r="H887" s="120">
        <f>IF(C887="","",C887*E887)</f>
        <v/>
      </c>
      <c r="I887" s="115">
        <f>IF(C887="","",IFERROR(D887/(E887+(E887=0))-1,0))</f>
        <v/>
      </c>
      <c r="J887" s="117">
        <f>IF(C887="","",IF(ABS(I887)&gt;AYARLAR!$C$14,"RİSKLİ","NORMAL"))</f>
        <v/>
      </c>
      <c r="K887" s="115">
        <f>IF(G887="","",IFERROR(G887/MOTOR!$B$20,0))</f>
        <v/>
      </c>
      <c r="L887" s="117">
        <f>IF(C887="","",IF(F887="","EKSİK","TAM"))</f>
        <v/>
      </c>
      <c r="M887" s="118" t="n"/>
    </row>
    <row r="888" ht="15" customHeight="1" s="64">
      <c r="A888" s="118" t="n"/>
      <c r="B888" s="118" t="n"/>
      <c r="C888" s="118" t="n"/>
      <c r="D888" s="118" t="n"/>
      <c r="E888" s="118" t="n"/>
      <c r="F888" s="118" t="n"/>
      <c r="G888" s="120">
        <f>IF(C888="","",C888*D888)</f>
        <v/>
      </c>
      <c r="H888" s="120">
        <f>IF(C888="","",C888*E888)</f>
        <v/>
      </c>
      <c r="I888" s="115">
        <f>IF(C888="","",IFERROR(D888/(E888+(E888=0))-1,0))</f>
        <v/>
      </c>
      <c r="J888" s="117">
        <f>IF(C888="","",IF(ABS(I888)&gt;AYARLAR!$C$14,"RİSKLİ","NORMAL"))</f>
        <v/>
      </c>
      <c r="K888" s="115">
        <f>IF(G888="","",IFERROR(G888/MOTOR!$B$20,0))</f>
        <v/>
      </c>
      <c r="L888" s="117">
        <f>IF(C888="","",IF(F888="","EKSİK","TAM"))</f>
        <v/>
      </c>
      <c r="M888" s="118" t="n"/>
    </row>
    <row r="889" ht="15" customHeight="1" s="64">
      <c r="A889" s="118" t="n"/>
      <c r="B889" s="118" t="n"/>
      <c r="C889" s="118" t="n"/>
      <c r="D889" s="118" t="n"/>
      <c r="E889" s="118" t="n"/>
      <c r="F889" s="118" t="n"/>
      <c r="G889" s="120">
        <f>IF(C889="","",C889*D889)</f>
        <v/>
      </c>
      <c r="H889" s="120">
        <f>IF(C889="","",C889*E889)</f>
        <v/>
      </c>
      <c r="I889" s="115">
        <f>IF(C889="","",IFERROR(D889/(E889+(E889=0))-1,0))</f>
        <v/>
      </c>
      <c r="J889" s="117">
        <f>IF(C889="","",IF(ABS(I889)&gt;AYARLAR!$C$14,"RİSKLİ","NORMAL"))</f>
        <v/>
      </c>
      <c r="K889" s="115">
        <f>IF(G889="","",IFERROR(G889/MOTOR!$B$20,0))</f>
        <v/>
      </c>
      <c r="L889" s="117">
        <f>IF(C889="","",IF(F889="","EKSİK","TAM"))</f>
        <v/>
      </c>
      <c r="M889" s="118" t="n"/>
    </row>
    <row r="890" ht="15" customHeight="1" s="64">
      <c r="A890" s="118" t="n"/>
      <c r="B890" s="118" t="n"/>
      <c r="C890" s="118" t="n"/>
      <c r="D890" s="118" t="n"/>
      <c r="E890" s="118" t="n"/>
      <c r="F890" s="118" t="n"/>
      <c r="G890" s="120">
        <f>IF(C890="","",C890*D890)</f>
        <v/>
      </c>
      <c r="H890" s="120">
        <f>IF(C890="","",C890*E890)</f>
        <v/>
      </c>
      <c r="I890" s="115">
        <f>IF(C890="","",IFERROR(D890/(E890+(E890=0))-1,0))</f>
        <v/>
      </c>
      <c r="J890" s="117">
        <f>IF(C890="","",IF(ABS(I890)&gt;AYARLAR!$C$14,"RİSKLİ","NORMAL"))</f>
        <v/>
      </c>
      <c r="K890" s="115">
        <f>IF(G890="","",IFERROR(G890/MOTOR!$B$20,0))</f>
        <v/>
      </c>
      <c r="L890" s="117">
        <f>IF(C890="","",IF(F890="","EKSİK","TAM"))</f>
        <v/>
      </c>
      <c r="M890" s="118" t="n"/>
    </row>
    <row r="891" ht="15" customHeight="1" s="64">
      <c r="A891" s="118" t="n"/>
      <c r="B891" s="118" t="n"/>
      <c r="C891" s="118" t="n"/>
      <c r="D891" s="118" t="n"/>
      <c r="E891" s="118" t="n"/>
      <c r="F891" s="118" t="n"/>
      <c r="G891" s="120">
        <f>IF(C891="","",C891*D891)</f>
        <v/>
      </c>
      <c r="H891" s="120">
        <f>IF(C891="","",C891*E891)</f>
        <v/>
      </c>
      <c r="I891" s="115">
        <f>IF(C891="","",IFERROR(D891/(E891+(E891=0))-1,0))</f>
        <v/>
      </c>
      <c r="J891" s="117">
        <f>IF(C891="","",IF(ABS(I891)&gt;AYARLAR!$C$14,"RİSKLİ","NORMAL"))</f>
        <v/>
      </c>
      <c r="K891" s="115">
        <f>IF(G891="","",IFERROR(G891/MOTOR!$B$20,0))</f>
        <v/>
      </c>
      <c r="L891" s="117">
        <f>IF(C891="","",IF(F891="","EKSİK","TAM"))</f>
        <v/>
      </c>
      <c r="M891" s="118" t="n"/>
    </row>
    <row r="892" ht="15" customHeight="1" s="64">
      <c r="A892" s="118" t="n"/>
      <c r="B892" s="118" t="n"/>
      <c r="C892" s="118" t="n"/>
      <c r="D892" s="118" t="n"/>
      <c r="E892" s="118" t="n"/>
      <c r="F892" s="118" t="n"/>
      <c r="G892" s="120">
        <f>IF(C892="","",C892*D892)</f>
        <v/>
      </c>
      <c r="H892" s="120">
        <f>IF(C892="","",C892*E892)</f>
        <v/>
      </c>
      <c r="I892" s="115">
        <f>IF(C892="","",IFERROR(D892/(E892+(E892=0))-1,0))</f>
        <v/>
      </c>
      <c r="J892" s="117">
        <f>IF(C892="","",IF(ABS(I892)&gt;AYARLAR!$C$14,"RİSKLİ","NORMAL"))</f>
        <v/>
      </c>
      <c r="K892" s="115">
        <f>IF(G892="","",IFERROR(G892/MOTOR!$B$20,0))</f>
        <v/>
      </c>
      <c r="L892" s="117">
        <f>IF(C892="","",IF(F892="","EKSİK","TAM"))</f>
        <v/>
      </c>
      <c r="M892" s="118" t="n"/>
    </row>
    <row r="893" ht="15" customHeight="1" s="64">
      <c r="A893" s="118" t="n"/>
      <c r="B893" s="118" t="n"/>
      <c r="C893" s="118" t="n"/>
      <c r="D893" s="118" t="n"/>
      <c r="E893" s="118" t="n"/>
      <c r="F893" s="118" t="n"/>
      <c r="G893" s="120">
        <f>IF(C893="","",C893*D893)</f>
        <v/>
      </c>
      <c r="H893" s="120">
        <f>IF(C893="","",C893*E893)</f>
        <v/>
      </c>
      <c r="I893" s="115">
        <f>IF(C893="","",IFERROR(D893/(E893+(E893=0))-1,0))</f>
        <v/>
      </c>
      <c r="J893" s="117">
        <f>IF(C893="","",IF(ABS(I893)&gt;AYARLAR!$C$14,"RİSKLİ","NORMAL"))</f>
        <v/>
      </c>
      <c r="K893" s="115">
        <f>IF(G893="","",IFERROR(G893/MOTOR!$B$20,0))</f>
        <v/>
      </c>
      <c r="L893" s="117">
        <f>IF(C893="","",IF(F893="","EKSİK","TAM"))</f>
        <v/>
      </c>
      <c r="M893" s="118" t="n"/>
    </row>
    <row r="894" ht="15" customHeight="1" s="64">
      <c r="A894" s="118" t="n"/>
      <c r="B894" s="118" t="n"/>
      <c r="C894" s="118" t="n"/>
      <c r="D894" s="118" t="n"/>
      <c r="E894" s="118" t="n"/>
      <c r="F894" s="118" t="n"/>
      <c r="G894" s="120">
        <f>IF(C894="","",C894*D894)</f>
        <v/>
      </c>
      <c r="H894" s="120">
        <f>IF(C894="","",C894*E894)</f>
        <v/>
      </c>
      <c r="I894" s="115">
        <f>IF(C894="","",IFERROR(D894/(E894+(E894=0))-1,0))</f>
        <v/>
      </c>
      <c r="J894" s="117">
        <f>IF(C894="","",IF(ABS(I894)&gt;AYARLAR!$C$14,"RİSKLİ","NORMAL"))</f>
        <v/>
      </c>
      <c r="K894" s="115">
        <f>IF(G894="","",IFERROR(G894/MOTOR!$B$20,0))</f>
        <v/>
      </c>
      <c r="L894" s="117">
        <f>IF(C894="","",IF(F894="","EKSİK","TAM"))</f>
        <v/>
      </c>
      <c r="M894" s="118" t="n"/>
    </row>
    <row r="895" ht="15" customHeight="1" s="64">
      <c r="A895" s="118" t="n"/>
      <c r="B895" s="118" t="n"/>
      <c r="C895" s="118" t="n"/>
      <c r="D895" s="118" t="n"/>
      <c r="E895" s="118" t="n"/>
      <c r="F895" s="118" t="n"/>
      <c r="G895" s="120">
        <f>IF(C895="","",C895*D895)</f>
        <v/>
      </c>
      <c r="H895" s="120">
        <f>IF(C895="","",C895*E895)</f>
        <v/>
      </c>
      <c r="I895" s="115">
        <f>IF(C895="","",IFERROR(D895/(E895+(E895=0))-1,0))</f>
        <v/>
      </c>
      <c r="J895" s="117">
        <f>IF(C895="","",IF(ABS(I895)&gt;AYARLAR!$C$14,"RİSKLİ","NORMAL"))</f>
        <v/>
      </c>
      <c r="K895" s="115">
        <f>IF(G895="","",IFERROR(G895/MOTOR!$B$20,0))</f>
        <v/>
      </c>
      <c r="L895" s="117">
        <f>IF(C895="","",IF(F895="","EKSİK","TAM"))</f>
        <v/>
      </c>
      <c r="M895" s="118" t="n"/>
    </row>
    <row r="896" ht="15" customHeight="1" s="64">
      <c r="A896" s="118" t="n"/>
      <c r="B896" s="118" t="n"/>
      <c r="C896" s="118" t="n"/>
      <c r="D896" s="118" t="n"/>
      <c r="E896" s="118" t="n"/>
      <c r="F896" s="118" t="n"/>
      <c r="G896" s="120">
        <f>IF(C896="","",C896*D896)</f>
        <v/>
      </c>
      <c r="H896" s="120">
        <f>IF(C896="","",C896*E896)</f>
        <v/>
      </c>
      <c r="I896" s="115">
        <f>IF(C896="","",IFERROR(D896/(E896+(E896=0))-1,0))</f>
        <v/>
      </c>
      <c r="J896" s="117">
        <f>IF(C896="","",IF(ABS(I896)&gt;AYARLAR!$C$14,"RİSKLİ","NORMAL"))</f>
        <v/>
      </c>
      <c r="K896" s="115">
        <f>IF(G896="","",IFERROR(G896/MOTOR!$B$20,0))</f>
        <v/>
      </c>
      <c r="L896" s="117">
        <f>IF(C896="","",IF(F896="","EKSİK","TAM"))</f>
        <v/>
      </c>
      <c r="M896" s="118" t="n"/>
    </row>
    <row r="897" ht="15" customHeight="1" s="64">
      <c r="A897" s="118" t="n"/>
      <c r="B897" s="118" t="n"/>
      <c r="C897" s="118" t="n"/>
      <c r="D897" s="118" t="n"/>
      <c r="E897" s="118" t="n"/>
      <c r="F897" s="118" t="n"/>
      <c r="G897" s="120">
        <f>IF(C897="","",C897*D897)</f>
        <v/>
      </c>
      <c r="H897" s="120">
        <f>IF(C897="","",C897*E897)</f>
        <v/>
      </c>
      <c r="I897" s="115">
        <f>IF(C897="","",IFERROR(D897/(E897+(E897=0))-1,0))</f>
        <v/>
      </c>
      <c r="J897" s="117">
        <f>IF(C897="","",IF(ABS(I897)&gt;AYARLAR!$C$14,"RİSKLİ","NORMAL"))</f>
        <v/>
      </c>
      <c r="K897" s="115">
        <f>IF(G897="","",IFERROR(G897/MOTOR!$B$20,0))</f>
        <v/>
      </c>
      <c r="L897" s="117">
        <f>IF(C897="","",IF(F897="","EKSİK","TAM"))</f>
        <v/>
      </c>
      <c r="M897" s="118" t="n"/>
    </row>
    <row r="898" ht="15" customHeight="1" s="64">
      <c r="A898" s="118" t="n"/>
      <c r="B898" s="118" t="n"/>
      <c r="C898" s="118" t="n"/>
      <c r="D898" s="118" t="n"/>
      <c r="E898" s="118" t="n"/>
      <c r="F898" s="118" t="n"/>
      <c r="G898" s="120">
        <f>IF(C898="","",C898*D898)</f>
        <v/>
      </c>
      <c r="H898" s="120">
        <f>IF(C898="","",C898*E898)</f>
        <v/>
      </c>
      <c r="I898" s="115">
        <f>IF(C898="","",IFERROR(D898/(E898+(E898=0))-1,0))</f>
        <v/>
      </c>
      <c r="J898" s="117">
        <f>IF(C898="","",IF(ABS(I898)&gt;AYARLAR!$C$14,"RİSKLİ","NORMAL"))</f>
        <v/>
      </c>
      <c r="K898" s="115">
        <f>IF(G898="","",IFERROR(G898/MOTOR!$B$20,0))</f>
        <v/>
      </c>
      <c r="L898" s="117">
        <f>IF(C898="","",IF(F898="","EKSİK","TAM"))</f>
        <v/>
      </c>
      <c r="M898" s="118" t="n"/>
    </row>
    <row r="899" ht="15" customHeight="1" s="64">
      <c r="A899" s="118" t="n"/>
      <c r="B899" s="118" t="n"/>
      <c r="C899" s="118" t="n"/>
      <c r="D899" s="118" t="n"/>
      <c r="E899" s="118" t="n"/>
      <c r="F899" s="118" t="n"/>
      <c r="G899" s="120">
        <f>IF(C899="","",C899*D899)</f>
        <v/>
      </c>
      <c r="H899" s="120">
        <f>IF(C899="","",C899*E899)</f>
        <v/>
      </c>
      <c r="I899" s="115">
        <f>IF(C899="","",IFERROR(D899/(E899+(E899=0))-1,0))</f>
        <v/>
      </c>
      <c r="J899" s="117">
        <f>IF(C899="","",IF(ABS(I899)&gt;AYARLAR!$C$14,"RİSKLİ","NORMAL"))</f>
        <v/>
      </c>
      <c r="K899" s="115">
        <f>IF(G899="","",IFERROR(G899/MOTOR!$B$20,0))</f>
        <v/>
      </c>
      <c r="L899" s="117">
        <f>IF(C899="","",IF(F899="","EKSİK","TAM"))</f>
        <v/>
      </c>
      <c r="M899" s="118" t="n"/>
    </row>
    <row r="900" ht="15" customHeight="1" s="64">
      <c r="A900" s="118" t="n"/>
      <c r="B900" s="118" t="n"/>
      <c r="C900" s="118" t="n"/>
      <c r="D900" s="118" t="n"/>
      <c r="E900" s="118" t="n"/>
      <c r="F900" s="118" t="n"/>
      <c r="G900" s="120">
        <f>IF(C900="","",C900*D900)</f>
        <v/>
      </c>
      <c r="H900" s="120">
        <f>IF(C900="","",C900*E900)</f>
        <v/>
      </c>
      <c r="I900" s="115">
        <f>IF(C900="","",IFERROR(D900/(E900+(E900=0))-1,0))</f>
        <v/>
      </c>
      <c r="J900" s="117">
        <f>IF(C900="","",IF(ABS(I900)&gt;AYARLAR!$C$14,"RİSKLİ","NORMAL"))</f>
        <v/>
      </c>
      <c r="K900" s="115">
        <f>IF(G900="","",IFERROR(G900/MOTOR!$B$20,0))</f>
        <v/>
      </c>
      <c r="L900" s="117">
        <f>IF(C900="","",IF(F900="","EKSİK","TAM"))</f>
        <v/>
      </c>
      <c r="M900" s="118" t="n"/>
    </row>
    <row r="901" ht="15" customHeight="1" s="64">
      <c r="A901" s="118" t="n"/>
      <c r="B901" s="118" t="n"/>
      <c r="C901" s="118" t="n"/>
      <c r="D901" s="118" t="n"/>
      <c r="E901" s="118" t="n"/>
      <c r="F901" s="118" t="n"/>
      <c r="G901" s="120">
        <f>IF(C901="","",C901*D901)</f>
        <v/>
      </c>
      <c r="H901" s="120">
        <f>IF(C901="","",C901*E901)</f>
        <v/>
      </c>
      <c r="I901" s="115">
        <f>IF(C901="","",IFERROR(D901/(E901+(E901=0))-1,0))</f>
        <v/>
      </c>
      <c r="J901" s="117">
        <f>IF(C901="","",IF(ABS(I901)&gt;AYARLAR!$C$14,"RİSKLİ","NORMAL"))</f>
        <v/>
      </c>
      <c r="K901" s="115">
        <f>IF(G901="","",IFERROR(G901/MOTOR!$B$20,0))</f>
        <v/>
      </c>
      <c r="L901" s="117">
        <f>IF(C901="","",IF(F901="","EKSİK","TAM"))</f>
        <v/>
      </c>
      <c r="M901" s="118" t="n"/>
    </row>
    <row r="902" ht="15" customHeight="1" s="64">
      <c r="A902" s="118" t="n"/>
      <c r="B902" s="118" t="n"/>
      <c r="C902" s="118" t="n"/>
      <c r="D902" s="118" t="n"/>
      <c r="E902" s="118" t="n"/>
      <c r="F902" s="118" t="n"/>
      <c r="G902" s="120">
        <f>IF(C902="","",C902*D902)</f>
        <v/>
      </c>
      <c r="H902" s="120">
        <f>IF(C902="","",C902*E902)</f>
        <v/>
      </c>
      <c r="I902" s="115">
        <f>IF(C902="","",IFERROR(D902/(E902+(E902=0))-1,0))</f>
        <v/>
      </c>
      <c r="J902" s="117">
        <f>IF(C902="","",IF(ABS(I902)&gt;AYARLAR!$C$14,"RİSKLİ","NORMAL"))</f>
        <v/>
      </c>
      <c r="K902" s="115">
        <f>IF(G902="","",IFERROR(G902/MOTOR!$B$20,0))</f>
        <v/>
      </c>
      <c r="L902" s="117">
        <f>IF(C902="","",IF(F902="","EKSİK","TAM"))</f>
        <v/>
      </c>
      <c r="M902" s="118" t="n"/>
    </row>
    <row r="903" ht="15" customHeight="1" s="64">
      <c r="A903" s="118" t="n"/>
      <c r="B903" s="118" t="n"/>
      <c r="C903" s="118" t="n"/>
      <c r="D903" s="118" t="n"/>
      <c r="E903" s="118" t="n"/>
      <c r="F903" s="118" t="n"/>
      <c r="G903" s="120">
        <f>IF(C903="","",C903*D903)</f>
        <v/>
      </c>
      <c r="H903" s="120">
        <f>IF(C903="","",C903*E903)</f>
        <v/>
      </c>
      <c r="I903" s="115">
        <f>IF(C903="","",IFERROR(D903/(E903+(E903=0))-1,0))</f>
        <v/>
      </c>
      <c r="J903" s="117">
        <f>IF(C903="","",IF(ABS(I903)&gt;AYARLAR!$C$14,"RİSKLİ","NORMAL"))</f>
        <v/>
      </c>
      <c r="K903" s="115">
        <f>IF(G903="","",IFERROR(G903/MOTOR!$B$20,0))</f>
        <v/>
      </c>
      <c r="L903" s="117">
        <f>IF(C903="","",IF(F903="","EKSİK","TAM"))</f>
        <v/>
      </c>
      <c r="M903" s="118" t="n"/>
    </row>
    <row r="904" ht="15" customHeight="1" s="64">
      <c r="A904" s="118" t="n"/>
      <c r="B904" s="118" t="n"/>
      <c r="C904" s="118" t="n"/>
      <c r="D904" s="118" t="n"/>
      <c r="E904" s="118" t="n"/>
      <c r="F904" s="118" t="n"/>
      <c r="G904" s="120">
        <f>IF(C904="","",C904*D904)</f>
        <v/>
      </c>
      <c r="H904" s="120">
        <f>IF(C904="","",C904*E904)</f>
        <v/>
      </c>
      <c r="I904" s="115">
        <f>IF(C904="","",IFERROR(D904/(E904+(E904=0))-1,0))</f>
        <v/>
      </c>
      <c r="J904" s="117">
        <f>IF(C904="","",IF(ABS(I904)&gt;AYARLAR!$C$14,"RİSKLİ","NORMAL"))</f>
        <v/>
      </c>
      <c r="K904" s="115">
        <f>IF(G904="","",IFERROR(G904/MOTOR!$B$20,0))</f>
        <v/>
      </c>
      <c r="L904" s="117">
        <f>IF(C904="","",IF(F904="","EKSİK","TAM"))</f>
        <v/>
      </c>
      <c r="M904" s="118" t="n"/>
    </row>
    <row r="905" ht="15" customHeight="1" s="64">
      <c r="A905" s="118" t="n"/>
      <c r="B905" s="118" t="n"/>
      <c r="C905" s="118" t="n"/>
      <c r="D905" s="118" t="n"/>
      <c r="E905" s="118" t="n"/>
      <c r="F905" s="118" t="n"/>
      <c r="G905" s="120">
        <f>IF(C905="","",C905*D905)</f>
        <v/>
      </c>
      <c r="H905" s="120">
        <f>IF(C905="","",C905*E905)</f>
        <v/>
      </c>
      <c r="I905" s="115">
        <f>IF(C905="","",IFERROR(D905/(E905+(E905=0))-1,0))</f>
        <v/>
      </c>
      <c r="J905" s="117">
        <f>IF(C905="","",IF(ABS(I905)&gt;AYARLAR!$C$14,"RİSKLİ","NORMAL"))</f>
        <v/>
      </c>
      <c r="K905" s="115">
        <f>IF(G905="","",IFERROR(G905/MOTOR!$B$20,0))</f>
        <v/>
      </c>
      <c r="L905" s="117">
        <f>IF(C905="","",IF(F905="","EKSİK","TAM"))</f>
        <v/>
      </c>
      <c r="M905" s="118" t="n"/>
    </row>
    <row r="906" ht="15" customHeight="1" s="64">
      <c r="A906" s="118" t="n"/>
      <c r="B906" s="118" t="n"/>
      <c r="C906" s="118" t="n"/>
      <c r="D906" s="118" t="n"/>
      <c r="E906" s="118" t="n"/>
      <c r="F906" s="118" t="n"/>
      <c r="G906" s="120">
        <f>IF(C906="","",C906*D906)</f>
        <v/>
      </c>
      <c r="H906" s="120">
        <f>IF(C906="","",C906*E906)</f>
        <v/>
      </c>
      <c r="I906" s="115">
        <f>IF(C906="","",IFERROR(D906/(E906+(E906=0))-1,0))</f>
        <v/>
      </c>
      <c r="J906" s="117">
        <f>IF(C906="","",IF(ABS(I906)&gt;AYARLAR!$C$14,"RİSKLİ","NORMAL"))</f>
        <v/>
      </c>
      <c r="K906" s="115">
        <f>IF(G906="","",IFERROR(G906/MOTOR!$B$20,0))</f>
        <v/>
      </c>
      <c r="L906" s="117">
        <f>IF(C906="","",IF(F906="","EKSİK","TAM"))</f>
        <v/>
      </c>
      <c r="M906" s="118" t="n"/>
    </row>
    <row r="907" ht="15" customHeight="1" s="64">
      <c r="A907" s="118" t="n"/>
      <c r="B907" s="118" t="n"/>
      <c r="C907" s="118" t="n"/>
      <c r="D907" s="118" t="n"/>
      <c r="E907" s="118" t="n"/>
      <c r="F907" s="118" t="n"/>
      <c r="G907" s="120">
        <f>IF(C907="","",C907*D907)</f>
        <v/>
      </c>
      <c r="H907" s="120">
        <f>IF(C907="","",C907*E907)</f>
        <v/>
      </c>
      <c r="I907" s="115">
        <f>IF(C907="","",IFERROR(D907/(E907+(E907=0))-1,0))</f>
        <v/>
      </c>
      <c r="J907" s="117">
        <f>IF(C907="","",IF(ABS(I907)&gt;AYARLAR!$C$14,"RİSKLİ","NORMAL"))</f>
        <v/>
      </c>
      <c r="K907" s="115">
        <f>IF(G907="","",IFERROR(G907/MOTOR!$B$20,0))</f>
        <v/>
      </c>
      <c r="L907" s="117">
        <f>IF(C907="","",IF(F907="","EKSİK","TAM"))</f>
        <v/>
      </c>
      <c r="M907" s="118" t="n"/>
    </row>
    <row r="908" ht="15" customHeight="1" s="64">
      <c r="A908" s="118" t="n"/>
      <c r="B908" s="118" t="n"/>
      <c r="C908" s="118" t="n"/>
      <c r="D908" s="118" t="n"/>
      <c r="E908" s="118" t="n"/>
      <c r="F908" s="118" t="n"/>
      <c r="G908" s="120">
        <f>IF(C908="","",C908*D908)</f>
        <v/>
      </c>
      <c r="H908" s="120">
        <f>IF(C908="","",C908*E908)</f>
        <v/>
      </c>
      <c r="I908" s="115">
        <f>IF(C908="","",IFERROR(D908/(E908+(E908=0))-1,0))</f>
        <v/>
      </c>
      <c r="J908" s="117">
        <f>IF(C908="","",IF(ABS(I908)&gt;AYARLAR!$C$14,"RİSKLİ","NORMAL"))</f>
        <v/>
      </c>
      <c r="K908" s="115">
        <f>IF(G908="","",IFERROR(G908/MOTOR!$B$20,0))</f>
        <v/>
      </c>
      <c r="L908" s="117">
        <f>IF(C908="","",IF(F908="","EKSİK","TAM"))</f>
        <v/>
      </c>
      <c r="M908" s="118" t="n"/>
    </row>
    <row r="909" ht="15" customHeight="1" s="64">
      <c r="A909" s="118" t="n"/>
      <c r="B909" s="118" t="n"/>
      <c r="C909" s="118" t="n"/>
      <c r="D909" s="118" t="n"/>
      <c r="E909" s="118" t="n"/>
      <c r="F909" s="118" t="n"/>
      <c r="G909" s="120">
        <f>IF(C909="","",C909*D909)</f>
        <v/>
      </c>
      <c r="H909" s="120">
        <f>IF(C909="","",C909*E909)</f>
        <v/>
      </c>
      <c r="I909" s="115">
        <f>IF(C909="","",IFERROR(D909/(E909+(E909=0))-1,0))</f>
        <v/>
      </c>
      <c r="J909" s="117">
        <f>IF(C909="","",IF(ABS(I909)&gt;AYARLAR!$C$14,"RİSKLİ","NORMAL"))</f>
        <v/>
      </c>
      <c r="K909" s="115">
        <f>IF(G909="","",IFERROR(G909/MOTOR!$B$20,0))</f>
        <v/>
      </c>
      <c r="L909" s="117">
        <f>IF(C909="","",IF(F909="","EKSİK","TAM"))</f>
        <v/>
      </c>
      <c r="M909" s="118" t="n"/>
    </row>
    <row r="910" ht="15" customHeight="1" s="64">
      <c r="A910" s="118" t="n"/>
      <c r="B910" s="118" t="n"/>
      <c r="C910" s="118" t="n"/>
      <c r="D910" s="118" t="n"/>
      <c r="E910" s="118" t="n"/>
      <c r="F910" s="118" t="n"/>
      <c r="G910" s="120">
        <f>IF(C910="","",C910*D910)</f>
        <v/>
      </c>
      <c r="H910" s="120">
        <f>IF(C910="","",C910*E910)</f>
        <v/>
      </c>
      <c r="I910" s="115">
        <f>IF(C910="","",IFERROR(D910/(E910+(E910=0))-1,0))</f>
        <v/>
      </c>
      <c r="J910" s="117">
        <f>IF(C910="","",IF(ABS(I910)&gt;AYARLAR!$C$14,"RİSKLİ","NORMAL"))</f>
        <v/>
      </c>
      <c r="K910" s="115">
        <f>IF(G910="","",IFERROR(G910/MOTOR!$B$20,0))</f>
        <v/>
      </c>
      <c r="L910" s="117">
        <f>IF(C910="","",IF(F910="","EKSİK","TAM"))</f>
        <v/>
      </c>
      <c r="M910" s="118" t="n"/>
    </row>
    <row r="911" ht="15" customHeight="1" s="64">
      <c r="A911" s="118" t="n"/>
      <c r="B911" s="118" t="n"/>
      <c r="C911" s="118" t="n"/>
      <c r="D911" s="118" t="n"/>
      <c r="E911" s="118" t="n"/>
      <c r="F911" s="118" t="n"/>
      <c r="G911" s="120">
        <f>IF(C911="","",C911*D911)</f>
        <v/>
      </c>
      <c r="H911" s="120">
        <f>IF(C911="","",C911*E911)</f>
        <v/>
      </c>
      <c r="I911" s="115">
        <f>IF(C911="","",IFERROR(D911/(E911+(E911=0))-1,0))</f>
        <v/>
      </c>
      <c r="J911" s="117">
        <f>IF(C911="","",IF(ABS(I911)&gt;AYARLAR!$C$14,"RİSKLİ","NORMAL"))</f>
        <v/>
      </c>
      <c r="K911" s="115">
        <f>IF(G911="","",IFERROR(G911/MOTOR!$B$20,0))</f>
        <v/>
      </c>
      <c r="L911" s="117">
        <f>IF(C911="","",IF(F911="","EKSİK","TAM"))</f>
        <v/>
      </c>
      <c r="M911" s="118" t="n"/>
    </row>
    <row r="912" ht="15" customHeight="1" s="64">
      <c r="A912" s="118" t="n"/>
      <c r="B912" s="118" t="n"/>
      <c r="C912" s="118" t="n"/>
      <c r="D912" s="118" t="n"/>
      <c r="E912" s="118" t="n"/>
      <c r="F912" s="118" t="n"/>
      <c r="G912" s="120">
        <f>IF(C912="","",C912*D912)</f>
        <v/>
      </c>
      <c r="H912" s="120">
        <f>IF(C912="","",C912*E912)</f>
        <v/>
      </c>
      <c r="I912" s="115">
        <f>IF(C912="","",IFERROR(D912/(E912+(E912=0))-1,0))</f>
        <v/>
      </c>
      <c r="J912" s="117">
        <f>IF(C912="","",IF(ABS(I912)&gt;AYARLAR!$C$14,"RİSKLİ","NORMAL"))</f>
        <v/>
      </c>
      <c r="K912" s="115">
        <f>IF(G912="","",IFERROR(G912/MOTOR!$B$20,0))</f>
        <v/>
      </c>
      <c r="L912" s="117">
        <f>IF(C912="","",IF(F912="","EKSİK","TAM"))</f>
        <v/>
      </c>
      <c r="M912" s="118" t="n"/>
    </row>
    <row r="913" ht="15" customHeight="1" s="64">
      <c r="A913" s="118" t="n"/>
      <c r="B913" s="118" t="n"/>
      <c r="C913" s="118" t="n"/>
      <c r="D913" s="118" t="n"/>
      <c r="E913" s="118" t="n"/>
      <c r="F913" s="118" t="n"/>
      <c r="G913" s="120">
        <f>IF(C913="","",C913*D913)</f>
        <v/>
      </c>
      <c r="H913" s="120">
        <f>IF(C913="","",C913*E913)</f>
        <v/>
      </c>
      <c r="I913" s="115">
        <f>IF(C913="","",IFERROR(D913/(E913+(E913=0))-1,0))</f>
        <v/>
      </c>
      <c r="J913" s="117">
        <f>IF(C913="","",IF(ABS(I913)&gt;AYARLAR!$C$14,"RİSKLİ","NORMAL"))</f>
        <v/>
      </c>
      <c r="K913" s="115">
        <f>IF(G913="","",IFERROR(G913/MOTOR!$B$20,0))</f>
        <v/>
      </c>
      <c r="L913" s="117">
        <f>IF(C913="","",IF(F913="","EKSİK","TAM"))</f>
        <v/>
      </c>
      <c r="M913" s="118" t="n"/>
    </row>
    <row r="914" ht="15" customHeight="1" s="64">
      <c r="A914" s="118" t="n"/>
      <c r="B914" s="118" t="n"/>
      <c r="C914" s="118" t="n"/>
      <c r="D914" s="118" t="n"/>
      <c r="E914" s="118" t="n"/>
      <c r="F914" s="118" t="n"/>
      <c r="G914" s="120">
        <f>IF(C914="","",C914*D914)</f>
        <v/>
      </c>
      <c r="H914" s="120">
        <f>IF(C914="","",C914*E914)</f>
        <v/>
      </c>
      <c r="I914" s="115">
        <f>IF(C914="","",IFERROR(D914/(E914+(E914=0))-1,0))</f>
        <v/>
      </c>
      <c r="J914" s="117">
        <f>IF(C914="","",IF(ABS(I914)&gt;AYARLAR!$C$14,"RİSKLİ","NORMAL"))</f>
        <v/>
      </c>
      <c r="K914" s="115">
        <f>IF(G914="","",IFERROR(G914/MOTOR!$B$20,0))</f>
        <v/>
      </c>
      <c r="L914" s="117">
        <f>IF(C914="","",IF(F914="","EKSİK","TAM"))</f>
        <v/>
      </c>
      <c r="M914" s="118" t="n"/>
    </row>
    <row r="915" ht="15" customHeight="1" s="64">
      <c r="A915" s="118" t="n"/>
      <c r="B915" s="118" t="n"/>
      <c r="C915" s="118" t="n"/>
      <c r="D915" s="118" t="n"/>
      <c r="E915" s="118" t="n"/>
      <c r="F915" s="118" t="n"/>
      <c r="G915" s="120">
        <f>IF(C915="","",C915*D915)</f>
        <v/>
      </c>
      <c r="H915" s="120">
        <f>IF(C915="","",C915*E915)</f>
        <v/>
      </c>
      <c r="I915" s="115">
        <f>IF(C915="","",IFERROR(D915/(E915+(E915=0))-1,0))</f>
        <v/>
      </c>
      <c r="J915" s="117">
        <f>IF(C915="","",IF(ABS(I915)&gt;AYARLAR!$C$14,"RİSKLİ","NORMAL"))</f>
        <v/>
      </c>
      <c r="K915" s="115">
        <f>IF(G915="","",IFERROR(G915/MOTOR!$B$20,0))</f>
        <v/>
      </c>
      <c r="L915" s="117">
        <f>IF(C915="","",IF(F915="","EKSİK","TAM"))</f>
        <v/>
      </c>
      <c r="M915" s="118" t="n"/>
    </row>
    <row r="916" ht="15" customHeight="1" s="64">
      <c r="A916" s="118" t="n"/>
      <c r="B916" s="118" t="n"/>
      <c r="C916" s="118" t="n"/>
      <c r="D916" s="118" t="n"/>
      <c r="E916" s="118" t="n"/>
      <c r="F916" s="118" t="n"/>
      <c r="G916" s="120">
        <f>IF(C916="","",C916*D916)</f>
        <v/>
      </c>
      <c r="H916" s="120">
        <f>IF(C916="","",C916*E916)</f>
        <v/>
      </c>
      <c r="I916" s="115">
        <f>IF(C916="","",IFERROR(D916/(E916+(E916=0))-1,0))</f>
        <v/>
      </c>
      <c r="J916" s="117">
        <f>IF(C916="","",IF(ABS(I916)&gt;AYARLAR!$C$14,"RİSKLİ","NORMAL"))</f>
        <v/>
      </c>
      <c r="K916" s="115">
        <f>IF(G916="","",IFERROR(G916/MOTOR!$B$20,0))</f>
        <v/>
      </c>
      <c r="L916" s="117">
        <f>IF(C916="","",IF(F916="","EKSİK","TAM"))</f>
        <v/>
      </c>
      <c r="M916" s="118" t="n"/>
    </row>
    <row r="917" ht="15" customHeight="1" s="64">
      <c r="A917" s="118" t="n"/>
      <c r="B917" s="118" t="n"/>
      <c r="C917" s="118" t="n"/>
      <c r="D917" s="118" t="n"/>
      <c r="E917" s="118" t="n"/>
      <c r="F917" s="118" t="n"/>
      <c r="G917" s="120">
        <f>IF(C917="","",C917*D917)</f>
        <v/>
      </c>
      <c r="H917" s="120">
        <f>IF(C917="","",C917*E917)</f>
        <v/>
      </c>
      <c r="I917" s="115">
        <f>IF(C917="","",IFERROR(D917/(E917+(E917=0))-1,0))</f>
        <v/>
      </c>
      <c r="J917" s="117">
        <f>IF(C917="","",IF(ABS(I917)&gt;AYARLAR!$C$14,"RİSKLİ","NORMAL"))</f>
        <v/>
      </c>
      <c r="K917" s="115">
        <f>IF(G917="","",IFERROR(G917/MOTOR!$B$20,0))</f>
        <v/>
      </c>
      <c r="L917" s="117">
        <f>IF(C917="","",IF(F917="","EKSİK","TAM"))</f>
        <v/>
      </c>
      <c r="M917" s="118" t="n"/>
    </row>
    <row r="918" ht="15" customHeight="1" s="64">
      <c r="A918" s="118" t="n"/>
      <c r="B918" s="118" t="n"/>
      <c r="C918" s="118" t="n"/>
      <c r="D918" s="118" t="n"/>
      <c r="E918" s="118" t="n"/>
      <c r="F918" s="118" t="n"/>
      <c r="G918" s="120">
        <f>IF(C918="","",C918*D918)</f>
        <v/>
      </c>
      <c r="H918" s="120">
        <f>IF(C918="","",C918*E918)</f>
        <v/>
      </c>
      <c r="I918" s="115">
        <f>IF(C918="","",IFERROR(D918/(E918+(E918=0))-1,0))</f>
        <v/>
      </c>
      <c r="J918" s="117">
        <f>IF(C918="","",IF(ABS(I918)&gt;AYARLAR!$C$14,"RİSKLİ","NORMAL"))</f>
        <v/>
      </c>
      <c r="K918" s="115">
        <f>IF(G918="","",IFERROR(G918/MOTOR!$B$20,0))</f>
        <v/>
      </c>
      <c r="L918" s="117">
        <f>IF(C918="","",IF(F918="","EKSİK","TAM"))</f>
        <v/>
      </c>
      <c r="M918" s="118" t="n"/>
    </row>
    <row r="919" ht="15" customHeight="1" s="64">
      <c r="A919" s="118" t="n"/>
      <c r="B919" s="118" t="n"/>
      <c r="C919" s="118" t="n"/>
      <c r="D919" s="118" t="n"/>
      <c r="E919" s="118" t="n"/>
      <c r="F919" s="118" t="n"/>
      <c r="G919" s="120">
        <f>IF(C919="","",C919*D919)</f>
        <v/>
      </c>
      <c r="H919" s="120">
        <f>IF(C919="","",C919*E919)</f>
        <v/>
      </c>
      <c r="I919" s="115">
        <f>IF(C919="","",IFERROR(D919/(E919+(E919=0))-1,0))</f>
        <v/>
      </c>
      <c r="J919" s="117">
        <f>IF(C919="","",IF(ABS(I919)&gt;AYARLAR!$C$14,"RİSKLİ","NORMAL"))</f>
        <v/>
      </c>
      <c r="K919" s="115">
        <f>IF(G919="","",IFERROR(G919/MOTOR!$B$20,0))</f>
        <v/>
      </c>
      <c r="L919" s="117">
        <f>IF(C919="","",IF(F919="","EKSİK","TAM"))</f>
        <v/>
      </c>
      <c r="M919" s="118" t="n"/>
    </row>
    <row r="920" ht="15" customHeight="1" s="64">
      <c r="A920" s="118" t="n"/>
      <c r="B920" s="118" t="n"/>
      <c r="C920" s="118" t="n"/>
      <c r="D920" s="118" t="n"/>
      <c r="E920" s="118" t="n"/>
      <c r="F920" s="118" t="n"/>
      <c r="G920" s="120">
        <f>IF(C920="","",C920*D920)</f>
        <v/>
      </c>
      <c r="H920" s="120">
        <f>IF(C920="","",C920*E920)</f>
        <v/>
      </c>
      <c r="I920" s="115">
        <f>IF(C920="","",IFERROR(D920/(E920+(E920=0))-1,0))</f>
        <v/>
      </c>
      <c r="J920" s="117">
        <f>IF(C920="","",IF(ABS(I920)&gt;AYARLAR!$C$14,"RİSKLİ","NORMAL"))</f>
        <v/>
      </c>
      <c r="K920" s="115">
        <f>IF(G920="","",IFERROR(G920/MOTOR!$B$20,0))</f>
        <v/>
      </c>
      <c r="L920" s="117">
        <f>IF(C920="","",IF(F920="","EKSİK","TAM"))</f>
        <v/>
      </c>
      <c r="M920" s="118" t="n"/>
    </row>
    <row r="921" ht="15" customHeight="1" s="64">
      <c r="A921" s="118" t="n"/>
      <c r="B921" s="118" t="n"/>
      <c r="C921" s="118" t="n"/>
      <c r="D921" s="118" t="n"/>
      <c r="E921" s="118" t="n"/>
      <c r="F921" s="118" t="n"/>
      <c r="G921" s="120">
        <f>IF(C921="","",C921*D921)</f>
        <v/>
      </c>
      <c r="H921" s="120">
        <f>IF(C921="","",C921*E921)</f>
        <v/>
      </c>
      <c r="I921" s="115">
        <f>IF(C921="","",IFERROR(D921/(E921+(E921=0))-1,0))</f>
        <v/>
      </c>
      <c r="J921" s="117">
        <f>IF(C921="","",IF(ABS(I921)&gt;AYARLAR!$C$14,"RİSKLİ","NORMAL"))</f>
        <v/>
      </c>
      <c r="K921" s="115">
        <f>IF(G921="","",IFERROR(G921/MOTOR!$B$20,0))</f>
        <v/>
      </c>
      <c r="L921" s="117">
        <f>IF(C921="","",IF(F921="","EKSİK","TAM"))</f>
        <v/>
      </c>
      <c r="M921" s="118" t="n"/>
    </row>
    <row r="922" ht="15" customHeight="1" s="64">
      <c r="A922" s="118" t="n"/>
      <c r="B922" s="118" t="n"/>
      <c r="C922" s="118" t="n"/>
      <c r="D922" s="118" t="n"/>
      <c r="E922" s="118" t="n"/>
      <c r="F922" s="118" t="n"/>
      <c r="G922" s="120">
        <f>IF(C922="","",C922*D922)</f>
        <v/>
      </c>
      <c r="H922" s="120">
        <f>IF(C922="","",C922*E922)</f>
        <v/>
      </c>
      <c r="I922" s="115">
        <f>IF(C922="","",IFERROR(D922/(E922+(E922=0))-1,0))</f>
        <v/>
      </c>
      <c r="J922" s="117">
        <f>IF(C922="","",IF(ABS(I922)&gt;AYARLAR!$C$14,"RİSKLİ","NORMAL"))</f>
        <v/>
      </c>
      <c r="K922" s="115">
        <f>IF(G922="","",IFERROR(G922/MOTOR!$B$20,0))</f>
        <v/>
      </c>
      <c r="L922" s="117">
        <f>IF(C922="","",IF(F922="","EKSİK","TAM"))</f>
        <v/>
      </c>
      <c r="M922" s="118" t="n"/>
    </row>
    <row r="923" ht="15" customHeight="1" s="64">
      <c r="A923" s="118" t="n"/>
      <c r="B923" s="118" t="n"/>
      <c r="C923" s="118" t="n"/>
      <c r="D923" s="118" t="n"/>
      <c r="E923" s="118" t="n"/>
      <c r="F923" s="118" t="n"/>
      <c r="G923" s="120">
        <f>IF(C923="","",C923*D923)</f>
        <v/>
      </c>
      <c r="H923" s="120">
        <f>IF(C923="","",C923*E923)</f>
        <v/>
      </c>
      <c r="I923" s="115">
        <f>IF(C923="","",IFERROR(D923/(E923+(E923=0))-1,0))</f>
        <v/>
      </c>
      <c r="J923" s="117">
        <f>IF(C923="","",IF(ABS(I923)&gt;AYARLAR!$C$14,"RİSKLİ","NORMAL"))</f>
        <v/>
      </c>
      <c r="K923" s="115">
        <f>IF(G923="","",IFERROR(G923/MOTOR!$B$20,0))</f>
        <v/>
      </c>
      <c r="L923" s="117">
        <f>IF(C923="","",IF(F923="","EKSİK","TAM"))</f>
        <v/>
      </c>
      <c r="M923" s="118" t="n"/>
    </row>
    <row r="924" ht="15" customHeight="1" s="64">
      <c r="A924" s="118" t="n"/>
      <c r="B924" s="118" t="n"/>
      <c r="C924" s="118" t="n"/>
      <c r="D924" s="118" t="n"/>
      <c r="E924" s="118" t="n"/>
      <c r="F924" s="118" t="n"/>
      <c r="G924" s="120">
        <f>IF(C924="","",C924*D924)</f>
        <v/>
      </c>
      <c r="H924" s="120">
        <f>IF(C924="","",C924*E924)</f>
        <v/>
      </c>
      <c r="I924" s="115">
        <f>IF(C924="","",IFERROR(D924/(E924+(E924=0))-1,0))</f>
        <v/>
      </c>
      <c r="J924" s="117">
        <f>IF(C924="","",IF(ABS(I924)&gt;AYARLAR!$C$14,"RİSKLİ","NORMAL"))</f>
        <v/>
      </c>
      <c r="K924" s="115">
        <f>IF(G924="","",IFERROR(G924/MOTOR!$B$20,0))</f>
        <v/>
      </c>
      <c r="L924" s="117">
        <f>IF(C924="","",IF(F924="","EKSİK","TAM"))</f>
        <v/>
      </c>
      <c r="M924" s="118" t="n"/>
    </row>
    <row r="925" ht="15" customHeight="1" s="64">
      <c r="A925" s="118" t="n"/>
      <c r="B925" s="118" t="n"/>
      <c r="C925" s="118" t="n"/>
      <c r="D925" s="118" t="n"/>
      <c r="E925" s="118" t="n"/>
      <c r="F925" s="118" t="n"/>
      <c r="G925" s="120">
        <f>IF(C925="","",C925*D925)</f>
        <v/>
      </c>
      <c r="H925" s="120">
        <f>IF(C925="","",C925*E925)</f>
        <v/>
      </c>
      <c r="I925" s="115">
        <f>IF(C925="","",IFERROR(D925/(E925+(E925=0))-1,0))</f>
        <v/>
      </c>
      <c r="J925" s="117">
        <f>IF(C925="","",IF(ABS(I925)&gt;AYARLAR!$C$14,"RİSKLİ","NORMAL"))</f>
        <v/>
      </c>
      <c r="K925" s="115">
        <f>IF(G925="","",IFERROR(G925/MOTOR!$B$20,0))</f>
        <v/>
      </c>
      <c r="L925" s="117">
        <f>IF(C925="","",IF(F925="","EKSİK","TAM"))</f>
        <v/>
      </c>
      <c r="M925" s="118" t="n"/>
    </row>
    <row r="926" ht="15" customHeight="1" s="64">
      <c r="A926" s="118" t="n"/>
      <c r="B926" s="118" t="n"/>
      <c r="C926" s="118" t="n"/>
      <c r="D926" s="118" t="n"/>
      <c r="E926" s="118" t="n"/>
      <c r="F926" s="118" t="n"/>
      <c r="G926" s="120">
        <f>IF(C926="","",C926*D926)</f>
        <v/>
      </c>
      <c r="H926" s="120">
        <f>IF(C926="","",C926*E926)</f>
        <v/>
      </c>
      <c r="I926" s="115">
        <f>IF(C926="","",IFERROR(D926/(E926+(E926=0))-1,0))</f>
        <v/>
      </c>
      <c r="J926" s="117">
        <f>IF(C926="","",IF(ABS(I926)&gt;AYARLAR!$C$14,"RİSKLİ","NORMAL"))</f>
        <v/>
      </c>
      <c r="K926" s="115">
        <f>IF(G926="","",IFERROR(G926/MOTOR!$B$20,0))</f>
        <v/>
      </c>
      <c r="L926" s="117">
        <f>IF(C926="","",IF(F926="","EKSİK","TAM"))</f>
        <v/>
      </c>
      <c r="M926" s="118" t="n"/>
    </row>
    <row r="927" ht="15" customHeight="1" s="64">
      <c r="A927" s="118" t="n"/>
      <c r="B927" s="118" t="n"/>
      <c r="C927" s="118" t="n"/>
      <c r="D927" s="118" t="n"/>
      <c r="E927" s="118" t="n"/>
      <c r="F927" s="118" t="n"/>
      <c r="G927" s="120">
        <f>IF(C927="","",C927*D927)</f>
        <v/>
      </c>
      <c r="H927" s="120">
        <f>IF(C927="","",C927*E927)</f>
        <v/>
      </c>
      <c r="I927" s="115">
        <f>IF(C927="","",IFERROR(D927/(E927+(E927=0))-1,0))</f>
        <v/>
      </c>
      <c r="J927" s="117">
        <f>IF(C927="","",IF(ABS(I927)&gt;AYARLAR!$C$14,"RİSKLİ","NORMAL"))</f>
        <v/>
      </c>
      <c r="K927" s="115">
        <f>IF(G927="","",IFERROR(G927/MOTOR!$B$20,0))</f>
        <v/>
      </c>
      <c r="L927" s="117">
        <f>IF(C927="","",IF(F927="","EKSİK","TAM"))</f>
        <v/>
      </c>
      <c r="M927" s="118" t="n"/>
    </row>
    <row r="928" ht="15" customHeight="1" s="64">
      <c r="A928" s="118" t="n"/>
      <c r="B928" s="118" t="n"/>
      <c r="C928" s="118" t="n"/>
      <c r="D928" s="118" t="n"/>
      <c r="E928" s="118" t="n"/>
      <c r="F928" s="118" t="n"/>
      <c r="G928" s="120">
        <f>IF(C928="","",C928*D928)</f>
        <v/>
      </c>
      <c r="H928" s="120">
        <f>IF(C928="","",C928*E928)</f>
        <v/>
      </c>
      <c r="I928" s="115">
        <f>IF(C928="","",IFERROR(D928/(E928+(E928=0))-1,0))</f>
        <v/>
      </c>
      <c r="J928" s="117">
        <f>IF(C928="","",IF(ABS(I928)&gt;AYARLAR!$C$14,"RİSKLİ","NORMAL"))</f>
        <v/>
      </c>
      <c r="K928" s="115">
        <f>IF(G928="","",IFERROR(G928/MOTOR!$B$20,0))</f>
        <v/>
      </c>
      <c r="L928" s="117">
        <f>IF(C928="","",IF(F928="","EKSİK","TAM"))</f>
        <v/>
      </c>
      <c r="M928" s="118" t="n"/>
    </row>
    <row r="929" ht="15" customHeight="1" s="64">
      <c r="A929" s="118" t="n"/>
      <c r="B929" s="118" t="n"/>
      <c r="C929" s="118" t="n"/>
      <c r="D929" s="118" t="n"/>
      <c r="E929" s="118" t="n"/>
      <c r="F929" s="118" t="n"/>
      <c r="G929" s="120">
        <f>IF(C929="","",C929*D929)</f>
        <v/>
      </c>
      <c r="H929" s="120">
        <f>IF(C929="","",C929*E929)</f>
        <v/>
      </c>
      <c r="I929" s="115">
        <f>IF(C929="","",IFERROR(D929/(E929+(E929=0))-1,0))</f>
        <v/>
      </c>
      <c r="J929" s="117">
        <f>IF(C929="","",IF(ABS(I929)&gt;AYARLAR!$C$14,"RİSKLİ","NORMAL"))</f>
        <v/>
      </c>
      <c r="K929" s="115">
        <f>IF(G929="","",IFERROR(G929/MOTOR!$B$20,0))</f>
        <v/>
      </c>
      <c r="L929" s="117">
        <f>IF(C929="","",IF(F929="","EKSİK","TAM"))</f>
        <v/>
      </c>
      <c r="M929" s="118" t="n"/>
    </row>
    <row r="930" ht="15" customHeight="1" s="64">
      <c r="A930" s="118" t="n"/>
      <c r="B930" s="118" t="n"/>
      <c r="C930" s="118" t="n"/>
      <c r="D930" s="118" t="n"/>
      <c r="E930" s="118" t="n"/>
      <c r="F930" s="118" t="n"/>
      <c r="G930" s="120">
        <f>IF(C930="","",C930*D930)</f>
        <v/>
      </c>
      <c r="H930" s="120">
        <f>IF(C930="","",C930*E930)</f>
        <v/>
      </c>
      <c r="I930" s="115">
        <f>IF(C930="","",IFERROR(D930/(E930+(E930=0))-1,0))</f>
        <v/>
      </c>
      <c r="J930" s="117">
        <f>IF(C930="","",IF(ABS(I930)&gt;AYARLAR!$C$14,"RİSKLİ","NORMAL"))</f>
        <v/>
      </c>
      <c r="K930" s="115">
        <f>IF(G930="","",IFERROR(G930/MOTOR!$B$20,0))</f>
        <v/>
      </c>
      <c r="L930" s="117">
        <f>IF(C930="","",IF(F930="","EKSİK","TAM"))</f>
        <v/>
      </c>
      <c r="M930" s="118" t="n"/>
    </row>
    <row r="931" ht="15" customHeight="1" s="64">
      <c r="A931" s="118" t="n"/>
      <c r="B931" s="118" t="n"/>
      <c r="C931" s="118" t="n"/>
      <c r="D931" s="118" t="n"/>
      <c r="E931" s="118" t="n"/>
      <c r="F931" s="118" t="n"/>
      <c r="G931" s="120">
        <f>IF(C931="","",C931*D931)</f>
        <v/>
      </c>
      <c r="H931" s="120">
        <f>IF(C931="","",C931*E931)</f>
        <v/>
      </c>
      <c r="I931" s="115">
        <f>IF(C931="","",IFERROR(D931/(E931+(E931=0))-1,0))</f>
        <v/>
      </c>
      <c r="J931" s="117">
        <f>IF(C931="","",IF(ABS(I931)&gt;AYARLAR!$C$14,"RİSKLİ","NORMAL"))</f>
        <v/>
      </c>
      <c r="K931" s="115">
        <f>IF(G931="","",IFERROR(G931/MOTOR!$B$20,0))</f>
        <v/>
      </c>
      <c r="L931" s="117">
        <f>IF(C931="","",IF(F931="","EKSİK","TAM"))</f>
        <v/>
      </c>
      <c r="M931" s="118" t="n"/>
    </row>
    <row r="932" ht="15" customHeight="1" s="64">
      <c r="A932" s="118" t="n"/>
      <c r="B932" s="118" t="n"/>
      <c r="C932" s="118" t="n"/>
      <c r="D932" s="118" t="n"/>
      <c r="E932" s="118" t="n"/>
      <c r="F932" s="118" t="n"/>
      <c r="G932" s="120">
        <f>IF(C932="","",C932*D932)</f>
        <v/>
      </c>
      <c r="H932" s="120">
        <f>IF(C932="","",C932*E932)</f>
        <v/>
      </c>
      <c r="I932" s="115">
        <f>IF(C932="","",IFERROR(D932/(E932+(E932=0))-1,0))</f>
        <v/>
      </c>
      <c r="J932" s="117">
        <f>IF(C932="","",IF(ABS(I932)&gt;AYARLAR!$C$14,"RİSKLİ","NORMAL"))</f>
        <v/>
      </c>
      <c r="K932" s="115">
        <f>IF(G932="","",IFERROR(G932/MOTOR!$B$20,0))</f>
        <v/>
      </c>
      <c r="L932" s="117">
        <f>IF(C932="","",IF(F932="","EKSİK","TAM"))</f>
        <v/>
      </c>
      <c r="M932" s="118" t="n"/>
    </row>
    <row r="933" ht="15" customHeight="1" s="64">
      <c r="A933" s="118" t="n"/>
      <c r="B933" s="118" t="n"/>
      <c r="C933" s="118" t="n"/>
      <c r="D933" s="118" t="n"/>
      <c r="E933" s="118" t="n"/>
      <c r="F933" s="118" t="n"/>
      <c r="G933" s="120">
        <f>IF(C933="","",C933*D933)</f>
        <v/>
      </c>
      <c r="H933" s="120">
        <f>IF(C933="","",C933*E933)</f>
        <v/>
      </c>
      <c r="I933" s="115">
        <f>IF(C933="","",IFERROR(D933/(E933+(E933=0))-1,0))</f>
        <v/>
      </c>
      <c r="J933" s="117">
        <f>IF(C933="","",IF(ABS(I933)&gt;AYARLAR!$C$14,"RİSKLİ","NORMAL"))</f>
        <v/>
      </c>
      <c r="K933" s="115">
        <f>IF(G933="","",IFERROR(G933/MOTOR!$B$20,0))</f>
        <v/>
      </c>
      <c r="L933" s="117">
        <f>IF(C933="","",IF(F933="","EKSİK","TAM"))</f>
        <v/>
      </c>
      <c r="M933" s="118" t="n"/>
    </row>
    <row r="934" ht="15" customHeight="1" s="64">
      <c r="A934" s="118" t="n"/>
      <c r="B934" s="118" t="n"/>
      <c r="C934" s="118" t="n"/>
      <c r="D934" s="118" t="n"/>
      <c r="E934" s="118" t="n"/>
      <c r="F934" s="118" t="n"/>
      <c r="G934" s="120">
        <f>IF(C934="","",C934*D934)</f>
        <v/>
      </c>
      <c r="H934" s="120">
        <f>IF(C934="","",C934*E934)</f>
        <v/>
      </c>
      <c r="I934" s="115">
        <f>IF(C934="","",IFERROR(D934/(E934+(E934=0))-1,0))</f>
        <v/>
      </c>
      <c r="J934" s="117">
        <f>IF(C934="","",IF(ABS(I934)&gt;AYARLAR!$C$14,"RİSKLİ","NORMAL"))</f>
        <v/>
      </c>
      <c r="K934" s="115">
        <f>IF(G934="","",IFERROR(G934/MOTOR!$B$20,0))</f>
        <v/>
      </c>
      <c r="L934" s="117">
        <f>IF(C934="","",IF(F934="","EKSİK","TAM"))</f>
        <v/>
      </c>
      <c r="M934" s="118" t="n"/>
    </row>
    <row r="935" ht="15" customHeight="1" s="64">
      <c r="A935" s="118" t="n"/>
      <c r="B935" s="118" t="n"/>
      <c r="C935" s="118" t="n"/>
      <c r="D935" s="118" t="n"/>
      <c r="E935" s="118" t="n"/>
      <c r="F935" s="118" t="n"/>
      <c r="G935" s="120">
        <f>IF(C935="","",C935*D935)</f>
        <v/>
      </c>
      <c r="H935" s="120">
        <f>IF(C935="","",C935*E935)</f>
        <v/>
      </c>
      <c r="I935" s="115">
        <f>IF(C935="","",IFERROR(D935/(E935+(E935=0))-1,0))</f>
        <v/>
      </c>
      <c r="J935" s="117">
        <f>IF(C935="","",IF(ABS(I935)&gt;AYARLAR!$C$14,"RİSKLİ","NORMAL"))</f>
        <v/>
      </c>
      <c r="K935" s="115">
        <f>IF(G935="","",IFERROR(G935/MOTOR!$B$20,0))</f>
        <v/>
      </c>
      <c r="L935" s="117">
        <f>IF(C935="","",IF(F935="","EKSİK","TAM"))</f>
        <v/>
      </c>
      <c r="M935" s="118" t="n"/>
    </row>
    <row r="936" ht="15" customHeight="1" s="64">
      <c r="A936" s="118" t="n"/>
      <c r="B936" s="118" t="n"/>
      <c r="C936" s="118" t="n"/>
      <c r="D936" s="118" t="n"/>
      <c r="E936" s="118" t="n"/>
      <c r="F936" s="118" t="n"/>
      <c r="G936" s="120">
        <f>IF(C936="","",C936*D936)</f>
        <v/>
      </c>
      <c r="H936" s="120">
        <f>IF(C936="","",C936*E936)</f>
        <v/>
      </c>
      <c r="I936" s="115">
        <f>IF(C936="","",IFERROR(D936/(E936+(E936=0))-1,0))</f>
        <v/>
      </c>
      <c r="J936" s="117">
        <f>IF(C936="","",IF(ABS(I936)&gt;AYARLAR!$C$14,"RİSKLİ","NORMAL"))</f>
        <v/>
      </c>
      <c r="K936" s="115">
        <f>IF(G936="","",IFERROR(G936/MOTOR!$B$20,0))</f>
        <v/>
      </c>
      <c r="L936" s="117">
        <f>IF(C936="","",IF(F936="","EKSİK","TAM"))</f>
        <v/>
      </c>
      <c r="M936" s="118" t="n"/>
    </row>
    <row r="937" ht="15" customHeight="1" s="64">
      <c r="A937" s="118" t="n"/>
      <c r="B937" s="118" t="n"/>
      <c r="C937" s="118" t="n"/>
      <c r="D937" s="118" t="n"/>
      <c r="E937" s="118" t="n"/>
      <c r="F937" s="118" t="n"/>
      <c r="G937" s="120">
        <f>IF(C937="","",C937*D937)</f>
        <v/>
      </c>
      <c r="H937" s="120">
        <f>IF(C937="","",C937*E937)</f>
        <v/>
      </c>
      <c r="I937" s="115">
        <f>IF(C937="","",IFERROR(D937/(E937+(E937=0))-1,0))</f>
        <v/>
      </c>
      <c r="J937" s="117">
        <f>IF(C937="","",IF(ABS(I937)&gt;AYARLAR!$C$14,"RİSKLİ","NORMAL"))</f>
        <v/>
      </c>
      <c r="K937" s="115">
        <f>IF(G937="","",IFERROR(G937/MOTOR!$B$20,0))</f>
        <v/>
      </c>
      <c r="L937" s="117">
        <f>IF(C937="","",IF(F937="","EKSİK","TAM"))</f>
        <v/>
      </c>
      <c r="M937" s="118" t="n"/>
    </row>
    <row r="938" ht="15" customHeight="1" s="64">
      <c r="A938" s="118" t="n"/>
      <c r="B938" s="118" t="n"/>
      <c r="C938" s="118" t="n"/>
      <c r="D938" s="118" t="n"/>
      <c r="E938" s="118" t="n"/>
      <c r="F938" s="118" t="n"/>
      <c r="G938" s="120">
        <f>IF(C938="","",C938*D938)</f>
        <v/>
      </c>
      <c r="H938" s="120">
        <f>IF(C938="","",C938*E938)</f>
        <v/>
      </c>
      <c r="I938" s="115">
        <f>IF(C938="","",IFERROR(D938/(E938+(E938=0))-1,0))</f>
        <v/>
      </c>
      <c r="J938" s="117">
        <f>IF(C938="","",IF(ABS(I938)&gt;AYARLAR!$C$14,"RİSKLİ","NORMAL"))</f>
        <v/>
      </c>
      <c r="K938" s="115">
        <f>IF(G938="","",IFERROR(G938/MOTOR!$B$20,0))</f>
        <v/>
      </c>
      <c r="L938" s="117">
        <f>IF(C938="","",IF(F938="","EKSİK","TAM"))</f>
        <v/>
      </c>
      <c r="M938" s="118" t="n"/>
    </row>
    <row r="939" ht="15" customHeight="1" s="64">
      <c r="A939" s="118" t="n"/>
      <c r="B939" s="118" t="n"/>
      <c r="C939" s="118" t="n"/>
      <c r="D939" s="118" t="n"/>
      <c r="E939" s="118" t="n"/>
      <c r="F939" s="118" t="n"/>
      <c r="G939" s="120">
        <f>IF(C939="","",C939*D939)</f>
        <v/>
      </c>
      <c r="H939" s="120">
        <f>IF(C939="","",C939*E939)</f>
        <v/>
      </c>
      <c r="I939" s="115">
        <f>IF(C939="","",IFERROR(D939/(E939+(E939=0))-1,0))</f>
        <v/>
      </c>
      <c r="J939" s="117">
        <f>IF(C939="","",IF(ABS(I939)&gt;AYARLAR!$C$14,"RİSKLİ","NORMAL"))</f>
        <v/>
      </c>
      <c r="K939" s="115">
        <f>IF(G939="","",IFERROR(G939/MOTOR!$B$20,0))</f>
        <v/>
      </c>
      <c r="L939" s="117">
        <f>IF(C939="","",IF(F939="","EKSİK","TAM"))</f>
        <v/>
      </c>
      <c r="M939" s="118" t="n"/>
    </row>
    <row r="940" ht="15" customHeight="1" s="64">
      <c r="A940" s="118" t="n"/>
      <c r="B940" s="118" t="n"/>
      <c r="C940" s="118" t="n"/>
      <c r="D940" s="118" t="n"/>
      <c r="E940" s="118" t="n"/>
      <c r="F940" s="118" t="n"/>
      <c r="G940" s="120">
        <f>IF(C940="","",C940*D940)</f>
        <v/>
      </c>
      <c r="H940" s="120">
        <f>IF(C940="","",C940*E940)</f>
        <v/>
      </c>
      <c r="I940" s="115">
        <f>IF(C940="","",IFERROR(D940/(E940+(E940=0))-1,0))</f>
        <v/>
      </c>
      <c r="J940" s="117">
        <f>IF(C940="","",IF(ABS(I940)&gt;AYARLAR!$C$14,"RİSKLİ","NORMAL"))</f>
        <v/>
      </c>
      <c r="K940" s="115">
        <f>IF(G940="","",IFERROR(G940/MOTOR!$B$20,0))</f>
        <v/>
      </c>
      <c r="L940" s="117">
        <f>IF(C940="","",IF(F940="","EKSİK","TAM"))</f>
        <v/>
      </c>
      <c r="M940" s="118" t="n"/>
    </row>
    <row r="941" ht="15" customHeight="1" s="64">
      <c r="A941" s="118" t="n"/>
      <c r="B941" s="118" t="n"/>
      <c r="C941" s="118" t="n"/>
      <c r="D941" s="118" t="n"/>
      <c r="E941" s="118" t="n"/>
      <c r="F941" s="118" t="n"/>
      <c r="G941" s="120">
        <f>IF(C941="","",C941*D941)</f>
        <v/>
      </c>
      <c r="H941" s="120">
        <f>IF(C941="","",C941*E941)</f>
        <v/>
      </c>
      <c r="I941" s="115">
        <f>IF(C941="","",IFERROR(D941/(E941+(E941=0))-1,0))</f>
        <v/>
      </c>
      <c r="J941" s="117">
        <f>IF(C941="","",IF(ABS(I941)&gt;AYARLAR!$C$14,"RİSKLİ","NORMAL"))</f>
        <v/>
      </c>
      <c r="K941" s="115">
        <f>IF(G941="","",IFERROR(G941/MOTOR!$B$20,0))</f>
        <v/>
      </c>
      <c r="L941" s="117">
        <f>IF(C941="","",IF(F941="","EKSİK","TAM"))</f>
        <v/>
      </c>
      <c r="M941" s="118" t="n"/>
    </row>
    <row r="942" ht="15" customHeight="1" s="64">
      <c r="A942" s="118" t="n"/>
      <c r="B942" s="118" t="n"/>
      <c r="C942" s="118" t="n"/>
      <c r="D942" s="118" t="n"/>
      <c r="E942" s="118" t="n"/>
      <c r="F942" s="118" t="n"/>
      <c r="G942" s="120">
        <f>IF(C942="","",C942*D942)</f>
        <v/>
      </c>
      <c r="H942" s="120">
        <f>IF(C942="","",C942*E942)</f>
        <v/>
      </c>
      <c r="I942" s="115">
        <f>IF(C942="","",IFERROR(D942/(E942+(E942=0))-1,0))</f>
        <v/>
      </c>
      <c r="J942" s="117">
        <f>IF(C942="","",IF(ABS(I942)&gt;AYARLAR!$C$14,"RİSKLİ","NORMAL"))</f>
        <v/>
      </c>
      <c r="K942" s="115">
        <f>IF(G942="","",IFERROR(G942/MOTOR!$B$20,0))</f>
        <v/>
      </c>
      <c r="L942" s="117">
        <f>IF(C942="","",IF(F942="","EKSİK","TAM"))</f>
        <v/>
      </c>
      <c r="M942" s="118" t="n"/>
    </row>
    <row r="943" ht="15" customHeight="1" s="64">
      <c r="A943" s="118" t="n"/>
      <c r="B943" s="118" t="n"/>
      <c r="C943" s="118" t="n"/>
      <c r="D943" s="118" t="n"/>
      <c r="E943" s="118" t="n"/>
      <c r="F943" s="118" t="n"/>
      <c r="G943" s="120">
        <f>IF(C943="","",C943*D943)</f>
        <v/>
      </c>
      <c r="H943" s="120">
        <f>IF(C943="","",C943*E943)</f>
        <v/>
      </c>
      <c r="I943" s="115">
        <f>IF(C943="","",IFERROR(D943/(E943+(E943=0))-1,0))</f>
        <v/>
      </c>
      <c r="J943" s="117">
        <f>IF(C943="","",IF(ABS(I943)&gt;AYARLAR!$C$14,"RİSKLİ","NORMAL"))</f>
        <v/>
      </c>
      <c r="K943" s="115">
        <f>IF(G943="","",IFERROR(G943/MOTOR!$B$20,0))</f>
        <v/>
      </c>
      <c r="L943" s="117">
        <f>IF(C943="","",IF(F943="","EKSİK","TAM"))</f>
        <v/>
      </c>
      <c r="M943" s="118" t="n"/>
    </row>
    <row r="944" ht="15" customHeight="1" s="64">
      <c r="A944" s="118" t="n"/>
      <c r="B944" s="118" t="n"/>
      <c r="C944" s="118" t="n"/>
      <c r="D944" s="118" t="n"/>
      <c r="E944" s="118" t="n"/>
      <c r="F944" s="118" t="n"/>
      <c r="G944" s="120">
        <f>IF(C944="","",C944*D944)</f>
        <v/>
      </c>
      <c r="H944" s="120">
        <f>IF(C944="","",C944*E944)</f>
        <v/>
      </c>
      <c r="I944" s="115">
        <f>IF(C944="","",IFERROR(D944/(E944+(E944=0))-1,0))</f>
        <v/>
      </c>
      <c r="J944" s="117">
        <f>IF(C944="","",IF(ABS(I944)&gt;AYARLAR!$C$14,"RİSKLİ","NORMAL"))</f>
        <v/>
      </c>
      <c r="K944" s="115">
        <f>IF(G944="","",IFERROR(G944/MOTOR!$B$20,0))</f>
        <v/>
      </c>
      <c r="L944" s="117">
        <f>IF(C944="","",IF(F944="","EKSİK","TAM"))</f>
        <v/>
      </c>
      <c r="M944" s="118" t="n"/>
    </row>
    <row r="945" ht="15" customHeight="1" s="64">
      <c r="A945" s="118" t="n"/>
      <c r="B945" s="118" t="n"/>
      <c r="C945" s="118" t="n"/>
      <c r="D945" s="118" t="n"/>
      <c r="E945" s="118" t="n"/>
      <c r="F945" s="118" t="n"/>
      <c r="G945" s="120">
        <f>IF(C945="","",C945*D945)</f>
        <v/>
      </c>
      <c r="H945" s="120">
        <f>IF(C945="","",C945*E945)</f>
        <v/>
      </c>
      <c r="I945" s="115">
        <f>IF(C945="","",IFERROR(D945/(E945+(E945=0))-1,0))</f>
        <v/>
      </c>
      <c r="J945" s="117">
        <f>IF(C945="","",IF(ABS(I945)&gt;AYARLAR!$C$14,"RİSKLİ","NORMAL"))</f>
        <v/>
      </c>
      <c r="K945" s="115">
        <f>IF(G945="","",IFERROR(G945/MOTOR!$B$20,0))</f>
        <v/>
      </c>
      <c r="L945" s="117">
        <f>IF(C945="","",IF(F945="","EKSİK","TAM"))</f>
        <v/>
      </c>
      <c r="M945" s="118" t="n"/>
    </row>
    <row r="946" ht="15" customHeight="1" s="64">
      <c r="A946" s="118" t="n"/>
      <c r="B946" s="118" t="n"/>
      <c r="C946" s="118" t="n"/>
      <c r="D946" s="118" t="n"/>
      <c r="E946" s="118" t="n"/>
      <c r="F946" s="118" t="n"/>
      <c r="G946" s="120">
        <f>IF(C946="","",C946*D946)</f>
        <v/>
      </c>
      <c r="H946" s="120">
        <f>IF(C946="","",C946*E946)</f>
        <v/>
      </c>
      <c r="I946" s="115">
        <f>IF(C946="","",IFERROR(D946/(E946+(E946=0))-1,0))</f>
        <v/>
      </c>
      <c r="J946" s="117">
        <f>IF(C946="","",IF(ABS(I946)&gt;AYARLAR!$C$14,"RİSKLİ","NORMAL"))</f>
        <v/>
      </c>
      <c r="K946" s="115">
        <f>IF(G946="","",IFERROR(G946/MOTOR!$B$20,0))</f>
        <v/>
      </c>
      <c r="L946" s="117">
        <f>IF(C946="","",IF(F946="","EKSİK","TAM"))</f>
        <v/>
      </c>
      <c r="M946" s="118" t="n"/>
    </row>
    <row r="947" ht="15" customHeight="1" s="64">
      <c r="A947" s="118" t="n"/>
      <c r="B947" s="118" t="n"/>
      <c r="C947" s="118" t="n"/>
      <c r="D947" s="118" t="n"/>
      <c r="E947" s="118" t="n"/>
      <c r="F947" s="118" t="n"/>
      <c r="G947" s="120">
        <f>IF(C947="","",C947*D947)</f>
        <v/>
      </c>
      <c r="H947" s="120">
        <f>IF(C947="","",C947*E947)</f>
        <v/>
      </c>
      <c r="I947" s="115">
        <f>IF(C947="","",IFERROR(D947/(E947+(E947=0))-1,0))</f>
        <v/>
      </c>
      <c r="J947" s="117">
        <f>IF(C947="","",IF(ABS(I947)&gt;AYARLAR!$C$14,"RİSKLİ","NORMAL"))</f>
        <v/>
      </c>
      <c r="K947" s="115">
        <f>IF(G947="","",IFERROR(G947/MOTOR!$B$20,0))</f>
        <v/>
      </c>
      <c r="L947" s="117">
        <f>IF(C947="","",IF(F947="","EKSİK","TAM"))</f>
        <v/>
      </c>
      <c r="M947" s="118" t="n"/>
    </row>
    <row r="948" ht="15" customHeight="1" s="64">
      <c r="A948" s="118" t="n"/>
      <c r="B948" s="118" t="n"/>
      <c r="C948" s="118" t="n"/>
      <c r="D948" s="118" t="n"/>
      <c r="E948" s="118" t="n"/>
      <c r="F948" s="118" t="n"/>
      <c r="G948" s="120">
        <f>IF(C948="","",C948*D948)</f>
        <v/>
      </c>
      <c r="H948" s="120">
        <f>IF(C948="","",C948*E948)</f>
        <v/>
      </c>
      <c r="I948" s="115">
        <f>IF(C948="","",IFERROR(D948/(E948+(E948=0))-1,0))</f>
        <v/>
      </c>
      <c r="J948" s="117">
        <f>IF(C948="","",IF(ABS(I948)&gt;AYARLAR!$C$14,"RİSKLİ","NORMAL"))</f>
        <v/>
      </c>
      <c r="K948" s="115">
        <f>IF(G948="","",IFERROR(G948/MOTOR!$B$20,0))</f>
        <v/>
      </c>
      <c r="L948" s="117">
        <f>IF(C948="","",IF(F948="","EKSİK","TAM"))</f>
        <v/>
      </c>
      <c r="M948" s="118" t="n"/>
    </row>
    <row r="949" ht="15" customHeight="1" s="64">
      <c r="A949" s="118" t="n"/>
      <c r="B949" s="118" t="n"/>
      <c r="C949" s="118" t="n"/>
      <c r="D949" s="118" t="n"/>
      <c r="E949" s="118" t="n"/>
      <c r="F949" s="118" t="n"/>
      <c r="G949" s="120">
        <f>IF(C949="","",C949*D949)</f>
        <v/>
      </c>
      <c r="H949" s="120">
        <f>IF(C949="","",C949*E949)</f>
        <v/>
      </c>
      <c r="I949" s="115">
        <f>IF(C949="","",IFERROR(D949/(E949+(E949=0))-1,0))</f>
        <v/>
      </c>
      <c r="J949" s="117">
        <f>IF(C949="","",IF(ABS(I949)&gt;AYARLAR!$C$14,"RİSKLİ","NORMAL"))</f>
        <v/>
      </c>
      <c r="K949" s="115">
        <f>IF(G949="","",IFERROR(G949/MOTOR!$B$20,0))</f>
        <v/>
      </c>
      <c r="L949" s="117">
        <f>IF(C949="","",IF(F949="","EKSİK","TAM"))</f>
        <v/>
      </c>
      <c r="M949" s="118" t="n"/>
    </row>
    <row r="950" ht="15" customHeight="1" s="64">
      <c r="A950" s="118" t="n"/>
      <c r="B950" s="118" t="n"/>
      <c r="C950" s="118" t="n"/>
      <c r="D950" s="118" t="n"/>
      <c r="E950" s="118" t="n"/>
      <c r="F950" s="118" t="n"/>
      <c r="G950" s="120">
        <f>IF(C950="","",C950*D950)</f>
        <v/>
      </c>
      <c r="H950" s="120">
        <f>IF(C950="","",C950*E950)</f>
        <v/>
      </c>
      <c r="I950" s="115">
        <f>IF(C950="","",IFERROR(D950/(E950+(E950=0))-1,0))</f>
        <v/>
      </c>
      <c r="J950" s="117">
        <f>IF(C950="","",IF(ABS(I950)&gt;AYARLAR!$C$14,"RİSKLİ","NORMAL"))</f>
        <v/>
      </c>
      <c r="K950" s="115">
        <f>IF(G950="","",IFERROR(G950/MOTOR!$B$20,0))</f>
        <v/>
      </c>
      <c r="L950" s="117">
        <f>IF(C950="","",IF(F950="","EKSİK","TAM"))</f>
        <v/>
      </c>
      <c r="M950" s="118" t="n"/>
    </row>
    <row r="951" ht="15" customHeight="1" s="64">
      <c r="A951" s="118" t="n"/>
      <c r="B951" s="118" t="n"/>
      <c r="C951" s="118" t="n"/>
      <c r="D951" s="118" t="n"/>
      <c r="E951" s="118" t="n"/>
      <c r="F951" s="118" t="n"/>
      <c r="G951" s="120">
        <f>IF(C951="","",C951*D951)</f>
        <v/>
      </c>
      <c r="H951" s="120">
        <f>IF(C951="","",C951*E951)</f>
        <v/>
      </c>
      <c r="I951" s="115">
        <f>IF(C951="","",IFERROR(D951/(E951+(E951=0))-1,0))</f>
        <v/>
      </c>
      <c r="J951" s="117">
        <f>IF(C951="","",IF(ABS(I951)&gt;AYARLAR!$C$14,"RİSKLİ","NORMAL"))</f>
        <v/>
      </c>
      <c r="K951" s="115">
        <f>IF(G951="","",IFERROR(G951/MOTOR!$B$20,0))</f>
        <v/>
      </c>
      <c r="L951" s="117">
        <f>IF(C951="","",IF(F951="","EKSİK","TAM"))</f>
        <v/>
      </c>
      <c r="M951" s="118" t="n"/>
    </row>
    <row r="952" ht="15" customHeight="1" s="64">
      <c r="A952" s="118" t="n"/>
      <c r="B952" s="118" t="n"/>
      <c r="C952" s="118" t="n"/>
      <c r="D952" s="118" t="n"/>
      <c r="E952" s="118" t="n"/>
      <c r="F952" s="118" t="n"/>
      <c r="G952" s="120">
        <f>IF(C952="","",C952*D952)</f>
        <v/>
      </c>
      <c r="H952" s="120">
        <f>IF(C952="","",C952*E952)</f>
        <v/>
      </c>
      <c r="I952" s="115">
        <f>IF(C952="","",IFERROR(D952/(E952+(E952=0))-1,0))</f>
        <v/>
      </c>
      <c r="J952" s="117">
        <f>IF(C952="","",IF(ABS(I952)&gt;AYARLAR!$C$14,"RİSKLİ","NORMAL"))</f>
        <v/>
      </c>
      <c r="K952" s="115">
        <f>IF(G952="","",IFERROR(G952/MOTOR!$B$20,0))</f>
        <v/>
      </c>
      <c r="L952" s="117">
        <f>IF(C952="","",IF(F952="","EKSİK","TAM"))</f>
        <v/>
      </c>
      <c r="M952" s="118" t="n"/>
    </row>
    <row r="953" ht="15" customHeight="1" s="64">
      <c r="A953" s="118" t="n"/>
      <c r="B953" s="118" t="n"/>
      <c r="C953" s="118" t="n"/>
      <c r="D953" s="118" t="n"/>
      <c r="E953" s="118" t="n"/>
      <c r="F953" s="118" t="n"/>
      <c r="G953" s="120">
        <f>IF(C953="","",C953*D953)</f>
        <v/>
      </c>
      <c r="H953" s="120">
        <f>IF(C953="","",C953*E953)</f>
        <v/>
      </c>
      <c r="I953" s="115">
        <f>IF(C953="","",IFERROR(D953/(E953+(E953=0))-1,0))</f>
        <v/>
      </c>
      <c r="J953" s="117">
        <f>IF(C953="","",IF(ABS(I953)&gt;AYARLAR!$C$14,"RİSKLİ","NORMAL"))</f>
        <v/>
      </c>
      <c r="K953" s="115">
        <f>IF(G953="","",IFERROR(G953/MOTOR!$B$20,0))</f>
        <v/>
      </c>
      <c r="L953" s="117">
        <f>IF(C953="","",IF(F953="","EKSİK","TAM"))</f>
        <v/>
      </c>
      <c r="M953" s="118" t="n"/>
    </row>
    <row r="954" ht="15" customHeight="1" s="64">
      <c r="A954" s="118" t="n"/>
      <c r="B954" s="118" t="n"/>
      <c r="C954" s="118" t="n"/>
      <c r="D954" s="118" t="n"/>
      <c r="E954" s="118" t="n"/>
      <c r="F954" s="118" t="n"/>
      <c r="G954" s="120">
        <f>IF(C954="","",C954*D954)</f>
        <v/>
      </c>
      <c r="H954" s="120">
        <f>IF(C954="","",C954*E954)</f>
        <v/>
      </c>
      <c r="I954" s="115">
        <f>IF(C954="","",IFERROR(D954/(E954+(E954=0))-1,0))</f>
        <v/>
      </c>
      <c r="J954" s="117">
        <f>IF(C954="","",IF(ABS(I954)&gt;AYARLAR!$C$14,"RİSKLİ","NORMAL"))</f>
        <v/>
      </c>
      <c r="K954" s="115">
        <f>IF(G954="","",IFERROR(G954/MOTOR!$B$20,0))</f>
        <v/>
      </c>
      <c r="L954" s="117">
        <f>IF(C954="","",IF(F954="","EKSİK","TAM"))</f>
        <v/>
      </c>
      <c r="M954" s="118" t="n"/>
    </row>
    <row r="955" ht="15" customHeight="1" s="64">
      <c r="A955" s="118" t="n"/>
      <c r="B955" s="118" t="n"/>
      <c r="C955" s="118" t="n"/>
      <c r="D955" s="118" t="n"/>
      <c r="E955" s="118" t="n"/>
      <c r="F955" s="118" t="n"/>
      <c r="G955" s="120">
        <f>IF(C955="","",C955*D955)</f>
        <v/>
      </c>
      <c r="H955" s="120">
        <f>IF(C955="","",C955*E955)</f>
        <v/>
      </c>
      <c r="I955" s="115">
        <f>IF(C955="","",IFERROR(D955/(E955+(E955=0))-1,0))</f>
        <v/>
      </c>
      <c r="J955" s="117">
        <f>IF(C955="","",IF(ABS(I955)&gt;AYARLAR!$C$14,"RİSKLİ","NORMAL"))</f>
        <v/>
      </c>
      <c r="K955" s="115">
        <f>IF(G955="","",IFERROR(G955/MOTOR!$B$20,0))</f>
        <v/>
      </c>
      <c r="L955" s="117">
        <f>IF(C955="","",IF(F955="","EKSİK","TAM"))</f>
        <v/>
      </c>
      <c r="M955" s="118" t="n"/>
    </row>
    <row r="956" ht="15" customHeight="1" s="64">
      <c r="A956" s="118" t="n"/>
      <c r="B956" s="118" t="n"/>
      <c r="C956" s="118" t="n"/>
      <c r="D956" s="118" t="n"/>
      <c r="E956" s="118" t="n"/>
      <c r="F956" s="118" t="n"/>
      <c r="G956" s="120">
        <f>IF(C956="","",C956*D956)</f>
        <v/>
      </c>
      <c r="H956" s="120">
        <f>IF(C956="","",C956*E956)</f>
        <v/>
      </c>
      <c r="I956" s="115">
        <f>IF(C956="","",IFERROR(D956/(E956+(E956=0))-1,0))</f>
        <v/>
      </c>
      <c r="J956" s="117">
        <f>IF(C956="","",IF(ABS(I956)&gt;AYARLAR!$C$14,"RİSKLİ","NORMAL"))</f>
        <v/>
      </c>
      <c r="K956" s="115">
        <f>IF(G956="","",IFERROR(G956/MOTOR!$B$20,0))</f>
        <v/>
      </c>
      <c r="L956" s="117">
        <f>IF(C956="","",IF(F956="","EKSİK","TAM"))</f>
        <v/>
      </c>
      <c r="M956" s="118" t="n"/>
    </row>
    <row r="957" ht="15" customHeight="1" s="64">
      <c r="A957" s="118" t="n"/>
      <c r="B957" s="118" t="n"/>
      <c r="C957" s="118" t="n"/>
      <c r="D957" s="118" t="n"/>
      <c r="E957" s="118" t="n"/>
      <c r="F957" s="118" t="n"/>
      <c r="G957" s="120">
        <f>IF(C957="","",C957*D957)</f>
        <v/>
      </c>
      <c r="H957" s="120">
        <f>IF(C957="","",C957*E957)</f>
        <v/>
      </c>
      <c r="I957" s="115">
        <f>IF(C957="","",IFERROR(D957/(E957+(E957=0))-1,0))</f>
        <v/>
      </c>
      <c r="J957" s="117">
        <f>IF(C957="","",IF(ABS(I957)&gt;AYARLAR!$C$14,"RİSKLİ","NORMAL"))</f>
        <v/>
      </c>
      <c r="K957" s="115">
        <f>IF(G957="","",IFERROR(G957/MOTOR!$B$20,0))</f>
        <v/>
      </c>
      <c r="L957" s="117">
        <f>IF(C957="","",IF(F957="","EKSİK","TAM"))</f>
        <v/>
      </c>
      <c r="M957" s="118" t="n"/>
    </row>
    <row r="958" ht="15" customHeight="1" s="64">
      <c r="A958" s="118" t="n"/>
      <c r="B958" s="118" t="n"/>
      <c r="C958" s="118" t="n"/>
      <c r="D958" s="118" t="n"/>
      <c r="E958" s="118" t="n"/>
      <c r="F958" s="118" t="n"/>
      <c r="G958" s="120">
        <f>IF(C958="","",C958*D958)</f>
        <v/>
      </c>
      <c r="H958" s="120">
        <f>IF(C958="","",C958*E958)</f>
        <v/>
      </c>
      <c r="I958" s="115">
        <f>IF(C958="","",IFERROR(D958/(E958+(E958=0))-1,0))</f>
        <v/>
      </c>
      <c r="J958" s="117">
        <f>IF(C958="","",IF(ABS(I958)&gt;AYARLAR!$C$14,"RİSKLİ","NORMAL"))</f>
        <v/>
      </c>
      <c r="K958" s="115">
        <f>IF(G958="","",IFERROR(G958/MOTOR!$B$20,0))</f>
        <v/>
      </c>
      <c r="L958" s="117">
        <f>IF(C958="","",IF(F958="","EKSİK","TAM"))</f>
        <v/>
      </c>
      <c r="M958" s="118" t="n"/>
    </row>
    <row r="959" ht="15" customHeight="1" s="64">
      <c r="A959" s="118" t="n"/>
      <c r="B959" s="118" t="n"/>
      <c r="C959" s="118" t="n"/>
      <c r="D959" s="118" t="n"/>
      <c r="E959" s="118" t="n"/>
      <c r="F959" s="118" t="n"/>
      <c r="G959" s="120">
        <f>IF(C959="","",C959*D959)</f>
        <v/>
      </c>
      <c r="H959" s="120">
        <f>IF(C959="","",C959*E959)</f>
        <v/>
      </c>
      <c r="I959" s="115">
        <f>IF(C959="","",IFERROR(D959/(E959+(E959=0))-1,0))</f>
        <v/>
      </c>
      <c r="J959" s="117">
        <f>IF(C959="","",IF(ABS(I959)&gt;AYARLAR!$C$14,"RİSKLİ","NORMAL"))</f>
        <v/>
      </c>
      <c r="K959" s="115">
        <f>IF(G959="","",IFERROR(G959/MOTOR!$B$20,0))</f>
        <v/>
      </c>
      <c r="L959" s="117">
        <f>IF(C959="","",IF(F959="","EKSİK","TAM"))</f>
        <v/>
      </c>
      <c r="M959" s="118" t="n"/>
    </row>
    <row r="960" ht="15" customHeight="1" s="64">
      <c r="A960" s="118" t="n"/>
      <c r="B960" s="118" t="n"/>
      <c r="C960" s="118" t="n"/>
      <c r="D960" s="118" t="n"/>
      <c r="E960" s="118" t="n"/>
      <c r="F960" s="118" t="n"/>
      <c r="G960" s="120">
        <f>IF(C960="","",C960*D960)</f>
        <v/>
      </c>
      <c r="H960" s="120">
        <f>IF(C960="","",C960*E960)</f>
        <v/>
      </c>
      <c r="I960" s="115">
        <f>IF(C960="","",IFERROR(D960/(E960+(E960=0))-1,0))</f>
        <v/>
      </c>
      <c r="J960" s="117">
        <f>IF(C960="","",IF(ABS(I960)&gt;AYARLAR!$C$14,"RİSKLİ","NORMAL"))</f>
        <v/>
      </c>
      <c r="K960" s="115">
        <f>IF(G960="","",IFERROR(G960/MOTOR!$B$20,0))</f>
        <v/>
      </c>
      <c r="L960" s="117">
        <f>IF(C960="","",IF(F960="","EKSİK","TAM"))</f>
        <v/>
      </c>
      <c r="M960" s="118" t="n"/>
    </row>
    <row r="961" ht="15" customHeight="1" s="64">
      <c r="A961" s="118" t="n"/>
      <c r="B961" s="118" t="n"/>
      <c r="C961" s="118" t="n"/>
      <c r="D961" s="118" t="n"/>
      <c r="E961" s="118" t="n"/>
      <c r="F961" s="118" t="n"/>
      <c r="G961" s="120">
        <f>IF(C961="","",C961*D961)</f>
        <v/>
      </c>
      <c r="H961" s="120">
        <f>IF(C961="","",C961*E961)</f>
        <v/>
      </c>
      <c r="I961" s="115">
        <f>IF(C961="","",IFERROR(D961/(E961+(E961=0))-1,0))</f>
        <v/>
      </c>
      <c r="J961" s="117">
        <f>IF(C961="","",IF(ABS(I961)&gt;AYARLAR!$C$14,"RİSKLİ","NORMAL"))</f>
        <v/>
      </c>
      <c r="K961" s="115">
        <f>IF(G961="","",IFERROR(G961/MOTOR!$B$20,0))</f>
        <v/>
      </c>
      <c r="L961" s="117">
        <f>IF(C961="","",IF(F961="","EKSİK","TAM"))</f>
        <v/>
      </c>
      <c r="M961" s="118" t="n"/>
    </row>
    <row r="962" ht="15" customHeight="1" s="64">
      <c r="A962" s="118" t="n"/>
      <c r="B962" s="118" t="n"/>
      <c r="C962" s="118" t="n"/>
      <c r="D962" s="118" t="n"/>
      <c r="E962" s="118" t="n"/>
      <c r="F962" s="118" t="n"/>
      <c r="G962" s="120">
        <f>IF(C962="","",C962*D962)</f>
        <v/>
      </c>
      <c r="H962" s="120">
        <f>IF(C962="","",C962*E962)</f>
        <v/>
      </c>
      <c r="I962" s="115">
        <f>IF(C962="","",IFERROR(D962/(E962+(E962=0))-1,0))</f>
        <v/>
      </c>
      <c r="J962" s="117">
        <f>IF(C962="","",IF(ABS(I962)&gt;AYARLAR!$C$14,"RİSKLİ","NORMAL"))</f>
        <v/>
      </c>
      <c r="K962" s="115">
        <f>IF(G962="","",IFERROR(G962/MOTOR!$B$20,0))</f>
        <v/>
      </c>
      <c r="L962" s="117">
        <f>IF(C962="","",IF(F962="","EKSİK","TAM"))</f>
        <v/>
      </c>
      <c r="M962" s="118" t="n"/>
    </row>
    <row r="963" ht="15" customHeight="1" s="64">
      <c r="A963" s="118" t="n"/>
      <c r="B963" s="118" t="n"/>
      <c r="C963" s="118" t="n"/>
      <c r="D963" s="118" t="n"/>
      <c r="E963" s="118" t="n"/>
      <c r="F963" s="118" t="n"/>
      <c r="G963" s="120">
        <f>IF(C963="","",C963*D963)</f>
        <v/>
      </c>
      <c r="H963" s="120">
        <f>IF(C963="","",C963*E963)</f>
        <v/>
      </c>
      <c r="I963" s="115">
        <f>IF(C963="","",IFERROR(D963/(E963+(E963=0))-1,0))</f>
        <v/>
      </c>
      <c r="J963" s="117">
        <f>IF(C963="","",IF(ABS(I963)&gt;AYARLAR!$C$14,"RİSKLİ","NORMAL"))</f>
        <v/>
      </c>
      <c r="K963" s="115">
        <f>IF(G963="","",IFERROR(G963/MOTOR!$B$20,0))</f>
        <v/>
      </c>
      <c r="L963" s="117">
        <f>IF(C963="","",IF(F963="","EKSİK","TAM"))</f>
        <v/>
      </c>
      <c r="M963" s="118" t="n"/>
    </row>
    <row r="964" ht="15" customHeight="1" s="64">
      <c r="A964" s="118" t="n"/>
      <c r="B964" s="118" t="n"/>
      <c r="C964" s="118" t="n"/>
      <c r="D964" s="118" t="n"/>
      <c r="E964" s="118" t="n"/>
      <c r="F964" s="118" t="n"/>
      <c r="G964" s="120">
        <f>IF(C964="","",C964*D964)</f>
        <v/>
      </c>
      <c r="H964" s="120">
        <f>IF(C964="","",C964*E964)</f>
        <v/>
      </c>
      <c r="I964" s="115">
        <f>IF(C964="","",IFERROR(D964/(E964+(E964=0))-1,0))</f>
        <v/>
      </c>
      <c r="J964" s="117">
        <f>IF(C964="","",IF(ABS(I964)&gt;AYARLAR!$C$14,"RİSKLİ","NORMAL"))</f>
        <v/>
      </c>
      <c r="K964" s="115">
        <f>IF(G964="","",IFERROR(G964/MOTOR!$B$20,0))</f>
        <v/>
      </c>
      <c r="L964" s="117">
        <f>IF(C964="","",IF(F964="","EKSİK","TAM"))</f>
        <v/>
      </c>
      <c r="M964" s="118" t="n"/>
    </row>
    <row r="965" ht="15" customHeight="1" s="64">
      <c r="A965" s="118" t="n"/>
      <c r="B965" s="118" t="n"/>
      <c r="C965" s="118" t="n"/>
      <c r="D965" s="118" t="n"/>
      <c r="E965" s="118" t="n"/>
      <c r="F965" s="118" t="n"/>
      <c r="G965" s="120">
        <f>IF(C965="","",C965*D965)</f>
        <v/>
      </c>
      <c r="H965" s="120">
        <f>IF(C965="","",C965*E965)</f>
        <v/>
      </c>
      <c r="I965" s="115">
        <f>IF(C965="","",IFERROR(D965/(E965+(E965=0))-1,0))</f>
        <v/>
      </c>
      <c r="J965" s="117">
        <f>IF(C965="","",IF(ABS(I965)&gt;AYARLAR!$C$14,"RİSKLİ","NORMAL"))</f>
        <v/>
      </c>
      <c r="K965" s="115">
        <f>IF(G965="","",IFERROR(G965/MOTOR!$B$20,0))</f>
        <v/>
      </c>
      <c r="L965" s="117">
        <f>IF(C965="","",IF(F965="","EKSİK","TAM"))</f>
        <v/>
      </c>
      <c r="M965" s="118" t="n"/>
    </row>
    <row r="966" ht="15" customHeight="1" s="64">
      <c r="A966" s="118" t="n"/>
      <c r="B966" s="118" t="n"/>
      <c r="C966" s="118" t="n"/>
      <c r="D966" s="118" t="n"/>
      <c r="E966" s="118" t="n"/>
      <c r="F966" s="118" t="n"/>
      <c r="G966" s="120">
        <f>IF(C966="","",C966*D966)</f>
        <v/>
      </c>
      <c r="H966" s="120">
        <f>IF(C966="","",C966*E966)</f>
        <v/>
      </c>
      <c r="I966" s="115">
        <f>IF(C966="","",IFERROR(D966/(E966+(E966=0))-1,0))</f>
        <v/>
      </c>
      <c r="J966" s="117">
        <f>IF(C966="","",IF(ABS(I966)&gt;AYARLAR!$C$14,"RİSKLİ","NORMAL"))</f>
        <v/>
      </c>
      <c r="K966" s="115">
        <f>IF(G966="","",IFERROR(G966/MOTOR!$B$20,0))</f>
        <v/>
      </c>
      <c r="L966" s="117">
        <f>IF(C966="","",IF(F966="","EKSİK","TAM"))</f>
        <v/>
      </c>
      <c r="M966" s="118" t="n"/>
    </row>
    <row r="967" ht="15" customHeight="1" s="64">
      <c r="A967" s="118" t="n"/>
      <c r="B967" s="118" t="n"/>
      <c r="C967" s="118" t="n"/>
      <c r="D967" s="118" t="n"/>
      <c r="E967" s="118" t="n"/>
      <c r="F967" s="118" t="n"/>
      <c r="G967" s="120">
        <f>IF(C967="","",C967*D967)</f>
        <v/>
      </c>
      <c r="H967" s="120">
        <f>IF(C967="","",C967*E967)</f>
        <v/>
      </c>
      <c r="I967" s="115">
        <f>IF(C967="","",IFERROR(D967/(E967+(E967=0))-1,0))</f>
        <v/>
      </c>
      <c r="J967" s="117">
        <f>IF(C967="","",IF(ABS(I967)&gt;AYARLAR!$C$14,"RİSKLİ","NORMAL"))</f>
        <v/>
      </c>
      <c r="K967" s="115">
        <f>IF(G967="","",IFERROR(G967/MOTOR!$B$20,0))</f>
        <v/>
      </c>
      <c r="L967" s="117">
        <f>IF(C967="","",IF(F967="","EKSİK","TAM"))</f>
        <v/>
      </c>
      <c r="M967" s="118" t="n"/>
    </row>
    <row r="968" ht="15" customHeight="1" s="64">
      <c r="A968" s="118" t="n"/>
      <c r="B968" s="118" t="n"/>
      <c r="C968" s="118" t="n"/>
      <c r="D968" s="118" t="n"/>
      <c r="E968" s="118" t="n"/>
      <c r="F968" s="118" t="n"/>
      <c r="G968" s="120">
        <f>IF(C968="","",C968*D968)</f>
        <v/>
      </c>
      <c r="H968" s="120">
        <f>IF(C968="","",C968*E968)</f>
        <v/>
      </c>
      <c r="I968" s="115">
        <f>IF(C968="","",IFERROR(D968/(E968+(E968=0))-1,0))</f>
        <v/>
      </c>
      <c r="J968" s="117">
        <f>IF(C968="","",IF(ABS(I968)&gt;AYARLAR!$C$14,"RİSKLİ","NORMAL"))</f>
        <v/>
      </c>
      <c r="K968" s="115">
        <f>IF(G968="","",IFERROR(G968/MOTOR!$B$20,0))</f>
        <v/>
      </c>
      <c r="L968" s="117">
        <f>IF(C968="","",IF(F968="","EKSİK","TAM"))</f>
        <v/>
      </c>
      <c r="M968" s="118" t="n"/>
    </row>
    <row r="969" ht="15" customHeight="1" s="64">
      <c r="A969" s="118" t="n"/>
      <c r="B969" s="118" t="n"/>
      <c r="C969" s="118" t="n"/>
      <c r="D969" s="118" t="n"/>
      <c r="E969" s="118" t="n"/>
      <c r="F969" s="118" t="n"/>
      <c r="G969" s="120">
        <f>IF(C969="","",C969*D969)</f>
        <v/>
      </c>
      <c r="H969" s="120">
        <f>IF(C969="","",C969*E969)</f>
        <v/>
      </c>
      <c r="I969" s="115">
        <f>IF(C969="","",IFERROR(D969/(E969+(E969=0))-1,0))</f>
        <v/>
      </c>
      <c r="J969" s="117">
        <f>IF(C969="","",IF(ABS(I969)&gt;AYARLAR!$C$14,"RİSKLİ","NORMAL"))</f>
        <v/>
      </c>
      <c r="K969" s="115">
        <f>IF(G969="","",IFERROR(G969/MOTOR!$B$20,0))</f>
        <v/>
      </c>
      <c r="L969" s="117">
        <f>IF(C969="","",IF(F969="","EKSİK","TAM"))</f>
        <v/>
      </c>
      <c r="M969" s="118" t="n"/>
    </row>
    <row r="970" ht="15" customHeight="1" s="64">
      <c r="A970" s="118" t="n"/>
      <c r="B970" s="118" t="n"/>
      <c r="C970" s="118" t="n"/>
      <c r="D970" s="118" t="n"/>
      <c r="E970" s="118" t="n"/>
      <c r="F970" s="118" t="n"/>
      <c r="G970" s="120">
        <f>IF(C970="","",C970*D970)</f>
        <v/>
      </c>
      <c r="H970" s="120">
        <f>IF(C970="","",C970*E970)</f>
        <v/>
      </c>
      <c r="I970" s="115">
        <f>IF(C970="","",IFERROR(D970/(E970+(E970=0))-1,0))</f>
        <v/>
      </c>
      <c r="J970" s="117">
        <f>IF(C970="","",IF(ABS(I970)&gt;AYARLAR!$C$14,"RİSKLİ","NORMAL"))</f>
        <v/>
      </c>
      <c r="K970" s="115">
        <f>IF(G970="","",IFERROR(G970/MOTOR!$B$20,0))</f>
        <v/>
      </c>
      <c r="L970" s="117">
        <f>IF(C970="","",IF(F970="","EKSİK","TAM"))</f>
        <v/>
      </c>
      <c r="M970" s="118" t="n"/>
    </row>
    <row r="971" ht="15" customHeight="1" s="64">
      <c r="A971" s="118" t="n"/>
      <c r="B971" s="118" t="n"/>
      <c r="C971" s="118" t="n"/>
      <c r="D971" s="118" t="n"/>
      <c r="E971" s="118" t="n"/>
      <c r="F971" s="118" t="n"/>
      <c r="G971" s="120">
        <f>IF(C971="","",C971*D971)</f>
        <v/>
      </c>
      <c r="H971" s="120">
        <f>IF(C971="","",C971*E971)</f>
        <v/>
      </c>
      <c r="I971" s="115">
        <f>IF(C971="","",IFERROR(D971/(E971+(E971=0))-1,0))</f>
        <v/>
      </c>
      <c r="J971" s="117">
        <f>IF(C971="","",IF(ABS(I971)&gt;AYARLAR!$C$14,"RİSKLİ","NORMAL"))</f>
        <v/>
      </c>
      <c r="K971" s="115">
        <f>IF(G971="","",IFERROR(G971/MOTOR!$B$20,0))</f>
        <v/>
      </c>
      <c r="L971" s="117">
        <f>IF(C971="","",IF(F971="","EKSİK","TAM"))</f>
        <v/>
      </c>
      <c r="M971" s="118" t="n"/>
    </row>
    <row r="972" ht="15" customHeight="1" s="64">
      <c r="A972" s="118" t="n"/>
      <c r="B972" s="118" t="n"/>
      <c r="C972" s="118" t="n"/>
      <c r="D972" s="118" t="n"/>
      <c r="E972" s="118" t="n"/>
      <c r="F972" s="118" t="n"/>
      <c r="G972" s="120">
        <f>IF(C972="","",C972*D972)</f>
        <v/>
      </c>
      <c r="H972" s="120">
        <f>IF(C972="","",C972*E972)</f>
        <v/>
      </c>
      <c r="I972" s="115">
        <f>IF(C972="","",IFERROR(D972/(E972+(E972=0))-1,0))</f>
        <v/>
      </c>
      <c r="J972" s="117">
        <f>IF(C972="","",IF(ABS(I972)&gt;AYARLAR!$C$14,"RİSKLİ","NORMAL"))</f>
        <v/>
      </c>
      <c r="K972" s="115">
        <f>IF(G972="","",IFERROR(G972/MOTOR!$B$20,0))</f>
        <v/>
      </c>
      <c r="L972" s="117">
        <f>IF(C972="","",IF(F972="","EKSİK","TAM"))</f>
        <v/>
      </c>
      <c r="M972" s="118" t="n"/>
    </row>
    <row r="973" ht="15" customHeight="1" s="64">
      <c r="A973" s="118" t="n"/>
      <c r="B973" s="118" t="n"/>
      <c r="C973" s="118" t="n"/>
      <c r="D973" s="118" t="n"/>
      <c r="E973" s="118" t="n"/>
      <c r="F973" s="118" t="n"/>
      <c r="G973" s="120">
        <f>IF(C973="","",C973*D973)</f>
        <v/>
      </c>
      <c r="H973" s="120">
        <f>IF(C973="","",C973*E973)</f>
        <v/>
      </c>
      <c r="I973" s="115">
        <f>IF(C973="","",IFERROR(D973/(E973+(E973=0))-1,0))</f>
        <v/>
      </c>
      <c r="J973" s="117">
        <f>IF(C973="","",IF(ABS(I973)&gt;AYARLAR!$C$14,"RİSKLİ","NORMAL"))</f>
        <v/>
      </c>
      <c r="K973" s="115">
        <f>IF(G973="","",IFERROR(G973/MOTOR!$B$20,0))</f>
        <v/>
      </c>
      <c r="L973" s="117">
        <f>IF(C973="","",IF(F973="","EKSİK","TAM"))</f>
        <v/>
      </c>
      <c r="M973" s="118" t="n"/>
    </row>
    <row r="974" ht="15" customHeight="1" s="64">
      <c r="A974" s="118" t="n"/>
      <c r="B974" s="118" t="n"/>
      <c r="C974" s="118" t="n"/>
      <c r="D974" s="118" t="n"/>
      <c r="E974" s="118" t="n"/>
      <c r="F974" s="118" t="n"/>
      <c r="G974" s="120">
        <f>IF(C974="","",C974*D974)</f>
        <v/>
      </c>
      <c r="H974" s="120">
        <f>IF(C974="","",C974*E974)</f>
        <v/>
      </c>
      <c r="I974" s="115">
        <f>IF(C974="","",IFERROR(D974/(E974+(E974=0))-1,0))</f>
        <v/>
      </c>
      <c r="J974" s="117">
        <f>IF(C974="","",IF(ABS(I974)&gt;AYARLAR!$C$14,"RİSKLİ","NORMAL"))</f>
        <v/>
      </c>
      <c r="K974" s="115">
        <f>IF(G974="","",IFERROR(G974/MOTOR!$B$20,0))</f>
        <v/>
      </c>
      <c r="L974" s="117">
        <f>IF(C974="","",IF(F974="","EKSİK","TAM"))</f>
        <v/>
      </c>
      <c r="M974" s="118" t="n"/>
    </row>
    <row r="975" ht="15" customHeight="1" s="64">
      <c r="A975" s="118" t="n"/>
      <c r="B975" s="118" t="n"/>
      <c r="C975" s="118" t="n"/>
      <c r="D975" s="118" t="n"/>
      <c r="E975" s="118" t="n"/>
      <c r="F975" s="118" t="n"/>
      <c r="G975" s="120">
        <f>IF(C975="","",C975*D975)</f>
        <v/>
      </c>
      <c r="H975" s="120">
        <f>IF(C975="","",C975*E975)</f>
        <v/>
      </c>
      <c r="I975" s="115">
        <f>IF(C975="","",IFERROR(D975/(E975+(E975=0))-1,0))</f>
        <v/>
      </c>
      <c r="J975" s="117">
        <f>IF(C975="","",IF(ABS(I975)&gt;AYARLAR!$C$14,"RİSKLİ","NORMAL"))</f>
        <v/>
      </c>
      <c r="K975" s="115">
        <f>IF(G975="","",IFERROR(G975/MOTOR!$B$20,0))</f>
        <v/>
      </c>
      <c r="L975" s="117">
        <f>IF(C975="","",IF(F975="","EKSİK","TAM"))</f>
        <v/>
      </c>
      <c r="M975" s="118" t="n"/>
    </row>
    <row r="976" ht="15" customHeight="1" s="64">
      <c r="A976" s="118" t="n"/>
      <c r="B976" s="118" t="n"/>
      <c r="C976" s="118" t="n"/>
      <c r="D976" s="118" t="n"/>
      <c r="E976" s="118" t="n"/>
      <c r="F976" s="118" t="n"/>
      <c r="G976" s="120">
        <f>IF(C976="","",C976*D976)</f>
        <v/>
      </c>
      <c r="H976" s="120">
        <f>IF(C976="","",C976*E976)</f>
        <v/>
      </c>
      <c r="I976" s="115">
        <f>IF(C976="","",IFERROR(D976/(E976+(E976=0))-1,0))</f>
        <v/>
      </c>
      <c r="J976" s="117">
        <f>IF(C976="","",IF(ABS(I976)&gt;AYARLAR!$C$14,"RİSKLİ","NORMAL"))</f>
        <v/>
      </c>
      <c r="K976" s="115">
        <f>IF(G976="","",IFERROR(G976/MOTOR!$B$20,0))</f>
        <v/>
      </c>
      <c r="L976" s="117">
        <f>IF(C976="","",IF(F976="","EKSİK","TAM"))</f>
        <v/>
      </c>
      <c r="M976" s="118" t="n"/>
    </row>
    <row r="977" ht="15" customHeight="1" s="64">
      <c r="A977" s="118" t="n"/>
      <c r="B977" s="118" t="n"/>
      <c r="C977" s="118" t="n"/>
      <c r="D977" s="118" t="n"/>
      <c r="E977" s="118" t="n"/>
      <c r="F977" s="118" t="n"/>
      <c r="G977" s="120">
        <f>IF(C977="","",C977*D977)</f>
        <v/>
      </c>
      <c r="H977" s="120">
        <f>IF(C977="","",C977*E977)</f>
        <v/>
      </c>
      <c r="I977" s="115">
        <f>IF(C977="","",IFERROR(D977/(E977+(E977=0))-1,0))</f>
        <v/>
      </c>
      <c r="J977" s="117">
        <f>IF(C977="","",IF(ABS(I977)&gt;AYARLAR!$C$14,"RİSKLİ","NORMAL"))</f>
        <v/>
      </c>
      <c r="K977" s="115">
        <f>IF(G977="","",IFERROR(G977/MOTOR!$B$20,0))</f>
        <v/>
      </c>
      <c r="L977" s="117">
        <f>IF(C977="","",IF(F977="","EKSİK","TAM"))</f>
        <v/>
      </c>
      <c r="M977" s="118" t="n"/>
    </row>
    <row r="978" ht="15" customHeight="1" s="64">
      <c r="A978" s="118" t="n"/>
      <c r="B978" s="118" t="n"/>
      <c r="C978" s="118" t="n"/>
      <c r="D978" s="118" t="n"/>
      <c r="E978" s="118" t="n"/>
      <c r="F978" s="118" t="n"/>
      <c r="G978" s="120">
        <f>IF(C978="","",C978*D978)</f>
        <v/>
      </c>
      <c r="H978" s="120">
        <f>IF(C978="","",C978*E978)</f>
        <v/>
      </c>
      <c r="I978" s="115">
        <f>IF(C978="","",IFERROR(D978/(E978+(E978=0))-1,0))</f>
        <v/>
      </c>
      <c r="J978" s="117">
        <f>IF(C978="","",IF(ABS(I978)&gt;AYARLAR!$C$14,"RİSKLİ","NORMAL"))</f>
        <v/>
      </c>
      <c r="K978" s="115">
        <f>IF(G978="","",IFERROR(G978/MOTOR!$B$20,0))</f>
        <v/>
      </c>
      <c r="L978" s="117">
        <f>IF(C978="","",IF(F978="","EKSİK","TAM"))</f>
        <v/>
      </c>
      <c r="M978" s="118" t="n"/>
    </row>
    <row r="979" ht="15" customHeight="1" s="64">
      <c r="A979" s="118" t="n"/>
      <c r="B979" s="118" t="n"/>
      <c r="C979" s="118" t="n"/>
      <c r="D979" s="118" t="n"/>
      <c r="E979" s="118" t="n"/>
      <c r="F979" s="118" t="n"/>
      <c r="G979" s="120">
        <f>IF(C979="","",C979*D979)</f>
        <v/>
      </c>
      <c r="H979" s="120">
        <f>IF(C979="","",C979*E979)</f>
        <v/>
      </c>
      <c r="I979" s="115">
        <f>IF(C979="","",IFERROR(D979/(E979+(E979=0))-1,0))</f>
        <v/>
      </c>
      <c r="J979" s="117">
        <f>IF(C979="","",IF(ABS(I979)&gt;AYARLAR!$C$14,"RİSKLİ","NORMAL"))</f>
        <v/>
      </c>
      <c r="K979" s="115">
        <f>IF(G979="","",IFERROR(G979/MOTOR!$B$20,0))</f>
        <v/>
      </c>
      <c r="L979" s="117">
        <f>IF(C979="","",IF(F979="","EKSİK","TAM"))</f>
        <v/>
      </c>
      <c r="M979" s="118" t="n"/>
    </row>
    <row r="980" ht="15" customHeight="1" s="64">
      <c r="A980" s="118" t="n"/>
      <c r="B980" s="118" t="n"/>
      <c r="C980" s="118" t="n"/>
      <c r="D980" s="118" t="n"/>
      <c r="E980" s="118" t="n"/>
      <c r="F980" s="118" t="n"/>
      <c r="G980" s="120">
        <f>IF(C980="","",C980*D980)</f>
        <v/>
      </c>
      <c r="H980" s="120">
        <f>IF(C980="","",C980*E980)</f>
        <v/>
      </c>
      <c r="I980" s="115">
        <f>IF(C980="","",IFERROR(D980/(E980+(E980=0))-1,0))</f>
        <v/>
      </c>
      <c r="J980" s="117">
        <f>IF(C980="","",IF(ABS(I980)&gt;AYARLAR!$C$14,"RİSKLİ","NORMAL"))</f>
        <v/>
      </c>
      <c r="K980" s="115">
        <f>IF(G980="","",IFERROR(G980/MOTOR!$B$20,0))</f>
        <v/>
      </c>
      <c r="L980" s="117">
        <f>IF(C980="","",IF(F980="","EKSİK","TAM"))</f>
        <v/>
      </c>
      <c r="M980" s="118" t="n"/>
    </row>
    <row r="981" ht="15" customHeight="1" s="64">
      <c r="A981" s="118" t="n"/>
      <c r="B981" s="118" t="n"/>
      <c r="C981" s="118" t="n"/>
      <c r="D981" s="118" t="n"/>
      <c r="E981" s="118" t="n"/>
      <c r="F981" s="118" t="n"/>
      <c r="G981" s="120">
        <f>IF(C981="","",C981*D981)</f>
        <v/>
      </c>
      <c r="H981" s="120">
        <f>IF(C981="","",C981*E981)</f>
        <v/>
      </c>
      <c r="I981" s="115">
        <f>IF(C981="","",IFERROR(D981/(E981+(E981=0))-1,0))</f>
        <v/>
      </c>
      <c r="J981" s="117">
        <f>IF(C981="","",IF(ABS(I981)&gt;AYARLAR!$C$14,"RİSKLİ","NORMAL"))</f>
        <v/>
      </c>
      <c r="K981" s="115">
        <f>IF(G981="","",IFERROR(G981/MOTOR!$B$20,0))</f>
        <v/>
      </c>
      <c r="L981" s="117">
        <f>IF(C981="","",IF(F981="","EKSİK","TAM"))</f>
        <v/>
      </c>
      <c r="M981" s="118" t="n"/>
    </row>
    <row r="982" ht="15" customHeight="1" s="64">
      <c r="A982" s="118" t="n"/>
      <c r="B982" s="118" t="n"/>
      <c r="C982" s="118" t="n"/>
      <c r="D982" s="118" t="n"/>
      <c r="E982" s="118" t="n"/>
      <c r="F982" s="118" t="n"/>
      <c r="G982" s="120">
        <f>IF(C982="","",C982*D982)</f>
        <v/>
      </c>
      <c r="H982" s="120">
        <f>IF(C982="","",C982*E982)</f>
        <v/>
      </c>
      <c r="I982" s="115">
        <f>IF(C982="","",IFERROR(D982/(E982+(E982=0))-1,0))</f>
        <v/>
      </c>
      <c r="J982" s="117">
        <f>IF(C982="","",IF(ABS(I982)&gt;AYARLAR!$C$14,"RİSKLİ","NORMAL"))</f>
        <v/>
      </c>
      <c r="K982" s="115">
        <f>IF(G982="","",IFERROR(G982/MOTOR!$B$20,0))</f>
        <v/>
      </c>
      <c r="L982" s="117">
        <f>IF(C982="","",IF(F982="","EKSİK","TAM"))</f>
        <v/>
      </c>
      <c r="M982" s="118" t="n"/>
    </row>
    <row r="983" ht="15" customHeight="1" s="64">
      <c r="A983" s="118" t="n"/>
      <c r="B983" s="118" t="n"/>
      <c r="C983" s="118" t="n"/>
      <c r="D983" s="118" t="n"/>
      <c r="E983" s="118" t="n"/>
      <c r="F983" s="118" t="n"/>
      <c r="G983" s="120">
        <f>IF(C983="","",C983*D983)</f>
        <v/>
      </c>
      <c r="H983" s="120">
        <f>IF(C983="","",C983*E983)</f>
        <v/>
      </c>
      <c r="I983" s="115">
        <f>IF(C983="","",IFERROR(D983/(E983+(E983=0))-1,0))</f>
        <v/>
      </c>
      <c r="J983" s="117">
        <f>IF(C983="","",IF(ABS(I983)&gt;AYARLAR!$C$14,"RİSKLİ","NORMAL"))</f>
        <v/>
      </c>
      <c r="K983" s="115">
        <f>IF(G983="","",IFERROR(G983/MOTOR!$B$20,0))</f>
        <v/>
      </c>
      <c r="L983" s="117">
        <f>IF(C983="","",IF(F983="","EKSİK","TAM"))</f>
        <v/>
      </c>
      <c r="M983" s="118" t="n"/>
    </row>
    <row r="984" ht="15" customHeight="1" s="64">
      <c r="A984" s="118" t="n"/>
      <c r="B984" s="118" t="n"/>
      <c r="C984" s="118" t="n"/>
      <c r="D984" s="118" t="n"/>
      <c r="E984" s="118" t="n"/>
      <c r="F984" s="118" t="n"/>
      <c r="G984" s="120">
        <f>IF(C984="","",C984*D984)</f>
        <v/>
      </c>
      <c r="H984" s="120">
        <f>IF(C984="","",C984*E984)</f>
        <v/>
      </c>
      <c r="I984" s="115">
        <f>IF(C984="","",IFERROR(D984/(E984+(E984=0))-1,0))</f>
        <v/>
      </c>
      <c r="J984" s="117">
        <f>IF(C984="","",IF(ABS(I984)&gt;AYARLAR!$C$14,"RİSKLİ","NORMAL"))</f>
        <v/>
      </c>
      <c r="K984" s="115">
        <f>IF(G984="","",IFERROR(G984/MOTOR!$B$20,0))</f>
        <v/>
      </c>
      <c r="L984" s="117">
        <f>IF(C984="","",IF(F984="","EKSİK","TAM"))</f>
        <v/>
      </c>
      <c r="M984" s="118" t="n"/>
    </row>
    <row r="985" ht="15" customHeight="1" s="64">
      <c r="A985" s="118" t="n"/>
      <c r="B985" s="118" t="n"/>
      <c r="C985" s="118" t="n"/>
      <c r="D985" s="118" t="n"/>
      <c r="E985" s="118" t="n"/>
      <c r="F985" s="118" t="n"/>
      <c r="G985" s="120">
        <f>IF(C985="","",C985*D985)</f>
        <v/>
      </c>
      <c r="H985" s="120">
        <f>IF(C985="","",C985*E985)</f>
        <v/>
      </c>
      <c r="I985" s="115">
        <f>IF(C985="","",IFERROR(D985/(E985+(E985=0))-1,0))</f>
        <v/>
      </c>
      <c r="J985" s="117">
        <f>IF(C985="","",IF(ABS(I985)&gt;AYARLAR!$C$14,"RİSKLİ","NORMAL"))</f>
        <v/>
      </c>
      <c r="K985" s="115">
        <f>IF(G985="","",IFERROR(G985/MOTOR!$B$20,0))</f>
        <v/>
      </c>
      <c r="L985" s="117">
        <f>IF(C985="","",IF(F985="","EKSİK","TAM"))</f>
        <v/>
      </c>
      <c r="M985" s="118" t="n"/>
    </row>
    <row r="986" ht="15" customHeight="1" s="64">
      <c r="A986" s="118" t="n"/>
      <c r="B986" s="118" t="n"/>
      <c r="C986" s="118" t="n"/>
      <c r="D986" s="118" t="n"/>
      <c r="E986" s="118" t="n"/>
      <c r="F986" s="118" t="n"/>
      <c r="G986" s="120">
        <f>IF(C986="","",C986*D986)</f>
        <v/>
      </c>
      <c r="H986" s="120">
        <f>IF(C986="","",C986*E986)</f>
        <v/>
      </c>
      <c r="I986" s="115">
        <f>IF(C986="","",IFERROR(D986/(E986+(E986=0))-1,0))</f>
        <v/>
      </c>
      <c r="J986" s="117">
        <f>IF(C986="","",IF(ABS(I986)&gt;AYARLAR!$C$14,"RİSKLİ","NORMAL"))</f>
        <v/>
      </c>
      <c r="K986" s="115">
        <f>IF(G986="","",IFERROR(G986/MOTOR!$B$20,0))</f>
        <v/>
      </c>
      <c r="L986" s="117">
        <f>IF(C986="","",IF(F986="","EKSİK","TAM"))</f>
        <v/>
      </c>
      <c r="M986" s="118" t="n"/>
    </row>
    <row r="987" ht="15" customHeight="1" s="64">
      <c r="A987" s="118" t="n"/>
      <c r="B987" s="118" t="n"/>
      <c r="C987" s="118" t="n"/>
      <c r="D987" s="118" t="n"/>
      <c r="E987" s="118" t="n"/>
      <c r="F987" s="118" t="n"/>
      <c r="G987" s="120">
        <f>IF(C987="","",C987*D987)</f>
        <v/>
      </c>
      <c r="H987" s="120">
        <f>IF(C987="","",C987*E987)</f>
        <v/>
      </c>
      <c r="I987" s="115">
        <f>IF(C987="","",IFERROR(D987/(E987+(E987=0))-1,0))</f>
        <v/>
      </c>
      <c r="J987" s="117">
        <f>IF(C987="","",IF(ABS(I987)&gt;AYARLAR!$C$14,"RİSKLİ","NORMAL"))</f>
        <v/>
      </c>
      <c r="K987" s="115">
        <f>IF(G987="","",IFERROR(G987/MOTOR!$B$20,0))</f>
        <v/>
      </c>
      <c r="L987" s="117">
        <f>IF(C987="","",IF(F987="","EKSİK","TAM"))</f>
        <v/>
      </c>
      <c r="M987" s="118" t="n"/>
    </row>
    <row r="988" ht="15" customHeight="1" s="64">
      <c r="A988" s="118" t="n"/>
      <c r="B988" s="118" t="n"/>
      <c r="C988" s="118" t="n"/>
      <c r="D988" s="118" t="n"/>
      <c r="E988" s="118" t="n"/>
      <c r="F988" s="118" t="n"/>
      <c r="G988" s="120">
        <f>IF(C988="","",C988*D988)</f>
        <v/>
      </c>
      <c r="H988" s="120">
        <f>IF(C988="","",C988*E988)</f>
        <v/>
      </c>
      <c r="I988" s="115">
        <f>IF(C988="","",IFERROR(D988/(E988+(E988=0))-1,0))</f>
        <v/>
      </c>
      <c r="J988" s="117">
        <f>IF(C988="","",IF(ABS(I988)&gt;AYARLAR!$C$14,"RİSKLİ","NORMAL"))</f>
        <v/>
      </c>
      <c r="K988" s="115">
        <f>IF(G988="","",IFERROR(G988/MOTOR!$B$20,0))</f>
        <v/>
      </c>
      <c r="L988" s="117">
        <f>IF(C988="","",IF(F988="","EKSİK","TAM"))</f>
        <v/>
      </c>
      <c r="M988" s="118" t="n"/>
    </row>
    <row r="989" ht="15" customHeight="1" s="64">
      <c r="A989" s="118" t="n"/>
      <c r="B989" s="118" t="n"/>
      <c r="C989" s="118" t="n"/>
      <c r="D989" s="118" t="n"/>
      <c r="E989" s="118" t="n"/>
      <c r="F989" s="118" t="n"/>
      <c r="G989" s="120">
        <f>IF(C989="","",C989*D989)</f>
        <v/>
      </c>
      <c r="H989" s="120">
        <f>IF(C989="","",C989*E989)</f>
        <v/>
      </c>
      <c r="I989" s="115">
        <f>IF(C989="","",IFERROR(D989/(E989+(E989=0))-1,0))</f>
        <v/>
      </c>
      <c r="J989" s="117">
        <f>IF(C989="","",IF(ABS(I989)&gt;AYARLAR!$C$14,"RİSKLİ","NORMAL"))</f>
        <v/>
      </c>
      <c r="K989" s="115">
        <f>IF(G989="","",IFERROR(G989/MOTOR!$B$20,0))</f>
        <v/>
      </c>
      <c r="L989" s="117">
        <f>IF(C989="","",IF(F989="","EKSİK","TAM"))</f>
        <v/>
      </c>
      <c r="M989" s="118" t="n"/>
    </row>
    <row r="990" ht="15" customHeight="1" s="64">
      <c r="A990" s="118" t="n"/>
      <c r="B990" s="118" t="n"/>
      <c r="C990" s="118" t="n"/>
      <c r="D990" s="118" t="n"/>
      <c r="E990" s="118" t="n"/>
      <c r="F990" s="118" t="n"/>
      <c r="G990" s="120">
        <f>IF(C990="","",C990*D990)</f>
        <v/>
      </c>
      <c r="H990" s="120">
        <f>IF(C990="","",C990*E990)</f>
        <v/>
      </c>
      <c r="I990" s="115">
        <f>IF(C990="","",IFERROR(D990/(E990+(E990=0))-1,0))</f>
        <v/>
      </c>
      <c r="J990" s="117">
        <f>IF(C990="","",IF(ABS(I990)&gt;AYARLAR!$C$14,"RİSKLİ","NORMAL"))</f>
        <v/>
      </c>
      <c r="K990" s="115">
        <f>IF(G990="","",IFERROR(G990/MOTOR!$B$20,0))</f>
        <v/>
      </c>
      <c r="L990" s="117">
        <f>IF(C990="","",IF(F990="","EKSİK","TAM"))</f>
        <v/>
      </c>
      <c r="M990" s="118" t="n"/>
    </row>
    <row r="991" ht="15" customHeight="1" s="64">
      <c r="A991" s="118" t="n"/>
      <c r="B991" s="118" t="n"/>
      <c r="C991" s="118" t="n"/>
      <c r="D991" s="118" t="n"/>
      <c r="E991" s="118" t="n"/>
      <c r="F991" s="118" t="n"/>
      <c r="G991" s="120">
        <f>IF(C991="","",C991*D991)</f>
        <v/>
      </c>
      <c r="H991" s="120">
        <f>IF(C991="","",C991*E991)</f>
        <v/>
      </c>
      <c r="I991" s="115">
        <f>IF(C991="","",IFERROR(D991/(E991+(E991=0))-1,0))</f>
        <v/>
      </c>
      <c r="J991" s="117">
        <f>IF(C991="","",IF(ABS(I991)&gt;AYARLAR!$C$14,"RİSKLİ","NORMAL"))</f>
        <v/>
      </c>
      <c r="K991" s="115">
        <f>IF(G991="","",IFERROR(G991/MOTOR!$B$20,0))</f>
        <v/>
      </c>
      <c r="L991" s="117">
        <f>IF(C991="","",IF(F991="","EKSİK","TAM"))</f>
        <v/>
      </c>
      <c r="M991" s="118" t="n"/>
    </row>
    <row r="992" ht="15" customHeight="1" s="64">
      <c r="A992" s="118" t="n"/>
      <c r="B992" s="118" t="n"/>
      <c r="C992" s="118" t="n"/>
      <c r="D992" s="118" t="n"/>
      <c r="E992" s="118" t="n"/>
      <c r="F992" s="118" t="n"/>
      <c r="G992" s="120">
        <f>IF(C992="","",C992*D992)</f>
        <v/>
      </c>
      <c r="H992" s="120">
        <f>IF(C992="","",C992*E992)</f>
        <v/>
      </c>
      <c r="I992" s="115">
        <f>IF(C992="","",IFERROR(D992/(E992+(E992=0))-1,0))</f>
        <v/>
      </c>
      <c r="J992" s="117">
        <f>IF(C992="","",IF(ABS(I992)&gt;AYARLAR!$C$14,"RİSKLİ","NORMAL"))</f>
        <v/>
      </c>
      <c r="K992" s="115">
        <f>IF(G992="","",IFERROR(G992/MOTOR!$B$20,0))</f>
        <v/>
      </c>
      <c r="L992" s="117">
        <f>IF(C992="","",IF(F992="","EKSİK","TAM"))</f>
        <v/>
      </c>
      <c r="M992" s="118" t="n"/>
    </row>
    <row r="993" ht="15" customHeight="1" s="64">
      <c r="A993" s="118" t="n"/>
      <c r="B993" s="118" t="n"/>
      <c r="C993" s="118" t="n"/>
      <c r="D993" s="118" t="n"/>
      <c r="E993" s="118" t="n"/>
      <c r="F993" s="118" t="n"/>
      <c r="G993" s="120">
        <f>IF(C993="","",C993*D993)</f>
        <v/>
      </c>
      <c r="H993" s="120">
        <f>IF(C993="","",C993*E993)</f>
        <v/>
      </c>
      <c r="I993" s="115">
        <f>IF(C993="","",IFERROR(D993/(E993+(E993=0))-1,0))</f>
        <v/>
      </c>
      <c r="J993" s="117">
        <f>IF(C993="","",IF(ABS(I993)&gt;AYARLAR!$C$14,"RİSKLİ","NORMAL"))</f>
        <v/>
      </c>
      <c r="K993" s="115">
        <f>IF(G993="","",IFERROR(G993/MOTOR!$B$20,0))</f>
        <v/>
      </c>
      <c r="L993" s="117">
        <f>IF(C993="","",IF(F993="","EKSİK","TAM"))</f>
        <v/>
      </c>
      <c r="M993" s="118" t="n"/>
    </row>
    <row r="994" ht="15" customHeight="1" s="64">
      <c r="A994" s="118" t="n"/>
      <c r="B994" s="118" t="n"/>
      <c r="C994" s="118" t="n"/>
      <c r="D994" s="118" t="n"/>
      <c r="E994" s="118" t="n"/>
      <c r="F994" s="118" t="n"/>
      <c r="G994" s="120">
        <f>IF(C994="","",C994*D994)</f>
        <v/>
      </c>
      <c r="H994" s="120">
        <f>IF(C994="","",C994*E994)</f>
        <v/>
      </c>
      <c r="I994" s="115">
        <f>IF(C994="","",IFERROR(D994/(E994+(E994=0))-1,0))</f>
        <v/>
      </c>
      <c r="J994" s="117">
        <f>IF(C994="","",IF(ABS(I994)&gt;AYARLAR!$C$14,"RİSKLİ","NORMAL"))</f>
        <v/>
      </c>
      <c r="K994" s="115">
        <f>IF(G994="","",IFERROR(G994/MOTOR!$B$20,0))</f>
        <v/>
      </c>
      <c r="L994" s="117">
        <f>IF(C994="","",IF(F994="","EKSİK","TAM"))</f>
        <v/>
      </c>
      <c r="M994" s="118" t="n"/>
    </row>
    <row r="995" ht="15" customHeight="1" s="64">
      <c r="A995" s="118" t="n"/>
      <c r="B995" s="118" t="n"/>
      <c r="C995" s="118" t="n"/>
      <c r="D995" s="118" t="n"/>
      <c r="E995" s="118" t="n"/>
      <c r="F995" s="118" t="n"/>
      <c r="G995" s="120">
        <f>IF(C995="","",C995*D995)</f>
        <v/>
      </c>
      <c r="H995" s="120">
        <f>IF(C995="","",C995*E995)</f>
        <v/>
      </c>
      <c r="I995" s="115">
        <f>IF(C995="","",IFERROR(D995/(E995+(E995=0))-1,0))</f>
        <v/>
      </c>
      <c r="J995" s="117">
        <f>IF(C995="","",IF(ABS(I995)&gt;AYARLAR!$C$14,"RİSKLİ","NORMAL"))</f>
        <v/>
      </c>
      <c r="K995" s="115">
        <f>IF(G995="","",IFERROR(G995/MOTOR!$B$20,0))</f>
        <v/>
      </c>
      <c r="L995" s="117">
        <f>IF(C995="","",IF(F995="","EKSİK","TAM"))</f>
        <v/>
      </c>
      <c r="M995" s="118" t="n"/>
    </row>
    <row r="996" ht="15" customHeight="1" s="64">
      <c r="A996" s="118" t="n"/>
      <c r="B996" s="118" t="n"/>
      <c r="C996" s="118" t="n"/>
      <c r="D996" s="118" t="n"/>
      <c r="E996" s="118" t="n"/>
      <c r="F996" s="118" t="n"/>
      <c r="G996" s="120">
        <f>IF(C996="","",C996*D996)</f>
        <v/>
      </c>
      <c r="H996" s="120">
        <f>IF(C996="","",C996*E996)</f>
        <v/>
      </c>
      <c r="I996" s="115">
        <f>IF(C996="","",IFERROR(D996/(E996+(E996=0))-1,0))</f>
        <v/>
      </c>
      <c r="J996" s="117">
        <f>IF(C996="","",IF(ABS(I996)&gt;AYARLAR!$C$14,"RİSKLİ","NORMAL"))</f>
        <v/>
      </c>
      <c r="K996" s="115">
        <f>IF(G996="","",IFERROR(G996/MOTOR!$B$20,0))</f>
        <v/>
      </c>
      <c r="L996" s="117">
        <f>IF(C996="","",IF(F996="","EKSİK","TAM"))</f>
        <v/>
      </c>
      <c r="M996" s="118" t="n"/>
    </row>
    <row r="997" ht="15" customHeight="1" s="64">
      <c r="A997" s="118" t="n"/>
      <c r="B997" s="118" t="n"/>
      <c r="C997" s="118" t="n"/>
      <c r="D997" s="118" t="n"/>
      <c r="E997" s="118" t="n"/>
      <c r="F997" s="118" t="n"/>
      <c r="G997" s="120">
        <f>IF(C997="","",C997*D997)</f>
        <v/>
      </c>
      <c r="H997" s="120">
        <f>IF(C997="","",C997*E997)</f>
        <v/>
      </c>
      <c r="I997" s="115">
        <f>IF(C997="","",IFERROR(D997/(E997+(E997=0))-1,0))</f>
        <v/>
      </c>
      <c r="J997" s="117">
        <f>IF(C997="","",IF(ABS(I997)&gt;AYARLAR!$C$14,"RİSKLİ","NORMAL"))</f>
        <v/>
      </c>
      <c r="K997" s="115">
        <f>IF(G997="","",IFERROR(G997/MOTOR!$B$20,0))</f>
        <v/>
      </c>
      <c r="L997" s="117">
        <f>IF(C997="","",IF(F997="","EKSİK","TAM"))</f>
        <v/>
      </c>
      <c r="M997" s="118" t="n"/>
    </row>
    <row r="998" ht="15" customHeight="1" s="64">
      <c r="A998" s="118" t="n"/>
      <c r="B998" s="118" t="n"/>
      <c r="C998" s="118" t="n"/>
      <c r="D998" s="118" t="n"/>
      <c r="E998" s="118" t="n"/>
      <c r="F998" s="118" t="n"/>
      <c r="G998" s="120">
        <f>IF(C998="","",C998*D998)</f>
        <v/>
      </c>
      <c r="H998" s="120">
        <f>IF(C998="","",C998*E998)</f>
        <v/>
      </c>
      <c r="I998" s="115">
        <f>IF(C998="","",IFERROR(D998/(E998+(E998=0))-1,0))</f>
        <v/>
      </c>
      <c r="J998" s="117">
        <f>IF(C998="","",IF(ABS(I998)&gt;AYARLAR!$C$14,"RİSKLİ","NORMAL"))</f>
        <v/>
      </c>
      <c r="K998" s="115">
        <f>IF(G998="","",IFERROR(G998/MOTOR!$B$20,0))</f>
        <v/>
      </c>
      <c r="L998" s="117">
        <f>IF(C998="","",IF(F998="","EKSİK","TAM"))</f>
        <v/>
      </c>
      <c r="M998" s="118" t="n"/>
    </row>
    <row r="999" ht="15" customHeight="1" s="64">
      <c r="A999" s="118" t="n"/>
      <c r="B999" s="118" t="n"/>
      <c r="C999" s="118" t="n"/>
      <c r="D999" s="118" t="n"/>
      <c r="E999" s="118" t="n"/>
      <c r="F999" s="118" t="n"/>
      <c r="G999" s="120">
        <f>IF(C999="","",C999*D999)</f>
        <v/>
      </c>
      <c r="H999" s="120">
        <f>IF(C999="","",C999*E999)</f>
        <v/>
      </c>
      <c r="I999" s="115">
        <f>IF(C999="","",IFERROR(D999/(E999+(E999=0))-1,0))</f>
        <v/>
      </c>
      <c r="J999" s="117">
        <f>IF(C999="","",IF(ABS(I999)&gt;AYARLAR!$C$14,"RİSKLİ","NORMAL"))</f>
        <v/>
      </c>
      <c r="K999" s="115">
        <f>IF(G999="","",IFERROR(G999/MOTOR!$B$20,0))</f>
        <v/>
      </c>
      <c r="L999" s="117">
        <f>IF(C999="","",IF(F999="","EKSİK","TAM"))</f>
        <v/>
      </c>
      <c r="M999" s="118" t="n"/>
    </row>
    <row r="1000" ht="15" customHeight="1" s="64">
      <c r="A1000" s="118" t="n"/>
      <c r="B1000" s="118" t="n"/>
      <c r="C1000" s="118" t="n"/>
      <c r="D1000" s="118" t="n"/>
      <c r="E1000" s="118" t="n"/>
      <c r="F1000" s="118" t="n"/>
      <c r="G1000" s="120">
        <f>IF(C1000="","",C1000*D1000)</f>
        <v/>
      </c>
      <c r="H1000" s="120">
        <f>IF(C1000="","",C1000*E1000)</f>
        <v/>
      </c>
      <c r="I1000" s="115">
        <f>IF(C1000="","",IFERROR(D1000/(E1000+(E1000=0))-1,0))</f>
        <v/>
      </c>
      <c r="J1000" s="117">
        <f>IF(C1000="","",IF(ABS(I1000)&gt;AYARLAR!$C$14,"RİSKLİ","NORMAL"))</f>
        <v/>
      </c>
      <c r="K1000" s="115">
        <f>IF(G1000="","",IFERROR(G1000/MOTOR!$B$20,0))</f>
        <v/>
      </c>
      <c r="L1000" s="117">
        <f>IF(C1000="","",IF(F1000="","EKSİK","TAM"))</f>
        <v/>
      </c>
      <c r="M1000" s="118" t="n"/>
    </row>
    <row r="1001" ht="15" customHeight="1" s="64">
      <c r="A1001" s="118" t="n"/>
      <c r="B1001" s="118" t="n"/>
      <c r="C1001" s="118" t="n"/>
      <c r="D1001" s="118" t="n"/>
      <c r="E1001" s="118" t="n"/>
      <c r="F1001" s="118" t="n"/>
      <c r="G1001" s="120">
        <f>IF(C1001="","",C1001*D1001)</f>
        <v/>
      </c>
      <c r="H1001" s="120">
        <f>IF(C1001="","",C1001*E1001)</f>
        <v/>
      </c>
      <c r="I1001" s="115">
        <f>IF(C1001="","",IFERROR(D1001/(E1001+(E1001=0))-1,0))</f>
        <v/>
      </c>
      <c r="J1001" s="117">
        <f>IF(C1001="","",IF(ABS(I1001)&gt;AYARLAR!$C$14,"RİSKLİ","NORMAL"))</f>
        <v/>
      </c>
      <c r="K1001" s="115">
        <f>IF(G1001="","",IFERROR(G1001/MOTOR!$B$20,0))</f>
        <v/>
      </c>
      <c r="L1001" s="117">
        <f>IF(C1001="","",IF(F1001="","EKSİK","TAM"))</f>
        <v/>
      </c>
      <c r="M1001" s="118" t="n"/>
    </row>
    <row r="1002" ht="15" customHeight="1" s="64">
      <c r="A1002" s="118" t="n"/>
      <c r="B1002" s="118" t="n"/>
      <c r="C1002" s="118" t="n"/>
      <c r="D1002" s="118" t="n"/>
      <c r="E1002" s="118" t="n"/>
      <c r="F1002" s="118" t="n"/>
      <c r="G1002" s="120">
        <f>IF(C1002="","",C1002*D1002)</f>
        <v/>
      </c>
      <c r="H1002" s="120">
        <f>IF(C1002="","",C1002*E1002)</f>
        <v/>
      </c>
      <c r="I1002" s="115">
        <f>IF(C1002="","",IFERROR(D1002/(E1002+(E1002=0))-1,0))</f>
        <v/>
      </c>
      <c r="J1002" s="117">
        <f>IF(C1002="","",IF(ABS(I1002)&gt;AYARLAR!$C$14,"RİSKLİ","NORMAL"))</f>
        <v/>
      </c>
      <c r="K1002" s="115">
        <f>IF(G1002="","",IFERROR(G1002/MOTOR!$B$20,0))</f>
        <v/>
      </c>
      <c r="L1002" s="117">
        <f>IF(C1002="","",IF(F1002="","EKSİK","TAM"))</f>
        <v/>
      </c>
      <c r="M1002" s="118" t="n"/>
    </row>
    <row r="1003" ht="15" customHeight="1" s="64">
      <c r="A1003" s="118" t="n"/>
      <c r="B1003" s="118" t="n"/>
      <c r="C1003" s="118" t="n"/>
      <c r="D1003" s="118" t="n"/>
      <c r="E1003" s="118" t="n"/>
      <c r="F1003" s="118" t="n"/>
      <c r="G1003" s="120">
        <f>IF(C1003="","",C1003*D1003)</f>
        <v/>
      </c>
      <c r="H1003" s="120">
        <f>IF(C1003="","",C1003*E1003)</f>
        <v/>
      </c>
      <c r="I1003" s="115">
        <f>IF(C1003="","",IFERROR(D1003/(E1003+(E1003=0))-1,0))</f>
        <v/>
      </c>
      <c r="J1003" s="117">
        <f>IF(C1003="","",IF(ABS(I1003)&gt;AYARLAR!$C$14,"RİSKLİ","NORMAL"))</f>
        <v/>
      </c>
      <c r="K1003" s="115">
        <f>IF(G1003="","",IFERROR(G1003/MOTOR!$B$20,0))</f>
        <v/>
      </c>
      <c r="L1003" s="117">
        <f>IF(C1003="","",IF(F1003="","EKSİK","TAM"))</f>
        <v/>
      </c>
      <c r="M1003" s="118" t="n"/>
    </row>
    <row r="1004" ht="15" customHeight="1" s="64">
      <c r="A1004" s="118" t="n"/>
      <c r="B1004" s="118" t="n"/>
      <c r="C1004" s="118" t="n"/>
      <c r="D1004" s="118" t="n"/>
      <c r="E1004" s="118" t="n"/>
      <c r="F1004" s="118" t="n"/>
      <c r="G1004" s="120">
        <f>IF(C1004="","",C1004*D1004)</f>
        <v/>
      </c>
      <c r="H1004" s="120">
        <f>IF(C1004="","",C1004*E1004)</f>
        <v/>
      </c>
      <c r="I1004" s="115">
        <f>IF(C1004="","",IFERROR(D1004/(E1004+(E1004=0))-1,0))</f>
        <v/>
      </c>
      <c r="J1004" s="117">
        <f>IF(C1004="","",IF(ABS(I1004)&gt;AYARLAR!$C$14,"RİSKLİ","NORMAL"))</f>
        <v/>
      </c>
      <c r="K1004" s="115">
        <f>IF(G1004="","",IFERROR(G1004/MOTOR!$B$20,0))</f>
        <v/>
      </c>
      <c r="L1004" s="117">
        <f>IF(C1004="","",IF(F1004="","EKSİK","TAM"))</f>
        <v/>
      </c>
      <c r="M1004" s="118" t="n"/>
    </row>
    <row r="1006" ht="19.5" customHeight="1" s="64">
      <c r="A1006" s="101" t="inlineStr">
        <is>
          <t>Tutar, rayiç tutar, sapma, bayrak, ağırlık ve dayanak durumu hesaplanır; yalnızca sarı kolonlara yazın.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11" text="" percent="0" bottom="0">
      <formula>0</formula>
    </cfRule>
  </conditionalFormatting>
  <conditionalFormatting sqref="D6:D1004">
    <cfRule type="cellIs" rank="0" priority="3" equalAverage="0" operator="lessThan" aboveAverage="0" dxfId="11" text="" percent="0" bottom="0">
      <formula>0</formula>
    </cfRule>
  </conditionalFormatting>
  <conditionalFormatting sqref="E6:E1004">
    <cfRule type="cellIs" rank="0" priority="4" equalAverage="0" operator="lessThan" aboveAverage="0" dxfId="11" text="" percent="0" bottom="0">
      <formula>0</formula>
    </cfRule>
  </conditionalFormatting>
  <conditionalFormatting sqref="I6:I1004">
    <cfRule type="expression" rank="0" priority="5" equalAverage="0" aboveAverage="0" dxfId="12" text="" percent="0" bottom="0">
      <formula>$I6&lt;-RayicSapmaEsik</formula>
    </cfRule>
    <cfRule type="expression" rank="0" priority="6" equalAverage="0" aboveAverage="0" dxfId="13" text="" percent="0" bottom="0">
      <formula>$I6&gt;RayicSapmaEsik</formula>
    </cfRule>
  </conditionalFormatting>
  <conditionalFormatting sqref="J6:J1004">
    <cfRule type="cellIs" rank="0" priority="7" equalAverage="0" operator="equal" aboveAverage="0" dxfId="15" text="" percent="0" bottom="0">
      <formula>"RİSKLİ"</formula>
    </cfRule>
    <cfRule type="cellIs" rank="0" priority="8" equalAverage="0" operator="equal" aboveAverage="0" dxfId="16" text="" percent="0" bottom="0">
      <formula>"NORMAL"</formula>
    </cfRule>
  </conditionalFormatting>
  <conditionalFormatting sqref="L6:L1004">
    <cfRule type="cellIs" rank="0" priority="9" equalAverage="0" operator="equal" aboveAverage="0" dxfId="17" text="" percent="0" bottom="0">
      <formula>"EKSİK"</formula>
    </cfRule>
    <cfRule type="cellIs" rank="0" priority="10" equalAverage="0" operator="equal" aboveAverage="0" dxfId="16" text="" percent="0" bottom="0">
      <formula>"TAM"</formula>
    </cfRule>
  </conditionalFormatting>
  <conditionalFormatting sqref="G6:G1004">
    <cfRule type="dataBar" priority="11">
      <dataBar minLength="10" maxLength="90" showValue="1">
        <cfvo type="min" val="0"/>
        <cfvo type="max" val="0"/>
        <color rgb="FFB08948"/>
      </dataBar>
    </cfRule>
  </conditionalFormatting>
  <conditionalFormatting sqref="K6:K1004">
    <cfRule type="dataBar" priority="12">
      <dataBar minLength="10" maxLength="90" showValue="1">
        <cfvo type="num" val="0"/>
        <cfvo type="num" val="1"/>
        <color rgb="FF638EC6"/>
      </dataBar>
    </cfRule>
  </conditionalFormatting>
  <dataValidations count="6">
    <dataValidation sqref="C6:C1004" showDropDown="0" showInputMessage="1" showErrorMessage="1" allowBlank="1" errorTitle="Hatalı giriş" error="Miktar negatif olamaz." promptTitle="Miktar" prompt="Kalem miktarını girin. Negatif olamaz." type="whole" errorStyle="stop" operator="greaterThanOrEqual">
      <formula1>0</formula1>
      <formula2>0</formula2>
    </dataValidation>
    <dataValidation sqref="D6:D1004" showDropDown="0" showInputMessage="1" showErrorMessage="1" allowBlank="1" errorTitle="Hatalı giriş" error="Birim fiyat negatif olamaz." promptTitle="Birim Fiyat" prompt="Kalemin birim fiyatını TL olarak girin." type="whole" errorStyle="stop" operator="greaterThanOrEqual">
      <formula1>0</formula1>
      <formula2>0</formula2>
    </dataValidation>
    <dataValidation sqref="E6:E1004" showDropDown="0" showInputMessage="1" showErrorMessage="1" allowBlank="1" errorTitle="Hatalı giriş" error="Rayiç birim fiyat negatif olamaz." promptTitle="Rayiç Birim Fiyat" prompt="Piyasa rayiç birim fiyatını TL olarak girin. Açıklamada kullanacağınız rayiçtir." type="whole" errorStyle="stop" operator="greaterThanOrEqual">
      <formula1>0</formula1>
      <formula2>0</formula2>
    </dataValidation>
    <dataValidation sqref="B6:B1004" showDropDown="0" showInputMessage="1" showErrorMessage="1" allowBlank="1" errorTitle="Hatalı giriş" error="Birim listeden seçilmelidir." promptTitle="Birim" prompt="Kalem birimini listeden seçin." type="list" errorStyle="stop" operator="between">
      <formula1>ListeBirim</formula1>
      <formula2>0</formula2>
    </dataValidation>
    <dataValidation sqref="F6:F1004" showDropDown="0" showInputMessage="1" showErrorMessage="1" allowBlank="1" errorTitle="Hatalı giriş" error="Dayanak türü listeden seçilmelidir." promptTitle="Dayanak Türü" prompt="Bu kalemin rayicini dayandırdığınız kaynağı seçin." type="list" errorStyle="stop" operator="between">
      <formula1>ListeDayanak</formula1>
      <formula2>0</formula2>
    </dataValidation>
    <dataValidation sqref="A6:A1004" showDropDown="0" showInputMessage="1" showErrorMessage="1" allowBlank="1" errorTitle="Hatalı giriş" error="Kalem adı metin olmalıdır." promptTitle="Kalem Adı" prompt="İş kalemi adını yazın." type="textLength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90" min="1" max="1"/>
    <col width="16" customWidth="1" style="90" min="2" max="2"/>
    <col width="24" customWidth="1" style="90" min="3" max="3"/>
    <col width="16" customWidth="1" style="90" min="4" max="4"/>
    <col width="14" customWidth="1" style="90" min="5" max="6"/>
    <col width="22" customWidth="1" style="90" min="7" max="7"/>
  </cols>
  <sheetData>
    <row r="1" ht="25.5" customHeight="1" s="64">
      <c r="A1" s="102" t="inlineStr">
        <is>
          <t>FIYAT FARKI ENDEX — AŞIRI DÜŞÜK TEKLİF SAVUNMA ROBOTU</t>
        </is>
      </c>
    </row>
    <row r="3" ht="15" customHeight="1" s="64">
      <c r="A3" s="103" t="inlineStr">
        <is>
          <t>Fiyat Farkı Endeksi ve Projeksiyonu</t>
        </is>
      </c>
    </row>
    <row r="4" ht="54.75" customHeight="1" s="64">
      <c r="A4" s="104" t="inlineStr">
        <is>
          <t>İdari şartnamede fiyat farkı maddesi varsa, sözleşmedeki endeks türüne ait dönem değerlerini girin. Hareketli ortalama ve tahmin aralığı otomatik üretilir.</t>
        </is>
      </c>
    </row>
    <row r="5" ht="30" customHeight="1" s="64">
      <c r="A5" s="111" t="inlineStr">
        <is>
          <t>Dönem</t>
        </is>
      </c>
      <c r="B5" s="111" t="inlineStr">
        <is>
          <t>Endeks Değeri</t>
        </is>
      </c>
      <c r="C5" s="111" t="inlineStr">
        <is>
          <t>3 Dönem Hareketli Ortalama</t>
        </is>
      </c>
      <c r="D5" s="111" t="inlineStr">
        <is>
          <t>Not</t>
        </is>
      </c>
      <c r="E5" t="n"/>
      <c r="F5" t="n"/>
    </row>
    <row r="6" ht="15" customHeight="1" s="64">
      <c r="A6" s="113" t="inlineStr">
        <is>
          <t>2025/09</t>
        </is>
      </c>
      <c r="B6" s="119" t="n">
        <v>1900</v>
      </c>
      <c r="C6" s="112">
        <f>IF(B6="",0,IFERROR(AVERAGE(B4,B5,B6),0))</f>
        <v/>
      </c>
      <c r="D6" s="113" t="inlineStr">
        <is>
          <t>Örnek dönem</t>
        </is>
      </c>
    </row>
    <row r="7" ht="15" customHeight="1" s="64">
      <c r="A7" s="113" t="inlineStr">
        <is>
          <t>2025/10</t>
        </is>
      </c>
      <c r="B7" s="119" t="n">
        <v>1950</v>
      </c>
      <c r="C7" s="112">
        <f>IF(B7="",0,IFERROR(AVERAGE(B5,B6,B7),0))</f>
        <v/>
      </c>
      <c r="D7" s="113" t="inlineStr">
        <is>
          <t>Örnek dönem</t>
        </is>
      </c>
    </row>
    <row r="8" ht="15" customHeight="1" s="64">
      <c r="A8" s="113" t="inlineStr">
        <is>
          <t>2025/11</t>
        </is>
      </c>
      <c r="B8" s="119" t="n">
        <v>1980</v>
      </c>
      <c r="C8" s="112">
        <f>IF(B8="",0,IFERROR(AVERAGE(B6,B7,B8),0))</f>
        <v/>
      </c>
      <c r="D8" s="113" t="inlineStr">
        <is>
          <t>Örnek dönem</t>
        </is>
      </c>
    </row>
    <row r="9" ht="15" customHeight="1" s="64">
      <c r="A9" s="113" t="inlineStr">
        <is>
          <t>2025/12</t>
        </is>
      </c>
      <c r="B9" s="119" t="n">
        <v>2010</v>
      </c>
      <c r="C9" s="112">
        <f>IF(B9="",0,IFERROR(AVERAGE(B7,B8,B9),0))</f>
        <v/>
      </c>
      <c r="D9" s="113" t="inlineStr">
        <is>
          <t>Örnek dönem</t>
        </is>
      </c>
    </row>
    <row r="10" ht="15" customHeight="1" s="64">
      <c r="A10" s="113" t="inlineStr">
        <is>
          <t>2026/01</t>
        </is>
      </c>
      <c r="B10" s="119" t="n">
        <v>2050</v>
      </c>
      <c r="C10" s="112">
        <f>IF(B10="",0,IFERROR(AVERAGE(B8,B9,B10),0))</f>
        <v/>
      </c>
      <c r="D10" s="113" t="inlineStr">
        <is>
          <t>Örnek dönem</t>
        </is>
      </c>
    </row>
    <row r="11" ht="15" customHeight="1" s="64">
      <c r="A11" s="113" t="inlineStr">
        <is>
          <t>2026/02</t>
        </is>
      </c>
      <c r="B11" s="119" t="n">
        <v>2090</v>
      </c>
      <c r="C11" s="112">
        <f>IF(B11="",0,IFERROR(AVERAGE(B9,B10,B11),0))</f>
        <v/>
      </c>
      <c r="D11" s="113" t="inlineStr">
        <is>
          <t>Örnek dönem</t>
        </is>
      </c>
    </row>
    <row r="12" ht="15" customHeight="1" s="64">
      <c r="A12" s="113" t="inlineStr">
        <is>
          <t>2026/03</t>
        </is>
      </c>
      <c r="B12" s="119" t="n">
        <v>2120</v>
      </c>
      <c r="C12" s="112">
        <f>IF(B12="",0,IFERROR(AVERAGE(B10,B11,B12),0))</f>
        <v/>
      </c>
      <c r="D12" s="113" t="inlineStr">
        <is>
          <t>Örnek dönem</t>
        </is>
      </c>
    </row>
    <row r="13" ht="15" customHeight="1" s="64">
      <c r="A13" s="113" t="inlineStr">
        <is>
          <t>2026/04</t>
        </is>
      </c>
      <c r="B13" s="119" t="n">
        <v>2160</v>
      </c>
      <c r="C13" s="112">
        <f>IF(B13="",0,IFERROR(AVERAGE(B11,B12,B13),0))</f>
        <v/>
      </c>
      <c r="D13" s="113" t="inlineStr">
        <is>
          <t>Örnek dönem</t>
        </is>
      </c>
    </row>
    <row r="14" ht="15" customHeight="1" s="64">
      <c r="A14" s="113" t="inlineStr">
        <is>
          <t>2026/05</t>
        </is>
      </c>
      <c r="B14" s="119" t="n">
        <v>2190</v>
      </c>
      <c r="C14" s="112">
        <f>IF(B14="",0,IFERROR(AVERAGE(B12,B13,B14),0))</f>
        <v/>
      </c>
      <c r="D14" s="113" t="inlineStr">
        <is>
          <t>Örnek dönem</t>
        </is>
      </c>
    </row>
    <row r="15" ht="15" customHeight="1" s="64">
      <c r="A15" s="113" t="inlineStr">
        <is>
          <t>2026/06</t>
        </is>
      </c>
      <c r="B15" s="119" t="n">
        <v>2215</v>
      </c>
      <c r="C15" s="112">
        <f>IF(B15="",0,IFERROR(AVERAGE(B13,B14,B15),0))</f>
        <v/>
      </c>
      <c r="D15" s="113" t="inlineStr">
        <is>
          <t>Örnek dönem</t>
        </is>
      </c>
    </row>
    <row r="16" ht="15" customHeight="1" s="64">
      <c r="A16" s="113" t="inlineStr">
        <is>
          <t>2026/07</t>
        </is>
      </c>
      <c r="B16" s="119" t="n">
        <v>2240</v>
      </c>
      <c r="C16" s="112">
        <f>IF(B16="",0,IFERROR(AVERAGE(B14,B15,B16),0))</f>
        <v/>
      </c>
      <c r="D16" s="113" t="inlineStr">
        <is>
          <t>Örnek dönem</t>
        </is>
      </c>
    </row>
    <row r="17" ht="15" customHeight="1" s="64">
      <c r="A17" s="113" t="inlineStr">
        <is>
          <t>2026/08</t>
        </is>
      </c>
      <c r="B17" s="119" t="n">
        <v>2270</v>
      </c>
      <c r="C17" s="112">
        <f>IF(B17="",0,IFERROR(AVERAGE(B15,B16,B17),0))</f>
        <v/>
      </c>
      <c r="D17" s="113" t="inlineStr">
        <is>
          <t>Örnek dönem</t>
        </is>
      </c>
    </row>
    <row r="18" ht="15" customHeight="1" s="64">
      <c r="A18" s="113" t="inlineStr">
        <is>
          <t>2026/09</t>
        </is>
      </c>
      <c r="B18" s="119" t="n">
        <v>2295</v>
      </c>
      <c r="C18" s="112">
        <f>IF(B18="",0,IFERROR(AVERAGE(B16,B17,B18),0))</f>
        <v/>
      </c>
      <c r="D18" s="113" t="inlineStr">
        <is>
          <t>Örnek dönem</t>
        </is>
      </c>
    </row>
    <row r="19" ht="15" customHeight="1" s="64">
      <c r="A19" s="113" t="inlineStr">
        <is>
          <t>2026/10</t>
        </is>
      </c>
      <c r="B19" s="119" t="n">
        <v>2320</v>
      </c>
      <c r="C19" s="112">
        <f>IF(B19="",0,IFERROR(AVERAGE(B17,B18,B19),0))</f>
        <v/>
      </c>
      <c r="D19" s="113" t="inlineStr">
        <is>
          <t>Örnek dönem</t>
        </is>
      </c>
    </row>
    <row r="20" ht="15" customHeight="1" s="64">
      <c r="A20" s="113" t="inlineStr">
        <is>
          <t>2026/11</t>
        </is>
      </c>
      <c r="B20" s="119" t="n">
        <v>2345</v>
      </c>
      <c r="C20" s="112">
        <f>IF(B20="",0,IFERROR(AVERAGE(B18,B19,B20),0))</f>
        <v/>
      </c>
      <c r="D20" s="113" t="inlineStr">
        <is>
          <t>Örnek dönem</t>
        </is>
      </c>
    </row>
    <row r="21" ht="15" customHeight="1" s="64">
      <c r="A21" s="113" t="inlineStr">
        <is>
          <t>2026/12</t>
        </is>
      </c>
      <c r="B21" s="119" t="n">
        <v>2370</v>
      </c>
      <c r="C21" s="112">
        <f>IF(B21="",0,IFERROR(AVERAGE(B19,B20,B21),0))</f>
        <v/>
      </c>
      <c r="D21" s="113" t="inlineStr">
        <is>
          <t>Örnek dönem</t>
        </is>
      </c>
    </row>
    <row r="22" ht="15" customHeight="1" s="64">
      <c r="A22" s="118" t="n"/>
      <c r="B22" s="118" t="n"/>
      <c r="C22" s="112">
        <f>IF(B22="",0,IFERROR(AVERAGE(B20,B21,B22),0))</f>
        <v/>
      </c>
      <c r="D22" s="118" t="n"/>
    </row>
    <row r="23" ht="15" customHeight="1" s="64">
      <c r="A23" s="118" t="n"/>
      <c r="B23" s="118" t="n"/>
      <c r="C23" s="112">
        <f>IF(B23="",0,IFERROR(AVERAGE(B21,B22,B23),0))</f>
        <v/>
      </c>
      <c r="D23" s="118" t="n"/>
    </row>
    <row r="24" ht="15" customHeight="1" s="64">
      <c r="A24" s="118" t="n"/>
      <c r="B24" s="118" t="n"/>
      <c r="C24" s="112">
        <f>IF(B24="",0,IFERROR(AVERAGE(B22,B23,B24),0))</f>
        <v/>
      </c>
      <c r="D24" s="118" t="n"/>
    </row>
    <row r="25" ht="15" customHeight="1" s="64">
      <c r="A25" s="118" t="n"/>
      <c r="B25" s="118" t="n"/>
      <c r="C25" s="112">
        <f>IF(B25="",0,IFERROR(AVERAGE(B23,B24,B25),0))</f>
        <v/>
      </c>
      <c r="D25" s="118" t="n"/>
    </row>
    <row r="26" ht="15" customHeight="1" s="64">
      <c r="A26" s="118" t="n"/>
      <c r="B26" s="118" t="n"/>
      <c r="C26" s="112">
        <f>IF(B26="",0,IFERROR(AVERAGE(B24,B25,B26),0))</f>
        <v/>
      </c>
      <c r="D26" s="118" t="n"/>
    </row>
    <row r="27" ht="15" customHeight="1" s="64">
      <c r="A27" s="118" t="n"/>
      <c r="B27" s="118" t="n"/>
      <c r="C27" s="112">
        <f>IF(B27="",0,IFERROR(AVERAGE(B25,B26,B27),0))</f>
        <v/>
      </c>
      <c r="D27" s="118" t="n"/>
    </row>
    <row r="28" ht="15" customHeight="1" s="64">
      <c r="A28" s="118" t="n"/>
      <c r="B28" s="118" t="n"/>
      <c r="C28" s="112">
        <f>IF(B28="",0,IFERROR(AVERAGE(B26,B27,B28),0))</f>
        <v/>
      </c>
      <c r="D28" s="118" t="n"/>
    </row>
    <row r="29" ht="15" customHeight="1" s="64">
      <c r="A29" s="118" t="n"/>
      <c r="B29" s="118" t="n"/>
      <c r="C29" s="112">
        <f>IF(B29="",0,IFERROR(AVERAGE(B27,B28,B29),0))</f>
        <v/>
      </c>
      <c r="D29" s="118" t="n"/>
    </row>
    <row r="30" ht="15" customHeight="1" s="64">
      <c r="A30" s="118" t="n"/>
      <c r="B30" s="118" t="n"/>
      <c r="C30" s="112">
        <f>IF(B30="",0,IFERROR(AVERAGE(B28,B29,B30),0))</f>
        <v/>
      </c>
      <c r="D30" s="118" t="n"/>
    </row>
    <row r="31" ht="15" customHeight="1" s="64">
      <c r="A31" s="118" t="n"/>
      <c r="B31" s="118" t="n"/>
      <c r="C31" s="112">
        <f>IF(B31="",0,IFERROR(AVERAGE(B29,B30,B31),0))</f>
        <v/>
      </c>
      <c r="D31" s="118" t="n"/>
    </row>
    <row r="32" ht="15" customHeight="1" s="64">
      <c r="A32" s="118" t="n"/>
      <c r="B32" s="118" t="n"/>
      <c r="C32" s="112">
        <f>IF(B32="",0,IFERROR(AVERAGE(B30,B31,B32),0))</f>
        <v/>
      </c>
      <c r="D32" s="118" t="n"/>
    </row>
    <row r="33" ht="15" customHeight="1" s="64">
      <c r="A33" s="118" t="n"/>
      <c r="B33" s="118" t="n"/>
      <c r="C33" s="112">
        <f>IF(B33="",0,IFERROR(AVERAGE(B31,B32,B33),0))</f>
        <v/>
      </c>
      <c r="D33" s="118" t="n"/>
    </row>
    <row r="34" ht="15" customHeight="1" s="64">
      <c r="A34" s="118" t="n"/>
      <c r="B34" s="118" t="n"/>
      <c r="C34" s="112">
        <f>IF(B34="",0,IFERROR(AVERAGE(B32,B33,B34),0))</f>
        <v/>
      </c>
      <c r="D34" s="118" t="n"/>
    </row>
    <row r="35" ht="15" customHeight="1" s="64">
      <c r="A35" s="118" t="n"/>
      <c r="B35" s="118" t="n"/>
      <c r="C35" s="112">
        <f>IF(B35="",0,IFERROR(AVERAGE(B33,B34,B35),0))</f>
        <v/>
      </c>
      <c r="D35" s="118" t="n"/>
    </row>
    <row r="36" ht="15" customHeight="1" s="64">
      <c r="A36" s="118" t="n"/>
      <c r="B36" s="118" t="n"/>
      <c r="C36" s="112">
        <f>IF(B36="",0,IFERROR(AVERAGE(B34,B35,B36),0))</f>
        <v/>
      </c>
      <c r="D36" s="118" t="n"/>
    </row>
    <row r="37" ht="15" customHeight="1" s="64">
      <c r="A37" s="118" t="n"/>
      <c r="B37" s="118" t="n"/>
      <c r="C37" s="112">
        <f>IF(B37="",0,IFERROR(AVERAGE(B35,B36,B37),0))</f>
        <v/>
      </c>
      <c r="D37" s="118" t="n"/>
    </row>
    <row r="38" ht="15" customHeight="1" s="64">
      <c r="A38" s="118" t="n"/>
      <c r="B38" s="118" t="n"/>
      <c r="C38" s="112">
        <f>IF(B38="",0,IFERROR(AVERAGE(B36,B37,B38),0))</f>
        <v/>
      </c>
      <c r="D38" s="118" t="n"/>
    </row>
    <row r="39" ht="15" customHeight="1" s="64">
      <c r="A39" s="118" t="n"/>
      <c r="B39" s="118" t="n"/>
      <c r="C39" s="112">
        <f>IF(B39="",0,IFERROR(AVERAGE(B37,B38,B39),0))</f>
        <v/>
      </c>
      <c r="D39" s="118" t="n"/>
    </row>
    <row r="40" ht="15" customHeight="1" s="64">
      <c r="A40" s="118" t="n"/>
      <c r="B40" s="118" t="n"/>
      <c r="C40" s="112">
        <f>IF(B40="",0,IFERROR(AVERAGE(B38,B39,B40),0))</f>
        <v/>
      </c>
      <c r="D40" s="118" t="n"/>
    </row>
    <row r="41" ht="15" customHeight="1" s="64">
      <c r="A41" s="118" t="n"/>
      <c r="B41" s="118" t="n"/>
      <c r="C41" s="112">
        <f>IF(B41="",0,IFERROR(AVERAGE(B39,B40,B41),0))</f>
        <v/>
      </c>
      <c r="D41" s="118" t="n"/>
    </row>
    <row r="42" ht="15" customHeight="1" s="64">
      <c r="A42" s="118" t="n"/>
      <c r="B42" s="118" t="n"/>
      <c r="C42" s="112">
        <f>IF(B42="",0,IFERROR(AVERAGE(B40,B41,B42),0))</f>
        <v/>
      </c>
      <c r="D42" s="118" t="n"/>
    </row>
    <row r="43" ht="15" customHeight="1" s="64">
      <c r="A43" s="118" t="n"/>
      <c r="B43" s="118" t="n"/>
      <c r="C43" s="112">
        <f>IF(B43="",0,IFERROR(AVERAGE(B41,B42,B43),0))</f>
        <v/>
      </c>
      <c r="D43" s="118" t="n"/>
    </row>
    <row r="44" ht="15" customHeight="1" s="64">
      <c r="A44" s="118" t="n"/>
      <c r="B44" s="118" t="n"/>
      <c r="C44" s="112">
        <f>IF(B44="",0,IFERROR(AVERAGE(B42,B43,B44),0))</f>
        <v/>
      </c>
      <c r="D44" s="118" t="n"/>
    </row>
    <row r="45" ht="15" customHeight="1" s="64">
      <c r="A45" s="118" t="n"/>
      <c r="B45" s="118" t="n"/>
      <c r="C45" s="112">
        <f>IF(B45="",0,IFERROR(AVERAGE(B43,B44,B45),0))</f>
        <v/>
      </c>
      <c r="D45" s="118" t="n"/>
    </row>
    <row r="46" ht="15" customHeight="1" s="64">
      <c r="A46" s="118" t="n"/>
      <c r="B46" s="118" t="n"/>
      <c r="C46" s="112">
        <f>IF(B46="",0,IFERROR(AVERAGE(B44,B45,B46),0))</f>
        <v/>
      </c>
      <c r="D46" s="118" t="n"/>
    </row>
    <row r="47" ht="15" customHeight="1" s="64">
      <c r="A47" s="118" t="n"/>
      <c r="B47" s="118" t="n"/>
      <c r="C47" s="112">
        <f>IF(B47="",0,IFERROR(AVERAGE(B45,B46,B47),0))</f>
        <v/>
      </c>
      <c r="D47" s="118" t="n"/>
    </row>
    <row r="48" ht="15" customHeight="1" s="64">
      <c r="A48" s="118" t="n"/>
      <c r="B48" s="118" t="n"/>
      <c r="C48" s="112">
        <f>IF(B48="",0,IFERROR(AVERAGE(B46,B47,B48),0))</f>
        <v/>
      </c>
      <c r="D48" s="118" t="n"/>
    </row>
    <row r="49" ht="15" customHeight="1" s="64">
      <c r="A49" s="118" t="n"/>
      <c r="B49" s="118" t="n"/>
      <c r="C49" s="112">
        <f>IF(B49="",0,IFERROR(AVERAGE(B47,B48,B49),0))</f>
        <v/>
      </c>
      <c r="D49" s="118" t="n"/>
    </row>
    <row r="50" ht="15" customHeight="1" s="64">
      <c r="A50" s="118" t="n"/>
      <c r="B50" s="118" t="n"/>
      <c r="C50" s="112">
        <f>IF(B50="",0,IFERROR(AVERAGE(B48,B49,B50),0))</f>
        <v/>
      </c>
      <c r="D50" s="118" t="n"/>
    </row>
    <row r="51" ht="15" customHeight="1" s="64">
      <c r="A51" s="118" t="n"/>
      <c r="B51" s="118" t="n"/>
      <c r="C51" s="112">
        <f>IF(B51="",0,IFERROR(AVERAGE(B49,B50,B51),0))</f>
        <v/>
      </c>
      <c r="D51" s="118" t="n"/>
    </row>
    <row r="52" ht="15" customHeight="1" s="64">
      <c r="A52" s="118" t="n"/>
      <c r="B52" s="118" t="n"/>
      <c r="C52" s="112">
        <f>IF(B52="",0,IFERROR(AVERAGE(B50,B51,B52),0))</f>
        <v/>
      </c>
      <c r="D52" s="118" t="n"/>
    </row>
    <row r="53" ht="15" customHeight="1" s="64">
      <c r="A53" s="118" t="n"/>
      <c r="B53" s="118" t="n"/>
      <c r="C53" s="112">
        <f>IF(B53="",0,IFERROR(AVERAGE(B51,B52,B53),0))</f>
        <v/>
      </c>
      <c r="D53" s="118" t="n"/>
    </row>
    <row r="54" ht="15" customHeight="1" s="64">
      <c r="A54" s="118" t="n"/>
      <c r="B54" s="118" t="n"/>
      <c r="C54" s="112">
        <f>IF(B54="",0,IFERROR(AVERAGE(B52,B53,B54),0))</f>
        <v/>
      </c>
      <c r="D54" s="118" t="n"/>
    </row>
    <row r="55" ht="15" customHeight="1" s="64">
      <c r="A55" s="118" t="n"/>
      <c r="B55" s="118" t="n"/>
      <c r="C55" s="112">
        <f>IF(B55="",0,IFERROR(AVERAGE(B53,B54,B55),0))</f>
        <v/>
      </c>
      <c r="D55" s="118" t="n"/>
    </row>
    <row r="56" ht="15" customHeight="1" s="64">
      <c r="A56" s="118" t="n"/>
      <c r="B56" s="118" t="n"/>
      <c r="C56" s="112">
        <f>IF(B56="",0,IFERROR(AVERAGE(B54,B55,B56),0))</f>
        <v/>
      </c>
      <c r="D56" s="118" t="n"/>
    </row>
    <row r="57" ht="15" customHeight="1" s="64">
      <c r="A57" s="118" t="n"/>
      <c r="B57" s="118" t="n"/>
      <c r="C57" s="112">
        <f>IF(B57="",0,IFERROR(AVERAGE(B55,B56,B57),0))</f>
        <v/>
      </c>
      <c r="D57" s="118" t="n"/>
    </row>
    <row r="58" ht="15" customHeight="1" s="64">
      <c r="A58" s="118" t="n"/>
      <c r="B58" s="118" t="n"/>
      <c r="C58" s="112">
        <f>IF(B58="",0,IFERROR(AVERAGE(B56,B57,B58),0))</f>
        <v/>
      </c>
      <c r="D58" s="118" t="n"/>
    </row>
    <row r="59" ht="15" customHeight="1" s="64">
      <c r="A59" s="118" t="n"/>
      <c r="B59" s="118" t="n"/>
      <c r="C59" s="112">
        <f>IF(B59="",0,IFERROR(AVERAGE(B57,B58,B59),0))</f>
        <v/>
      </c>
      <c r="D59" s="118" t="n"/>
    </row>
    <row r="60" ht="15" customHeight="1" s="64">
      <c r="A60" s="118" t="n"/>
      <c r="B60" s="118" t="n"/>
      <c r="C60" s="112">
        <f>IF(B60="",0,IFERROR(AVERAGE(B58,B59,B60),0))</f>
        <v/>
      </c>
      <c r="D60" s="118" t="n"/>
    </row>
    <row r="61" ht="15" customHeight="1" s="64">
      <c r="A61" s="118" t="n"/>
      <c r="B61" s="118" t="n"/>
      <c r="C61" s="112">
        <f>IF(B61="",0,IFERROR(AVERAGE(B59,B60,B61),0))</f>
        <v/>
      </c>
      <c r="D61" s="118" t="n"/>
    </row>
    <row r="62" ht="15" customHeight="1" s="64">
      <c r="A62" s="118" t="n"/>
      <c r="B62" s="118" t="n"/>
      <c r="C62" s="112">
        <f>IF(B62="",0,IFERROR(AVERAGE(B60,B61,B62),0))</f>
        <v/>
      </c>
      <c r="D62" s="118" t="n"/>
    </row>
    <row r="63" ht="15" customHeight="1" s="64">
      <c r="A63" s="118" t="n"/>
      <c r="B63" s="118" t="n"/>
      <c r="C63" s="112">
        <f>IF(B63="",0,IFERROR(AVERAGE(B61,B62,B63),0))</f>
        <v/>
      </c>
      <c r="D63" s="118" t="n"/>
    </row>
    <row r="64" ht="15" customHeight="1" s="64">
      <c r="A64" s="118" t="n"/>
      <c r="B64" s="118" t="n"/>
      <c r="C64" s="112">
        <f>IF(B64="",0,IFERROR(AVERAGE(B62,B63,B64),0))</f>
        <v/>
      </c>
      <c r="D64" s="118" t="n"/>
    </row>
    <row r="65" ht="15" customHeight="1" s="64">
      <c r="A65" s="118" t="n"/>
      <c r="B65" s="118" t="n"/>
      <c r="C65" s="112">
        <f>IF(B65="",0,IFERROR(AVERAGE(B63,B64,B65),0))</f>
        <v/>
      </c>
      <c r="D65" s="118" t="n"/>
    </row>
    <row r="66" ht="15" customHeight="1" s="64">
      <c r="A66" s="118" t="n"/>
      <c r="B66" s="118" t="n"/>
      <c r="C66" s="112">
        <f>IF(B66="",0,IFERROR(AVERAGE(B64,B65,B66),0))</f>
        <v/>
      </c>
      <c r="D66" s="118" t="n"/>
    </row>
    <row r="67" ht="15" customHeight="1" s="64">
      <c r="A67" s="118" t="n"/>
      <c r="B67" s="118" t="n"/>
      <c r="C67" s="112">
        <f>IF(B67="",0,IFERROR(AVERAGE(B65,B66,B67),0))</f>
        <v/>
      </c>
      <c r="D67" s="118" t="n"/>
    </row>
    <row r="68" ht="15" customHeight="1" s="64">
      <c r="A68" s="118" t="n"/>
      <c r="B68" s="118" t="n"/>
      <c r="C68" s="112">
        <f>IF(B68="",0,IFERROR(AVERAGE(B66,B67,B68),0))</f>
        <v/>
      </c>
      <c r="D68" s="118" t="n"/>
    </row>
    <row r="69" ht="15" customHeight="1" s="64">
      <c r="A69" s="118" t="n"/>
      <c r="B69" s="118" t="n"/>
      <c r="C69" s="112">
        <f>IF(B69="",0,IFERROR(AVERAGE(B67,B68,B69),0))</f>
        <v/>
      </c>
      <c r="D69" s="118" t="n"/>
    </row>
    <row r="70" ht="15" customHeight="1" s="64">
      <c r="A70" s="118" t="n"/>
      <c r="B70" s="118" t="n"/>
      <c r="C70" s="112">
        <f>IF(B70="",0,IFERROR(AVERAGE(B68,B69,B70),0))</f>
        <v/>
      </c>
      <c r="D70" s="118" t="n"/>
    </row>
    <row r="71" ht="15" customHeight="1" s="64">
      <c r="A71" s="118" t="n"/>
      <c r="B71" s="118" t="n"/>
      <c r="C71" s="112">
        <f>IF(B71="",0,IFERROR(AVERAGE(B69,B70,B71),0))</f>
        <v/>
      </c>
      <c r="D71" s="118" t="n"/>
    </row>
    <row r="72" ht="15" customHeight="1" s="64">
      <c r="A72" s="118" t="n"/>
      <c r="B72" s="118" t="n"/>
      <c r="C72" s="112">
        <f>IF(B72="",0,IFERROR(AVERAGE(B70,B71,B72),0))</f>
        <v/>
      </c>
      <c r="D72" s="118" t="n"/>
    </row>
    <row r="73" ht="15" customHeight="1" s="64">
      <c r="A73" s="118" t="n"/>
      <c r="B73" s="118" t="n"/>
      <c r="C73" s="112">
        <f>IF(B73="",0,IFERROR(AVERAGE(B71,B72,B73),0))</f>
        <v/>
      </c>
      <c r="D73" s="118" t="n"/>
    </row>
    <row r="74" ht="15" customHeight="1" s="64">
      <c r="A74" s="118" t="n"/>
      <c r="B74" s="118" t="n"/>
      <c r="C74" s="112">
        <f>IF(B74="",0,IFERROR(AVERAGE(B72,B73,B74),0))</f>
        <v/>
      </c>
      <c r="D74" s="118" t="n"/>
    </row>
    <row r="75" ht="15" customHeight="1" s="64">
      <c r="A75" s="118" t="n"/>
      <c r="B75" s="118" t="n"/>
      <c r="C75" s="112">
        <f>IF(B75="",0,IFERROR(AVERAGE(B73,B74,B75),0))</f>
        <v/>
      </c>
      <c r="D75" s="118" t="n"/>
    </row>
    <row r="76" ht="15" customHeight="1" s="64">
      <c r="A76" s="118" t="n"/>
      <c r="B76" s="118" t="n"/>
      <c r="C76" s="112">
        <f>IF(B76="",0,IFERROR(AVERAGE(B74,B75,B76),0))</f>
        <v/>
      </c>
      <c r="D76" s="118" t="n"/>
    </row>
    <row r="77" ht="15" customHeight="1" s="64">
      <c r="A77" s="118" t="n"/>
      <c r="B77" s="118" t="n"/>
      <c r="C77" s="112">
        <f>IF(B77="",0,IFERROR(AVERAGE(B75,B76,B77),0))</f>
        <v/>
      </c>
      <c r="D77" s="118" t="n"/>
    </row>
    <row r="78" ht="15" customHeight="1" s="64">
      <c r="A78" s="118" t="n"/>
      <c r="B78" s="118" t="n"/>
      <c r="C78" s="112">
        <f>IF(B78="",0,IFERROR(AVERAGE(B76,B77,B78),0))</f>
        <v/>
      </c>
      <c r="D78" s="118" t="n"/>
    </row>
    <row r="79" ht="15" customHeight="1" s="64">
      <c r="A79" s="118" t="n"/>
      <c r="B79" s="118" t="n"/>
      <c r="C79" s="112">
        <f>IF(B79="",0,IFERROR(AVERAGE(B77,B78,B79),0))</f>
        <v/>
      </c>
      <c r="D79" s="118" t="n"/>
    </row>
    <row r="80" ht="15" customHeight="1" s="64">
      <c r="A80" s="118" t="n"/>
      <c r="B80" s="118" t="n"/>
      <c r="C80" s="112">
        <f>IF(B80="",0,IFERROR(AVERAGE(B78,B79,B80),0))</f>
        <v/>
      </c>
      <c r="D80" s="118" t="n"/>
    </row>
    <row r="81" ht="15" customHeight="1" s="64">
      <c r="A81" s="118" t="n"/>
      <c r="B81" s="118" t="n"/>
      <c r="C81" s="112">
        <f>IF(B81="",0,IFERROR(AVERAGE(B79,B80,B81),0))</f>
        <v/>
      </c>
      <c r="D81" s="118" t="n"/>
    </row>
    <row r="82" ht="15" customHeight="1" s="64">
      <c r="A82" s="118" t="n"/>
      <c r="B82" s="118" t="n"/>
      <c r="C82" s="112">
        <f>IF(B82="",0,IFERROR(AVERAGE(B80,B81,B82),0))</f>
        <v/>
      </c>
      <c r="D82" s="118" t="n"/>
    </row>
    <row r="83" ht="15" customHeight="1" s="64">
      <c r="A83" s="118" t="n"/>
      <c r="B83" s="118" t="n"/>
      <c r="C83" s="112">
        <f>IF(B83="",0,IFERROR(AVERAGE(B81,B82,B83),0))</f>
        <v/>
      </c>
      <c r="D83" s="118" t="n"/>
    </row>
    <row r="84" ht="15" customHeight="1" s="64">
      <c r="A84" s="118" t="n"/>
      <c r="B84" s="118" t="n"/>
      <c r="C84" s="112">
        <f>IF(B84="",0,IFERROR(AVERAGE(B82,B83,B84),0))</f>
        <v/>
      </c>
      <c r="D84" s="118" t="n"/>
    </row>
    <row r="85" ht="15" customHeight="1" s="64">
      <c r="A85" s="118" t="n"/>
      <c r="B85" s="118" t="n"/>
      <c r="C85" s="112">
        <f>IF(B85="",0,IFERROR(AVERAGE(B83,B84,B85),0))</f>
        <v/>
      </c>
      <c r="D85" s="118" t="n"/>
    </row>
    <row r="86" ht="15" customHeight="1" s="64">
      <c r="A86" s="118" t="n"/>
      <c r="B86" s="118" t="n"/>
      <c r="C86" s="112">
        <f>IF(B86="",0,IFERROR(AVERAGE(B84,B85,B86),0))</f>
        <v/>
      </c>
      <c r="D86" s="118" t="n"/>
    </row>
    <row r="87" ht="15" customHeight="1" s="64">
      <c r="A87" s="118" t="n"/>
      <c r="B87" s="118" t="n"/>
      <c r="C87" s="112">
        <f>IF(B87="",0,IFERROR(AVERAGE(B85,B86,B87),0))</f>
        <v/>
      </c>
      <c r="D87" s="118" t="n"/>
    </row>
    <row r="88" ht="15" customHeight="1" s="64">
      <c r="A88" s="118" t="n"/>
      <c r="B88" s="118" t="n"/>
      <c r="C88" s="112">
        <f>IF(B88="",0,IFERROR(AVERAGE(B86,B87,B88),0))</f>
        <v/>
      </c>
      <c r="D88" s="118" t="n"/>
    </row>
    <row r="89" ht="15" customHeight="1" s="64">
      <c r="A89" s="118" t="n"/>
      <c r="B89" s="118" t="n"/>
      <c r="C89" s="112">
        <f>IF(B89="",0,IFERROR(AVERAGE(B87,B88,B89),0))</f>
        <v/>
      </c>
      <c r="D89" s="118" t="n"/>
    </row>
    <row r="90" ht="15" customHeight="1" s="64">
      <c r="A90" s="118" t="n"/>
      <c r="B90" s="118" t="n"/>
      <c r="C90" s="112">
        <f>IF(B90="",0,IFERROR(AVERAGE(B88,B89,B90),0))</f>
        <v/>
      </c>
      <c r="D90" s="118" t="n"/>
    </row>
    <row r="91" ht="15" customHeight="1" s="64">
      <c r="A91" s="118" t="n"/>
      <c r="B91" s="118" t="n"/>
      <c r="C91" s="112">
        <f>IF(B91="",0,IFERROR(AVERAGE(B89,B90,B91),0))</f>
        <v/>
      </c>
      <c r="D91" s="118" t="n"/>
    </row>
    <row r="92" ht="15" customHeight="1" s="64">
      <c r="A92" s="118" t="n"/>
      <c r="B92" s="118" t="n"/>
      <c r="C92" s="112">
        <f>IF(B92="",0,IFERROR(AVERAGE(B90,B91,B92),0))</f>
        <v/>
      </c>
      <c r="D92" s="118" t="n"/>
    </row>
    <row r="93" ht="15" customHeight="1" s="64">
      <c r="A93" s="118" t="n"/>
      <c r="B93" s="118" t="n"/>
      <c r="C93" s="112">
        <f>IF(B93="",0,IFERROR(AVERAGE(B91,B92,B93),0))</f>
        <v/>
      </c>
      <c r="D93" s="118" t="n"/>
    </row>
    <row r="94" ht="15" customHeight="1" s="64">
      <c r="A94" s="118" t="n"/>
      <c r="B94" s="118" t="n"/>
      <c r="C94" s="112">
        <f>IF(B94="",0,IFERROR(AVERAGE(B92,B93,B94),0))</f>
        <v/>
      </c>
      <c r="D94" s="118" t="n"/>
    </row>
    <row r="95" ht="15" customHeight="1" s="64">
      <c r="A95" s="118" t="n"/>
      <c r="B95" s="118" t="n"/>
      <c r="C95" s="112">
        <f>IF(B95="",0,IFERROR(AVERAGE(B93,B94,B95),0))</f>
        <v/>
      </c>
      <c r="D95" s="118" t="n"/>
    </row>
    <row r="96" ht="15" customHeight="1" s="64">
      <c r="A96" s="118" t="n"/>
      <c r="B96" s="118" t="n"/>
      <c r="C96" s="112">
        <f>IF(B96="",0,IFERROR(AVERAGE(B94,B95,B96),0))</f>
        <v/>
      </c>
      <c r="D96" s="118" t="n"/>
    </row>
    <row r="97" ht="15" customHeight="1" s="64">
      <c r="A97" s="118" t="n"/>
      <c r="B97" s="118" t="n"/>
      <c r="C97" s="112">
        <f>IF(B97="",0,IFERROR(AVERAGE(B95,B96,B97),0))</f>
        <v/>
      </c>
      <c r="D97" s="118" t="n"/>
    </row>
    <row r="98" ht="15" customHeight="1" s="64">
      <c r="A98" s="118" t="n"/>
      <c r="B98" s="118" t="n"/>
      <c r="C98" s="112">
        <f>IF(B98="",0,IFERROR(AVERAGE(B96,B97,B98),0))</f>
        <v/>
      </c>
      <c r="D98" s="118" t="n"/>
    </row>
    <row r="99" ht="15" customHeight="1" s="64">
      <c r="A99" s="118" t="n"/>
      <c r="B99" s="118" t="n"/>
      <c r="C99" s="112">
        <f>IF(B99="",0,IFERROR(AVERAGE(B97,B98,B99),0))</f>
        <v/>
      </c>
      <c r="D99" s="118" t="n"/>
    </row>
    <row r="100" ht="15" customHeight="1" s="64">
      <c r="A100" s="118" t="n"/>
      <c r="B100" s="118" t="n"/>
      <c r="C100" s="112">
        <f>IF(B100="",0,IFERROR(AVERAGE(B98,B99,B100),0))</f>
        <v/>
      </c>
      <c r="D100" s="118" t="n"/>
    </row>
    <row r="101" ht="15" customHeight="1" s="64">
      <c r="A101" s="118" t="n"/>
      <c r="B101" s="118" t="n"/>
      <c r="C101" s="112">
        <f>IF(B101="",0,IFERROR(AVERAGE(B99,B100,B101),0))</f>
        <v/>
      </c>
      <c r="D101" s="118" t="n"/>
    </row>
    <row r="102" ht="15" customHeight="1" s="64">
      <c r="A102" s="118" t="n"/>
      <c r="B102" s="118" t="n"/>
      <c r="C102" s="112">
        <f>IF(B102="",0,IFERROR(AVERAGE(B100,B101,B102),0))</f>
        <v/>
      </c>
      <c r="D102" s="118" t="n"/>
    </row>
    <row r="103" ht="15" customHeight="1" s="64">
      <c r="A103" s="118" t="n"/>
      <c r="B103" s="118" t="n"/>
      <c r="C103" s="112">
        <f>IF(B103="",0,IFERROR(AVERAGE(B101,B102,B103),0))</f>
        <v/>
      </c>
      <c r="D103" s="118" t="n"/>
    </row>
    <row r="104" ht="15" customHeight="1" s="64">
      <c r="A104" s="118" t="n"/>
      <c r="B104" s="118" t="n"/>
      <c r="C104" s="112">
        <f>IF(B104="",0,IFERROR(AVERAGE(B102,B103,B104),0))</f>
        <v/>
      </c>
      <c r="D104" s="118" t="n"/>
    </row>
    <row r="105" ht="15" customHeight="1" s="64">
      <c r="A105" s="118" t="n"/>
      <c r="B105" s="118" t="n"/>
      <c r="C105" s="112">
        <f>IF(B105="",0,IFERROR(AVERAGE(B103,B104,B105),0))</f>
        <v/>
      </c>
      <c r="D105" s="118" t="n"/>
    </row>
    <row r="106" ht="15" customHeight="1" s="64">
      <c r="A106" s="118" t="n"/>
      <c r="B106" s="118" t="n"/>
      <c r="C106" s="112">
        <f>IF(B106="",0,IFERROR(AVERAGE(B104,B105,B106),0))</f>
        <v/>
      </c>
      <c r="D106" s="118" t="n"/>
    </row>
    <row r="107" ht="15" customHeight="1" s="64">
      <c r="A107" s="118" t="n"/>
      <c r="B107" s="118" t="n"/>
      <c r="C107" s="112">
        <f>IF(B107="",0,IFERROR(AVERAGE(B105,B106,B107),0))</f>
        <v/>
      </c>
      <c r="D107" s="118" t="n"/>
    </row>
    <row r="108" ht="15" customHeight="1" s="64">
      <c r="A108" s="118" t="n"/>
      <c r="B108" s="118" t="n"/>
      <c r="C108" s="112">
        <f>IF(B108="",0,IFERROR(AVERAGE(B106,B107,B108),0))</f>
        <v/>
      </c>
      <c r="D108" s="118" t="n"/>
    </row>
    <row r="109" ht="15" customHeight="1" s="64">
      <c r="A109" s="118" t="n"/>
      <c r="B109" s="118" t="n"/>
      <c r="C109" s="112">
        <f>IF(B109="",0,IFERROR(AVERAGE(B107,B108,B109),0))</f>
        <v/>
      </c>
      <c r="D109" s="118" t="n"/>
    </row>
    <row r="110" ht="15" customHeight="1" s="64">
      <c r="A110" s="118" t="n"/>
      <c r="B110" s="118" t="n"/>
      <c r="C110" s="112">
        <f>IF(B110="",0,IFERROR(AVERAGE(B108,B109,B110),0))</f>
        <v/>
      </c>
      <c r="D110" s="118" t="n"/>
    </row>
    <row r="111" ht="15" customHeight="1" s="64">
      <c r="A111" s="118" t="n"/>
      <c r="B111" s="118" t="n"/>
      <c r="C111" s="112">
        <f>IF(B111="",0,IFERROR(AVERAGE(B109,B110,B111),0))</f>
        <v/>
      </c>
      <c r="D111" s="118" t="n"/>
    </row>
    <row r="112" ht="15" customHeight="1" s="64">
      <c r="A112" s="118" t="n"/>
      <c r="B112" s="118" t="n"/>
      <c r="C112" s="112">
        <f>IF(B112="",0,IFERROR(AVERAGE(B110,B111,B112),0))</f>
        <v/>
      </c>
      <c r="D112" s="118" t="n"/>
    </row>
    <row r="113" ht="15" customHeight="1" s="64">
      <c r="A113" s="118" t="n"/>
      <c r="B113" s="118" t="n"/>
      <c r="C113" s="112">
        <f>IF(B113="",0,IFERROR(AVERAGE(B111,B112,B113),0))</f>
        <v/>
      </c>
      <c r="D113" s="118" t="n"/>
    </row>
    <row r="114" ht="15" customHeight="1" s="64">
      <c r="A114" s="118" t="n"/>
      <c r="B114" s="118" t="n"/>
      <c r="C114" s="112">
        <f>IF(B114="",0,IFERROR(AVERAGE(B112,B113,B114),0))</f>
        <v/>
      </c>
      <c r="D114" s="118" t="n"/>
    </row>
    <row r="115" ht="15" customHeight="1" s="64">
      <c r="A115" s="118" t="n"/>
      <c r="B115" s="118" t="n"/>
      <c r="C115" s="112">
        <f>IF(B115="",0,IFERROR(AVERAGE(B113,B114,B115),0))</f>
        <v/>
      </c>
      <c r="D115" s="118" t="n"/>
    </row>
    <row r="116" ht="15" customHeight="1" s="64">
      <c r="A116" s="118" t="n"/>
      <c r="B116" s="118" t="n"/>
      <c r="C116" s="112">
        <f>IF(B116="",0,IFERROR(AVERAGE(B114,B115,B116),0))</f>
        <v/>
      </c>
      <c r="D116" s="118" t="n"/>
    </row>
    <row r="117" ht="15" customHeight="1" s="64">
      <c r="A117" s="118" t="n"/>
      <c r="B117" s="118" t="n"/>
      <c r="C117" s="112">
        <f>IF(B117="",0,IFERROR(AVERAGE(B115,B116,B117),0))</f>
        <v/>
      </c>
      <c r="D117" s="118" t="n"/>
    </row>
    <row r="118" ht="15" customHeight="1" s="64">
      <c r="A118" s="118" t="n"/>
      <c r="B118" s="118" t="n"/>
      <c r="C118" s="112">
        <f>IF(B118="",0,IFERROR(AVERAGE(B116,B117,B118),0))</f>
        <v/>
      </c>
      <c r="D118" s="118" t="n"/>
    </row>
    <row r="119" ht="15" customHeight="1" s="64">
      <c r="A119" s="118" t="n"/>
      <c r="B119" s="118" t="n"/>
      <c r="C119" s="112">
        <f>IF(B119="",0,IFERROR(AVERAGE(B117,B118,B119),0))</f>
        <v/>
      </c>
      <c r="D119" s="118" t="n"/>
    </row>
    <row r="120" ht="15" customHeight="1" s="64">
      <c r="A120" s="118" t="n"/>
      <c r="B120" s="118" t="n"/>
      <c r="C120" s="112">
        <f>IF(B120="",0,IFERROR(AVERAGE(B118,B119,B120),0))</f>
        <v/>
      </c>
      <c r="D120" s="118" t="n"/>
    </row>
    <row r="121" ht="15" customHeight="1" s="64">
      <c r="A121" s="118" t="n"/>
      <c r="B121" s="118" t="n"/>
      <c r="C121" s="112">
        <f>IF(B121="",0,IFERROR(AVERAGE(B119,B120,B121),0))</f>
        <v/>
      </c>
      <c r="D121" s="118" t="n"/>
    </row>
    <row r="122" ht="15" customHeight="1" s="64">
      <c r="A122" s="118" t="n"/>
      <c r="B122" s="118" t="n"/>
      <c r="C122" s="112">
        <f>IF(B122="",0,IFERROR(AVERAGE(B120,B121,B122),0))</f>
        <v/>
      </c>
      <c r="D122" s="118" t="n"/>
    </row>
    <row r="123" ht="15" customHeight="1" s="64">
      <c r="A123" s="118" t="n"/>
      <c r="B123" s="118" t="n"/>
      <c r="C123" s="112">
        <f>IF(B123="",0,IFERROR(AVERAGE(B121,B122,B123),0))</f>
        <v/>
      </c>
      <c r="D123" s="118" t="n"/>
    </row>
    <row r="124" ht="15" customHeight="1" s="64">
      <c r="A124" s="118" t="n"/>
      <c r="B124" s="118" t="n"/>
      <c r="C124" s="112">
        <f>IF(B124="",0,IFERROR(AVERAGE(B122,B123,B124),0))</f>
        <v/>
      </c>
      <c r="D124" s="118" t="n"/>
    </row>
    <row r="125" ht="15" customHeight="1" s="64">
      <c r="A125" s="118" t="n"/>
      <c r="B125" s="118" t="n"/>
      <c r="C125" s="112">
        <f>IF(B125="",0,IFERROR(AVERAGE(B123,B124,B125),0))</f>
        <v/>
      </c>
      <c r="D125" s="118" t="n"/>
    </row>
    <row r="126" ht="15" customHeight="1" s="64">
      <c r="A126" s="118" t="n"/>
      <c r="B126" s="118" t="n"/>
      <c r="C126" s="112">
        <f>IF(B126="",0,IFERROR(AVERAGE(B124,B125,B126),0))</f>
        <v/>
      </c>
      <c r="D126" s="118" t="n"/>
    </row>
    <row r="127" ht="15" customHeight="1" s="64">
      <c r="A127" s="118" t="n"/>
      <c r="B127" s="118" t="n"/>
      <c r="C127" s="112">
        <f>IF(B127="",0,IFERROR(AVERAGE(B125,B126,B127),0))</f>
        <v/>
      </c>
      <c r="D127" s="118" t="n"/>
    </row>
    <row r="128" ht="15" customHeight="1" s="64">
      <c r="A128" s="118" t="n"/>
      <c r="B128" s="118" t="n"/>
      <c r="C128" s="112">
        <f>IF(B128="",0,IFERROR(AVERAGE(B126,B127,B128),0))</f>
        <v/>
      </c>
      <c r="D128" s="118" t="n"/>
    </row>
    <row r="129" ht="15" customHeight="1" s="64">
      <c r="A129" s="118" t="n"/>
      <c r="B129" s="118" t="n"/>
      <c r="C129" s="112">
        <f>IF(B129="",0,IFERROR(AVERAGE(B127,B128,B129),0))</f>
        <v/>
      </c>
      <c r="D129" s="118" t="n"/>
    </row>
    <row r="130" ht="15" customHeight="1" s="64">
      <c r="A130" s="118" t="n"/>
      <c r="B130" s="118" t="n"/>
      <c r="C130" s="112">
        <f>IF(B130="",0,IFERROR(AVERAGE(B128,B129,B130),0))</f>
        <v/>
      </c>
      <c r="D130" s="118" t="n"/>
    </row>
    <row r="131" ht="15" customHeight="1" s="64">
      <c r="A131" s="118" t="n"/>
      <c r="B131" s="118" t="n"/>
      <c r="C131" s="112">
        <f>IF(B131="",0,IFERROR(AVERAGE(B129,B130,B131),0))</f>
        <v/>
      </c>
      <c r="D131" s="118" t="n"/>
    </row>
    <row r="132" ht="15" customHeight="1" s="64">
      <c r="A132" s="118" t="n"/>
      <c r="B132" s="118" t="n"/>
      <c r="C132" s="112">
        <f>IF(B132="",0,IFERROR(AVERAGE(B130,B131,B132),0))</f>
        <v/>
      </c>
      <c r="D132" s="118" t="n"/>
    </row>
    <row r="133" ht="15" customHeight="1" s="64">
      <c r="A133" s="118" t="n"/>
      <c r="B133" s="118" t="n"/>
      <c r="C133" s="112">
        <f>IF(B133="",0,IFERROR(AVERAGE(B131,B132,B133),0))</f>
        <v/>
      </c>
      <c r="D133" s="118" t="n"/>
    </row>
    <row r="134" ht="15" customHeight="1" s="64">
      <c r="A134" s="118" t="n"/>
      <c r="B134" s="118" t="n"/>
      <c r="C134" s="112">
        <f>IF(B134="",0,IFERROR(AVERAGE(B132,B133,B134),0))</f>
        <v/>
      </c>
      <c r="D134" s="118" t="n"/>
    </row>
    <row r="135" ht="15" customHeight="1" s="64">
      <c r="A135" s="118" t="n"/>
      <c r="B135" s="118" t="n"/>
      <c r="C135" s="112">
        <f>IF(B135="",0,IFERROR(AVERAGE(B133,B134,B135),0))</f>
        <v/>
      </c>
      <c r="D135" s="118" t="n"/>
    </row>
    <row r="136" ht="15" customHeight="1" s="64">
      <c r="A136" s="118" t="n"/>
      <c r="B136" s="118" t="n"/>
      <c r="C136" s="112">
        <f>IF(B136="",0,IFERROR(AVERAGE(B134,B135,B136),0))</f>
        <v/>
      </c>
      <c r="D136" s="118" t="n"/>
    </row>
    <row r="137" ht="15" customHeight="1" s="64">
      <c r="A137" s="118" t="n"/>
      <c r="B137" s="118" t="n"/>
      <c r="C137" s="112">
        <f>IF(B137="",0,IFERROR(AVERAGE(B135,B136,B137),0))</f>
        <v/>
      </c>
      <c r="D137" s="118" t="n"/>
    </row>
    <row r="138" ht="15" customHeight="1" s="64">
      <c r="A138" s="118" t="n"/>
      <c r="B138" s="118" t="n"/>
      <c r="C138" s="112">
        <f>IF(B138="",0,IFERROR(AVERAGE(B136,B137,B138),0))</f>
        <v/>
      </c>
      <c r="D138" s="118" t="n"/>
    </row>
    <row r="139" ht="15" customHeight="1" s="64">
      <c r="A139" s="118" t="n"/>
      <c r="B139" s="118" t="n"/>
      <c r="C139" s="112">
        <f>IF(B139="",0,IFERROR(AVERAGE(B137,B138,B139),0))</f>
        <v/>
      </c>
      <c r="D139" s="118" t="n"/>
    </row>
    <row r="140" ht="15" customHeight="1" s="64">
      <c r="A140" s="118" t="n"/>
      <c r="B140" s="118" t="n"/>
      <c r="C140" s="112">
        <f>IF(B140="",0,IFERROR(AVERAGE(B138,B139,B140),0))</f>
        <v/>
      </c>
      <c r="D140" s="118" t="n"/>
    </row>
    <row r="141" ht="15" customHeight="1" s="64">
      <c r="A141" s="118" t="n"/>
      <c r="B141" s="118" t="n"/>
      <c r="C141" s="112">
        <f>IF(B141="",0,IFERROR(AVERAGE(B139,B140,B141),0))</f>
        <v/>
      </c>
      <c r="D141" s="118" t="n"/>
    </row>
    <row r="142" ht="15" customHeight="1" s="64">
      <c r="A142" s="118" t="n"/>
      <c r="B142" s="118" t="n"/>
      <c r="C142" s="112">
        <f>IF(B142="",0,IFERROR(AVERAGE(B140,B141,B142),0))</f>
        <v/>
      </c>
      <c r="D142" s="118" t="n"/>
    </row>
    <row r="143" ht="15" customHeight="1" s="64">
      <c r="A143" s="118" t="n"/>
      <c r="B143" s="118" t="n"/>
      <c r="C143" s="112">
        <f>IF(B143="",0,IFERROR(AVERAGE(B141,B142,B143),0))</f>
        <v/>
      </c>
      <c r="D143" s="118" t="n"/>
    </row>
    <row r="144" ht="15" customHeight="1" s="64">
      <c r="A144" s="118" t="n"/>
      <c r="B144" s="118" t="n"/>
      <c r="C144" s="112">
        <f>IF(B144="",0,IFERROR(AVERAGE(B142,B143,B144),0))</f>
        <v/>
      </c>
      <c r="D144" s="118" t="n"/>
    </row>
    <row r="145" ht="15" customHeight="1" s="64">
      <c r="A145" s="118" t="n"/>
      <c r="B145" s="118" t="n"/>
      <c r="C145" s="112">
        <f>IF(B145="",0,IFERROR(AVERAGE(B143,B144,B145),0))</f>
        <v/>
      </c>
      <c r="D145" s="118" t="n"/>
    </row>
    <row r="146" ht="15" customHeight="1" s="64">
      <c r="A146" s="118" t="n"/>
      <c r="B146" s="118" t="n"/>
      <c r="C146" s="112">
        <f>IF(B146="",0,IFERROR(AVERAGE(B144,B145,B146),0))</f>
        <v/>
      </c>
      <c r="D146" s="118" t="n"/>
    </row>
    <row r="147" ht="15" customHeight="1" s="64">
      <c r="A147" s="118" t="n"/>
      <c r="B147" s="118" t="n"/>
      <c r="C147" s="112">
        <f>IF(B147="",0,IFERROR(AVERAGE(B145,B146,B147),0))</f>
        <v/>
      </c>
      <c r="D147" s="118" t="n"/>
    </row>
    <row r="148" ht="15" customHeight="1" s="64">
      <c r="A148" s="118" t="n"/>
      <c r="B148" s="118" t="n"/>
      <c r="C148" s="112">
        <f>IF(B148="",0,IFERROR(AVERAGE(B146,B147,B148),0))</f>
        <v/>
      </c>
      <c r="D148" s="118" t="n"/>
    </row>
    <row r="149" ht="15" customHeight="1" s="64">
      <c r="A149" s="118" t="n"/>
      <c r="B149" s="118" t="n"/>
      <c r="C149" s="112">
        <f>IF(B149="",0,IFERROR(AVERAGE(B147,B148,B149),0))</f>
        <v/>
      </c>
      <c r="D149" s="118" t="n"/>
    </row>
    <row r="150" ht="15" customHeight="1" s="64">
      <c r="A150" s="118" t="n"/>
      <c r="B150" s="118" t="n"/>
      <c r="C150" s="112">
        <f>IF(B150="",0,IFERROR(AVERAGE(B148,B149,B150),0))</f>
        <v/>
      </c>
      <c r="D150" s="118" t="n"/>
    </row>
    <row r="151" ht="15" customHeight="1" s="64">
      <c r="A151" s="118" t="n"/>
      <c r="B151" s="118" t="n"/>
      <c r="C151" s="112">
        <f>IF(B151="",0,IFERROR(AVERAGE(B149,B150,B151),0))</f>
        <v/>
      </c>
      <c r="D151" s="118" t="n"/>
    </row>
    <row r="152" ht="15" customHeight="1" s="64">
      <c r="A152" s="118" t="n"/>
      <c r="B152" s="118" t="n"/>
      <c r="C152" s="112">
        <f>IF(B152="",0,IFERROR(AVERAGE(B150,B151,B152),0))</f>
        <v/>
      </c>
      <c r="D152" s="118" t="n"/>
    </row>
    <row r="153" ht="15" customHeight="1" s="64">
      <c r="A153" s="118" t="n"/>
      <c r="B153" s="118" t="n"/>
      <c r="C153" s="112">
        <f>IF(B153="",0,IFERROR(AVERAGE(B151,B152,B153),0))</f>
        <v/>
      </c>
      <c r="D153" s="118" t="n"/>
    </row>
    <row r="154" ht="15" customHeight="1" s="64">
      <c r="A154" s="118" t="n"/>
      <c r="B154" s="118" t="n"/>
      <c r="C154" s="112">
        <f>IF(B154="",0,IFERROR(AVERAGE(B152,B153,B154),0))</f>
        <v/>
      </c>
      <c r="D154" s="118" t="n"/>
    </row>
    <row r="155" ht="15" customHeight="1" s="64">
      <c r="A155" s="118" t="n"/>
      <c r="B155" s="118" t="n"/>
      <c r="C155" s="112">
        <f>IF(B155="",0,IFERROR(AVERAGE(B153,B154,B155),0))</f>
        <v/>
      </c>
      <c r="D155" s="118" t="n"/>
    </row>
    <row r="156" ht="15" customHeight="1" s="64">
      <c r="A156" s="118" t="n"/>
      <c r="B156" s="118" t="n"/>
      <c r="C156" s="112">
        <f>IF(B156="",0,IFERROR(AVERAGE(B154,B155,B156),0))</f>
        <v/>
      </c>
      <c r="D156" s="118" t="n"/>
    </row>
    <row r="157" ht="15" customHeight="1" s="64">
      <c r="A157" s="118" t="n"/>
      <c r="B157" s="118" t="n"/>
      <c r="C157" s="112">
        <f>IF(B157="",0,IFERROR(AVERAGE(B155,B156,B157),0))</f>
        <v/>
      </c>
      <c r="D157" s="118" t="n"/>
    </row>
    <row r="158" ht="15" customHeight="1" s="64">
      <c r="A158" s="118" t="n"/>
      <c r="B158" s="118" t="n"/>
      <c r="C158" s="112">
        <f>IF(B158="",0,IFERROR(AVERAGE(B156,B157,B158),0))</f>
        <v/>
      </c>
      <c r="D158" s="118" t="n"/>
    </row>
    <row r="159" ht="15" customHeight="1" s="64">
      <c r="A159" s="118" t="n"/>
      <c r="B159" s="118" t="n"/>
      <c r="C159" s="112">
        <f>IF(B159="",0,IFERROR(AVERAGE(B157,B158,B159),0))</f>
        <v/>
      </c>
      <c r="D159" s="118" t="n"/>
    </row>
    <row r="160" ht="15" customHeight="1" s="64">
      <c r="A160" s="118" t="n"/>
      <c r="B160" s="118" t="n"/>
      <c r="C160" s="112">
        <f>IF(B160="",0,IFERROR(AVERAGE(B158,B159,B160),0))</f>
        <v/>
      </c>
      <c r="D160" s="118" t="n"/>
    </row>
    <row r="161" ht="15" customHeight="1" s="64">
      <c r="A161" s="118" t="n"/>
      <c r="B161" s="118" t="n"/>
      <c r="C161" s="112">
        <f>IF(B161="",0,IFERROR(AVERAGE(B159,B160,B161),0))</f>
        <v/>
      </c>
      <c r="D161" s="118" t="n"/>
    </row>
    <row r="162" ht="15" customHeight="1" s="64">
      <c r="A162" s="118" t="n"/>
      <c r="B162" s="118" t="n"/>
      <c r="C162" s="112">
        <f>IF(B162="",0,IFERROR(AVERAGE(B160,B161,B162),0))</f>
        <v/>
      </c>
      <c r="D162" s="118" t="n"/>
    </row>
    <row r="163" ht="15" customHeight="1" s="64">
      <c r="A163" s="118" t="n"/>
      <c r="B163" s="118" t="n"/>
      <c r="C163" s="112">
        <f>IF(B163="",0,IFERROR(AVERAGE(B161,B162,B163),0))</f>
        <v/>
      </c>
      <c r="D163" s="118" t="n"/>
    </row>
    <row r="164" ht="15" customHeight="1" s="64">
      <c r="A164" s="118" t="n"/>
      <c r="B164" s="118" t="n"/>
      <c r="C164" s="112">
        <f>IF(B164="",0,IFERROR(AVERAGE(B162,B163,B164),0))</f>
        <v/>
      </c>
      <c r="D164" s="118" t="n"/>
    </row>
    <row r="165" ht="15" customHeight="1" s="64">
      <c r="A165" s="118" t="n"/>
      <c r="B165" s="118" t="n"/>
      <c r="C165" s="112">
        <f>IF(B165="",0,IFERROR(AVERAGE(B163,B164,B165),0))</f>
        <v/>
      </c>
      <c r="D165" s="118" t="n"/>
    </row>
    <row r="166" ht="15" customHeight="1" s="64">
      <c r="A166" s="118" t="n"/>
      <c r="B166" s="118" t="n"/>
      <c r="C166" s="112">
        <f>IF(B166="",0,IFERROR(AVERAGE(B164,B165,B166),0))</f>
        <v/>
      </c>
      <c r="D166" s="118" t="n"/>
    </row>
    <row r="167" ht="15" customHeight="1" s="64">
      <c r="A167" s="118" t="n"/>
      <c r="B167" s="118" t="n"/>
      <c r="C167" s="112">
        <f>IF(B167="",0,IFERROR(AVERAGE(B165,B166,B167),0))</f>
        <v/>
      </c>
      <c r="D167" s="118" t="n"/>
    </row>
    <row r="168" ht="15" customHeight="1" s="64">
      <c r="A168" s="118" t="n"/>
      <c r="B168" s="118" t="n"/>
      <c r="C168" s="112">
        <f>IF(B168="",0,IFERROR(AVERAGE(B166,B167,B168),0))</f>
        <v/>
      </c>
      <c r="D168" s="118" t="n"/>
    </row>
    <row r="169" ht="15" customHeight="1" s="64">
      <c r="A169" s="118" t="n"/>
      <c r="B169" s="118" t="n"/>
      <c r="C169" s="112">
        <f>IF(B169="",0,IFERROR(AVERAGE(B167,B168,B169),0))</f>
        <v/>
      </c>
      <c r="D169" s="118" t="n"/>
    </row>
    <row r="170" ht="15" customHeight="1" s="64">
      <c r="A170" s="118" t="n"/>
      <c r="B170" s="118" t="n"/>
      <c r="C170" s="112">
        <f>IF(B170="",0,IFERROR(AVERAGE(B168,B169,B170),0))</f>
        <v/>
      </c>
      <c r="D170" s="118" t="n"/>
    </row>
    <row r="171" ht="15" customHeight="1" s="64">
      <c r="A171" s="118" t="n"/>
      <c r="B171" s="118" t="n"/>
      <c r="C171" s="112">
        <f>IF(B171="",0,IFERROR(AVERAGE(B169,B170,B171),0))</f>
        <v/>
      </c>
      <c r="D171" s="118" t="n"/>
    </row>
    <row r="172" ht="15" customHeight="1" s="64">
      <c r="A172" s="118" t="n"/>
      <c r="B172" s="118" t="n"/>
      <c r="C172" s="112">
        <f>IF(B172="",0,IFERROR(AVERAGE(B170,B171,B172),0))</f>
        <v/>
      </c>
      <c r="D172" s="118" t="n"/>
    </row>
    <row r="173" ht="15" customHeight="1" s="64">
      <c r="A173" s="118" t="n"/>
      <c r="B173" s="118" t="n"/>
      <c r="C173" s="112">
        <f>IF(B173="",0,IFERROR(AVERAGE(B171,B172,B173),0))</f>
        <v/>
      </c>
      <c r="D173" s="118" t="n"/>
    </row>
    <row r="174" ht="15" customHeight="1" s="64">
      <c r="A174" s="118" t="n"/>
      <c r="B174" s="118" t="n"/>
      <c r="C174" s="112">
        <f>IF(B174="",0,IFERROR(AVERAGE(B172,B173,B174),0))</f>
        <v/>
      </c>
      <c r="D174" s="118" t="n"/>
    </row>
    <row r="175" ht="15" customHeight="1" s="64">
      <c r="A175" s="118" t="n"/>
      <c r="B175" s="118" t="n"/>
      <c r="C175" s="112">
        <f>IF(B175="",0,IFERROR(AVERAGE(B173,B174,B175),0))</f>
        <v/>
      </c>
      <c r="D175" s="118" t="n"/>
    </row>
    <row r="176" ht="15" customHeight="1" s="64">
      <c r="A176" s="118" t="n"/>
      <c r="B176" s="118" t="n"/>
      <c r="C176" s="112">
        <f>IF(B176="",0,IFERROR(AVERAGE(B174,B175,B176),0))</f>
        <v/>
      </c>
      <c r="D176" s="118" t="n"/>
    </row>
    <row r="177" ht="15" customHeight="1" s="64">
      <c r="A177" s="118" t="n"/>
      <c r="B177" s="118" t="n"/>
      <c r="C177" s="112">
        <f>IF(B177="",0,IFERROR(AVERAGE(B175,B176,B177),0))</f>
        <v/>
      </c>
      <c r="D177" s="118" t="n"/>
    </row>
    <row r="178" ht="15" customHeight="1" s="64">
      <c r="A178" s="118" t="n"/>
      <c r="B178" s="118" t="n"/>
      <c r="C178" s="112">
        <f>IF(B178="",0,IFERROR(AVERAGE(B176,B177,B178),0))</f>
        <v/>
      </c>
      <c r="D178" s="118" t="n"/>
    </row>
    <row r="179" ht="15" customHeight="1" s="64">
      <c r="A179" s="118" t="n"/>
      <c r="B179" s="118" t="n"/>
      <c r="C179" s="112">
        <f>IF(B179="",0,IFERROR(AVERAGE(B177,B178,B179),0))</f>
        <v/>
      </c>
      <c r="D179" s="118" t="n"/>
    </row>
    <row r="180" ht="15" customHeight="1" s="64">
      <c r="A180" s="118" t="n"/>
      <c r="B180" s="118" t="n"/>
      <c r="C180" s="112">
        <f>IF(B180="",0,IFERROR(AVERAGE(B178,B179,B180),0))</f>
        <v/>
      </c>
      <c r="D180" s="118" t="n"/>
    </row>
    <row r="181" ht="15" customHeight="1" s="64">
      <c r="A181" s="118" t="n"/>
      <c r="B181" s="118" t="n"/>
      <c r="C181" s="112">
        <f>IF(B181="",0,IFERROR(AVERAGE(B179,B180,B181),0))</f>
        <v/>
      </c>
      <c r="D181" s="118" t="n"/>
    </row>
    <row r="182" ht="15" customHeight="1" s="64">
      <c r="A182" s="118" t="n"/>
      <c r="B182" s="118" t="n"/>
      <c r="C182" s="112">
        <f>IF(B182="",0,IFERROR(AVERAGE(B180,B181,B182),0))</f>
        <v/>
      </c>
      <c r="D182" s="118" t="n"/>
    </row>
    <row r="183" ht="15" customHeight="1" s="64">
      <c r="A183" s="118" t="n"/>
      <c r="B183" s="118" t="n"/>
      <c r="C183" s="112">
        <f>IF(B183="",0,IFERROR(AVERAGE(B181,B182,B183),0))</f>
        <v/>
      </c>
      <c r="D183" s="118" t="n"/>
    </row>
    <row r="184" ht="15" customHeight="1" s="64">
      <c r="A184" s="118" t="n"/>
      <c r="B184" s="118" t="n"/>
      <c r="C184" s="112">
        <f>IF(B184="",0,IFERROR(AVERAGE(B182,B183,B184),0))</f>
        <v/>
      </c>
      <c r="D184" s="118" t="n"/>
    </row>
    <row r="185" ht="15" customHeight="1" s="64">
      <c r="A185" s="118" t="n"/>
      <c r="B185" s="118" t="n"/>
      <c r="C185" s="112">
        <f>IF(B185="",0,IFERROR(AVERAGE(B183,B184,B185),0))</f>
        <v/>
      </c>
      <c r="D185" s="118" t="n"/>
    </row>
    <row r="186" ht="15" customHeight="1" s="64">
      <c r="A186" s="118" t="n"/>
      <c r="B186" s="118" t="n"/>
      <c r="C186" s="112">
        <f>IF(B186="",0,IFERROR(AVERAGE(B184,B185,B186),0))</f>
        <v/>
      </c>
      <c r="D186" s="118" t="n"/>
    </row>
    <row r="187" ht="15" customHeight="1" s="64">
      <c r="A187" s="118" t="n"/>
      <c r="B187" s="118" t="n"/>
      <c r="C187" s="112">
        <f>IF(B187="",0,IFERROR(AVERAGE(B185,B186,B187),0))</f>
        <v/>
      </c>
      <c r="D187" s="118" t="n"/>
    </row>
    <row r="188" ht="15" customHeight="1" s="64">
      <c r="A188" s="118" t="n"/>
      <c r="B188" s="118" t="n"/>
      <c r="C188" s="112">
        <f>IF(B188="",0,IFERROR(AVERAGE(B186,B187,B188),0))</f>
        <v/>
      </c>
      <c r="D188" s="118" t="n"/>
    </row>
    <row r="189" ht="15" customHeight="1" s="64">
      <c r="A189" s="118" t="n"/>
      <c r="B189" s="118" t="n"/>
      <c r="C189" s="112">
        <f>IF(B189="",0,IFERROR(AVERAGE(B187,B188,B189),0))</f>
        <v/>
      </c>
      <c r="D189" s="118" t="n"/>
    </row>
    <row r="190" ht="15" customHeight="1" s="64">
      <c r="A190" s="118" t="n"/>
      <c r="B190" s="118" t="n"/>
      <c r="C190" s="112">
        <f>IF(B190="",0,IFERROR(AVERAGE(B188,B189,B190),0))</f>
        <v/>
      </c>
      <c r="D190" s="118" t="n"/>
    </row>
    <row r="191" ht="15" customHeight="1" s="64">
      <c r="A191" s="118" t="n"/>
      <c r="B191" s="118" t="n"/>
      <c r="C191" s="112">
        <f>IF(B191="",0,IFERROR(AVERAGE(B189,B190,B191),0))</f>
        <v/>
      </c>
      <c r="D191" s="118" t="n"/>
    </row>
    <row r="192" ht="15" customHeight="1" s="64">
      <c r="A192" s="118" t="n"/>
      <c r="B192" s="118" t="n"/>
      <c r="C192" s="112">
        <f>IF(B192="",0,IFERROR(AVERAGE(B190,B191,B192),0))</f>
        <v/>
      </c>
      <c r="D192" s="118" t="n"/>
    </row>
    <row r="193" ht="15" customHeight="1" s="64">
      <c r="A193" s="118" t="n"/>
      <c r="B193" s="118" t="n"/>
      <c r="C193" s="112">
        <f>IF(B193="",0,IFERROR(AVERAGE(B191,B192,B193),0))</f>
        <v/>
      </c>
      <c r="D193" s="118" t="n"/>
    </row>
    <row r="194" ht="15" customHeight="1" s="64">
      <c r="A194" s="118" t="n"/>
      <c r="B194" s="118" t="n"/>
      <c r="C194" s="112">
        <f>IF(B194="",0,IFERROR(AVERAGE(B192,B193,B194),0))</f>
        <v/>
      </c>
      <c r="D194" s="118" t="n"/>
    </row>
    <row r="195" ht="15" customHeight="1" s="64">
      <c r="A195" s="118" t="n"/>
      <c r="B195" s="118" t="n"/>
      <c r="C195" s="112">
        <f>IF(B195="",0,IFERROR(AVERAGE(B193,B194,B195),0))</f>
        <v/>
      </c>
      <c r="D195" s="118" t="n"/>
    </row>
    <row r="196" ht="15" customHeight="1" s="64">
      <c r="A196" s="118" t="n"/>
      <c r="B196" s="118" t="n"/>
      <c r="C196" s="112">
        <f>IF(B196="",0,IFERROR(AVERAGE(B194,B195,B196),0))</f>
        <v/>
      </c>
      <c r="D196" s="118" t="n"/>
    </row>
    <row r="197" ht="15" customHeight="1" s="64">
      <c r="A197" s="118" t="n"/>
      <c r="B197" s="118" t="n"/>
      <c r="C197" s="112">
        <f>IF(B197="",0,IFERROR(AVERAGE(B195,B196,B197),0))</f>
        <v/>
      </c>
      <c r="D197" s="118" t="n"/>
    </row>
    <row r="198" ht="15" customHeight="1" s="64">
      <c r="A198" s="118" t="n"/>
      <c r="B198" s="118" t="n"/>
      <c r="C198" s="112">
        <f>IF(B198="",0,IFERROR(AVERAGE(B196,B197,B198),0))</f>
        <v/>
      </c>
      <c r="D198" s="118" t="n"/>
    </row>
    <row r="199" ht="15" customHeight="1" s="64">
      <c r="A199" s="118" t="n"/>
      <c r="B199" s="118" t="n"/>
      <c r="C199" s="112">
        <f>IF(B199="",0,IFERROR(AVERAGE(B197,B198,B199),0))</f>
        <v/>
      </c>
      <c r="D199" s="118" t="n"/>
    </row>
    <row r="200" ht="15" customHeight="1" s="64">
      <c r="A200" s="118" t="n"/>
      <c r="B200" s="118" t="n"/>
      <c r="C200" s="112">
        <f>IF(B200="",0,IFERROR(AVERAGE(B198,B199,B200),0))</f>
        <v/>
      </c>
      <c r="D200" s="118" t="n"/>
    </row>
    <row r="201" ht="15" customHeight="1" s="64">
      <c r="A201" s="118" t="n"/>
      <c r="B201" s="118" t="n"/>
      <c r="C201" s="112">
        <f>IF(B201="",0,IFERROR(AVERAGE(B199,B200,B201),0))</f>
        <v/>
      </c>
      <c r="D201" s="118" t="n"/>
    </row>
    <row r="202" ht="15" customHeight="1" s="64">
      <c r="A202" s="118" t="n"/>
      <c r="B202" s="118" t="n"/>
      <c r="C202" s="112">
        <f>IF(B202="",0,IFERROR(AVERAGE(B200,B201,B202),0))</f>
        <v/>
      </c>
      <c r="D202" s="118" t="n"/>
    </row>
    <row r="203" ht="15" customHeight="1" s="64">
      <c r="A203" s="118" t="n"/>
      <c r="B203" s="118" t="n"/>
      <c r="C203" s="112">
        <f>IF(B203="",0,IFERROR(AVERAGE(B201,B202,B203),0))</f>
        <v/>
      </c>
      <c r="D203" s="118" t="n"/>
    </row>
    <row r="204" ht="15" customHeight="1" s="64">
      <c r="A204" s="118" t="n"/>
      <c r="B204" s="118" t="n"/>
      <c r="C204" s="112">
        <f>IF(B204="",0,IFERROR(AVERAGE(B202,B203,B204),0))</f>
        <v/>
      </c>
      <c r="D204" s="118" t="n"/>
    </row>
    <row r="205" ht="15" customHeight="1" s="64">
      <c r="A205" s="118" t="n"/>
      <c r="B205" s="118" t="n"/>
      <c r="C205" s="112">
        <f>IF(B205="",0,IFERROR(AVERAGE(B203,B204,B205),0))</f>
        <v/>
      </c>
      <c r="D205" s="118" t="n"/>
    </row>
    <row r="206" ht="15" customHeight="1" s="64">
      <c r="A206" s="118" t="n"/>
      <c r="B206" s="118" t="n"/>
      <c r="C206" s="112">
        <f>IF(B206="",0,IFERROR(AVERAGE(B204,B205,B206),0))</f>
        <v/>
      </c>
      <c r="D206" s="118" t="n"/>
    </row>
    <row r="207" ht="15" customHeight="1" s="64">
      <c r="A207" s="118" t="n"/>
      <c r="B207" s="118" t="n"/>
      <c r="C207" s="112">
        <f>IF(B207="",0,IFERROR(AVERAGE(B205,B206,B207),0))</f>
        <v/>
      </c>
      <c r="D207" s="118" t="n"/>
    </row>
    <row r="208" ht="15" customHeight="1" s="64">
      <c r="A208" s="118" t="n"/>
      <c r="B208" s="118" t="n"/>
      <c r="C208" s="112">
        <f>IF(B208="",0,IFERROR(AVERAGE(B206,B207,B208),0))</f>
        <v/>
      </c>
      <c r="D208" s="118" t="n"/>
    </row>
    <row r="209" ht="15" customHeight="1" s="64">
      <c r="A209" s="118" t="n"/>
      <c r="B209" s="118" t="n"/>
      <c r="C209" s="112">
        <f>IF(B209="",0,IFERROR(AVERAGE(B207,B208,B209),0))</f>
        <v/>
      </c>
      <c r="D209" s="118" t="n"/>
    </row>
    <row r="210" ht="15" customHeight="1" s="64">
      <c r="A210" s="118" t="n"/>
      <c r="B210" s="118" t="n"/>
      <c r="C210" s="112">
        <f>IF(B210="",0,IFERROR(AVERAGE(B208,B209,B210),0))</f>
        <v/>
      </c>
      <c r="D210" s="118" t="n"/>
    </row>
    <row r="211" ht="15" customHeight="1" s="64">
      <c r="A211" s="118" t="n"/>
      <c r="B211" s="118" t="n"/>
      <c r="C211" s="112">
        <f>IF(B211="",0,IFERROR(AVERAGE(B209,B210,B211),0))</f>
        <v/>
      </c>
      <c r="D211" s="118" t="n"/>
    </row>
    <row r="212" ht="15" customHeight="1" s="64">
      <c r="A212" s="118" t="n"/>
      <c r="B212" s="118" t="n"/>
      <c r="C212" s="112">
        <f>IF(B212="",0,IFERROR(AVERAGE(B210,B211,B212),0))</f>
        <v/>
      </c>
      <c r="D212" s="118" t="n"/>
    </row>
    <row r="213" ht="15" customHeight="1" s="64">
      <c r="A213" s="118" t="n"/>
      <c r="B213" s="118" t="n"/>
      <c r="C213" s="112">
        <f>IF(B213="",0,IFERROR(AVERAGE(B211,B212,B213),0))</f>
        <v/>
      </c>
      <c r="D213" s="118" t="n"/>
    </row>
    <row r="214" ht="15" customHeight="1" s="64">
      <c r="A214" s="118" t="n"/>
      <c r="B214" s="118" t="n"/>
      <c r="C214" s="112">
        <f>IF(B214="",0,IFERROR(AVERAGE(B212,B213,B214),0))</f>
        <v/>
      </c>
      <c r="D214" s="118" t="n"/>
    </row>
    <row r="215" ht="15" customHeight="1" s="64">
      <c r="A215" s="118" t="n"/>
      <c r="B215" s="118" t="n"/>
      <c r="C215" s="112">
        <f>IF(B215="",0,IFERROR(AVERAGE(B213,B214,B215),0))</f>
        <v/>
      </c>
      <c r="D215" s="118" t="n"/>
    </row>
    <row r="216" ht="15" customHeight="1" s="64">
      <c r="A216" s="118" t="n"/>
      <c r="B216" s="118" t="n"/>
      <c r="C216" s="112">
        <f>IF(B216="",0,IFERROR(AVERAGE(B214,B215,B216),0))</f>
        <v/>
      </c>
      <c r="D216" s="118" t="n"/>
    </row>
    <row r="217" ht="15" customHeight="1" s="64">
      <c r="A217" s="118" t="n"/>
      <c r="B217" s="118" t="n"/>
      <c r="C217" s="112">
        <f>IF(B217="",0,IFERROR(AVERAGE(B215,B216,B217),0))</f>
        <v/>
      </c>
      <c r="D217" s="118" t="n"/>
    </row>
    <row r="218" ht="15" customHeight="1" s="64">
      <c r="A218" s="118" t="n"/>
      <c r="B218" s="118" t="n"/>
      <c r="C218" s="112">
        <f>IF(B218="",0,IFERROR(AVERAGE(B216,B217,B218),0))</f>
        <v/>
      </c>
      <c r="D218" s="118" t="n"/>
    </row>
    <row r="219" ht="15" customHeight="1" s="64">
      <c r="A219" s="118" t="n"/>
      <c r="B219" s="118" t="n"/>
      <c r="C219" s="112">
        <f>IF(B219="",0,IFERROR(AVERAGE(B217,B218,B219),0))</f>
        <v/>
      </c>
      <c r="D219" s="118" t="n"/>
    </row>
    <row r="220" ht="15" customHeight="1" s="64">
      <c r="A220" s="118" t="n"/>
      <c r="B220" s="118" t="n"/>
      <c r="C220" s="112">
        <f>IF(B220="",0,IFERROR(AVERAGE(B218,B219,B220),0))</f>
        <v/>
      </c>
      <c r="D220" s="118" t="n"/>
    </row>
    <row r="221" ht="15" customHeight="1" s="64">
      <c r="A221" s="118" t="n"/>
      <c r="B221" s="118" t="n"/>
      <c r="C221" s="112">
        <f>IF(B221="",0,IFERROR(AVERAGE(B219,B220,B221),0))</f>
        <v/>
      </c>
      <c r="D221" s="118" t="n"/>
    </row>
    <row r="222" ht="15" customHeight="1" s="64">
      <c r="A222" s="118" t="n"/>
      <c r="B222" s="118" t="n"/>
      <c r="C222" s="112">
        <f>IF(B222="",0,IFERROR(AVERAGE(B220,B221,B222),0))</f>
        <v/>
      </c>
      <c r="D222" s="118" t="n"/>
    </row>
    <row r="223" ht="15" customHeight="1" s="64">
      <c r="A223" s="118" t="n"/>
      <c r="B223" s="118" t="n"/>
      <c r="C223" s="112">
        <f>IF(B223="",0,IFERROR(AVERAGE(B221,B222,B223),0))</f>
        <v/>
      </c>
      <c r="D223" s="118" t="n"/>
    </row>
    <row r="224" ht="15" customHeight="1" s="64">
      <c r="A224" s="118" t="n"/>
      <c r="B224" s="118" t="n"/>
      <c r="C224" s="112">
        <f>IF(B224="",0,IFERROR(AVERAGE(B222,B223,B224),0))</f>
        <v/>
      </c>
      <c r="D224" s="118" t="n"/>
    </row>
    <row r="225" ht="15" customHeight="1" s="64">
      <c r="A225" s="118" t="n"/>
      <c r="B225" s="118" t="n"/>
      <c r="C225" s="112">
        <f>IF(B225="",0,IFERROR(AVERAGE(B223,B224,B225),0))</f>
        <v/>
      </c>
      <c r="D225" s="118" t="n"/>
    </row>
    <row r="226" ht="15" customHeight="1" s="64">
      <c r="A226" s="118" t="n"/>
      <c r="B226" s="118" t="n"/>
      <c r="C226" s="112">
        <f>IF(B226="",0,IFERROR(AVERAGE(B224,B225,B226),0))</f>
        <v/>
      </c>
      <c r="D226" s="118" t="n"/>
    </row>
    <row r="227" ht="15" customHeight="1" s="64">
      <c r="A227" s="118" t="n"/>
      <c r="B227" s="118" t="n"/>
      <c r="C227" s="112">
        <f>IF(B227="",0,IFERROR(AVERAGE(B225,B226,B227),0))</f>
        <v/>
      </c>
      <c r="D227" s="118" t="n"/>
    </row>
    <row r="228" ht="15" customHeight="1" s="64">
      <c r="A228" s="118" t="n"/>
      <c r="B228" s="118" t="n"/>
      <c r="C228" s="112">
        <f>IF(B228="",0,IFERROR(AVERAGE(B226,B227,B228),0))</f>
        <v/>
      </c>
      <c r="D228" s="118" t="n"/>
    </row>
    <row r="229" ht="15" customHeight="1" s="64">
      <c r="A229" s="118" t="n"/>
      <c r="B229" s="118" t="n"/>
      <c r="C229" s="112">
        <f>IF(B229="",0,IFERROR(AVERAGE(B227,B228,B229),0))</f>
        <v/>
      </c>
      <c r="D229" s="118" t="n"/>
    </row>
    <row r="230" ht="15" customHeight="1" s="64">
      <c r="A230" s="118" t="n"/>
      <c r="B230" s="118" t="n"/>
      <c r="C230" s="112">
        <f>IF(B230="",0,IFERROR(AVERAGE(B228,B229,B230),0))</f>
        <v/>
      </c>
      <c r="D230" s="118" t="n"/>
    </row>
    <row r="231" ht="15" customHeight="1" s="64">
      <c r="A231" s="118" t="n"/>
      <c r="B231" s="118" t="n"/>
      <c r="C231" s="112">
        <f>IF(B231="",0,IFERROR(AVERAGE(B229,B230,B231),0))</f>
        <v/>
      </c>
      <c r="D231" s="118" t="n"/>
    </row>
    <row r="232" ht="15" customHeight="1" s="64">
      <c r="A232" s="118" t="n"/>
      <c r="B232" s="118" t="n"/>
      <c r="C232" s="112">
        <f>IF(B232="",0,IFERROR(AVERAGE(B230,B231,B232),0))</f>
        <v/>
      </c>
      <c r="D232" s="118" t="n"/>
    </row>
    <row r="233" ht="15" customHeight="1" s="64">
      <c r="A233" s="118" t="n"/>
      <c r="B233" s="118" t="n"/>
      <c r="C233" s="112">
        <f>IF(B233="",0,IFERROR(AVERAGE(B231,B232,B233),0))</f>
        <v/>
      </c>
      <c r="D233" s="118" t="n"/>
    </row>
    <row r="234" ht="15" customHeight="1" s="64">
      <c r="A234" s="118" t="n"/>
      <c r="B234" s="118" t="n"/>
      <c r="C234" s="112">
        <f>IF(B234="",0,IFERROR(AVERAGE(B232,B233,B234),0))</f>
        <v/>
      </c>
      <c r="D234" s="118" t="n"/>
    </row>
    <row r="235" ht="15" customHeight="1" s="64">
      <c r="A235" s="118" t="n"/>
      <c r="B235" s="118" t="n"/>
      <c r="C235" s="112">
        <f>IF(B235="",0,IFERROR(AVERAGE(B233,B234,B235),0))</f>
        <v/>
      </c>
      <c r="D235" s="118" t="n"/>
    </row>
    <row r="236" ht="15" customHeight="1" s="64">
      <c r="A236" s="118" t="n"/>
      <c r="B236" s="118" t="n"/>
      <c r="C236" s="112">
        <f>IF(B236="",0,IFERROR(AVERAGE(B234,B235,B236),0))</f>
        <v/>
      </c>
      <c r="D236" s="118" t="n"/>
    </row>
    <row r="237" ht="15" customHeight="1" s="64">
      <c r="A237" s="118" t="n"/>
      <c r="B237" s="118" t="n"/>
      <c r="C237" s="112">
        <f>IF(B237="",0,IFERROR(AVERAGE(B235,B236,B237),0))</f>
        <v/>
      </c>
      <c r="D237" s="118" t="n"/>
    </row>
    <row r="238" ht="15" customHeight="1" s="64">
      <c r="A238" s="118" t="n"/>
      <c r="B238" s="118" t="n"/>
      <c r="C238" s="112">
        <f>IF(B238="",0,IFERROR(AVERAGE(B236,B237,B238),0))</f>
        <v/>
      </c>
      <c r="D238" s="118" t="n"/>
    </row>
    <row r="239" ht="15" customHeight="1" s="64">
      <c r="A239" s="118" t="n"/>
      <c r="B239" s="118" t="n"/>
      <c r="C239" s="112">
        <f>IF(B239="",0,IFERROR(AVERAGE(B237,B238,B239),0))</f>
        <v/>
      </c>
      <c r="D239" s="118" t="n"/>
    </row>
    <row r="240" ht="15" customHeight="1" s="64">
      <c r="A240" s="118" t="n"/>
      <c r="B240" s="118" t="n"/>
      <c r="C240" s="112">
        <f>IF(B240="",0,IFERROR(AVERAGE(B238,B239,B240),0))</f>
        <v/>
      </c>
      <c r="D240" s="118" t="n"/>
    </row>
    <row r="241" ht="15" customHeight="1" s="64">
      <c r="A241" s="118" t="n"/>
      <c r="B241" s="118" t="n"/>
      <c r="C241" s="112">
        <f>IF(B241="",0,IFERROR(AVERAGE(B239,B240,B241),0))</f>
        <v/>
      </c>
      <c r="D241" s="118" t="n"/>
    </row>
    <row r="242" ht="15" customHeight="1" s="64">
      <c r="A242" s="118" t="n"/>
      <c r="B242" s="118" t="n"/>
      <c r="C242" s="112">
        <f>IF(B242="",0,IFERROR(AVERAGE(B240,B241,B242),0))</f>
        <v/>
      </c>
      <c r="D242" s="118" t="n"/>
    </row>
    <row r="243" ht="15" customHeight="1" s="64">
      <c r="A243" s="118" t="n"/>
      <c r="B243" s="118" t="n"/>
      <c r="C243" s="112">
        <f>IF(B243="",0,IFERROR(AVERAGE(B241,B242,B243),0))</f>
        <v/>
      </c>
      <c r="D243" s="118" t="n"/>
    </row>
    <row r="244" ht="15" customHeight="1" s="64">
      <c r="A244" s="118" t="n"/>
      <c r="B244" s="118" t="n"/>
      <c r="C244" s="112">
        <f>IF(B244="",0,IFERROR(AVERAGE(B242,B243,B244),0))</f>
        <v/>
      </c>
      <c r="D244" s="118" t="n"/>
    </row>
    <row r="245" ht="15" customHeight="1" s="64">
      <c r="A245" s="118" t="n"/>
      <c r="B245" s="118" t="n"/>
      <c r="C245" s="112">
        <f>IF(B245="",0,IFERROR(AVERAGE(B243,B244,B245),0))</f>
        <v/>
      </c>
      <c r="D245" s="118" t="n"/>
    </row>
    <row r="246" ht="15" customHeight="1" s="64">
      <c r="A246" s="118" t="n"/>
      <c r="B246" s="118" t="n"/>
      <c r="C246" s="112">
        <f>IF(B246="",0,IFERROR(AVERAGE(B244,B245,B246),0))</f>
        <v/>
      </c>
      <c r="D246" s="118" t="n"/>
    </row>
    <row r="247" ht="15" customHeight="1" s="64">
      <c r="A247" s="118" t="n"/>
      <c r="B247" s="118" t="n"/>
      <c r="C247" s="112">
        <f>IF(B247="",0,IFERROR(AVERAGE(B245,B246,B247),0))</f>
        <v/>
      </c>
      <c r="D247" s="118" t="n"/>
    </row>
    <row r="248" ht="15" customHeight="1" s="64">
      <c r="A248" s="118" t="n"/>
      <c r="B248" s="118" t="n"/>
      <c r="C248" s="112">
        <f>IF(B248="",0,IFERROR(AVERAGE(B246,B247,B248),0))</f>
        <v/>
      </c>
      <c r="D248" s="118" t="n"/>
    </row>
    <row r="249" ht="15" customHeight="1" s="64">
      <c r="A249" s="118" t="n"/>
      <c r="B249" s="118" t="n"/>
      <c r="C249" s="112">
        <f>IF(B249="",0,IFERROR(AVERAGE(B247,B248,B249),0))</f>
        <v/>
      </c>
      <c r="D249" s="118" t="n"/>
    </row>
    <row r="250" ht="15" customHeight="1" s="64">
      <c r="A250" s="118" t="n"/>
      <c r="B250" s="118" t="n"/>
      <c r="C250" s="112">
        <f>IF(B250="",0,IFERROR(AVERAGE(B248,B249,B250),0))</f>
        <v/>
      </c>
      <c r="D250" s="118" t="n"/>
    </row>
    <row r="251" ht="15" customHeight="1" s="64">
      <c r="A251" s="118" t="n"/>
      <c r="B251" s="118" t="n"/>
      <c r="C251" s="112">
        <f>IF(B251="",0,IFERROR(AVERAGE(B249,B250,B251),0))</f>
        <v/>
      </c>
      <c r="D251" s="118" t="n"/>
    </row>
    <row r="252" ht="15" customHeight="1" s="64">
      <c r="A252" s="118" t="n"/>
      <c r="B252" s="118" t="n"/>
      <c r="C252" s="112">
        <f>IF(B252="",0,IFERROR(AVERAGE(B250,B251,B252),0))</f>
        <v/>
      </c>
      <c r="D252" s="118" t="n"/>
    </row>
    <row r="253" ht="15" customHeight="1" s="64">
      <c r="A253" s="118" t="n"/>
      <c r="B253" s="118" t="n"/>
      <c r="C253" s="112">
        <f>IF(B253="",0,IFERROR(AVERAGE(B251,B252,B253),0))</f>
        <v/>
      </c>
      <c r="D253" s="118" t="n"/>
    </row>
    <row r="254" ht="15" customHeight="1" s="64">
      <c r="A254" s="118" t="n"/>
      <c r="B254" s="118" t="n"/>
      <c r="C254" s="112">
        <f>IF(B254="",0,IFERROR(AVERAGE(B252,B253,B254),0))</f>
        <v/>
      </c>
      <c r="D254" s="118" t="n"/>
    </row>
    <row r="255" ht="15" customHeight="1" s="64">
      <c r="A255" s="118" t="n"/>
      <c r="B255" s="118" t="n"/>
      <c r="C255" s="112">
        <f>IF(B255="",0,IFERROR(AVERAGE(B253,B254,B255),0))</f>
        <v/>
      </c>
      <c r="D255" s="118" t="n"/>
    </row>
    <row r="256" ht="15" customHeight="1" s="64">
      <c r="A256" s="118" t="n"/>
      <c r="B256" s="118" t="n"/>
      <c r="C256" s="112">
        <f>IF(B256="",0,IFERROR(AVERAGE(B254,B255,B256),0))</f>
        <v/>
      </c>
      <c r="D256" s="118" t="n"/>
    </row>
    <row r="257" ht="15" customHeight="1" s="64">
      <c r="A257" s="118" t="n"/>
      <c r="B257" s="118" t="n"/>
      <c r="C257" s="112">
        <f>IF(B257="",0,IFERROR(AVERAGE(B255,B256,B257),0))</f>
        <v/>
      </c>
      <c r="D257" s="118" t="n"/>
    </row>
    <row r="258" ht="15" customHeight="1" s="64">
      <c r="A258" s="118" t="n"/>
      <c r="B258" s="118" t="n"/>
      <c r="C258" s="112">
        <f>IF(B258="",0,IFERROR(AVERAGE(B256,B257,B258),0))</f>
        <v/>
      </c>
      <c r="D258" s="118" t="n"/>
    </row>
    <row r="259" ht="15" customHeight="1" s="64">
      <c r="A259" s="118" t="n"/>
      <c r="B259" s="118" t="n"/>
      <c r="C259" s="112">
        <f>IF(B259="",0,IFERROR(AVERAGE(B257,B258,B259),0))</f>
        <v/>
      </c>
      <c r="D259" s="118" t="n"/>
    </row>
    <row r="260" ht="15" customHeight="1" s="64">
      <c r="A260" s="118" t="n"/>
      <c r="B260" s="118" t="n"/>
      <c r="C260" s="112">
        <f>IF(B260="",0,IFERROR(AVERAGE(B258,B259,B260),0))</f>
        <v/>
      </c>
      <c r="D260" s="118" t="n"/>
    </row>
    <row r="261" ht="15" customHeight="1" s="64">
      <c r="A261" s="118" t="n"/>
      <c r="B261" s="118" t="n"/>
      <c r="C261" s="112">
        <f>IF(B261="",0,IFERROR(AVERAGE(B259,B260,B261),0))</f>
        <v/>
      </c>
      <c r="D261" s="118" t="n"/>
    </row>
    <row r="262" ht="15" customHeight="1" s="64">
      <c r="A262" s="118" t="n"/>
      <c r="B262" s="118" t="n"/>
      <c r="C262" s="112">
        <f>IF(B262="",0,IFERROR(AVERAGE(B260,B261,B262),0))</f>
        <v/>
      </c>
      <c r="D262" s="118" t="n"/>
    </row>
    <row r="263" ht="15" customHeight="1" s="64">
      <c r="A263" s="118" t="n"/>
      <c r="B263" s="118" t="n"/>
      <c r="C263" s="112">
        <f>IF(B263="",0,IFERROR(AVERAGE(B261,B262,B263),0))</f>
        <v/>
      </c>
      <c r="D263" s="118" t="n"/>
    </row>
    <row r="264" ht="15" customHeight="1" s="64">
      <c r="A264" s="118" t="n"/>
      <c r="B264" s="118" t="n"/>
      <c r="C264" s="112">
        <f>IF(B264="",0,IFERROR(AVERAGE(B262,B263,B264),0))</f>
        <v/>
      </c>
      <c r="D264" s="118" t="n"/>
    </row>
    <row r="265" ht="15" customHeight="1" s="64">
      <c r="A265" s="118" t="n"/>
      <c r="B265" s="118" t="n"/>
      <c r="C265" s="112">
        <f>IF(B265="",0,IFERROR(AVERAGE(B263,B264,B265),0))</f>
        <v/>
      </c>
      <c r="D265" s="118" t="n"/>
    </row>
    <row r="266" ht="15" customHeight="1" s="64">
      <c r="A266" s="118" t="n"/>
      <c r="B266" s="118" t="n"/>
      <c r="C266" s="112">
        <f>IF(B266="",0,IFERROR(AVERAGE(B264,B265,B266),0))</f>
        <v/>
      </c>
      <c r="D266" s="118" t="n"/>
    </row>
    <row r="267" ht="15" customHeight="1" s="64">
      <c r="A267" s="118" t="n"/>
      <c r="B267" s="118" t="n"/>
      <c r="C267" s="112">
        <f>IF(B267="",0,IFERROR(AVERAGE(B265,B266,B267),0))</f>
        <v/>
      </c>
      <c r="D267" s="118" t="n"/>
    </row>
    <row r="268" ht="15" customHeight="1" s="64">
      <c r="A268" s="118" t="n"/>
      <c r="B268" s="118" t="n"/>
      <c r="C268" s="112">
        <f>IF(B268="",0,IFERROR(AVERAGE(B266,B267,B268),0))</f>
        <v/>
      </c>
      <c r="D268" s="118" t="n"/>
    </row>
    <row r="269" ht="15" customHeight="1" s="64">
      <c r="A269" s="118" t="n"/>
      <c r="B269" s="118" t="n"/>
      <c r="C269" s="112">
        <f>IF(B269="",0,IFERROR(AVERAGE(B267,B268,B269),0))</f>
        <v/>
      </c>
      <c r="D269" s="118" t="n"/>
    </row>
    <row r="270" ht="15" customHeight="1" s="64">
      <c r="A270" s="118" t="n"/>
      <c r="B270" s="118" t="n"/>
      <c r="C270" s="112">
        <f>IF(B270="",0,IFERROR(AVERAGE(B268,B269,B270),0))</f>
        <v/>
      </c>
      <c r="D270" s="118" t="n"/>
    </row>
    <row r="271" ht="15" customHeight="1" s="64">
      <c r="A271" s="118" t="n"/>
      <c r="B271" s="118" t="n"/>
      <c r="C271" s="112">
        <f>IF(B271="",0,IFERROR(AVERAGE(B269,B270,B271),0))</f>
        <v/>
      </c>
      <c r="D271" s="118" t="n"/>
    </row>
    <row r="272" ht="15" customHeight="1" s="64">
      <c r="A272" s="118" t="n"/>
      <c r="B272" s="118" t="n"/>
      <c r="C272" s="112">
        <f>IF(B272="",0,IFERROR(AVERAGE(B270,B271,B272),0))</f>
        <v/>
      </c>
      <c r="D272" s="118" t="n"/>
    </row>
    <row r="273" ht="15" customHeight="1" s="64">
      <c r="A273" s="118" t="n"/>
      <c r="B273" s="118" t="n"/>
      <c r="C273" s="112">
        <f>IF(B273="",0,IFERROR(AVERAGE(B271,B272,B273),0))</f>
        <v/>
      </c>
      <c r="D273" s="118" t="n"/>
    </row>
    <row r="274" ht="15" customHeight="1" s="64">
      <c r="A274" s="118" t="n"/>
      <c r="B274" s="118" t="n"/>
      <c r="C274" s="112">
        <f>IF(B274="",0,IFERROR(AVERAGE(B272,B273,B274),0))</f>
        <v/>
      </c>
      <c r="D274" s="118" t="n"/>
    </row>
    <row r="275" ht="15" customHeight="1" s="64">
      <c r="A275" s="118" t="n"/>
      <c r="B275" s="118" t="n"/>
      <c r="C275" s="112">
        <f>IF(B275="",0,IFERROR(AVERAGE(B273,B274,B275),0))</f>
        <v/>
      </c>
      <c r="D275" s="118" t="n"/>
    </row>
    <row r="276" ht="15" customHeight="1" s="64">
      <c r="A276" s="118" t="n"/>
      <c r="B276" s="118" t="n"/>
      <c r="C276" s="112">
        <f>IF(B276="",0,IFERROR(AVERAGE(B274,B275,B276),0))</f>
        <v/>
      </c>
      <c r="D276" s="118" t="n"/>
    </row>
    <row r="277" ht="15" customHeight="1" s="64">
      <c r="A277" s="118" t="n"/>
      <c r="B277" s="118" t="n"/>
      <c r="C277" s="112">
        <f>IF(B277="",0,IFERROR(AVERAGE(B275,B276,B277),0))</f>
        <v/>
      </c>
      <c r="D277" s="118" t="n"/>
    </row>
    <row r="278" ht="15" customHeight="1" s="64">
      <c r="A278" s="118" t="n"/>
      <c r="B278" s="118" t="n"/>
      <c r="C278" s="112">
        <f>IF(B278="",0,IFERROR(AVERAGE(B276,B277,B278),0))</f>
        <v/>
      </c>
      <c r="D278" s="118" t="n"/>
    </row>
    <row r="279" ht="15" customHeight="1" s="64">
      <c r="A279" s="118" t="n"/>
      <c r="B279" s="118" t="n"/>
      <c r="C279" s="112">
        <f>IF(B279="",0,IFERROR(AVERAGE(B277,B278,B279),0))</f>
        <v/>
      </c>
      <c r="D279" s="118" t="n"/>
    </row>
    <row r="280" ht="15" customHeight="1" s="64">
      <c r="A280" s="118" t="n"/>
      <c r="B280" s="118" t="n"/>
      <c r="C280" s="112">
        <f>IF(B280="",0,IFERROR(AVERAGE(B278,B279,B280),0))</f>
        <v/>
      </c>
      <c r="D280" s="118" t="n"/>
    </row>
    <row r="281" ht="15" customHeight="1" s="64">
      <c r="A281" s="118" t="n"/>
      <c r="B281" s="118" t="n"/>
      <c r="C281" s="112">
        <f>IF(B281="",0,IFERROR(AVERAGE(B279,B280,B281),0))</f>
        <v/>
      </c>
      <c r="D281" s="118" t="n"/>
    </row>
    <row r="282" ht="15" customHeight="1" s="64">
      <c r="A282" s="118" t="n"/>
      <c r="B282" s="118" t="n"/>
      <c r="C282" s="112">
        <f>IF(B282="",0,IFERROR(AVERAGE(B280,B281,B282),0))</f>
        <v/>
      </c>
      <c r="D282" s="118" t="n"/>
    </row>
    <row r="283" ht="15" customHeight="1" s="64">
      <c r="A283" s="118" t="n"/>
      <c r="B283" s="118" t="n"/>
      <c r="C283" s="112">
        <f>IF(B283="",0,IFERROR(AVERAGE(B281,B282,B283),0))</f>
        <v/>
      </c>
      <c r="D283" s="118" t="n"/>
    </row>
    <row r="284" ht="15" customHeight="1" s="64">
      <c r="A284" s="118" t="n"/>
      <c r="B284" s="118" t="n"/>
      <c r="C284" s="112">
        <f>IF(B284="",0,IFERROR(AVERAGE(B282,B283,B284),0))</f>
        <v/>
      </c>
      <c r="D284" s="118" t="n"/>
    </row>
    <row r="285" ht="15" customHeight="1" s="64">
      <c r="A285" s="118" t="n"/>
      <c r="B285" s="118" t="n"/>
      <c r="C285" s="112">
        <f>IF(B285="",0,IFERROR(AVERAGE(B283,B284,B285),0))</f>
        <v/>
      </c>
      <c r="D285" s="118" t="n"/>
    </row>
    <row r="286" ht="15" customHeight="1" s="64">
      <c r="A286" s="118" t="n"/>
      <c r="B286" s="118" t="n"/>
      <c r="C286" s="112">
        <f>IF(B286="",0,IFERROR(AVERAGE(B284,B285,B286),0))</f>
        <v/>
      </c>
      <c r="D286" s="118" t="n"/>
    </row>
    <row r="287" ht="15" customHeight="1" s="64">
      <c r="A287" s="118" t="n"/>
      <c r="B287" s="118" t="n"/>
      <c r="C287" s="112">
        <f>IF(B287="",0,IFERROR(AVERAGE(B285,B286,B287),0))</f>
        <v/>
      </c>
      <c r="D287" s="118" t="n"/>
    </row>
    <row r="288" ht="15" customHeight="1" s="64">
      <c r="A288" s="118" t="n"/>
      <c r="B288" s="118" t="n"/>
      <c r="C288" s="112">
        <f>IF(B288="",0,IFERROR(AVERAGE(B286,B287,B288),0))</f>
        <v/>
      </c>
      <c r="D288" s="118" t="n"/>
    </row>
    <row r="289" ht="15" customHeight="1" s="64">
      <c r="A289" s="118" t="n"/>
      <c r="B289" s="118" t="n"/>
      <c r="C289" s="112">
        <f>IF(B289="",0,IFERROR(AVERAGE(B287,B288,B289),0))</f>
        <v/>
      </c>
      <c r="D289" s="118" t="n"/>
    </row>
    <row r="290" ht="15" customHeight="1" s="64">
      <c r="A290" s="118" t="n"/>
      <c r="B290" s="118" t="n"/>
      <c r="C290" s="112">
        <f>IF(B290="",0,IFERROR(AVERAGE(B288,B289,B290),0))</f>
        <v/>
      </c>
      <c r="D290" s="118" t="n"/>
    </row>
    <row r="291" ht="15" customHeight="1" s="64">
      <c r="A291" s="118" t="n"/>
      <c r="B291" s="118" t="n"/>
      <c r="C291" s="112">
        <f>IF(B291="",0,IFERROR(AVERAGE(B289,B290,B291),0))</f>
        <v/>
      </c>
      <c r="D291" s="118" t="n"/>
    </row>
    <row r="292" ht="15" customHeight="1" s="64">
      <c r="A292" s="118" t="n"/>
      <c r="B292" s="118" t="n"/>
      <c r="C292" s="112">
        <f>IF(B292="",0,IFERROR(AVERAGE(B290,B291,B292),0))</f>
        <v/>
      </c>
      <c r="D292" s="118" t="n"/>
    </row>
    <row r="293" ht="15" customHeight="1" s="64">
      <c r="A293" s="118" t="n"/>
      <c r="B293" s="118" t="n"/>
      <c r="C293" s="112">
        <f>IF(B293="",0,IFERROR(AVERAGE(B291,B292,B293),0))</f>
        <v/>
      </c>
      <c r="D293" s="118" t="n"/>
    </row>
    <row r="294" ht="15" customHeight="1" s="64">
      <c r="A294" s="118" t="n"/>
      <c r="B294" s="118" t="n"/>
      <c r="C294" s="112">
        <f>IF(B294="",0,IFERROR(AVERAGE(B292,B293,B294),0))</f>
        <v/>
      </c>
      <c r="D294" s="118" t="n"/>
    </row>
    <row r="295" ht="15" customHeight="1" s="64">
      <c r="A295" s="118" t="n"/>
      <c r="B295" s="118" t="n"/>
      <c r="C295" s="112">
        <f>IF(B295="",0,IFERROR(AVERAGE(B293,B294,B295),0))</f>
        <v/>
      </c>
      <c r="D295" s="118" t="n"/>
    </row>
    <row r="296" ht="15" customHeight="1" s="64">
      <c r="A296" s="118" t="n"/>
      <c r="B296" s="118" t="n"/>
      <c r="C296" s="112">
        <f>IF(B296="",0,IFERROR(AVERAGE(B294,B295,B296),0))</f>
        <v/>
      </c>
      <c r="D296" s="118" t="n"/>
    </row>
    <row r="297" ht="15" customHeight="1" s="64">
      <c r="A297" s="118" t="n"/>
      <c r="B297" s="118" t="n"/>
      <c r="C297" s="112">
        <f>IF(B297="",0,IFERROR(AVERAGE(B295,B296,B297),0))</f>
        <v/>
      </c>
      <c r="D297" s="118" t="n"/>
    </row>
    <row r="298" ht="15" customHeight="1" s="64">
      <c r="A298" s="118" t="n"/>
      <c r="B298" s="118" t="n"/>
      <c r="C298" s="112">
        <f>IF(B298="",0,IFERROR(AVERAGE(B296,B297,B298),0))</f>
        <v/>
      </c>
      <c r="D298" s="118" t="n"/>
    </row>
    <row r="299" ht="15" customHeight="1" s="64">
      <c r="A299" s="118" t="n"/>
      <c r="B299" s="118" t="n"/>
      <c r="C299" s="112">
        <f>IF(B299="",0,IFERROR(AVERAGE(B297,B298,B299),0))</f>
        <v/>
      </c>
      <c r="D299" s="118" t="n"/>
    </row>
    <row r="300" ht="15" customHeight="1" s="64">
      <c r="A300" s="118" t="n"/>
      <c r="B300" s="118" t="n"/>
      <c r="C300" s="112">
        <f>IF(B300="",0,IFERROR(AVERAGE(B298,B299,B300),0))</f>
        <v/>
      </c>
      <c r="D300" s="118" t="n"/>
    </row>
    <row r="301" ht="15" customHeight="1" s="64">
      <c r="A301" s="118" t="n"/>
      <c r="B301" s="118" t="n"/>
      <c r="C301" s="112">
        <f>IF(B301="",0,IFERROR(AVERAGE(B299,B300,B301),0))</f>
        <v/>
      </c>
      <c r="D301" s="118" t="n"/>
    </row>
    <row r="302" ht="15" customHeight="1" s="64">
      <c r="A302" s="118" t="n"/>
      <c r="B302" s="118" t="n"/>
      <c r="C302" s="112">
        <f>IF(B302="",0,IFERROR(AVERAGE(B300,B301,B302),0))</f>
        <v/>
      </c>
      <c r="D302" s="118" t="n"/>
    </row>
    <row r="303" ht="15" customHeight="1" s="64">
      <c r="A303" s="118" t="n"/>
      <c r="B303" s="118" t="n"/>
      <c r="C303" s="112">
        <f>IF(B303="",0,IFERROR(AVERAGE(B301,B302,B303),0))</f>
        <v/>
      </c>
      <c r="D303" s="118" t="n"/>
    </row>
    <row r="304" ht="15" customHeight="1" s="64">
      <c r="A304" s="118" t="n"/>
      <c r="B304" s="118" t="n"/>
      <c r="C304" s="112">
        <f>IF(B304="",0,IFERROR(AVERAGE(B302,B303,B304),0))</f>
        <v/>
      </c>
      <c r="D304" s="118" t="n"/>
    </row>
    <row r="305" ht="15" customHeight="1" s="64">
      <c r="A305" s="118" t="n"/>
      <c r="B305" s="118" t="n"/>
      <c r="C305" s="112">
        <f>IF(B305="",0,IFERROR(AVERAGE(B303,B304,B305),0))</f>
        <v/>
      </c>
      <c r="D305" s="118" t="n"/>
    </row>
    <row r="306" ht="15" customHeight="1" s="64">
      <c r="A306" s="118" t="n"/>
      <c r="B306" s="118" t="n"/>
      <c r="C306" s="112">
        <f>IF(B306="",0,IFERROR(AVERAGE(B304,B305,B306),0))</f>
        <v/>
      </c>
      <c r="D306" s="118" t="n"/>
    </row>
    <row r="307" ht="15" customHeight="1" s="64">
      <c r="A307" s="118" t="n"/>
      <c r="B307" s="118" t="n"/>
      <c r="C307" s="112">
        <f>IF(B307="",0,IFERROR(AVERAGE(B305,B306,B307),0))</f>
        <v/>
      </c>
      <c r="D307" s="118" t="n"/>
    </row>
    <row r="308" ht="15" customHeight="1" s="64">
      <c r="A308" s="118" t="n"/>
      <c r="B308" s="118" t="n"/>
      <c r="C308" s="112">
        <f>IF(B308="",0,IFERROR(AVERAGE(B306,B307,B308),0))</f>
        <v/>
      </c>
      <c r="D308" s="118" t="n"/>
    </row>
    <row r="309" ht="15" customHeight="1" s="64">
      <c r="A309" s="118" t="n"/>
      <c r="B309" s="118" t="n"/>
      <c r="C309" s="112">
        <f>IF(B309="",0,IFERROR(AVERAGE(B307,B308,B309),0))</f>
        <v/>
      </c>
      <c r="D309" s="118" t="n"/>
    </row>
    <row r="310" ht="15" customHeight="1" s="64">
      <c r="A310" s="118" t="n"/>
      <c r="B310" s="118" t="n"/>
      <c r="C310" s="112">
        <f>IF(B310="",0,IFERROR(AVERAGE(B308,B309,B310),0))</f>
        <v/>
      </c>
      <c r="D310" s="118" t="n"/>
    </row>
    <row r="311" ht="15" customHeight="1" s="64">
      <c r="A311" s="118" t="n"/>
      <c r="B311" s="118" t="n"/>
      <c r="C311" s="112">
        <f>IF(B311="",0,IFERROR(AVERAGE(B309,B310,B311),0))</f>
        <v/>
      </c>
      <c r="D311" s="118" t="n"/>
    </row>
    <row r="312" ht="15" customHeight="1" s="64">
      <c r="A312" s="118" t="n"/>
      <c r="B312" s="118" t="n"/>
      <c r="C312" s="112">
        <f>IF(B312="",0,IFERROR(AVERAGE(B310,B311,B312),0))</f>
        <v/>
      </c>
      <c r="D312" s="118" t="n"/>
    </row>
    <row r="313" ht="15" customHeight="1" s="64">
      <c r="A313" s="118" t="n"/>
      <c r="B313" s="118" t="n"/>
      <c r="C313" s="112">
        <f>IF(B313="",0,IFERROR(AVERAGE(B311,B312,B313),0))</f>
        <v/>
      </c>
      <c r="D313" s="118" t="n"/>
    </row>
    <row r="314" ht="15" customHeight="1" s="64">
      <c r="A314" s="118" t="n"/>
      <c r="B314" s="118" t="n"/>
      <c r="C314" s="112">
        <f>IF(B314="",0,IFERROR(AVERAGE(B312,B313,B314),0))</f>
        <v/>
      </c>
      <c r="D314" s="118" t="n"/>
    </row>
    <row r="315" ht="15" customHeight="1" s="64">
      <c r="A315" s="118" t="n"/>
      <c r="B315" s="118" t="n"/>
      <c r="C315" s="112">
        <f>IF(B315="",0,IFERROR(AVERAGE(B313,B314,B315),0))</f>
        <v/>
      </c>
      <c r="D315" s="118" t="n"/>
    </row>
    <row r="316" ht="15" customHeight="1" s="64">
      <c r="A316" s="118" t="n"/>
      <c r="B316" s="118" t="n"/>
      <c r="C316" s="112">
        <f>IF(B316="",0,IFERROR(AVERAGE(B314,B315,B316),0))</f>
        <v/>
      </c>
      <c r="D316" s="118" t="n"/>
    </row>
    <row r="317" ht="15" customHeight="1" s="64">
      <c r="A317" s="118" t="n"/>
      <c r="B317" s="118" t="n"/>
      <c r="C317" s="112">
        <f>IF(B317="",0,IFERROR(AVERAGE(B315,B316,B317),0))</f>
        <v/>
      </c>
      <c r="D317" s="118" t="n"/>
    </row>
    <row r="318" ht="15" customHeight="1" s="64">
      <c r="A318" s="118" t="n"/>
      <c r="B318" s="118" t="n"/>
      <c r="C318" s="112">
        <f>IF(B318="",0,IFERROR(AVERAGE(B316,B317,B318),0))</f>
        <v/>
      </c>
      <c r="D318" s="118" t="n"/>
    </row>
    <row r="319" ht="15" customHeight="1" s="64">
      <c r="A319" s="118" t="n"/>
      <c r="B319" s="118" t="n"/>
      <c r="C319" s="112">
        <f>IF(B319="",0,IFERROR(AVERAGE(B317,B318,B319),0))</f>
        <v/>
      </c>
      <c r="D319" s="118" t="n"/>
    </row>
    <row r="320" ht="15" customHeight="1" s="64">
      <c r="A320" s="118" t="n"/>
      <c r="B320" s="118" t="n"/>
      <c r="C320" s="112">
        <f>IF(B320="",0,IFERROR(AVERAGE(B318,B319,B320),0))</f>
        <v/>
      </c>
      <c r="D320" s="118" t="n"/>
    </row>
    <row r="321" ht="15" customHeight="1" s="64">
      <c r="A321" s="118" t="n"/>
      <c r="B321" s="118" t="n"/>
      <c r="C321" s="112">
        <f>IF(B321="",0,IFERROR(AVERAGE(B319,B320,B321),0))</f>
        <v/>
      </c>
      <c r="D321" s="118" t="n"/>
    </row>
    <row r="322" ht="15" customHeight="1" s="64">
      <c r="A322" s="118" t="n"/>
      <c r="B322" s="118" t="n"/>
      <c r="C322" s="112">
        <f>IF(B322="",0,IFERROR(AVERAGE(B320,B321,B322),0))</f>
        <v/>
      </c>
      <c r="D322" s="118" t="n"/>
    </row>
    <row r="323" ht="15" customHeight="1" s="64">
      <c r="A323" s="118" t="n"/>
      <c r="B323" s="118" t="n"/>
      <c r="C323" s="112">
        <f>IF(B323="",0,IFERROR(AVERAGE(B321,B322,B323),0))</f>
        <v/>
      </c>
      <c r="D323" s="118" t="n"/>
    </row>
    <row r="324" ht="15" customHeight="1" s="64">
      <c r="A324" s="118" t="n"/>
      <c r="B324" s="118" t="n"/>
      <c r="C324" s="112">
        <f>IF(B324="",0,IFERROR(AVERAGE(B322,B323,B324),0))</f>
        <v/>
      </c>
      <c r="D324" s="118" t="n"/>
    </row>
    <row r="325" ht="15" customHeight="1" s="64">
      <c r="A325" s="118" t="n"/>
      <c r="B325" s="118" t="n"/>
      <c r="C325" s="112">
        <f>IF(B325="",0,IFERROR(AVERAGE(B323,B324,B325),0))</f>
        <v/>
      </c>
      <c r="D325" s="118" t="n"/>
    </row>
    <row r="326" ht="15" customHeight="1" s="64">
      <c r="A326" s="118" t="n"/>
      <c r="B326" s="118" t="n"/>
      <c r="C326" s="112">
        <f>IF(B326="",0,IFERROR(AVERAGE(B324,B325,B326),0))</f>
        <v/>
      </c>
      <c r="D326" s="118" t="n"/>
    </row>
    <row r="327" ht="15" customHeight="1" s="64">
      <c r="A327" s="118" t="n"/>
      <c r="B327" s="118" t="n"/>
      <c r="C327" s="112">
        <f>IF(B327="",0,IFERROR(AVERAGE(B325,B326,B327),0))</f>
        <v/>
      </c>
      <c r="D327" s="118" t="n"/>
    </row>
    <row r="328" ht="15" customHeight="1" s="64">
      <c r="A328" s="118" t="n"/>
      <c r="B328" s="118" t="n"/>
      <c r="C328" s="112">
        <f>IF(B328="",0,IFERROR(AVERAGE(B326,B327,B328),0))</f>
        <v/>
      </c>
      <c r="D328" s="118" t="n"/>
    </row>
    <row r="329" ht="15" customHeight="1" s="64">
      <c r="A329" s="118" t="n"/>
      <c r="B329" s="118" t="n"/>
      <c r="C329" s="112">
        <f>IF(B329="",0,IFERROR(AVERAGE(B327,B328,B329),0))</f>
        <v/>
      </c>
      <c r="D329" s="118" t="n"/>
    </row>
    <row r="330" ht="15" customHeight="1" s="64">
      <c r="A330" s="118" t="n"/>
      <c r="B330" s="118" t="n"/>
      <c r="C330" s="112">
        <f>IF(B330="",0,IFERROR(AVERAGE(B328,B329,B330),0))</f>
        <v/>
      </c>
      <c r="D330" s="118" t="n"/>
    </row>
    <row r="331" ht="15" customHeight="1" s="64">
      <c r="A331" s="118" t="n"/>
      <c r="B331" s="118" t="n"/>
      <c r="C331" s="112">
        <f>IF(B331="",0,IFERROR(AVERAGE(B329,B330,B331),0))</f>
        <v/>
      </c>
      <c r="D331" s="118" t="n"/>
    </row>
    <row r="332" ht="15" customHeight="1" s="64">
      <c r="A332" s="118" t="n"/>
      <c r="B332" s="118" t="n"/>
      <c r="C332" s="112">
        <f>IF(B332="",0,IFERROR(AVERAGE(B330,B331,B332),0))</f>
        <v/>
      </c>
      <c r="D332" s="118" t="n"/>
    </row>
    <row r="333" ht="15" customHeight="1" s="64">
      <c r="A333" s="118" t="n"/>
      <c r="B333" s="118" t="n"/>
      <c r="C333" s="112">
        <f>IF(B333="",0,IFERROR(AVERAGE(B331,B332,B333),0))</f>
        <v/>
      </c>
      <c r="D333" s="118" t="n"/>
    </row>
    <row r="334" ht="15" customHeight="1" s="64">
      <c r="A334" s="118" t="n"/>
      <c r="B334" s="118" t="n"/>
      <c r="C334" s="112">
        <f>IF(B334="",0,IFERROR(AVERAGE(B332,B333,B334),0))</f>
        <v/>
      </c>
      <c r="D334" s="118" t="n"/>
    </row>
    <row r="335" ht="15" customHeight="1" s="64">
      <c r="A335" s="118" t="n"/>
      <c r="B335" s="118" t="n"/>
      <c r="C335" s="112">
        <f>IF(B335="",0,IFERROR(AVERAGE(B333,B334,B335),0))</f>
        <v/>
      </c>
      <c r="D335" s="118" t="n"/>
    </row>
    <row r="336" ht="15" customHeight="1" s="64">
      <c r="A336" s="118" t="n"/>
      <c r="B336" s="118" t="n"/>
      <c r="C336" s="112">
        <f>IF(B336="",0,IFERROR(AVERAGE(B334,B335,B336),0))</f>
        <v/>
      </c>
      <c r="D336" s="118" t="n"/>
    </row>
    <row r="337" ht="15" customHeight="1" s="64">
      <c r="A337" s="118" t="n"/>
      <c r="B337" s="118" t="n"/>
      <c r="C337" s="112">
        <f>IF(B337="",0,IFERROR(AVERAGE(B335,B336,B337),0))</f>
        <v/>
      </c>
      <c r="D337" s="118" t="n"/>
    </row>
    <row r="338" ht="15" customHeight="1" s="64">
      <c r="A338" s="118" t="n"/>
      <c r="B338" s="118" t="n"/>
      <c r="C338" s="112">
        <f>IF(B338="",0,IFERROR(AVERAGE(B336,B337,B338),0))</f>
        <v/>
      </c>
      <c r="D338" s="118" t="n"/>
    </row>
    <row r="339" ht="15" customHeight="1" s="64">
      <c r="A339" s="118" t="n"/>
      <c r="B339" s="118" t="n"/>
      <c r="C339" s="112">
        <f>IF(B339="",0,IFERROR(AVERAGE(B337,B338,B339),0))</f>
        <v/>
      </c>
      <c r="D339" s="118" t="n"/>
    </row>
    <row r="340" ht="15" customHeight="1" s="64">
      <c r="A340" s="118" t="n"/>
      <c r="B340" s="118" t="n"/>
      <c r="C340" s="112">
        <f>IF(B340="",0,IFERROR(AVERAGE(B338,B339,B340),0))</f>
        <v/>
      </c>
      <c r="D340" s="118" t="n"/>
    </row>
    <row r="341" ht="15" customHeight="1" s="64">
      <c r="A341" s="118" t="n"/>
      <c r="B341" s="118" t="n"/>
      <c r="C341" s="112">
        <f>IF(B341="",0,IFERROR(AVERAGE(B339,B340,B341),0))</f>
        <v/>
      </c>
      <c r="D341" s="118" t="n"/>
    </row>
    <row r="342" ht="15" customHeight="1" s="64">
      <c r="A342" s="118" t="n"/>
      <c r="B342" s="118" t="n"/>
      <c r="C342" s="112">
        <f>IF(B342="",0,IFERROR(AVERAGE(B340,B341,B342),0))</f>
        <v/>
      </c>
      <c r="D342" s="118" t="n"/>
    </row>
    <row r="343" ht="15" customHeight="1" s="64">
      <c r="A343" s="118" t="n"/>
      <c r="B343" s="118" t="n"/>
      <c r="C343" s="112">
        <f>IF(B343="",0,IFERROR(AVERAGE(B341,B342,B343),0))</f>
        <v/>
      </c>
      <c r="D343" s="118" t="n"/>
    </row>
    <row r="344" ht="15" customHeight="1" s="64">
      <c r="A344" s="118" t="n"/>
      <c r="B344" s="118" t="n"/>
      <c r="C344" s="112">
        <f>IF(B344="",0,IFERROR(AVERAGE(B342,B343,B344),0))</f>
        <v/>
      </c>
      <c r="D344" s="118" t="n"/>
    </row>
    <row r="345" ht="15" customHeight="1" s="64">
      <c r="A345" s="118" t="n"/>
      <c r="B345" s="118" t="n"/>
      <c r="C345" s="112">
        <f>IF(B345="",0,IFERROR(AVERAGE(B343,B344,B345),0))</f>
        <v/>
      </c>
      <c r="D345" s="118" t="n"/>
    </row>
    <row r="346" ht="15" customHeight="1" s="64">
      <c r="A346" s="118" t="n"/>
      <c r="B346" s="118" t="n"/>
      <c r="C346" s="112">
        <f>IF(B346="",0,IFERROR(AVERAGE(B344,B345,B346),0))</f>
        <v/>
      </c>
      <c r="D346" s="118" t="n"/>
    </row>
    <row r="347" ht="15" customHeight="1" s="64">
      <c r="A347" s="118" t="n"/>
      <c r="B347" s="118" t="n"/>
      <c r="C347" s="112">
        <f>IF(B347="",0,IFERROR(AVERAGE(B345,B346,B347),0))</f>
        <v/>
      </c>
      <c r="D347" s="118" t="n"/>
    </row>
    <row r="348" ht="15" customHeight="1" s="64">
      <c r="A348" s="118" t="n"/>
      <c r="B348" s="118" t="n"/>
      <c r="C348" s="112">
        <f>IF(B348="",0,IFERROR(AVERAGE(B346,B347,B348),0))</f>
        <v/>
      </c>
      <c r="D348" s="118" t="n"/>
    </row>
    <row r="349" ht="15" customHeight="1" s="64">
      <c r="A349" s="118" t="n"/>
      <c r="B349" s="118" t="n"/>
      <c r="C349" s="112">
        <f>IF(B349="",0,IFERROR(AVERAGE(B347,B348,B349),0))</f>
        <v/>
      </c>
      <c r="D349" s="118" t="n"/>
    </row>
    <row r="350" ht="15" customHeight="1" s="64">
      <c r="A350" s="118" t="n"/>
      <c r="B350" s="118" t="n"/>
      <c r="C350" s="112">
        <f>IF(B350="",0,IFERROR(AVERAGE(B348,B349,B350),0))</f>
        <v/>
      </c>
      <c r="D350" s="118" t="n"/>
    </row>
    <row r="351" ht="15" customHeight="1" s="64">
      <c r="A351" s="118" t="n"/>
      <c r="B351" s="118" t="n"/>
      <c r="C351" s="112">
        <f>IF(B351="",0,IFERROR(AVERAGE(B349,B350,B351),0))</f>
        <v/>
      </c>
      <c r="D351" s="118" t="n"/>
    </row>
    <row r="352" ht="15" customHeight="1" s="64">
      <c r="A352" s="118" t="n"/>
      <c r="B352" s="118" t="n"/>
      <c r="C352" s="112">
        <f>IF(B352="",0,IFERROR(AVERAGE(B350,B351,B352),0))</f>
        <v/>
      </c>
      <c r="D352" s="118" t="n"/>
    </row>
    <row r="353" ht="15" customHeight="1" s="64">
      <c r="A353" s="118" t="n"/>
      <c r="B353" s="118" t="n"/>
      <c r="C353" s="112">
        <f>IF(B353="",0,IFERROR(AVERAGE(B351,B352,B353),0))</f>
        <v/>
      </c>
      <c r="D353" s="118" t="n"/>
    </row>
    <row r="354" ht="15" customHeight="1" s="64">
      <c r="A354" s="118" t="n"/>
      <c r="B354" s="118" t="n"/>
      <c r="C354" s="112">
        <f>IF(B354="",0,IFERROR(AVERAGE(B352,B353,B354),0))</f>
        <v/>
      </c>
      <c r="D354" s="118" t="n"/>
    </row>
    <row r="355" ht="15" customHeight="1" s="64">
      <c r="A355" s="118" t="n"/>
      <c r="B355" s="118" t="n"/>
      <c r="C355" s="112">
        <f>IF(B355="",0,IFERROR(AVERAGE(B353,B354,B355),0))</f>
        <v/>
      </c>
      <c r="D355" s="118" t="n"/>
    </row>
    <row r="356" ht="15" customHeight="1" s="64">
      <c r="A356" s="118" t="n"/>
      <c r="B356" s="118" t="n"/>
      <c r="C356" s="112">
        <f>IF(B356="",0,IFERROR(AVERAGE(B354,B355,B356),0))</f>
        <v/>
      </c>
      <c r="D356" s="118" t="n"/>
    </row>
    <row r="357" ht="15" customHeight="1" s="64">
      <c r="A357" s="118" t="n"/>
      <c r="B357" s="118" t="n"/>
      <c r="C357" s="112">
        <f>IF(B357="",0,IFERROR(AVERAGE(B355,B356,B357),0))</f>
        <v/>
      </c>
      <c r="D357" s="118" t="n"/>
    </row>
    <row r="358" ht="15" customHeight="1" s="64">
      <c r="A358" s="118" t="n"/>
      <c r="B358" s="118" t="n"/>
      <c r="C358" s="112">
        <f>IF(B358="",0,IFERROR(AVERAGE(B356,B357,B358),0))</f>
        <v/>
      </c>
      <c r="D358" s="118" t="n"/>
    </row>
    <row r="359" ht="15" customHeight="1" s="64">
      <c r="A359" s="118" t="n"/>
      <c r="B359" s="118" t="n"/>
      <c r="C359" s="112">
        <f>IF(B359="",0,IFERROR(AVERAGE(B357,B358,B359),0))</f>
        <v/>
      </c>
      <c r="D359" s="118" t="n"/>
    </row>
    <row r="360" ht="15" customHeight="1" s="64">
      <c r="A360" s="118" t="n"/>
      <c r="B360" s="118" t="n"/>
      <c r="C360" s="112">
        <f>IF(B360="",0,IFERROR(AVERAGE(B358,B359,B360),0))</f>
        <v/>
      </c>
      <c r="D360" s="118" t="n"/>
    </row>
    <row r="361" ht="15" customHeight="1" s="64">
      <c r="A361" s="118" t="n"/>
      <c r="B361" s="118" t="n"/>
      <c r="C361" s="112">
        <f>IF(B361="",0,IFERROR(AVERAGE(B359,B360,B361),0))</f>
        <v/>
      </c>
      <c r="D361" s="118" t="n"/>
    </row>
    <row r="362" ht="15" customHeight="1" s="64">
      <c r="A362" s="118" t="n"/>
      <c r="B362" s="118" t="n"/>
      <c r="C362" s="112">
        <f>IF(B362="",0,IFERROR(AVERAGE(B360,B361,B362),0))</f>
        <v/>
      </c>
      <c r="D362" s="118" t="n"/>
    </row>
    <row r="363" ht="15" customHeight="1" s="64">
      <c r="A363" s="118" t="n"/>
      <c r="B363" s="118" t="n"/>
      <c r="C363" s="112">
        <f>IF(B363="",0,IFERROR(AVERAGE(B361,B362,B363),0))</f>
        <v/>
      </c>
      <c r="D363" s="118" t="n"/>
    </row>
    <row r="364" ht="15" customHeight="1" s="64">
      <c r="A364" s="118" t="n"/>
      <c r="B364" s="118" t="n"/>
      <c r="C364" s="112">
        <f>IF(B364="",0,IFERROR(AVERAGE(B362,B363,B364),0))</f>
        <v/>
      </c>
      <c r="D364" s="118" t="n"/>
    </row>
    <row r="365" ht="15" customHeight="1" s="64">
      <c r="A365" s="118" t="n"/>
      <c r="B365" s="118" t="n"/>
      <c r="C365" s="112">
        <f>IF(B365="",0,IFERROR(AVERAGE(B363,B364,B365),0))</f>
        <v/>
      </c>
      <c r="D365" s="118" t="n"/>
    </row>
    <row r="366" ht="15" customHeight="1" s="64">
      <c r="A366" s="118" t="n"/>
      <c r="B366" s="118" t="n"/>
      <c r="C366" s="112">
        <f>IF(B366="",0,IFERROR(AVERAGE(B364,B365,B366),0))</f>
        <v/>
      </c>
      <c r="D366" s="118" t="n"/>
    </row>
    <row r="367" ht="15" customHeight="1" s="64">
      <c r="A367" s="118" t="n"/>
      <c r="B367" s="118" t="n"/>
      <c r="C367" s="112">
        <f>IF(B367="",0,IFERROR(AVERAGE(B365,B366,B367),0))</f>
        <v/>
      </c>
      <c r="D367" s="118" t="n"/>
    </row>
    <row r="368" ht="15" customHeight="1" s="64">
      <c r="A368" s="118" t="n"/>
      <c r="B368" s="118" t="n"/>
      <c r="C368" s="112">
        <f>IF(B368="",0,IFERROR(AVERAGE(B366,B367,B368),0))</f>
        <v/>
      </c>
      <c r="D368" s="118" t="n"/>
    </row>
    <row r="369" ht="15" customHeight="1" s="64">
      <c r="A369" s="118" t="n"/>
      <c r="B369" s="118" t="n"/>
      <c r="C369" s="112">
        <f>IF(B369="",0,IFERROR(AVERAGE(B367,B368,B369),0))</f>
        <v/>
      </c>
      <c r="D369" s="118" t="n"/>
    </row>
    <row r="370" ht="15" customHeight="1" s="64">
      <c r="A370" s="118" t="n"/>
      <c r="B370" s="118" t="n"/>
      <c r="C370" s="112">
        <f>IF(B370="",0,IFERROR(AVERAGE(B368,B369,B370),0))</f>
        <v/>
      </c>
      <c r="D370" s="118" t="n"/>
    </row>
    <row r="371" ht="15" customHeight="1" s="64">
      <c r="A371" s="118" t="n"/>
      <c r="B371" s="118" t="n"/>
      <c r="C371" s="112">
        <f>IF(B371="",0,IFERROR(AVERAGE(B369,B370,B371),0))</f>
        <v/>
      </c>
      <c r="D371" s="118" t="n"/>
    </row>
    <row r="372" ht="15" customHeight="1" s="64">
      <c r="A372" s="118" t="n"/>
      <c r="B372" s="118" t="n"/>
      <c r="C372" s="112">
        <f>IF(B372="",0,IFERROR(AVERAGE(B370,B371,B372),0))</f>
        <v/>
      </c>
      <c r="D372" s="118" t="n"/>
    </row>
    <row r="373" ht="15" customHeight="1" s="64">
      <c r="A373" s="118" t="n"/>
      <c r="B373" s="118" t="n"/>
      <c r="C373" s="112">
        <f>IF(B373="",0,IFERROR(AVERAGE(B371,B372,B373),0))</f>
        <v/>
      </c>
      <c r="D373" s="118" t="n"/>
    </row>
    <row r="374" ht="15" customHeight="1" s="64">
      <c r="A374" s="118" t="n"/>
      <c r="B374" s="118" t="n"/>
      <c r="C374" s="112">
        <f>IF(B374="",0,IFERROR(AVERAGE(B372,B373,B374),0))</f>
        <v/>
      </c>
      <c r="D374" s="118" t="n"/>
    </row>
    <row r="375" ht="15" customHeight="1" s="64">
      <c r="A375" s="118" t="n"/>
      <c r="B375" s="118" t="n"/>
      <c r="C375" s="112">
        <f>IF(B375="",0,IFERROR(AVERAGE(B373,B374,B375),0))</f>
        <v/>
      </c>
      <c r="D375" s="118" t="n"/>
    </row>
    <row r="376" ht="15" customHeight="1" s="64">
      <c r="A376" s="118" t="n"/>
      <c r="B376" s="118" t="n"/>
      <c r="C376" s="112">
        <f>IF(B376="",0,IFERROR(AVERAGE(B374,B375,B376),0))</f>
        <v/>
      </c>
      <c r="D376" s="118" t="n"/>
    </row>
    <row r="377" ht="15" customHeight="1" s="64">
      <c r="A377" s="118" t="n"/>
      <c r="B377" s="118" t="n"/>
      <c r="C377" s="112">
        <f>IF(B377="",0,IFERROR(AVERAGE(B375,B376,B377),0))</f>
        <v/>
      </c>
      <c r="D377" s="118" t="n"/>
    </row>
    <row r="378" ht="15" customHeight="1" s="64">
      <c r="A378" s="118" t="n"/>
      <c r="B378" s="118" t="n"/>
      <c r="C378" s="112">
        <f>IF(B378="",0,IFERROR(AVERAGE(B376,B377,B378),0))</f>
        <v/>
      </c>
      <c r="D378" s="118" t="n"/>
    </row>
    <row r="379" ht="15" customHeight="1" s="64">
      <c r="A379" s="118" t="n"/>
      <c r="B379" s="118" t="n"/>
      <c r="C379" s="112">
        <f>IF(B379="",0,IFERROR(AVERAGE(B377,B378,B379),0))</f>
        <v/>
      </c>
      <c r="D379" s="118" t="n"/>
    </row>
    <row r="380" ht="15" customHeight="1" s="64">
      <c r="A380" s="118" t="n"/>
      <c r="B380" s="118" t="n"/>
      <c r="C380" s="112">
        <f>IF(B380="",0,IFERROR(AVERAGE(B378,B379,B380),0))</f>
        <v/>
      </c>
      <c r="D380" s="118" t="n"/>
    </row>
    <row r="381" ht="15" customHeight="1" s="64">
      <c r="A381" s="118" t="n"/>
      <c r="B381" s="118" t="n"/>
      <c r="C381" s="112">
        <f>IF(B381="",0,IFERROR(AVERAGE(B379,B380,B381),0))</f>
        <v/>
      </c>
      <c r="D381" s="118" t="n"/>
    </row>
    <row r="382" ht="15" customHeight="1" s="64">
      <c r="A382" s="118" t="n"/>
      <c r="B382" s="118" t="n"/>
      <c r="C382" s="112">
        <f>IF(B382="",0,IFERROR(AVERAGE(B380,B381,B382),0))</f>
        <v/>
      </c>
      <c r="D382" s="118" t="n"/>
    </row>
    <row r="383" ht="15" customHeight="1" s="64">
      <c r="A383" s="118" t="n"/>
      <c r="B383" s="118" t="n"/>
      <c r="C383" s="112">
        <f>IF(B383="",0,IFERROR(AVERAGE(B381,B382,B383),0))</f>
        <v/>
      </c>
      <c r="D383" s="118" t="n"/>
    </row>
    <row r="384" ht="15" customHeight="1" s="64">
      <c r="A384" s="118" t="n"/>
      <c r="B384" s="118" t="n"/>
      <c r="C384" s="112">
        <f>IF(B384="",0,IFERROR(AVERAGE(B382,B383,B384),0))</f>
        <v/>
      </c>
      <c r="D384" s="118" t="n"/>
    </row>
    <row r="385" ht="15" customHeight="1" s="64">
      <c r="A385" s="118" t="n"/>
      <c r="B385" s="118" t="n"/>
      <c r="C385" s="112">
        <f>IF(B385="",0,IFERROR(AVERAGE(B383,B384,B385),0))</f>
        <v/>
      </c>
      <c r="D385" s="118" t="n"/>
    </row>
    <row r="386" ht="15" customHeight="1" s="64">
      <c r="A386" s="118" t="n"/>
      <c r="B386" s="118" t="n"/>
      <c r="C386" s="112">
        <f>IF(B386="",0,IFERROR(AVERAGE(B384,B385,B386),0))</f>
        <v/>
      </c>
      <c r="D386" s="118" t="n"/>
    </row>
    <row r="387" ht="15" customHeight="1" s="64">
      <c r="A387" s="118" t="n"/>
      <c r="B387" s="118" t="n"/>
      <c r="C387" s="112">
        <f>IF(B387="",0,IFERROR(AVERAGE(B385,B386,B387),0))</f>
        <v/>
      </c>
      <c r="D387" s="118" t="n"/>
    </row>
    <row r="388" ht="15" customHeight="1" s="64">
      <c r="A388" s="118" t="n"/>
      <c r="B388" s="118" t="n"/>
      <c r="C388" s="112">
        <f>IF(B388="",0,IFERROR(AVERAGE(B386,B387,B388),0))</f>
        <v/>
      </c>
      <c r="D388" s="118" t="n"/>
    </row>
    <row r="389" ht="15" customHeight="1" s="64">
      <c r="A389" s="118" t="n"/>
      <c r="B389" s="118" t="n"/>
      <c r="C389" s="112">
        <f>IF(B389="",0,IFERROR(AVERAGE(B387,B388,B389),0))</f>
        <v/>
      </c>
      <c r="D389" s="118" t="n"/>
    </row>
    <row r="390" ht="15" customHeight="1" s="64">
      <c r="A390" s="118" t="n"/>
      <c r="B390" s="118" t="n"/>
      <c r="C390" s="112">
        <f>IF(B390="",0,IFERROR(AVERAGE(B388,B389,B390),0))</f>
        <v/>
      </c>
      <c r="D390" s="118" t="n"/>
    </row>
    <row r="391" ht="15" customHeight="1" s="64">
      <c r="A391" s="118" t="n"/>
      <c r="B391" s="118" t="n"/>
      <c r="C391" s="112">
        <f>IF(B391="",0,IFERROR(AVERAGE(B389,B390,B391),0))</f>
        <v/>
      </c>
      <c r="D391" s="118" t="n"/>
    </row>
    <row r="392" ht="15" customHeight="1" s="64">
      <c r="A392" s="118" t="n"/>
      <c r="B392" s="118" t="n"/>
      <c r="C392" s="112">
        <f>IF(B392="",0,IFERROR(AVERAGE(B390,B391,B392),0))</f>
        <v/>
      </c>
      <c r="D392" s="118" t="n"/>
    </row>
    <row r="393" ht="15" customHeight="1" s="64">
      <c r="A393" s="118" t="n"/>
      <c r="B393" s="118" t="n"/>
      <c r="C393" s="112">
        <f>IF(B393="",0,IFERROR(AVERAGE(B391,B392,B393),0))</f>
        <v/>
      </c>
      <c r="D393" s="118" t="n"/>
    </row>
    <row r="394" ht="15" customHeight="1" s="64">
      <c r="A394" s="118" t="n"/>
      <c r="B394" s="118" t="n"/>
      <c r="C394" s="112">
        <f>IF(B394="",0,IFERROR(AVERAGE(B392,B393,B394),0))</f>
        <v/>
      </c>
      <c r="D394" s="118" t="n"/>
    </row>
    <row r="395" ht="15" customHeight="1" s="64">
      <c r="A395" s="118" t="n"/>
      <c r="B395" s="118" t="n"/>
      <c r="C395" s="112">
        <f>IF(B395="",0,IFERROR(AVERAGE(B393,B394,B395),0))</f>
        <v/>
      </c>
      <c r="D395" s="118" t="n"/>
    </row>
    <row r="396" ht="15" customHeight="1" s="64">
      <c r="A396" s="118" t="n"/>
      <c r="B396" s="118" t="n"/>
      <c r="C396" s="112">
        <f>IF(B396="",0,IFERROR(AVERAGE(B394,B395,B396),0))</f>
        <v/>
      </c>
      <c r="D396" s="118" t="n"/>
    </row>
    <row r="397" ht="15" customHeight="1" s="64">
      <c r="A397" s="118" t="n"/>
      <c r="B397" s="118" t="n"/>
      <c r="C397" s="112">
        <f>IF(B397="",0,IFERROR(AVERAGE(B395,B396,B397),0))</f>
        <v/>
      </c>
      <c r="D397" s="118" t="n"/>
    </row>
    <row r="398" ht="15" customHeight="1" s="64">
      <c r="A398" s="118" t="n"/>
      <c r="B398" s="118" t="n"/>
      <c r="C398" s="112">
        <f>IF(B398="",0,IFERROR(AVERAGE(B396,B397,B398),0))</f>
        <v/>
      </c>
      <c r="D398" s="118" t="n"/>
    </row>
    <row r="399" ht="15" customHeight="1" s="64">
      <c r="A399" s="118" t="n"/>
      <c r="B399" s="118" t="n"/>
      <c r="C399" s="112">
        <f>IF(B399="",0,IFERROR(AVERAGE(B397,B398,B399),0))</f>
        <v/>
      </c>
      <c r="D399" s="118" t="n"/>
    </row>
    <row r="400" ht="15" customHeight="1" s="64">
      <c r="A400" s="118" t="n"/>
      <c r="B400" s="118" t="n"/>
      <c r="C400" s="112">
        <f>IF(B400="",0,IFERROR(AVERAGE(B398,B399,B400),0))</f>
        <v/>
      </c>
      <c r="D400" s="118" t="n"/>
    </row>
    <row r="401" ht="15" customHeight="1" s="64">
      <c r="A401" s="118" t="n"/>
      <c r="B401" s="118" t="n"/>
      <c r="C401" s="112">
        <f>IF(B401="",0,IFERROR(AVERAGE(B399,B400,B401),0))</f>
        <v/>
      </c>
      <c r="D401" s="118" t="n"/>
    </row>
    <row r="402" ht="15" customHeight="1" s="64">
      <c r="A402" s="118" t="n"/>
      <c r="B402" s="118" t="n"/>
      <c r="C402" s="112">
        <f>IF(B402="",0,IFERROR(AVERAGE(B400,B401,B402),0))</f>
        <v/>
      </c>
      <c r="D402" s="118" t="n"/>
    </row>
    <row r="403" ht="15" customHeight="1" s="64">
      <c r="A403" s="118" t="n"/>
      <c r="B403" s="118" t="n"/>
      <c r="C403" s="112">
        <f>IF(B403="",0,IFERROR(AVERAGE(B401,B402,B403),0))</f>
        <v/>
      </c>
      <c r="D403" s="118" t="n"/>
    </row>
    <row r="404" ht="15" customHeight="1" s="64">
      <c r="A404" s="118" t="n"/>
      <c r="B404" s="118" t="n"/>
      <c r="C404" s="112">
        <f>IF(B404="",0,IFERROR(AVERAGE(B402,B403,B404),0))</f>
        <v/>
      </c>
      <c r="D404" s="118" t="n"/>
    </row>
    <row r="405" ht="15" customHeight="1" s="64">
      <c r="A405" s="118" t="n"/>
      <c r="B405" s="118" t="n"/>
      <c r="C405" s="112">
        <f>IF(B405="",0,IFERROR(AVERAGE(B403,B404,B405),0))</f>
        <v/>
      </c>
      <c r="D405" s="118" t="n"/>
    </row>
    <row r="406" ht="15" customHeight="1" s="64">
      <c r="A406" s="118" t="n"/>
      <c r="B406" s="118" t="n"/>
      <c r="C406" s="112">
        <f>IF(B406="",0,IFERROR(AVERAGE(B404,B405,B406),0))</f>
        <v/>
      </c>
      <c r="D406" s="118" t="n"/>
    </row>
    <row r="407" ht="15" customHeight="1" s="64">
      <c r="A407" s="118" t="n"/>
      <c r="B407" s="118" t="n"/>
      <c r="C407" s="112">
        <f>IF(B407="",0,IFERROR(AVERAGE(B405,B406,B407),0))</f>
        <v/>
      </c>
      <c r="D407" s="118" t="n"/>
    </row>
    <row r="408" ht="15" customHeight="1" s="64">
      <c r="A408" s="118" t="n"/>
      <c r="B408" s="118" t="n"/>
      <c r="C408" s="112">
        <f>IF(B408="",0,IFERROR(AVERAGE(B406,B407,B408),0))</f>
        <v/>
      </c>
      <c r="D408" s="118" t="n"/>
    </row>
    <row r="409" ht="15" customHeight="1" s="64">
      <c r="A409" s="118" t="n"/>
      <c r="B409" s="118" t="n"/>
      <c r="C409" s="112">
        <f>IF(B409="",0,IFERROR(AVERAGE(B407,B408,B409),0))</f>
        <v/>
      </c>
      <c r="D409" s="118" t="n"/>
    </row>
    <row r="410" ht="15" customHeight="1" s="64">
      <c r="A410" s="118" t="n"/>
      <c r="B410" s="118" t="n"/>
      <c r="C410" s="112">
        <f>IF(B410="",0,IFERROR(AVERAGE(B408,B409,B410),0))</f>
        <v/>
      </c>
      <c r="D410" s="118" t="n"/>
    </row>
    <row r="411" ht="15" customHeight="1" s="64">
      <c r="A411" s="118" t="n"/>
      <c r="B411" s="118" t="n"/>
      <c r="C411" s="112">
        <f>IF(B411="",0,IFERROR(AVERAGE(B409,B410,B411),0))</f>
        <v/>
      </c>
      <c r="D411" s="118" t="n"/>
    </row>
    <row r="412" ht="15" customHeight="1" s="64">
      <c r="A412" s="118" t="n"/>
      <c r="B412" s="118" t="n"/>
      <c r="C412" s="112">
        <f>IF(B412="",0,IFERROR(AVERAGE(B410,B411,B412),0))</f>
        <v/>
      </c>
      <c r="D412" s="118" t="n"/>
    </row>
    <row r="413" ht="15" customHeight="1" s="64">
      <c r="A413" s="118" t="n"/>
      <c r="B413" s="118" t="n"/>
      <c r="C413" s="112">
        <f>IF(B413="",0,IFERROR(AVERAGE(B411,B412,B413),0))</f>
        <v/>
      </c>
      <c r="D413" s="118" t="n"/>
    </row>
    <row r="414" ht="15" customHeight="1" s="64">
      <c r="A414" s="118" t="n"/>
      <c r="B414" s="118" t="n"/>
      <c r="C414" s="112">
        <f>IF(B414="",0,IFERROR(AVERAGE(B412,B413,B414),0))</f>
        <v/>
      </c>
      <c r="D414" s="118" t="n"/>
    </row>
    <row r="415" ht="15" customHeight="1" s="64">
      <c r="A415" s="118" t="n"/>
      <c r="B415" s="118" t="n"/>
      <c r="C415" s="112">
        <f>IF(B415="",0,IFERROR(AVERAGE(B413,B414,B415),0))</f>
        <v/>
      </c>
      <c r="D415" s="118" t="n"/>
    </row>
    <row r="416" ht="15" customHeight="1" s="64">
      <c r="A416" s="118" t="n"/>
      <c r="B416" s="118" t="n"/>
      <c r="C416" s="112">
        <f>IF(B416="",0,IFERROR(AVERAGE(B414,B415,B416),0))</f>
        <v/>
      </c>
      <c r="D416" s="118" t="n"/>
    </row>
    <row r="417" ht="15" customHeight="1" s="64">
      <c r="A417" s="118" t="n"/>
      <c r="B417" s="118" t="n"/>
      <c r="C417" s="112">
        <f>IF(B417="",0,IFERROR(AVERAGE(B415,B416,B417),0))</f>
        <v/>
      </c>
      <c r="D417" s="118" t="n"/>
    </row>
    <row r="418" ht="15" customHeight="1" s="64">
      <c r="A418" s="118" t="n"/>
      <c r="B418" s="118" t="n"/>
      <c r="C418" s="112">
        <f>IF(B418="",0,IFERROR(AVERAGE(B416,B417,B418),0))</f>
        <v/>
      </c>
      <c r="D418" s="118" t="n"/>
    </row>
    <row r="419" ht="15" customHeight="1" s="64">
      <c r="A419" s="118" t="n"/>
      <c r="B419" s="118" t="n"/>
      <c r="C419" s="112">
        <f>IF(B419="",0,IFERROR(AVERAGE(B417,B418,B419),0))</f>
        <v/>
      </c>
      <c r="D419" s="118" t="n"/>
    </row>
    <row r="420" ht="15" customHeight="1" s="64">
      <c r="A420" s="118" t="n"/>
      <c r="B420" s="118" t="n"/>
      <c r="C420" s="112">
        <f>IF(B420="",0,IFERROR(AVERAGE(B418,B419,B420),0))</f>
        <v/>
      </c>
      <c r="D420" s="118" t="n"/>
    </row>
    <row r="421" ht="15" customHeight="1" s="64">
      <c r="A421" s="118" t="n"/>
      <c r="B421" s="118" t="n"/>
      <c r="C421" s="112">
        <f>IF(B421="",0,IFERROR(AVERAGE(B419,B420,B421),0))</f>
        <v/>
      </c>
      <c r="D421" s="118" t="n"/>
    </row>
    <row r="422" ht="15" customHeight="1" s="64">
      <c r="A422" s="118" t="n"/>
      <c r="B422" s="118" t="n"/>
      <c r="C422" s="112">
        <f>IF(B422="",0,IFERROR(AVERAGE(B420,B421,B422),0))</f>
        <v/>
      </c>
      <c r="D422" s="118" t="n"/>
    </row>
    <row r="423" ht="15" customHeight="1" s="64">
      <c r="A423" s="118" t="n"/>
      <c r="B423" s="118" t="n"/>
      <c r="C423" s="112">
        <f>IF(B423="",0,IFERROR(AVERAGE(B421,B422,B423),0))</f>
        <v/>
      </c>
      <c r="D423" s="118" t="n"/>
    </row>
    <row r="424" ht="15" customHeight="1" s="64">
      <c r="A424" s="118" t="n"/>
      <c r="B424" s="118" t="n"/>
      <c r="C424" s="112">
        <f>IF(B424="",0,IFERROR(AVERAGE(B422,B423,B424),0))</f>
        <v/>
      </c>
      <c r="D424" s="118" t="n"/>
    </row>
    <row r="425" ht="15" customHeight="1" s="64">
      <c r="A425" s="118" t="n"/>
      <c r="B425" s="118" t="n"/>
      <c r="C425" s="112">
        <f>IF(B425="",0,IFERROR(AVERAGE(B423,B424,B425),0))</f>
        <v/>
      </c>
      <c r="D425" s="118" t="n"/>
    </row>
    <row r="426" ht="15" customHeight="1" s="64">
      <c r="A426" s="118" t="n"/>
      <c r="B426" s="118" t="n"/>
      <c r="C426" s="112">
        <f>IF(B426="",0,IFERROR(AVERAGE(B424,B425,B426),0))</f>
        <v/>
      </c>
      <c r="D426" s="118" t="n"/>
    </row>
    <row r="427" ht="15" customHeight="1" s="64">
      <c r="A427" s="118" t="n"/>
      <c r="B427" s="118" t="n"/>
      <c r="C427" s="112">
        <f>IF(B427="",0,IFERROR(AVERAGE(B425,B426,B427),0))</f>
        <v/>
      </c>
      <c r="D427" s="118" t="n"/>
    </row>
    <row r="428" ht="15" customHeight="1" s="64">
      <c r="A428" s="118" t="n"/>
      <c r="B428" s="118" t="n"/>
      <c r="C428" s="112">
        <f>IF(B428="",0,IFERROR(AVERAGE(B426,B427,B428),0))</f>
        <v/>
      </c>
      <c r="D428" s="118" t="n"/>
    </row>
    <row r="429" ht="15" customHeight="1" s="64">
      <c r="A429" s="118" t="n"/>
      <c r="B429" s="118" t="n"/>
      <c r="C429" s="112">
        <f>IF(B429="",0,IFERROR(AVERAGE(B427,B428,B429),0))</f>
        <v/>
      </c>
      <c r="D429" s="118" t="n"/>
    </row>
    <row r="430" ht="15" customHeight="1" s="64">
      <c r="A430" s="118" t="n"/>
      <c r="B430" s="118" t="n"/>
      <c r="C430" s="112">
        <f>IF(B430="",0,IFERROR(AVERAGE(B428,B429,B430),0))</f>
        <v/>
      </c>
      <c r="D430" s="118" t="n"/>
    </row>
    <row r="431" ht="15" customHeight="1" s="64">
      <c r="A431" s="118" t="n"/>
      <c r="B431" s="118" t="n"/>
      <c r="C431" s="112">
        <f>IF(B431="",0,IFERROR(AVERAGE(B429,B430,B431),0))</f>
        <v/>
      </c>
      <c r="D431" s="118" t="n"/>
    </row>
    <row r="432" ht="15" customHeight="1" s="64">
      <c r="A432" s="118" t="n"/>
      <c r="B432" s="118" t="n"/>
      <c r="C432" s="112">
        <f>IF(B432="",0,IFERROR(AVERAGE(B430,B431,B432),0))</f>
        <v/>
      </c>
      <c r="D432" s="118" t="n"/>
    </row>
    <row r="433" ht="15" customHeight="1" s="64">
      <c r="A433" s="118" t="n"/>
      <c r="B433" s="118" t="n"/>
      <c r="C433" s="112">
        <f>IF(B433="",0,IFERROR(AVERAGE(B431,B432,B433),0))</f>
        <v/>
      </c>
      <c r="D433" s="118" t="n"/>
    </row>
    <row r="434" ht="15" customHeight="1" s="64">
      <c r="A434" s="118" t="n"/>
      <c r="B434" s="118" t="n"/>
      <c r="C434" s="112">
        <f>IF(B434="",0,IFERROR(AVERAGE(B432,B433,B434),0))</f>
        <v/>
      </c>
      <c r="D434" s="118" t="n"/>
    </row>
    <row r="435" ht="15" customHeight="1" s="64">
      <c r="A435" s="118" t="n"/>
      <c r="B435" s="118" t="n"/>
      <c r="C435" s="112">
        <f>IF(B435="",0,IFERROR(AVERAGE(B433,B434,B435),0))</f>
        <v/>
      </c>
      <c r="D435" s="118" t="n"/>
    </row>
    <row r="436" ht="15" customHeight="1" s="64">
      <c r="A436" s="118" t="n"/>
      <c r="B436" s="118" t="n"/>
      <c r="C436" s="112">
        <f>IF(B436="",0,IFERROR(AVERAGE(B434,B435,B436),0))</f>
        <v/>
      </c>
      <c r="D436" s="118" t="n"/>
    </row>
    <row r="437" ht="15" customHeight="1" s="64">
      <c r="A437" s="118" t="n"/>
      <c r="B437" s="118" t="n"/>
      <c r="C437" s="112">
        <f>IF(B437="",0,IFERROR(AVERAGE(B435,B436,B437),0))</f>
        <v/>
      </c>
      <c r="D437" s="118" t="n"/>
    </row>
    <row r="438" ht="15" customHeight="1" s="64">
      <c r="A438" s="118" t="n"/>
      <c r="B438" s="118" t="n"/>
      <c r="C438" s="112">
        <f>IF(B438="",0,IFERROR(AVERAGE(B436,B437,B438),0))</f>
        <v/>
      </c>
      <c r="D438" s="118" t="n"/>
    </row>
    <row r="439" ht="15" customHeight="1" s="64">
      <c r="A439" s="118" t="n"/>
      <c r="B439" s="118" t="n"/>
      <c r="C439" s="112">
        <f>IF(B439="",0,IFERROR(AVERAGE(B437,B438,B439),0))</f>
        <v/>
      </c>
      <c r="D439" s="118" t="n"/>
    </row>
    <row r="440" ht="15" customHeight="1" s="64">
      <c r="A440" s="118" t="n"/>
      <c r="B440" s="118" t="n"/>
      <c r="C440" s="112">
        <f>IF(B440="",0,IFERROR(AVERAGE(B438,B439,B440),0))</f>
        <v/>
      </c>
      <c r="D440" s="118" t="n"/>
    </row>
    <row r="441" ht="15" customHeight="1" s="64">
      <c r="A441" s="118" t="n"/>
      <c r="B441" s="118" t="n"/>
      <c r="C441" s="112">
        <f>IF(B441="",0,IFERROR(AVERAGE(B439,B440,B441),0))</f>
        <v/>
      </c>
      <c r="D441" s="118" t="n"/>
    </row>
    <row r="442" ht="15" customHeight="1" s="64">
      <c r="A442" s="118" t="n"/>
      <c r="B442" s="118" t="n"/>
      <c r="C442" s="112">
        <f>IF(B442="",0,IFERROR(AVERAGE(B440,B441,B442),0))</f>
        <v/>
      </c>
      <c r="D442" s="118" t="n"/>
    </row>
    <row r="443" ht="15" customHeight="1" s="64">
      <c r="A443" s="118" t="n"/>
      <c r="B443" s="118" t="n"/>
      <c r="C443" s="112">
        <f>IF(B443="",0,IFERROR(AVERAGE(B441,B442,B443),0))</f>
        <v/>
      </c>
      <c r="D443" s="118" t="n"/>
    </row>
    <row r="444" ht="15" customHeight="1" s="64">
      <c r="A444" s="118" t="n"/>
      <c r="B444" s="118" t="n"/>
      <c r="C444" s="112">
        <f>IF(B444="",0,IFERROR(AVERAGE(B442,B443,B444),0))</f>
        <v/>
      </c>
      <c r="D444" s="118" t="n"/>
    </row>
    <row r="445" ht="15" customHeight="1" s="64">
      <c r="A445" s="118" t="n"/>
      <c r="B445" s="118" t="n"/>
      <c r="C445" s="112">
        <f>IF(B445="",0,IFERROR(AVERAGE(B443,B444,B445),0))</f>
        <v/>
      </c>
      <c r="D445" s="118" t="n"/>
    </row>
    <row r="446" ht="15" customHeight="1" s="64">
      <c r="A446" s="118" t="n"/>
      <c r="B446" s="118" t="n"/>
      <c r="C446" s="112">
        <f>IF(B446="",0,IFERROR(AVERAGE(B444,B445,B446),0))</f>
        <v/>
      </c>
      <c r="D446" s="118" t="n"/>
    </row>
    <row r="447" ht="15" customHeight="1" s="64">
      <c r="A447" s="118" t="n"/>
      <c r="B447" s="118" t="n"/>
      <c r="C447" s="112">
        <f>IF(B447="",0,IFERROR(AVERAGE(B445,B446,B447),0))</f>
        <v/>
      </c>
      <c r="D447" s="118" t="n"/>
    </row>
    <row r="448" ht="15" customHeight="1" s="64">
      <c r="A448" s="118" t="n"/>
      <c r="B448" s="118" t="n"/>
      <c r="C448" s="112">
        <f>IF(B448="",0,IFERROR(AVERAGE(B446,B447,B448),0))</f>
        <v/>
      </c>
      <c r="D448" s="118" t="n"/>
    </row>
    <row r="449" ht="15" customHeight="1" s="64">
      <c r="A449" s="118" t="n"/>
      <c r="B449" s="118" t="n"/>
      <c r="C449" s="112">
        <f>IF(B449="",0,IFERROR(AVERAGE(B447,B448,B449),0))</f>
        <v/>
      </c>
      <c r="D449" s="118" t="n"/>
    </row>
    <row r="450" ht="15" customHeight="1" s="64">
      <c r="A450" s="118" t="n"/>
      <c r="B450" s="118" t="n"/>
      <c r="C450" s="112">
        <f>IF(B450="",0,IFERROR(AVERAGE(B448,B449,B450),0))</f>
        <v/>
      </c>
      <c r="D450" s="118" t="n"/>
    </row>
    <row r="451" ht="15" customHeight="1" s="64">
      <c r="A451" s="118" t="n"/>
      <c r="B451" s="118" t="n"/>
      <c r="C451" s="112">
        <f>IF(B451="",0,IFERROR(AVERAGE(B449,B450,B451),0))</f>
        <v/>
      </c>
      <c r="D451" s="118" t="n"/>
    </row>
    <row r="452" ht="15" customHeight="1" s="64">
      <c r="A452" s="118" t="n"/>
      <c r="B452" s="118" t="n"/>
      <c r="C452" s="112">
        <f>IF(B452="",0,IFERROR(AVERAGE(B450,B451,B452),0))</f>
        <v/>
      </c>
      <c r="D452" s="118" t="n"/>
    </row>
    <row r="453" ht="15" customHeight="1" s="64">
      <c r="A453" s="118" t="n"/>
      <c r="B453" s="118" t="n"/>
      <c r="C453" s="112">
        <f>IF(B453="",0,IFERROR(AVERAGE(B451,B452,B453),0))</f>
        <v/>
      </c>
      <c r="D453" s="118" t="n"/>
    </row>
    <row r="454" ht="15" customHeight="1" s="64">
      <c r="A454" s="118" t="n"/>
      <c r="B454" s="118" t="n"/>
      <c r="C454" s="112">
        <f>IF(B454="",0,IFERROR(AVERAGE(B452,B453,B454),0))</f>
        <v/>
      </c>
      <c r="D454" s="118" t="n"/>
    </row>
    <row r="455" ht="15" customHeight="1" s="64">
      <c r="A455" s="118" t="n"/>
      <c r="B455" s="118" t="n"/>
      <c r="C455" s="112">
        <f>IF(B455="",0,IFERROR(AVERAGE(B453,B454,B455),0))</f>
        <v/>
      </c>
      <c r="D455" s="118" t="n"/>
    </row>
    <row r="456" ht="15" customHeight="1" s="64">
      <c r="A456" s="118" t="n"/>
      <c r="B456" s="118" t="n"/>
      <c r="C456" s="112">
        <f>IF(B456="",0,IFERROR(AVERAGE(B454,B455,B456),0))</f>
        <v/>
      </c>
      <c r="D456" s="118" t="n"/>
    </row>
    <row r="457" ht="15" customHeight="1" s="64">
      <c r="A457" s="118" t="n"/>
      <c r="B457" s="118" t="n"/>
      <c r="C457" s="112">
        <f>IF(B457="",0,IFERROR(AVERAGE(B455,B456,B457),0))</f>
        <v/>
      </c>
      <c r="D457" s="118" t="n"/>
    </row>
    <row r="458" ht="15" customHeight="1" s="64">
      <c r="A458" s="118" t="n"/>
      <c r="B458" s="118" t="n"/>
      <c r="C458" s="112">
        <f>IF(B458="",0,IFERROR(AVERAGE(B456,B457,B458),0))</f>
        <v/>
      </c>
      <c r="D458" s="118" t="n"/>
    </row>
    <row r="459" ht="15" customHeight="1" s="64">
      <c r="A459" s="118" t="n"/>
      <c r="B459" s="118" t="n"/>
      <c r="C459" s="112">
        <f>IF(B459="",0,IFERROR(AVERAGE(B457,B458,B459),0))</f>
        <v/>
      </c>
      <c r="D459" s="118" t="n"/>
    </row>
    <row r="460" ht="15" customHeight="1" s="64">
      <c r="A460" s="118" t="n"/>
      <c r="B460" s="118" t="n"/>
      <c r="C460" s="112">
        <f>IF(B460="",0,IFERROR(AVERAGE(B458,B459,B460),0))</f>
        <v/>
      </c>
      <c r="D460" s="118" t="n"/>
    </row>
    <row r="461" ht="15" customHeight="1" s="64">
      <c r="A461" s="118" t="n"/>
      <c r="B461" s="118" t="n"/>
      <c r="C461" s="112">
        <f>IF(B461="",0,IFERROR(AVERAGE(B459,B460,B461),0))</f>
        <v/>
      </c>
      <c r="D461" s="118" t="n"/>
    </row>
    <row r="462" ht="15" customHeight="1" s="64">
      <c r="A462" s="118" t="n"/>
      <c r="B462" s="118" t="n"/>
      <c r="C462" s="112">
        <f>IF(B462="",0,IFERROR(AVERAGE(B460,B461,B462),0))</f>
        <v/>
      </c>
      <c r="D462" s="118" t="n"/>
    </row>
    <row r="463" ht="15" customHeight="1" s="64">
      <c r="A463" s="118" t="n"/>
      <c r="B463" s="118" t="n"/>
      <c r="C463" s="112">
        <f>IF(B463="",0,IFERROR(AVERAGE(B461,B462,B463),0))</f>
        <v/>
      </c>
      <c r="D463" s="118" t="n"/>
    </row>
    <row r="464" ht="15" customHeight="1" s="64">
      <c r="A464" s="118" t="n"/>
      <c r="B464" s="118" t="n"/>
      <c r="C464" s="112">
        <f>IF(B464="",0,IFERROR(AVERAGE(B462,B463,B464),0))</f>
        <v/>
      </c>
      <c r="D464" s="118" t="n"/>
    </row>
    <row r="465" ht="15" customHeight="1" s="64">
      <c r="A465" s="118" t="n"/>
      <c r="B465" s="118" t="n"/>
      <c r="C465" s="112">
        <f>IF(B465="",0,IFERROR(AVERAGE(B463,B464,B465),0))</f>
        <v/>
      </c>
      <c r="D465" s="118" t="n"/>
    </row>
    <row r="466" ht="15" customHeight="1" s="64">
      <c r="A466" s="118" t="n"/>
      <c r="B466" s="118" t="n"/>
      <c r="C466" s="112">
        <f>IF(B466="",0,IFERROR(AVERAGE(B464,B465,B466),0))</f>
        <v/>
      </c>
      <c r="D466" s="118" t="n"/>
    </row>
    <row r="467" ht="15" customHeight="1" s="64">
      <c r="A467" s="118" t="n"/>
      <c r="B467" s="118" t="n"/>
      <c r="C467" s="112">
        <f>IF(B467="",0,IFERROR(AVERAGE(B465,B466,B467),0))</f>
        <v/>
      </c>
      <c r="D467" s="118" t="n"/>
    </row>
    <row r="468" ht="15" customHeight="1" s="64">
      <c r="A468" s="118" t="n"/>
      <c r="B468" s="118" t="n"/>
      <c r="C468" s="112">
        <f>IF(B468="",0,IFERROR(AVERAGE(B466,B467,B468),0))</f>
        <v/>
      </c>
      <c r="D468" s="118" t="n"/>
    </row>
    <row r="469" ht="15" customHeight="1" s="64">
      <c r="A469" s="118" t="n"/>
      <c r="B469" s="118" t="n"/>
      <c r="C469" s="112">
        <f>IF(B469="",0,IFERROR(AVERAGE(B467,B468,B469),0))</f>
        <v/>
      </c>
      <c r="D469" s="118" t="n"/>
    </row>
    <row r="470" ht="15" customHeight="1" s="64">
      <c r="A470" s="118" t="n"/>
      <c r="B470" s="118" t="n"/>
      <c r="C470" s="112">
        <f>IF(B470="",0,IFERROR(AVERAGE(B468,B469,B470),0))</f>
        <v/>
      </c>
      <c r="D470" s="118" t="n"/>
    </row>
    <row r="471" ht="15" customHeight="1" s="64">
      <c r="A471" s="118" t="n"/>
      <c r="B471" s="118" t="n"/>
      <c r="C471" s="112">
        <f>IF(B471="",0,IFERROR(AVERAGE(B469,B470,B471),0))</f>
        <v/>
      </c>
      <c r="D471" s="118" t="n"/>
    </row>
    <row r="472" ht="15" customHeight="1" s="64">
      <c r="A472" s="118" t="n"/>
      <c r="B472" s="118" t="n"/>
      <c r="C472" s="112">
        <f>IF(B472="",0,IFERROR(AVERAGE(B470,B471,B472),0))</f>
        <v/>
      </c>
      <c r="D472" s="118" t="n"/>
    </row>
    <row r="473" ht="15" customHeight="1" s="64">
      <c r="A473" s="118" t="n"/>
      <c r="B473" s="118" t="n"/>
      <c r="C473" s="112">
        <f>IF(B473="",0,IFERROR(AVERAGE(B471,B472,B473),0))</f>
        <v/>
      </c>
      <c r="D473" s="118" t="n"/>
    </row>
    <row r="474" ht="15" customHeight="1" s="64">
      <c r="A474" s="118" t="n"/>
      <c r="B474" s="118" t="n"/>
      <c r="C474" s="112">
        <f>IF(B474="",0,IFERROR(AVERAGE(B472,B473,B474),0))</f>
        <v/>
      </c>
      <c r="D474" s="118" t="n"/>
    </row>
    <row r="475" ht="15" customHeight="1" s="64">
      <c r="A475" s="118" t="n"/>
      <c r="B475" s="118" t="n"/>
      <c r="C475" s="112">
        <f>IF(B475="",0,IFERROR(AVERAGE(B473,B474,B475),0))</f>
        <v/>
      </c>
      <c r="D475" s="118" t="n"/>
    </row>
    <row r="476" ht="15" customHeight="1" s="64">
      <c r="A476" s="118" t="n"/>
      <c r="B476" s="118" t="n"/>
      <c r="C476" s="112">
        <f>IF(B476="",0,IFERROR(AVERAGE(B474,B475,B476),0))</f>
        <v/>
      </c>
      <c r="D476" s="118" t="n"/>
    </row>
    <row r="477" ht="15" customHeight="1" s="64">
      <c r="A477" s="118" t="n"/>
      <c r="B477" s="118" t="n"/>
      <c r="C477" s="112">
        <f>IF(B477="",0,IFERROR(AVERAGE(B475,B476,B477),0))</f>
        <v/>
      </c>
      <c r="D477" s="118" t="n"/>
    </row>
    <row r="478" ht="15" customHeight="1" s="64">
      <c r="A478" s="118" t="n"/>
      <c r="B478" s="118" t="n"/>
      <c r="C478" s="112">
        <f>IF(B478="",0,IFERROR(AVERAGE(B476,B477,B478),0))</f>
        <v/>
      </c>
      <c r="D478" s="118" t="n"/>
    </row>
    <row r="479" ht="15" customHeight="1" s="64">
      <c r="A479" s="118" t="n"/>
      <c r="B479" s="118" t="n"/>
      <c r="C479" s="112">
        <f>IF(B479="",0,IFERROR(AVERAGE(B477,B478,B479),0))</f>
        <v/>
      </c>
      <c r="D479" s="118" t="n"/>
    </row>
    <row r="480" ht="15" customHeight="1" s="64">
      <c r="A480" s="118" t="n"/>
      <c r="B480" s="118" t="n"/>
      <c r="C480" s="112">
        <f>IF(B480="",0,IFERROR(AVERAGE(B478,B479,B480),0))</f>
        <v/>
      </c>
      <c r="D480" s="118" t="n"/>
    </row>
    <row r="481" ht="15" customHeight="1" s="64">
      <c r="A481" s="118" t="n"/>
      <c r="B481" s="118" t="n"/>
      <c r="C481" s="112">
        <f>IF(B481="",0,IFERROR(AVERAGE(B479,B480,B481),0))</f>
        <v/>
      </c>
      <c r="D481" s="118" t="n"/>
    </row>
    <row r="482" ht="15" customHeight="1" s="64">
      <c r="A482" s="118" t="n"/>
      <c r="B482" s="118" t="n"/>
      <c r="C482" s="112">
        <f>IF(B482="",0,IFERROR(AVERAGE(B480,B481,B482),0))</f>
        <v/>
      </c>
      <c r="D482" s="118" t="n"/>
    </row>
    <row r="483" ht="15" customHeight="1" s="64">
      <c r="A483" s="118" t="n"/>
      <c r="B483" s="118" t="n"/>
      <c r="C483" s="112">
        <f>IF(B483="",0,IFERROR(AVERAGE(B481,B482,B483),0))</f>
        <v/>
      </c>
      <c r="D483" s="118" t="n"/>
    </row>
    <row r="484" ht="15" customHeight="1" s="64">
      <c r="A484" s="118" t="n"/>
      <c r="B484" s="118" t="n"/>
      <c r="C484" s="112">
        <f>IF(B484="",0,IFERROR(AVERAGE(B482,B483,B484),0))</f>
        <v/>
      </c>
      <c r="D484" s="118" t="n"/>
    </row>
    <row r="485" ht="15" customHeight="1" s="64">
      <c r="A485" s="118" t="n"/>
      <c r="B485" s="118" t="n"/>
      <c r="C485" s="112">
        <f>IF(B485="",0,IFERROR(AVERAGE(B483,B484,B485),0))</f>
        <v/>
      </c>
      <c r="D485" s="118" t="n"/>
    </row>
    <row r="486" ht="15" customHeight="1" s="64">
      <c r="A486" s="118" t="n"/>
      <c r="B486" s="118" t="n"/>
      <c r="C486" s="112">
        <f>IF(B486="",0,IFERROR(AVERAGE(B484,B485,B486),0))</f>
        <v/>
      </c>
      <c r="D486" s="118" t="n"/>
    </row>
    <row r="487" ht="15" customHeight="1" s="64">
      <c r="A487" s="118" t="n"/>
      <c r="B487" s="118" t="n"/>
      <c r="C487" s="112">
        <f>IF(B487="",0,IFERROR(AVERAGE(B485,B486,B487),0))</f>
        <v/>
      </c>
      <c r="D487" s="118" t="n"/>
    </row>
    <row r="488" ht="15" customHeight="1" s="64">
      <c r="A488" s="118" t="n"/>
      <c r="B488" s="118" t="n"/>
      <c r="C488" s="112">
        <f>IF(B488="",0,IFERROR(AVERAGE(B486,B487,B488),0))</f>
        <v/>
      </c>
      <c r="D488" s="118" t="n"/>
    </row>
    <row r="489" ht="15" customHeight="1" s="64">
      <c r="A489" s="118" t="n"/>
      <c r="B489" s="118" t="n"/>
      <c r="C489" s="112">
        <f>IF(B489="",0,IFERROR(AVERAGE(B487,B488,B489),0))</f>
        <v/>
      </c>
      <c r="D489" s="118" t="n"/>
    </row>
    <row r="490" ht="15" customHeight="1" s="64">
      <c r="A490" s="118" t="n"/>
      <c r="B490" s="118" t="n"/>
      <c r="C490" s="112">
        <f>IF(B490="",0,IFERROR(AVERAGE(B488,B489,B490),0))</f>
        <v/>
      </c>
      <c r="D490" s="118" t="n"/>
    </row>
    <row r="491" ht="15" customHeight="1" s="64">
      <c r="A491" s="118" t="n"/>
      <c r="B491" s="118" t="n"/>
      <c r="C491" s="112">
        <f>IF(B491="",0,IFERROR(AVERAGE(B489,B490,B491),0))</f>
        <v/>
      </c>
      <c r="D491" s="118" t="n"/>
    </row>
    <row r="492" ht="15" customHeight="1" s="64">
      <c r="A492" s="118" t="n"/>
      <c r="B492" s="118" t="n"/>
      <c r="C492" s="112">
        <f>IF(B492="",0,IFERROR(AVERAGE(B490,B491,B492),0))</f>
        <v/>
      </c>
      <c r="D492" s="118" t="n"/>
    </row>
    <row r="493" ht="15" customHeight="1" s="64">
      <c r="A493" s="118" t="n"/>
      <c r="B493" s="118" t="n"/>
      <c r="C493" s="112">
        <f>IF(B493="",0,IFERROR(AVERAGE(B491,B492,B493),0))</f>
        <v/>
      </c>
      <c r="D493" s="118" t="n"/>
    </row>
    <row r="494" ht="15" customHeight="1" s="64">
      <c r="A494" s="118" t="n"/>
      <c r="B494" s="118" t="n"/>
      <c r="C494" s="112">
        <f>IF(B494="",0,IFERROR(AVERAGE(B492,B493,B494),0))</f>
        <v/>
      </c>
      <c r="D494" s="118" t="n"/>
    </row>
    <row r="495" ht="15" customHeight="1" s="64">
      <c r="A495" s="118" t="n"/>
      <c r="B495" s="118" t="n"/>
      <c r="C495" s="112">
        <f>IF(B495="",0,IFERROR(AVERAGE(B493,B494,B495),0))</f>
        <v/>
      </c>
      <c r="D495" s="118" t="n"/>
    </row>
    <row r="496" ht="15" customHeight="1" s="64">
      <c r="A496" s="118" t="n"/>
      <c r="B496" s="118" t="n"/>
      <c r="C496" s="112">
        <f>IF(B496="",0,IFERROR(AVERAGE(B494,B495,B496),0))</f>
        <v/>
      </c>
      <c r="D496" s="118" t="n"/>
    </row>
    <row r="497" ht="15" customHeight="1" s="64">
      <c r="A497" s="118" t="n"/>
      <c r="B497" s="118" t="n"/>
      <c r="C497" s="112">
        <f>IF(B497="",0,IFERROR(AVERAGE(B495,B496,B497),0))</f>
        <v/>
      </c>
      <c r="D497" s="118" t="n"/>
    </row>
    <row r="498" ht="15" customHeight="1" s="64">
      <c r="A498" s="118" t="n"/>
      <c r="B498" s="118" t="n"/>
      <c r="C498" s="112">
        <f>IF(B498="",0,IFERROR(AVERAGE(B496,B497,B498),0))</f>
        <v/>
      </c>
      <c r="D498" s="118" t="n"/>
    </row>
    <row r="499" ht="15" customHeight="1" s="64">
      <c r="A499" s="118" t="n"/>
      <c r="B499" s="118" t="n"/>
      <c r="C499" s="112">
        <f>IF(B499="",0,IFERROR(AVERAGE(B497,B498,B499),0))</f>
        <v/>
      </c>
      <c r="D499" s="118" t="n"/>
    </row>
    <row r="500" ht="15" customHeight="1" s="64">
      <c r="A500" s="118" t="n"/>
      <c r="B500" s="118" t="n"/>
      <c r="C500" s="112">
        <f>IF(B500="",0,IFERROR(AVERAGE(B498,B499,B500),0))</f>
        <v/>
      </c>
      <c r="D500" s="118" t="n"/>
    </row>
    <row r="501" ht="15" customHeight="1" s="64">
      <c r="A501" s="118" t="n"/>
      <c r="B501" s="118" t="n"/>
      <c r="C501" s="112">
        <f>IF(B501="",0,IFERROR(AVERAGE(B499,B500,B501),0))</f>
        <v/>
      </c>
      <c r="D501" s="118" t="n"/>
    </row>
    <row r="502" ht="15" customHeight="1" s="64">
      <c r="A502" s="118" t="n"/>
      <c r="B502" s="118" t="n"/>
      <c r="C502" s="112">
        <f>IF(B502="",0,IFERROR(AVERAGE(B500,B501,B502),0))</f>
        <v/>
      </c>
      <c r="D502" s="118" t="n"/>
    </row>
    <row r="503" ht="15" customHeight="1" s="64">
      <c r="A503" s="118" t="n"/>
      <c r="B503" s="118" t="n"/>
      <c r="C503" s="112">
        <f>IF(B503="",0,IFERROR(AVERAGE(B501,B502,B503),0))</f>
        <v/>
      </c>
      <c r="D503" s="118" t="n"/>
    </row>
    <row r="504" ht="15" customHeight="1" s="64">
      <c r="A504" s="118" t="n"/>
      <c r="B504" s="118" t="n"/>
      <c r="C504" s="112">
        <f>IF(B504="",0,IFERROR(AVERAGE(B502,B503,B504),0))</f>
        <v/>
      </c>
      <c r="D504" s="118" t="n"/>
    </row>
    <row r="505" ht="15" customHeight="1" s="64">
      <c r="A505" s="118" t="n"/>
      <c r="B505" s="118" t="n"/>
      <c r="C505" s="112">
        <f>IF(B505="",0,IFERROR(AVERAGE(B503,B504,B505),0))</f>
        <v/>
      </c>
      <c r="D505" s="118" t="n"/>
    </row>
    <row r="506" ht="15" customHeight="1" s="64">
      <c r="A506" s="118" t="n"/>
      <c r="B506" s="118" t="n"/>
      <c r="C506" s="112">
        <f>IF(B506="",0,IFERROR(AVERAGE(B504,B505,B506),0))</f>
        <v/>
      </c>
      <c r="D506" s="118" t="n"/>
    </row>
    <row r="507" ht="15" customHeight="1" s="64">
      <c r="A507" s="118" t="n"/>
      <c r="B507" s="118" t="n"/>
      <c r="C507" s="112">
        <f>IF(B507="",0,IFERROR(AVERAGE(B505,B506,B507),0))</f>
        <v/>
      </c>
      <c r="D507" s="118" t="n"/>
    </row>
    <row r="508" ht="15" customHeight="1" s="64">
      <c r="A508" s="118" t="n"/>
      <c r="B508" s="118" t="n"/>
      <c r="C508" s="112">
        <f>IF(B508="",0,IFERROR(AVERAGE(B506,B507,B508),0))</f>
        <v/>
      </c>
      <c r="D508" s="118" t="n"/>
    </row>
    <row r="509" ht="15" customHeight="1" s="64">
      <c r="A509" s="118" t="n"/>
      <c r="B509" s="118" t="n"/>
      <c r="C509" s="112">
        <f>IF(B509="",0,IFERROR(AVERAGE(B507,B508,B509),0))</f>
        <v/>
      </c>
      <c r="D509" s="118" t="n"/>
    </row>
    <row r="510" ht="15" customHeight="1" s="64">
      <c r="A510" s="118" t="n"/>
      <c r="B510" s="118" t="n"/>
      <c r="C510" s="112">
        <f>IF(B510="",0,IFERROR(AVERAGE(B508,B509,B510),0))</f>
        <v/>
      </c>
      <c r="D510" s="118" t="n"/>
    </row>
    <row r="511" ht="15" customHeight="1" s="64">
      <c r="A511" s="118" t="n"/>
      <c r="B511" s="118" t="n"/>
      <c r="C511" s="112">
        <f>IF(B511="",0,IFERROR(AVERAGE(B509,B510,B511),0))</f>
        <v/>
      </c>
      <c r="D511" s="118" t="n"/>
    </row>
    <row r="512" ht="15" customHeight="1" s="64">
      <c r="A512" s="118" t="n"/>
      <c r="B512" s="118" t="n"/>
      <c r="C512" s="112">
        <f>IF(B512="",0,IFERROR(AVERAGE(B510,B511,B512),0))</f>
        <v/>
      </c>
      <c r="D512" s="118" t="n"/>
    </row>
    <row r="513" ht="15" customHeight="1" s="64">
      <c r="A513" s="118" t="n"/>
      <c r="B513" s="118" t="n"/>
      <c r="C513" s="112">
        <f>IF(B513="",0,IFERROR(AVERAGE(B511,B512,B513),0))</f>
        <v/>
      </c>
      <c r="D513" s="118" t="n"/>
    </row>
    <row r="514" ht="15" customHeight="1" s="64">
      <c r="A514" s="118" t="n"/>
      <c r="B514" s="118" t="n"/>
      <c r="C514" s="112">
        <f>IF(B514="",0,IFERROR(AVERAGE(B512,B513,B514),0))</f>
        <v/>
      </c>
      <c r="D514" s="118" t="n"/>
    </row>
    <row r="515" ht="15" customHeight="1" s="64">
      <c r="A515" s="118" t="n"/>
      <c r="B515" s="118" t="n"/>
      <c r="C515" s="112">
        <f>IF(B515="",0,IFERROR(AVERAGE(B513,B514,B515),0))</f>
        <v/>
      </c>
      <c r="D515" s="118" t="n"/>
    </row>
    <row r="516" ht="15" customHeight="1" s="64">
      <c r="A516" s="118" t="n"/>
      <c r="B516" s="118" t="n"/>
      <c r="C516" s="112">
        <f>IF(B516="",0,IFERROR(AVERAGE(B514,B515,B516),0))</f>
        <v/>
      </c>
      <c r="D516" s="118" t="n"/>
    </row>
    <row r="517" ht="15" customHeight="1" s="64">
      <c r="A517" s="118" t="n"/>
      <c r="B517" s="118" t="n"/>
      <c r="C517" s="112">
        <f>IF(B517="",0,IFERROR(AVERAGE(B515,B516,B517),0))</f>
        <v/>
      </c>
      <c r="D517" s="118" t="n"/>
    </row>
    <row r="518" ht="15" customHeight="1" s="64">
      <c r="A518" s="118" t="n"/>
      <c r="B518" s="118" t="n"/>
      <c r="C518" s="112">
        <f>IF(B518="",0,IFERROR(AVERAGE(B516,B517,B518),0))</f>
        <v/>
      </c>
      <c r="D518" s="118" t="n"/>
    </row>
    <row r="519" ht="15" customHeight="1" s="64">
      <c r="A519" s="118" t="n"/>
      <c r="B519" s="118" t="n"/>
      <c r="C519" s="112">
        <f>IF(B519="",0,IFERROR(AVERAGE(B517,B518,B519),0))</f>
        <v/>
      </c>
      <c r="D519" s="118" t="n"/>
    </row>
    <row r="520" ht="15" customHeight="1" s="64">
      <c r="A520" s="118" t="n"/>
      <c r="B520" s="118" t="n"/>
      <c r="C520" s="112">
        <f>IF(B520="",0,IFERROR(AVERAGE(B518,B519,B520),0))</f>
        <v/>
      </c>
      <c r="D520" s="118" t="n"/>
    </row>
    <row r="521" ht="15" customHeight="1" s="64">
      <c r="A521" s="118" t="n"/>
      <c r="B521" s="118" t="n"/>
      <c r="C521" s="112">
        <f>IF(B521="",0,IFERROR(AVERAGE(B519,B520,B521),0))</f>
        <v/>
      </c>
      <c r="D521" s="118" t="n"/>
    </row>
    <row r="522" ht="15" customHeight="1" s="64">
      <c r="A522" s="118" t="n"/>
      <c r="B522" s="118" t="n"/>
      <c r="C522" s="112">
        <f>IF(B522="",0,IFERROR(AVERAGE(B520,B521,B522),0))</f>
        <v/>
      </c>
      <c r="D522" s="118" t="n"/>
    </row>
    <row r="523" ht="15" customHeight="1" s="64">
      <c r="A523" s="118" t="n"/>
      <c r="B523" s="118" t="n"/>
      <c r="C523" s="112">
        <f>IF(B523="",0,IFERROR(AVERAGE(B521,B522,B523),0))</f>
        <v/>
      </c>
      <c r="D523" s="118" t="n"/>
    </row>
    <row r="524" ht="15" customHeight="1" s="64">
      <c r="A524" s="118" t="n"/>
      <c r="B524" s="118" t="n"/>
      <c r="C524" s="112">
        <f>IF(B524="",0,IFERROR(AVERAGE(B522,B523,B524),0))</f>
        <v/>
      </c>
      <c r="D524" s="118" t="n"/>
    </row>
    <row r="525" ht="15" customHeight="1" s="64">
      <c r="A525" s="118" t="n"/>
      <c r="B525" s="118" t="n"/>
      <c r="C525" s="112">
        <f>IF(B525="",0,IFERROR(AVERAGE(B523,B524,B525),0))</f>
        <v/>
      </c>
      <c r="D525" s="118" t="n"/>
    </row>
    <row r="526" ht="15" customHeight="1" s="64">
      <c r="A526" s="118" t="n"/>
      <c r="B526" s="118" t="n"/>
      <c r="C526" s="112">
        <f>IF(B526="",0,IFERROR(AVERAGE(B524,B525,B526),0))</f>
        <v/>
      </c>
      <c r="D526" s="118" t="n"/>
    </row>
    <row r="527" ht="15" customHeight="1" s="64">
      <c r="A527" s="118" t="n"/>
      <c r="B527" s="118" t="n"/>
      <c r="C527" s="112">
        <f>IF(B527="",0,IFERROR(AVERAGE(B525,B526,B527),0))</f>
        <v/>
      </c>
      <c r="D527" s="118" t="n"/>
    </row>
    <row r="528" ht="15" customHeight="1" s="64">
      <c r="A528" s="118" t="n"/>
      <c r="B528" s="118" t="n"/>
      <c r="C528" s="112">
        <f>IF(B528="",0,IFERROR(AVERAGE(B526,B527,B528),0))</f>
        <v/>
      </c>
      <c r="D528" s="118" t="n"/>
    </row>
    <row r="529" ht="15" customHeight="1" s="64">
      <c r="A529" s="118" t="n"/>
      <c r="B529" s="118" t="n"/>
      <c r="C529" s="112">
        <f>IF(B529="",0,IFERROR(AVERAGE(B527,B528,B529),0))</f>
        <v/>
      </c>
      <c r="D529" s="118" t="n"/>
    </row>
    <row r="530" ht="15" customHeight="1" s="64">
      <c r="A530" s="118" t="n"/>
      <c r="B530" s="118" t="n"/>
      <c r="C530" s="112">
        <f>IF(B530="",0,IFERROR(AVERAGE(B528,B529,B530),0))</f>
        <v/>
      </c>
      <c r="D530" s="118" t="n"/>
    </row>
    <row r="531" ht="15" customHeight="1" s="64">
      <c r="A531" s="118" t="n"/>
      <c r="B531" s="118" t="n"/>
      <c r="C531" s="112">
        <f>IF(B531="",0,IFERROR(AVERAGE(B529,B530,B531),0))</f>
        <v/>
      </c>
      <c r="D531" s="118" t="n"/>
    </row>
    <row r="532" ht="15" customHeight="1" s="64">
      <c r="A532" s="118" t="n"/>
      <c r="B532" s="118" t="n"/>
      <c r="C532" s="112">
        <f>IF(B532="",0,IFERROR(AVERAGE(B530,B531,B532),0))</f>
        <v/>
      </c>
      <c r="D532" s="118" t="n"/>
    </row>
    <row r="533" ht="15" customHeight="1" s="64">
      <c r="A533" s="118" t="n"/>
      <c r="B533" s="118" t="n"/>
      <c r="C533" s="112">
        <f>IF(B533="",0,IFERROR(AVERAGE(B531,B532,B533),0))</f>
        <v/>
      </c>
      <c r="D533" s="118" t="n"/>
    </row>
    <row r="534" ht="15" customHeight="1" s="64">
      <c r="A534" s="118" t="n"/>
      <c r="B534" s="118" t="n"/>
      <c r="C534" s="112">
        <f>IF(B534="",0,IFERROR(AVERAGE(B532,B533,B534),0))</f>
        <v/>
      </c>
      <c r="D534" s="118" t="n"/>
    </row>
    <row r="535" ht="15" customHeight="1" s="64">
      <c r="A535" s="118" t="n"/>
      <c r="B535" s="118" t="n"/>
      <c r="C535" s="112">
        <f>IF(B535="",0,IFERROR(AVERAGE(B533,B534,B535),0))</f>
        <v/>
      </c>
      <c r="D535" s="118" t="n"/>
    </row>
    <row r="536" ht="15" customHeight="1" s="64">
      <c r="A536" s="118" t="n"/>
      <c r="B536" s="118" t="n"/>
      <c r="C536" s="112">
        <f>IF(B536="",0,IFERROR(AVERAGE(B534,B535,B536),0))</f>
        <v/>
      </c>
      <c r="D536" s="118" t="n"/>
    </row>
    <row r="537" ht="15" customHeight="1" s="64">
      <c r="A537" s="118" t="n"/>
      <c r="B537" s="118" t="n"/>
      <c r="C537" s="112">
        <f>IF(B537="",0,IFERROR(AVERAGE(B535,B536,B537),0))</f>
        <v/>
      </c>
      <c r="D537" s="118" t="n"/>
    </row>
    <row r="538" ht="15" customHeight="1" s="64">
      <c r="A538" s="118" t="n"/>
      <c r="B538" s="118" t="n"/>
      <c r="C538" s="112">
        <f>IF(B538="",0,IFERROR(AVERAGE(B536,B537,B538),0))</f>
        <v/>
      </c>
      <c r="D538" s="118" t="n"/>
    </row>
    <row r="539" ht="15" customHeight="1" s="64">
      <c r="A539" s="118" t="n"/>
      <c r="B539" s="118" t="n"/>
      <c r="C539" s="112">
        <f>IF(B539="",0,IFERROR(AVERAGE(B537,B538,B539),0))</f>
        <v/>
      </c>
      <c r="D539" s="118" t="n"/>
    </row>
    <row r="540" ht="15" customHeight="1" s="64">
      <c r="A540" s="118" t="n"/>
      <c r="B540" s="118" t="n"/>
      <c r="C540" s="112">
        <f>IF(B540="",0,IFERROR(AVERAGE(B538,B539,B540),0))</f>
        <v/>
      </c>
      <c r="D540" s="118" t="n"/>
    </row>
    <row r="541" ht="15" customHeight="1" s="64">
      <c r="A541" s="118" t="n"/>
      <c r="B541" s="118" t="n"/>
      <c r="C541" s="112">
        <f>IF(B541="",0,IFERROR(AVERAGE(B539,B540,B541),0))</f>
        <v/>
      </c>
      <c r="D541" s="118" t="n"/>
    </row>
    <row r="542" ht="15" customHeight="1" s="64">
      <c r="A542" s="118" t="n"/>
      <c r="B542" s="118" t="n"/>
      <c r="C542" s="112">
        <f>IF(B542="",0,IFERROR(AVERAGE(B540,B541,B542),0))</f>
        <v/>
      </c>
      <c r="D542" s="118" t="n"/>
    </row>
    <row r="543" ht="15" customHeight="1" s="64">
      <c r="A543" s="118" t="n"/>
      <c r="B543" s="118" t="n"/>
      <c r="C543" s="112">
        <f>IF(B543="",0,IFERROR(AVERAGE(B541,B542,B543),0))</f>
        <v/>
      </c>
      <c r="D543" s="118" t="n"/>
    </row>
    <row r="544" ht="15" customHeight="1" s="64">
      <c r="A544" s="118" t="n"/>
      <c r="B544" s="118" t="n"/>
      <c r="C544" s="112">
        <f>IF(B544="",0,IFERROR(AVERAGE(B542,B543,B544),0))</f>
        <v/>
      </c>
      <c r="D544" s="118" t="n"/>
    </row>
    <row r="545" ht="15" customHeight="1" s="64">
      <c r="A545" s="118" t="n"/>
      <c r="B545" s="118" t="n"/>
      <c r="C545" s="112">
        <f>IF(B545="",0,IFERROR(AVERAGE(B543,B544,B545),0))</f>
        <v/>
      </c>
      <c r="D545" s="118" t="n"/>
    </row>
    <row r="546" ht="15" customHeight="1" s="64">
      <c r="A546" s="118" t="n"/>
      <c r="B546" s="118" t="n"/>
      <c r="C546" s="112">
        <f>IF(B546="",0,IFERROR(AVERAGE(B544,B545,B546),0))</f>
        <v/>
      </c>
      <c r="D546" s="118" t="n"/>
    </row>
    <row r="547" ht="15" customHeight="1" s="64">
      <c r="A547" s="118" t="n"/>
      <c r="B547" s="118" t="n"/>
      <c r="C547" s="112">
        <f>IF(B547="",0,IFERROR(AVERAGE(B545,B546,B547),0))</f>
        <v/>
      </c>
      <c r="D547" s="118" t="n"/>
    </row>
    <row r="548" ht="15" customHeight="1" s="64">
      <c r="A548" s="118" t="n"/>
      <c r="B548" s="118" t="n"/>
      <c r="C548" s="112">
        <f>IF(B548="",0,IFERROR(AVERAGE(B546,B547,B548),0))</f>
        <v/>
      </c>
      <c r="D548" s="118" t="n"/>
    </row>
    <row r="549" ht="15" customHeight="1" s="64">
      <c r="A549" s="118" t="n"/>
      <c r="B549" s="118" t="n"/>
      <c r="C549" s="112">
        <f>IF(B549="",0,IFERROR(AVERAGE(B547,B548,B549),0))</f>
        <v/>
      </c>
      <c r="D549" s="118" t="n"/>
    </row>
    <row r="550" ht="15" customHeight="1" s="64">
      <c r="A550" s="118" t="n"/>
      <c r="B550" s="118" t="n"/>
      <c r="C550" s="112">
        <f>IF(B550="",0,IFERROR(AVERAGE(B548,B549,B550),0))</f>
        <v/>
      </c>
      <c r="D550" s="118" t="n"/>
    </row>
    <row r="551" ht="15" customHeight="1" s="64">
      <c r="A551" s="118" t="n"/>
      <c r="B551" s="118" t="n"/>
      <c r="C551" s="112">
        <f>IF(B551="",0,IFERROR(AVERAGE(B549,B550,B551),0))</f>
        <v/>
      </c>
      <c r="D551" s="118" t="n"/>
    </row>
    <row r="552" ht="15" customHeight="1" s="64">
      <c r="A552" s="118" t="n"/>
      <c r="B552" s="118" t="n"/>
      <c r="C552" s="112">
        <f>IF(B552="",0,IFERROR(AVERAGE(B550,B551,B552),0))</f>
        <v/>
      </c>
      <c r="D552" s="118" t="n"/>
    </row>
    <row r="553" ht="15" customHeight="1" s="64">
      <c r="A553" s="118" t="n"/>
      <c r="B553" s="118" t="n"/>
      <c r="C553" s="112">
        <f>IF(B553="",0,IFERROR(AVERAGE(B551,B552,B553),0))</f>
        <v/>
      </c>
      <c r="D553" s="118" t="n"/>
    </row>
    <row r="554" ht="15" customHeight="1" s="64">
      <c r="A554" s="118" t="n"/>
      <c r="B554" s="118" t="n"/>
      <c r="C554" s="112">
        <f>IF(B554="",0,IFERROR(AVERAGE(B552,B553,B554),0))</f>
        <v/>
      </c>
      <c r="D554" s="118" t="n"/>
    </row>
    <row r="555" ht="15" customHeight="1" s="64">
      <c r="A555" s="118" t="n"/>
      <c r="B555" s="118" t="n"/>
      <c r="C555" s="112">
        <f>IF(B555="",0,IFERROR(AVERAGE(B553,B554,B555),0))</f>
        <v/>
      </c>
      <c r="D555" s="118" t="n"/>
    </row>
    <row r="556" ht="15" customHeight="1" s="64">
      <c r="A556" s="118" t="n"/>
      <c r="B556" s="118" t="n"/>
      <c r="C556" s="112">
        <f>IF(B556="",0,IFERROR(AVERAGE(B554,B555,B556),0))</f>
        <v/>
      </c>
      <c r="D556" s="118" t="n"/>
    </row>
    <row r="557" ht="15" customHeight="1" s="64">
      <c r="A557" s="118" t="n"/>
      <c r="B557" s="118" t="n"/>
      <c r="C557" s="112">
        <f>IF(B557="",0,IFERROR(AVERAGE(B555,B556,B557),0))</f>
        <v/>
      </c>
      <c r="D557" s="118" t="n"/>
    </row>
    <row r="558" ht="15" customHeight="1" s="64">
      <c r="A558" s="118" t="n"/>
      <c r="B558" s="118" t="n"/>
      <c r="C558" s="112">
        <f>IF(B558="",0,IFERROR(AVERAGE(B556,B557,B558),0))</f>
        <v/>
      </c>
      <c r="D558" s="118" t="n"/>
    </row>
    <row r="559" ht="15" customHeight="1" s="64">
      <c r="A559" s="118" t="n"/>
      <c r="B559" s="118" t="n"/>
      <c r="C559" s="112">
        <f>IF(B559="",0,IFERROR(AVERAGE(B557,B558,B559),0))</f>
        <v/>
      </c>
      <c r="D559" s="118" t="n"/>
    </row>
    <row r="560" ht="15" customHeight="1" s="64">
      <c r="A560" s="118" t="n"/>
      <c r="B560" s="118" t="n"/>
      <c r="C560" s="112">
        <f>IF(B560="",0,IFERROR(AVERAGE(B558,B559,B560),0))</f>
        <v/>
      </c>
      <c r="D560" s="118" t="n"/>
    </row>
    <row r="561" ht="15" customHeight="1" s="64">
      <c r="A561" s="118" t="n"/>
      <c r="B561" s="118" t="n"/>
      <c r="C561" s="112">
        <f>IF(B561="",0,IFERROR(AVERAGE(B559,B560,B561),0))</f>
        <v/>
      </c>
      <c r="D561" s="118" t="n"/>
    </row>
    <row r="562" ht="15" customHeight="1" s="64">
      <c r="A562" s="118" t="n"/>
      <c r="B562" s="118" t="n"/>
      <c r="C562" s="112">
        <f>IF(B562="",0,IFERROR(AVERAGE(B560,B561,B562),0))</f>
        <v/>
      </c>
      <c r="D562" s="118" t="n"/>
    </row>
    <row r="563" ht="15" customHeight="1" s="64">
      <c r="A563" s="118" t="n"/>
      <c r="B563" s="118" t="n"/>
      <c r="C563" s="112">
        <f>IF(B563="",0,IFERROR(AVERAGE(B561,B562,B563),0))</f>
        <v/>
      </c>
      <c r="D563" s="118" t="n"/>
    </row>
    <row r="564" ht="15" customHeight="1" s="64">
      <c r="A564" s="118" t="n"/>
      <c r="B564" s="118" t="n"/>
      <c r="C564" s="112">
        <f>IF(B564="",0,IFERROR(AVERAGE(B562,B563,B564),0))</f>
        <v/>
      </c>
      <c r="D564" s="118" t="n"/>
    </row>
    <row r="565" ht="15" customHeight="1" s="64">
      <c r="A565" s="118" t="n"/>
      <c r="B565" s="118" t="n"/>
      <c r="C565" s="112">
        <f>IF(B565="",0,IFERROR(AVERAGE(B563,B564,B565),0))</f>
        <v/>
      </c>
      <c r="D565" s="118" t="n"/>
    </row>
    <row r="566" ht="15" customHeight="1" s="64">
      <c r="A566" s="118" t="n"/>
      <c r="B566" s="118" t="n"/>
      <c r="C566" s="112">
        <f>IF(B566="",0,IFERROR(AVERAGE(B564,B565,B566),0))</f>
        <v/>
      </c>
      <c r="D566" s="118" t="n"/>
    </row>
    <row r="567" ht="15" customHeight="1" s="64">
      <c r="A567" s="118" t="n"/>
      <c r="B567" s="118" t="n"/>
      <c r="C567" s="112">
        <f>IF(B567="",0,IFERROR(AVERAGE(B565,B566,B567),0))</f>
        <v/>
      </c>
      <c r="D567" s="118" t="n"/>
    </row>
    <row r="568" ht="15" customHeight="1" s="64">
      <c r="A568" s="118" t="n"/>
      <c r="B568" s="118" t="n"/>
      <c r="C568" s="112">
        <f>IF(B568="",0,IFERROR(AVERAGE(B566,B567,B568),0))</f>
        <v/>
      </c>
      <c r="D568" s="118" t="n"/>
    </row>
    <row r="569" ht="15" customHeight="1" s="64">
      <c r="A569" s="118" t="n"/>
      <c r="B569" s="118" t="n"/>
      <c r="C569" s="112">
        <f>IF(B569="",0,IFERROR(AVERAGE(B567,B568,B569),0))</f>
        <v/>
      </c>
      <c r="D569" s="118" t="n"/>
    </row>
    <row r="570" ht="15" customHeight="1" s="64">
      <c r="A570" s="118" t="n"/>
      <c r="B570" s="118" t="n"/>
      <c r="C570" s="112">
        <f>IF(B570="",0,IFERROR(AVERAGE(B568,B569,B570),0))</f>
        <v/>
      </c>
      <c r="D570" s="118" t="n"/>
    </row>
    <row r="571" ht="15" customHeight="1" s="64">
      <c r="A571" s="118" t="n"/>
      <c r="B571" s="118" t="n"/>
      <c r="C571" s="112">
        <f>IF(B571="",0,IFERROR(AVERAGE(B569,B570,B571),0))</f>
        <v/>
      </c>
      <c r="D571" s="118" t="n"/>
    </row>
    <row r="572" ht="15" customHeight="1" s="64">
      <c r="A572" s="118" t="n"/>
      <c r="B572" s="118" t="n"/>
      <c r="C572" s="112">
        <f>IF(B572="",0,IFERROR(AVERAGE(B570,B571,B572),0))</f>
        <v/>
      </c>
      <c r="D572" s="118" t="n"/>
    </row>
    <row r="573" ht="15" customHeight="1" s="64">
      <c r="A573" s="118" t="n"/>
      <c r="B573" s="118" t="n"/>
      <c r="C573" s="112">
        <f>IF(B573="",0,IFERROR(AVERAGE(B571,B572,B573),0))</f>
        <v/>
      </c>
      <c r="D573" s="118" t="n"/>
    </row>
    <row r="574" ht="15" customHeight="1" s="64">
      <c r="A574" s="118" t="n"/>
      <c r="B574" s="118" t="n"/>
      <c r="C574" s="112">
        <f>IF(B574="",0,IFERROR(AVERAGE(B572,B573,B574),0))</f>
        <v/>
      </c>
      <c r="D574" s="118" t="n"/>
    </row>
    <row r="575" ht="15" customHeight="1" s="64">
      <c r="A575" s="118" t="n"/>
      <c r="B575" s="118" t="n"/>
      <c r="C575" s="112">
        <f>IF(B575="",0,IFERROR(AVERAGE(B573,B574,B575),0))</f>
        <v/>
      </c>
      <c r="D575" s="118" t="n"/>
    </row>
    <row r="576" ht="15" customHeight="1" s="64">
      <c r="A576" s="118" t="n"/>
      <c r="B576" s="118" t="n"/>
      <c r="C576" s="112">
        <f>IF(B576="",0,IFERROR(AVERAGE(B574,B575,B576),0))</f>
        <v/>
      </c>
      <c r="D576" s="118" t="n"/>
    </row>
    <row r="577" ht="15" customHeight="1" s="64">
      <c r="A577" s="118" t="n"/>
      <c r="B577" s="118" t="n"/>
      <c r="C577" s="112">
        <f>IF(B577="",0,IFERROR(AVERAGE(B575,B576,B577),0))</f>
        <v/>
      </c>
      <c r="D577" s="118" t="n"/>
    </row>
    <row r="578" ht="15" customHeight="1" s="64">
      <c r="A578" s="118" t="n"/>
      <c r="B578" s="118" t="n"/>
      <c r="C578" s="112">
        <f>IF(B578="",0,IFERROR(AVERAGE(B576,B577,B578),0))</f>
        <v/>
      </c>
      <c r="D578" s="118" t="n"/>
    </row>
    <row r="579" ht="15" customHeight="1" s="64">
      <c r="A579" s="118" t="n"/>
      <c r="B579" s="118" t="n"/>
      <c r="C579" s="112">
        <f>IF(B579="",0,IFERROR(AVERAGE(B577,B578,B579),0))</f>
        <v/>
      </c>
      <c r="D579" s="118" t="n"/>
    </row>
    <row r="580" ht="15" customHeight="1" s="64">
      <c r="A580" s="118" t="n"/>
      <c r="B580" s="118" t="n"/>
      <c r="C580" s="112">
        <f>IF(B580="",0,IFERROR(AVERAGE(B578,B579,B580),0))</f>
        <v/>
      </c>
      <c r="D580" s="118" t="n"/>
    </row>
    <row r="581" ht="15" customHeight="1" s="64">
      <c r="A581" s="118" t="n"/>
      <c r="B581" s="118" t="n"/>
      <c r="C581" s="112">
        <f>IF(B581="",0,IFERROR(AVERAGE(B579,B580,B581),0))</f>
        <v/>
      </c>
      <c r="D581" s="118" t="n"/>
    </row>
    <row r="582" ht="15" customHeight="1" s="64">
      <c r="A582" s="118" t="n"/>
      <c r="B582" s="118" t="n"/>
      <c r="C582" s="112">
        <f>IF(B582="",0,IFERROR(AVERAGE(B580,B581,B582),0))</f>
        <v/>
      </c>
      <c r="D582" s="118" t="n"/>
    </row>
    <row r="583" ht="15" customHeight="1" s="64">
      <c r="A583" s="118" t="n"/>
      <c r="B583" s="118" t="n"/>
      <c r="C583" s="112">
        <f>IF(B583="",0,IFERROR(AVERAGE(B581,B582,B583),0))</f>
        <v/>
      </c>
      <c r="D583" s="118" t="n"/>
    </row>
    <row r="584" ht="15" customHeight="1" s="64">
      <c r="A584" s="118" t="n"/>
      <c r="B584" s="118" t="n"/>
      <c r="C584" s="112">
        <f>IF(B584="",0,IFERROR(AVERAGE(B582,B583,B584),0))</f>
        <v/>
      </c>
      <c r="D584" s="118" t="n"/>
    </row>
    <row r="585" ht="15" customHeight="1" s="64">
      <c r="A585" s="118" t="n"/>
      <c r="B585" s="118" t="n"/>
      <c r="C585" s="112">
        <f>IF(B585="",0,IFERROR(AVERAGE(B583,B584,B585),0))</f>
        <v/>
      </c>
      <c r="D585" s="118" t="n"/>
    </row>
    <row r="586" ht="15" customHeight="1" s="64">
      <c r="A586" s="118" t="n"/>
      <c r="B586" s="118" t="n"/>
      <c r="C586" s="112">
        <f>IF(B586="",0,IFERROR(AVERAGE(B584,B585,B586),0))</f>
        <v/>
      </c>
      <c r="D586" s="118" t="n"/>
    </row>
    <row r="587" ht="15" customHeight="1" s="64">
      <c r="A587" s="118" t="n"/>
      <c r="B587" s="118" t="n"/>
      <c r="C587" s="112">
        <f>IF(B587="",0,IFERROR(AVERAGE(B585,B586,B587),0))</f>
        <v/>
      </c>
      <c r="D587" s="118" t="n"/>
    </row>
    <row r="588" ht="15" customHeight="1" s="64">
      <c r="A588" s="118" t="n"/>
      <c r="B588" s="118" t="n"/>
      <c r="C588" s="112">
        <f>IF(B588="",0,IFERROR(AVERAGE(B586,B587,B588),0))</f>
        <v/>
      </c>
      <c r="D588" s="118" t="n"/>
    </row>
    <row r="589" ht="15" customHeight="1" s="64">
      <c r="A589" s="118" t="n"/>
      <c r="B589" s="118" t="n"/>
      <c r="C589" s="112">
        <f>IF(B589="",0,IFERROR(AVERAGE(B587,B588,B589),0))</f>
        <v/>
      </c>
      <c r="D589" s="118" t="n"/>
    </row>
    <row r="590" ht="15" customHeight="1" s="64">
      <c r="A590" s="118" t="n"/>
      <c r="B590" s="118" t="n"/>
      <c r="C590" s="112">
        <f>IF(B590="",0,IFERROR(AVERAGE(B588,B589,B590),0))</f>
        <v/>
      </c>
      <c r="D590" s="118" t="n"/>
    </row>
    <row r="591" ht="15" customHeight="1" s="64">
      <c r="A591" s="118" t="n"/>
      <c r="B591" s="118" t="n"/>
      <c r="C591" s="112">
        <f>IF(B591="",0,IFERROR(AVERAGE(B589,B590,B591),0))</f>
        <v/>
      </c>
      <c r="D591" s="118" t="n"/>
    </row>
    <row r="592" ht="15" customHeight="1" s="64">
      <c r="A592" s="118" t="n"/>
      <c r="B592" s="118" t="n"/>
      <c r="C592" s="112">
        <f>IF(B592="",0,IFERROR(AVERAGE(B590,B591,B592),0))</f>
        <v/>
      </c>
      <c r="D592" s="118" t="n"/>
    </row>
    <row r="593" ht="15" customHeight="1" s="64">
      <c r="A593" s="118" t="n"/>
      <c r="B593" s="118" t="n"/>
      <c r="C593" s="112">
        <f>IF(B593="",0,IFERROR(AVERAGE(B591,B592,B593),0))</f>
        <v/>
      </c>
      <c r="D593" s="118" t="n"/>
    </row>
    <row r="594" ht="15" customHeight="1" s="64">
      <c r="A594" s="118" t="n"/>
      <c r="B594" s="118" t="n"/>
      <c r="C594" s="112">
        <f>IF(B594="",0,IFERROR(AVERAGE(B592,B593,B594),0))</f>
        <v/>
      </c>
      <c r="D594" s="118" t="n"/>
    </row>
    <row r="595" ht="15" customHeight="1" s="64">
      <c r="A595" s="118" t="n"/>
      <c r="B595" s="118" t="n"/>
      <c r="C595" s="112">
        <f>IF(B595="",0,IFERROR(AVERAGE(B593,B594,B595),0))</f>
        <v/>
      </c>
      <c r="D595" s="118" t="n"/>
    </row>
    <row r="596" ht="15" customHeight="1" s="64">
      <c r="A596" s="118" t="n"/>
      <c r="B596" s="118" t="n"/>
      <c r="C596" s="112">
        <f>IF(B596="",0,IFERROR(AVERAGE(B594,B595,B596),0))</f>
        <v/>
      </c>
      <c r="D596" s="118" t="n"/>
    </row>
    <row r="597" ht="15" customHeight="1" s="64">
      <c r="A597" s="118" t="n"/>
      <c r="B597" s="118" t="n"/>
      <c r="C597" s="112">
        <f>IF(B597="",0,IFERROR(AVERAGE(B595,B596,B597),0))</f>
        <v/>
      </c>
      <c r="D597" s="118" t="n"/>
    </row>
    <row r="598" ht="15" customHeight="1" s="64">
      <c r="A598" s="118" t="n"/>
      <c r="B598" s="118" t="n"/>
      <c r="C598" s="112">
        <f>IF(B598="",0,IFERROR(AVERAGE(B596,B597,B598),0))</f>
        <v/>
      </c>
      <c r="D598" s="118" t="n"/>
    </row>
    <row r="599" ht="15" customHeight="1" s="64">
      <c r="A599" s="118" t="n"/>
      <c r="B599" s="118" t="n"/>
      <c r="C599" s="112">
        <f>IF(B599="",0,IFERROR(AVERAGE(B597,B598,B599),0))</f>
        <v/>
      </c>
      <c r="D599" s="118" t="n"/>
    </row>
    <row r="600" ht="15" customHeight="1" s="64">
      <c r="A600" s="118" t="n"/>
      <c r="B600" s="118" t="n"/>
      <c r="C600" s="112">
        <f>IF(B600="",0,IFERROR(AVERAGE(B598,B599,B600),0))</f>
        <v/>
      </c>
      <c r="D600" s="118" t="n"/>
    </row>
    <row r="601" ht="15" customHeight="1" s="64">
      <c r="A601" s="118" t="n"/>
      <c r="B601" s="118" t="n"/>
      <c r="C601" s="112">
        <f>IF(B601="",0,IFERROR(AVERAGE(B599,B600,B601),0))</f>
        <v/>
      </c>
      <c r="D601" s="118" t="n"/>
    </row>
    <row r="602" ht="15" customHeight="1" s="64">
      <c r="A602" s="118" t="n"/>
      <c r="B602" s="118" t="n"/>
      <c r="C602" s="112">
        <f>IF(B602="",0,IFERROR(AVERAGE(B600,B601,B602),0))</f>
        <v/>
      </c>
      <c r="D602" s="118" t="n"/>
    </row>
    <row r="603" ht="15" customHeight="1" s="64">
      <c r="A603" s="118" t="n"/>
      <c r="B603" s="118" t="n"/>
      <c r="C603" s="112">
        <f>IF(B603="",0,IFERROR(AVERAGE(B601,B602,B603),0))</f>
        <v/>
      </c>
      <c r="D603" s="118" t="n"/>
    </row>
    <row r="604" ht="15" customHeight="1" s="64">
      <c r="A604" s="118" t="n"/>
      <c r="B604" s="118" t="n"/>
      <c r="C604" s="112">
        <f>IF(B604="",0,IFERROR(AVERAGE(B602,B603,B604),0))</f>
        <v/>
      </c>
      <c r="D604" s="118" t="n"/>
    </row>
    <row r="605" ht="15" customHeight="1" s="64">
      <c r="A605" s="118" t="n"/>
      <c r="B605" s="118" t="n"/>
      <c r="C605" s="112">
        <f>IF(B605="",0,IFERROR(AVERAGE(B603,B604,B605),0))</f>
        <v/>
      </c>
      <c r="D605" s="118" t="n"/>
    </row>
    <row r="606" ht="15" customHeight="1" s="64">
      <c r="A606" s="118" t="n"/>
      <c r="B606" s="118" t="n"/>
      <c r="C606" s="112">
        <f>IF(B606="",0,IFERROR(AVERAGE(B604,B605,B606),0))</f>
        <v/>
      </c>
      <c r="D606" s="118" t="n"/>
    </row>
    <row r="607" ht="15" customHeight="1" s="64">
      <c r="A607" s="118" t="n"/>
      <c r="B607" s="118" t="n"/>
      <c r="C607" s="112">
        <f>IF(B607="",0,IFERROR(AVERAGE(B605,B606,B607),0))</f>
        <v/>
      </c>
      <c r="D607" s="118" t="n"/>
    </row>
    <row r="608" ht="15" customHeight="1" s="64">
      <c r="A608" s="118" t="n"/>
      <c r="B608" s="118" t="n"/>
      <c r="C608" s="112">
        <f>IF(B608="",0,IFERROR(AVERAGE(B606,B607,B608),0))</f>
        <v/>
      </c>
      <c r="D608" s="118" t="n"/>
    </row>
    <row r="609" ht="15" customHeight="1" s="64">
      <c r="A609" s="118" t="n"/>
      <c r="B609" s="118" t="n"/>
      <c r="C609" s="112">
        <f>IF(B609="",0,IFERROR(AVERAGE(B607,B608,B609),0))</f>
        <v/>
      </c>
      <c r="D609" s="118" t="n"/>
    </row>
    <row r="610" ht="15" customHeight="1" s="64">
      <c r="A610" s="118" t="n"/>
      <c r="B610" s="118" t="n"/>
      <c r="C610" s="112">
        <f>IF(B610="",0,IFERROR(AVERAGE(B608,B609,B610),0))</f>
        <v/>
      </c>
      <c r="D610" s="118" t="n"/>
    </row>
    <row r="611" ht="15" customHeight="1" s="64">
      <c r="A611" s="118" t="n"/>
      <c r="B611" s="118" t="n"/>
      <c r="C611" s="112">
        <f>IF(B611="",0,IFERROR(AVERAGE(B609,B610,B611),0))</f>
        <v/>
      </c>
      <c r="D611" s="118" t="n"/>
    </row>
    <row r="612" ht="15" customHeight="1" s="64">
      <c r="A612" s="118" t="n"/>
      <c r="B612" s="118" t="n"/>
      <c r="C612" s="112">
        <f>IF(B612="",0,IFERROR(AVERAGE(B610,B611,B612),0))</f>
        <v/>
      </c>
      <c r="D612" s="118" t="n"/>
    </row>
    <row r="613" ht="15" customHeight="1" s="64">
      <c r="A613" s="118" t="n"/>
      <c r="B613" s="118" t="n"/>
      <c r="C613" s="112">
        <f>IF(B613="",0,IFERROR(AVERAGE(B611,B612,B613),0))</f>
        <v/>
      </c>
      <c r="D613" s="118" t="n"/>
    </row>
    <row r="614" ht="15" customHeight="1" s="64">
      <c r="A614" s="118" t="n"/>
      <c r="B614" s="118" t="n"/>
      <c r="C614" s="112">
        <f>IF(B614="",0,IFERROR(AVERAGE(B612,B613,B614),0))</f>
        <v/>
      </c>
      <c r="D614" s="118" t="n"/>
    </row>
    <row r="615" ht="15" customHeight="1" s="64">
      <c r="A615" s="118" t="n"/>
      <c r="B615" s="118" t="n"/>
      <c r="C615" s="112">
        <f>IF(B615="",0,IFERROR(AVERAGE(B613,B614,B615),0))</f>
        <v/>
      </c>
      <c r="D615" s="118" t="n"/>
    </row>
    <row r="616" ht="15" customHeight="1" s="64">
      <c r="A616" s="118" t="n"/>
      <c r="B616" s="118" t="n"/>
      <c r="C616" s="112">
        <f>IF(B616="",0,IFERROR(AVERAGE(B614,B615,B616),0))</f>
        <v/>
      </c>
      <c r="D616" s="118" t="n"/>
    </row>
    <row r="617" ht="15" customHeight="1" s="64">
      <c r="A617" s="118" t="n"/>
      <c r="B617" s="118" t="n"/>
      <c r="C617" s="112">
        <f>IF(B617="",0,IFERROR(AVERAGE(B615,B616,B617),0))</f>
        <v/>
      </c>
      <c r="D617" s="118" t="n"/>
    </row>
    <row r="618" ht="15" customHeight="1" s="64">
      <c r="A618" s="118" t="n"/>
      <c r="B618" s="118" t="n"/>
      <c r="C618" s="112">
        <f>IF(B618="",0,IFERROR(AVERAGE(B616,B617,B618),0))</f>
        <v/>
      </c>
      <c r="D618" s="118" t="n"/>
    </row>
    <row r="619" ht="15" customHeight="1" s="64">
      <c r="A619" s="118" t="n"/>
      <c r="B619" s="118" t="n"/>
      <c r="C619" s="112">
        <f>IF(B619="",0,IFERROR(AVERAGE(B617,B618,B619),0))</f>
        <v/>
      </c>
      <c r="D619" s="118" t="n"/>
    </row>
    <row r="620" ht="15" customHeight="1" s="64">
      <c r="A620" s="118" t="n"/>
      <c r="B620" s="118" t="n"/>
      <c r="C620" s="112">
        <f>IF(B620="",0,IFERROR(AVERAGE(B618,B619,B620),0))</f>
        <v/>
      </c>
      <c r="D620" s="118" t="n"/>
    </row>
    <row r="621" ht="15" customHeight="1" s="64">
      <c r="A621" s="118" t="n"/>
      <c r="B621" s="118" t="n"/>
      <c r="C621" s="112">
        <f>IF(B621="",0,IFERROR(AVERAGE(B619,B620,B621),0))</f>
        <v/>
      </c>
      <c r="D621" s="118" t="n"/>
    </row>
    <row r="622" ht="15" customHeight="1" s="64">
      <c r="A622" s="118" t="n"/>
      <c r="B622" s="118" t="n"/>
      <c r="C622" s="112">
        <f>IF(B622="",0,IFERROR(AVERAGE(B620,B621,B622),0))</f>
        <v/>
      </c>
      <c r="D622" s="118" t="n"/>
    </row>
    <row r="623" ht="15" customHeight="1" s="64">
      <c r="A623" s="118" t="n"/>
      <c r="B623" s="118" t="n"/>
      <c r="C623" s="112">
        <f>IF(B623="",0,IFERROR(AVERAGE(B621,B622,B623),0))</f>
        <v/>
      </c>
      <c r="D623" s="118" t="n"/>
    </row>
    <row r="624" ht="15" customHeight="1" s="64">
      <c r="A624" s="118" t="n"/>
      <c r="B624" s="118" t="n"/>
      <c r="C624" s="112">
        <f>IF(B624="",0,IFERROR(AVERAGE(B622,B623,B624),0))</f>
        <v/>
      </c>
      <c r="D624" s="118" t="n"/>
    </row>
    <row r="625" ht="15" customHeight="1" s="64">
      <c r="A625" s="118" t="n"/>
      <c r="B625" s="118" t="n"/>
      <c r="C625" s="112">
        <f>IF(B625="",0,IFERROR(AVERAGE(B623,B624,B625),0))</f>
        <v/>
      </c>
      <c r="D625" s="118" t="n"/>
    </row>
    <row r="626" ht="15" customHeight="1" s="64">
      <c r="A626" s="118" t="n"/>
      <c r="B626" s="118" t="n"/>
      <c r="C626" s="112">
        <f>IF(B626="",0,IFERROR(AVERAGE(B624,B625,B626),0))</f>
        <v/>
      </c>
      <c r="D626" s="118" t="n"/>
    </row>
    <row r="627" ht="15" customHeight="1" s="64">
      <c r="A627" s="118" t="n"/>
      <c r="B627" s="118" t="n"/>
      <c r="C627" s="112">
        <f>IF(B627="",0,IFERROR(AVERAGE(B625,B626,B627),0))</f>
        <v/>
      </c>
      <c r="D627" s="118" t="n"/>
    </row>
    <row r="628" ht="15" customHeight="1" s="64">
      <c r="A628" s="118" t="n"/>
      <c r="B628" s="118" t="n"/>
      <c r="C628" s="112">
        <f>IF(B628="",0,IFERROR(AVERAGE(B626,B627,B628),0))</f>
        <v/>
      </c>
      <c r="D628" s="118" t="n"/>
    </row>
    <row r="629" ht="15" customHeight="1" s="64">
      <c r="A629" s="118" t="n"/>
      <c r="B629" s="118" t="n"/>
      <c r="C629" s="112">
        <f>IF(B629="",0,IFERROR(AVERAGE(B627,B628,B629),0))</f>
        <v/>
      </c>
      <c r="D629" s="118" t="n"/>
    </row>
    <row r="630" ht="15" customHeight="1" s="64">
      <c r="A630" s="118" t="n"/>
      <c r="B630" s="118" t="n"/>
      <c r="C630" s="112">
        <f>IF(B630="",0,IFERROR(AVERAGE(B628,B629,B630),0))</f>
        <v/>
      </c>
      <c r="D630" s="118" t="n"/>
    </row>
    <row r="631" ht="15" customHeight="1" s="64">
      <c r="A631" s="118" t="n"/>
      <c r="B631" s="118" t="n"/>
      <c r="C631" s="112">
        <f>IF(B631="",0,IFERROR(AVERAGE(B629,B630,B631),0))</f>
        <v/>
      </c>
      <c r="D631" s="118" t="n"/>
    </row>
    <row r="632" ht="15" customHeight="1" s="64">
      <c r="A632" s="118" t="n"/>
      <c r="B632" s="118" t="n"/>
      <c r="C632" s="112">
        <f>IF(B632="",0,IFERROR(AVERAGE(B630,B631,B632),0))</f>
        <v/>
      </c>
      <c r="D632" s="118" t="n"/>
    </row>
    <row r="633" ht="15" customHeight="1" s="64">
      <c r="A633" s="118" t="n"/>
      <c r="B633" s="118" t="n"/>
      <c r="C633" s="112">
        <f>IF(B633="",0,IFERROR(AVERAGE(B631,B632,B633),0))</f>
        <v/>
      </c>
      <c r="D633" s="118" t="n"/>
    </row>
    <row r="634" ht="15" customHeight="1" s="64">
      <c r="A634" s="118" t="n"/>
      <c r="B634" s="118" t="n"/>
      <c r="C634" s="112">
        <f>IF(B634="",0,IFERROR(AVERAGE(B632,B633,B634),0))</f>
        <v/>
      </c>
      <c r="D634" s="118" t="n"/>
    </row>
    <row r="635" ht="15" customHeight="1" s="64">
      <c r="A635" s="118" t="n"/>
      <c r="B635" s="118" t="n"/>
      <c r="C635" s="112">
        <f>IF(B635="",0,IFERROR(AVERAGE(B633,B634,B635),0))</f>
        <v/>
      </c>
      <c r="D635" s="118" t="n"/>
    </row>
    <row r="636" ht="15" customHeight="1" s="64">
      <c r="A636" s="118" t="n"/>
      <c r="B636" s="118" t="n"/>
      <c r="C636" s="112">
        <f>IF(B636="",0,IFERROR(AVERAGE(B634,B635,B636),0))</f>
        <v/>
      </c>
      <c r="D636" s="118" t="n"/>
    </row>
    <row r="637" ht="15" customHeight="1" s="64">
      <c r="A637" s="118" t="n"/>
      <c r="B637" s="118" t="n"/>
      <c r="C637" s="112">
        <f>IF(B637="",0,IFERROR(AVERAGE(B635,B636,B637),0))</f>
        <v/>
      </c>
      <c r="D637" s="118" t="n"/>
    </row>
    <row r="638" ht="15" customHeight="1" s="64">
      <c r="A638" s="118" t="n"/>
      <c r="B638" s="118" t="n"/>
      <c r="C638" s="112">
        <f>IF(B638="",0,IFERROR(AVERAGE(B636,B637,B638),0))</f>
        <v/>
      </c>
      <c r="D638" s="118" t="n"/>
    </row>
    <row r="639" ht="15" customHeight="1" s="64">
      <c r="A639" s="118" t="n"/>
      <c r="B639" s="118" t="n"/>
      <c r="C639" s="112">
        <f>IF(B639="",0,IFERROR(AVERAGE(B637,B638,B639),0))</f>
        <v/>
      </c>
      <c r="D639" s="118" t="n"/>
    </row>
    <row r="640" ht="15" customHeight="1" s="64">
      <c r="A640" s="118" t="n"/>
      <c r="B640" s="118" t="n"/>
      <c r="C640" s="112">
        <f>IF(B640="",0,IFERROR(AVERAGE(B638,B639,B640),0))</f>
        <v/>
      </c>
      <c r="D640" s="118" t="n"/>
    </row>
    <row r="641" ht="15" customHeight="1" s="64">
      <c r="A641" s="118" t="n"/>
      <c r="B641" s="118" t="n"/>
      <c r="C641" s="112">
        <f>IF(B641="",0,IFERROR(AVERAGE(B639,B640,B641),0))</f>
        <v/>
      </c>
      <c r="D641" s="118" t="n"/>
    </row>
    <row r="642" ht="15" customHeight="1" s="64">
      <c r="A642" s="118" t="n"/>
      <c r="B642" s="118" t="n"/>
      <c r="C642" s="112">
        <f>IF(B642="",0,IFERROR(AVERAGE(B640,B641,B642),0))</f>
        <v/>
      </c>
      <c r="D642" s="118" t="n"/>
    </row>
    <row r="643" ht="15" customHeight="1" s="64">
      <c r="A643" s="118" t="n"/>
      <c r="B643" s="118" t="n"/>
      <c r="C643" s="112">
        <f>IF(B643="",0,IFERROR(AVERAGE(B641,B642,B643),0))</f>
        <v/>
      </c>
      <c r="D643" s="118" t="n"/>
    </row>
    <row r="644" ht="15" customHeight="1" s="64">
      <c r="A644" s="118" t="n"/>
      <c r="B644" s="118" t="n"/>
      <c r="C644" s="112">
        <f>IF(B644="",0,IFERROR(AVERAGE(B642,B643,B644),0))</f>
        <v/>
      </c>
      <c r="D644" s="118" t="n"/>
    </row>
    <row r="645" ht="15" customHeight="1" s="64">
      <c r="A645" s="118" t="n"/>
      <c r="B645" s="118" t="n"/>
      <c r="C645" s="112">
        <f>IF(B645="",0,IFERROR(AVERAGE(B643,B644,B645),0))</f>
        <v/>
      </c>
      <c r="D645" s="118" t="n"/>
    </row>
    <row r="646" ht="15" customHeight="1" s="64">
      <c r="A646" s="118" t="n"/>
      <c r="B646" s="118" t="n"/>
      <c r="C646" s="112">
        <f>IF(B646="",0,IFERROR(AVERAGE(B644,B645,B646),0))</f>
        <v/>
      </c>
      <c r="D646" s="118" t="n"/>
    </row>
    <row r="647" ht="15" customHeight="1" s="64">
      <c r="A647" s="118" t="n"/>
      <c r="B647" s="118" t="n"/>
      <c r="C647" s="112">
        <f>IF(B647="",0,IFERROR(AVERAGE(B645,B646,B647),0))</f>
        <v/>
      </c>
      <c r="D647" s="118" t="n"/>
    </row>
    <row r="648" ht="15" customHeight="1" s="64">
      <c r="A648" s="118" t="n"/>
      <c r="B648" s="118" t="n"/>
      <c r="C648" s="112">
        <f>IF(B648="",0,IFERROR(AVERAGE(B646,B647,B648),0))</f>
        <v/>
      </c>
      <c r="D648" s="118" t="n"/>
    </row>
    <row r="649" ht="15" customHeight="1" s="64">
      <c r="A649" s="118" t="n"/>
      <c r="B649" s="118" t="n"/>
      <c r="C649" s="112">
        <f>IF(B649="",0,IFERROR(AVERAGE(B647,B648,B649),0))</f>
        <v/>
      </c>
      <c r="D649" s="118" t="n"/>
    </row>
    <row r="650" ht="15" customHeight="1" s="64">
      <c r="A650" s="118" t="n"/>
      <c r="B650" s="118" t="n"/>
      <c r="C650" s="112">
        <f>IF(B650="",0,IFERROR(AVERAGE(B648,B649,B650),0))</f>
        <v/>
      </c>
      <c r="D650" s="118" t="n"/>
    </row>
    <row r="651" ht="15" customHeight="1" s="64">
      <c r="A651" s="118" t="n"/>
      <c r="B651" s="118" t="n"/>
      <c r="C651" s="112">
        <f>IF(B651="",0,IFERROR(AVERAGE(B649,B650,B651),0))</f>
        <v/>
      </c>
      <c r="D651" s="118" t="n"/>
    </row>
    <row r="652" ht="15" customHeight="1" s="64">
      <c r="A652" s="118" t="n"/>
      <c r="B652" s="118" t="n"/>
      <c r="C652" s="112">
        <f>IF(B652="",0,IFERROR(AVERAGE(B650,B651,B652),0))</f>
        <v/>
      </c>
      <c r="D652" s="118" t="n"/>
    </row>
    <row r="653" ht="15" customHeight="1" s="64">
      <c r="A653" s="118" t="n"/>
      <c r="B653" s="118" t="n"/>
      <c r="C653" s="112">
        <f>IF(B653="",0,IFERROR(AVERAGE(B651,B652,B653),0))</f>
        <v/>
      </c>
      <c r="D653" s="118" t="n"/>
    </row>
    <row r="654" ht="15" customHeight="1" s="64">
      <c r="A654" s="118" t="n"/>
      <c r="B654" s="118" t="n"/>
      <c r="C654" s="112">
        <f>IF(B654="",0,IFERROR(AVERAGE(B652,B653,B654),0))</f>
        <v/>
      </c>
      <c r="D654" s="118" t="n"/>
    </row>
    <row r="655" ht="15" customHeight="1" s="64">
      <c r="A655" s="118" t="n"/>
      <c r="B655" s="118" t="n"/>
      <c r="C655" s="112">
        <f>IF(B655="",0,IFERROR(AVERAGE(B653,B654,B655),0))</f>
        <v/>
      </c>
      <c r="D655" s="118" t="n"/>
    </row>
    <row r="656" ht="15" customHeight="1" s="64">
      <c r="A656" s="118" t="n"/>
      <c r="B656" s="118" t="n"/>
      <c r="C656" s="112">
        <f>IF(B656="",0,IFERROR(AVERAGE(B654,B655,B656),0))</f>
        <v/>
      </c>
      <c r="D656" s="118" t="n"/>
    </row>
    <row r="657" ht="15" customHeight="1" s="64">
      <c r="A657" s="118" t="n"/>
      <c r="B657" s="118" t="n"/>
      <c r="C657" s="112">
        <f>IF(B657="",0,IFERROR(AVERAGE(B655,B656,B657),0))</f>
        <v/>
      </c>
      <c r="D657" s="118" t="n"/>
    </row>
    <row r="658" ht="15" customHeight="1" s="64">
      <c r="A658" s="118" t="n"/>
      <c r="B658" s="118" t="n"/>
      <c r="C658" s="112">
        <f>IF(B658="",0,IFERROR(AVERAGE(B656,B657,B658),0))</f>
        <v/>
      </c>
      <c r="D658" s="118" t="n"/>
    </row>
    <row r="659" ht="15" customHeight="1" s="64">
      <c r="A659" s="118" t="n"/>
      <c r="B659" s="118" t="n"/>
      <c r="C659" s="112">
        <f>IF(B659="",0,IFERROR(AVERAGE(B657,B658,B659),0))</f>
        <v/>
      </c>
      <c r="D659" s="118" t="n"/>
    </row>
    <row r="660" ht="15" customHeight="1" s="64">
      <c r="A660" s="118" t="n"/>
      <c r="B660" s="118" t="n"/>
      <c r="C660" s="112">
        <f>IF(B660="",0,IFERROR(AVERAGE(B658,B659,B660),0))</f>
        <v/>
      </c>
      <c r="D660" s="118" t="n"/>
    </row>
    <row r="661" ht="15" customHeight="1" s="64">
      <c r="A661" s="118" t="n"/>
      <c r="B661" s="118" t="n"/>
      <c r="C661" s="112">
        <f>IF(B661="",0,IFERROR(AVERAGE(B659,B660,B661),0))</f>
        <v/>
      </c>
      <c r="D661" s="118" t="n"/>
    </row>
    <row r="662" ht="15" customHeight="1" s="64">
      <c r="A662" s="118" t="n"/>
      <c r="B662" s="118" t="n"/>
      <c r="C662" s="112">
        <f>IF(B662="",0,IFERROR(AVERAGE(B660,B661,B662),0))</f>
        <v/>
      </c>
      <c r="D662" s="118" t="n"/>
    </row>
    <row r="663" ht="15" customHeight="1" s="64">
      <c r="A663" s="118" t="n"/>
      <c r="B663" s="118" t="n"/>
      <c r="C663" s="112">
        <f>IF(B663="",0,IFERROR(AVERAGE(B661,B662,B663),0))</f>
        <v/>
      </c>
      <c r="D663" s="118" t="n"/>
    </row>
    <row r="664" ht="15" customHeight="1" s="64">
      <c r="A664" s="118" t="n"/>
      <c r="B664" s="118" t="n"/>
      <c r="C664" s="112">
        <f>IF(B664="",0,IFERROR(AVERAGE(B662,B663,B664),0))</f>
        <v/>
      </c>
      <c r="D664" s="118" t="n"/>
    </row>
    <row r="665" ht="15" customHeight="1" s="64">
      <c r="A665" s="118" t="n"/>
      <c r="B665" s="118" t="n"/>
      <c r="C665" s="112">
        <f>IF(B665="",0,IFERROR(AVERAGE(B663,B664,B665),0))</f>
        <v/>
      </c>
      <c r="D665" s="118" t="n"/>
    </row>
    <row r="666" ht="15" customHeight="1" s="64">
      <c r="A666" s="118" t="n"/>
      <c r="B666" s="118" t="n"/>
      <c r="C666" s="112">
        <f>IF(B666="",0,IFERROR(AVERAGE(B664,B665,B666),0))</f>
        <v/>
      </c>
      <c r="D666" s="118" t="n"/>
    </row>
    <row r="667" ht="15" customHeight="1" s="64">
      <c r="A667" s="118" t="n"/>
      <c r="B667" s="118" t="n"/>
      <c r="C667" s="112">
        <f>IF(B667="",0,IFERROR(AVERAGE(B665,B666,B667),0))</f>
        <v/>
      </c>
      <c r="D667" s="118" t="n"/>
    </row>
    <row r="668" ht="15" customHeight="1" s="64">
      <c r="A668" s="118" t="n"/>
      <c r="B668" s="118" t="n"/>
      <c r="C668" s="112">
        <f>IF(B668="",0,IFERROR(AVERAGE(B666,B667,B668),0))</f>
        <v/>
      </c>
      <c r="D668" s="118" t="n"/>
    </row>
    <row r="669" ht="15" customHeight="1" s="64">
      <c r="A669" s="118" t="n"/>
      <c r="B669" s="118" t="n"/>
      <c r="C669" s="112">
        <f>IF(B669="",0,IFERROR(AVERAGE(B667,B668,B669),0))</f>
        <v/>
      </c>
      <c r="D669" s="118" t="n"/>
    </row>
    <row r="670" ht="15" customHeight="1" s="64">
      <c r="A670" s="118" t="n"/>
      <c r="B670" s="118" t="n"/>
      <c r="C670" s="112">
        <f>IF(B670="",0,IFERROR(AVERAGE(B668,B669,B670),0))</f>
        <v/>
      </c>
      <c r="D670" s="118" t="n"/>
    </row>
    <row r="671" ht="15" customHeight="1" s="64">
      <c r="A671" s="118" t="n"/>
      <c r="B671" s="118" t="n"/>
      <c r="C671" s="112">
        <f>IF(B671="",0,IFERROR(AVERAGE(B669,B670,B671),0))</f>
        <v/>
      </c>
      <c r="D671" s="118" t="n"/>
    </row>
    <row r="672" ht="15" customHeight="1" s="64">
      <c r="A672" s="118" t="n"/>
      <c r="B672" s="118" t="n"/>
      <c r="C672" s="112">
        <f>IF(B672="",0,IFERROR(AVERAGE(B670,B671,B672),0))</f>
        <v/>
      </c>
      <c r="D672" s="118" t="n"/>
    </row>
    <row r="673" ht="15" customHeight="1" s="64">
      <c r="A673" s="118" t="n"/>
      <c r="B673" s="118" t="n"/>
      <c r="C673" s="112">
        <f>IF(B673="",0,IFERROR(AVERAGE(B671,B672,B673),0))</f>
        <v/>
      </c>
      <c r="D673" s="118" t="n"/>
    </row>
    <row r="674" ht="15" customHeight="1" s="64">
      <c r="A674" s="118" t="n"/>
      <c r="B674" s="118" t="n"/>
      <c r="C674" s="112">
        <f>IF(B674="",0,IFERROR(AVERAGE(B672,B673,B674),0))</f>
        <v/>
      </c>
      <c r="D674" s="118" t="n"/>
    </row>
    <row r="675" ht="15" customHeight="1" s="64">
      <c r="A675" s="118" t="n"/>
      <c r="B675" s="118" t="n"/>
      <c r="C675" s="112">
        <f>IF(B675="",0,IFERROR(AVERAGE(B673,B674,B675),0))</f>
        <v/>
      </c>
      <c r="D675" s="118" t="n"/>
    </row>
    <row r="676" ht="15" customHeight="1" s="64">
      <c r="A676" s="118" t="n"/>
      <c r="B676" s="118" t="n"/>
      <c r="C676" s="112">
        <f>IF(B676="",0,IFERROR(AVERAGE(B674,B675,B676),0))</f>
        <v/>
      </c>
      <c r="D676" s="118" t="n"/>
    </row>
    <row r="677" ht="15" customHeight="1" s="64">
      <c r="A677" s="118" t="n"/>
      <c r="B677" s="118" t="n"/>
      <c r="C677" s="112">
        <f>IF(B677="",0,IFERROR(AVERAGE(B675,B676,B677),0))</f>
        <v/>
      </c>
      <c r="D677" s="118" t="n"/>
    </row>
    <row r="678" ht="15" customHeight="1" s="64">
      <c r="A678" s="118" t="n"/>
      <c r="B678" s="118" t="n"/>
      <c r="C678" s="112">
        <f>IF(B678="",0,IFERROR(AVERAGE(B676,B677,B678),0))</f>
        <v/>
      </c>
      <c r="D678" s="118" t="n"/>
    </row>
    <row r="679" ht="15" customHeight="1" s="64">
      <c r="A679" s="118" t="n"/>
      <c r="B679" s="118" t="n"/>
      <c r="C679" s="112">
        <f>IF(B679="",0,IFERROR(AVERAGE(B677,B678,B679),0))</f>
        <v/>
      </c>
      <c r="D679" s="118" t="n"/>
    </row>
    <row r="680" ht="15" customHeight="1" s="64">
      <c r="A680" s="118" t="n"/>
      <c r="B680" s="118" t="n"/>
      <c r="C680" s="112">
        <f>IF(B680="",0,IFERROR(AVERAGE(B678,B679,B680),0))</f>
        <v/>
      </c>
      <c r="D680" s="118" t="n"/>
    </row>
    <row r="681" ht="15" customHeight="1" s="64">
      <c r="A681" s="118" t="n"/>
      <c r="B681" s="118" t="n"/>
      <c r="C681" s="112">
        <f>IF(B681="",0,IFERROR(AVERAGE(B679,B680,B681),0))</f>
        <v/>
      </c>
      <c r="D681" s="118" t="n"/>
    </row>
    <row r="682" ht="15" customHeight="1" s="64">
      <c r="A682" s="118" t="n"/>
      <c r="B682" s="118" t="n"/>
      <c r="C682" s="112">
        <f>IF(B682="",0,IFERROR(AVERAGE(B680,B681,B682),0))</f>
        <v/>
      </c>
      <c r="D682" s="118" t="n"/>
    </row>
    <row r="683" ht="15" customHeight="1" s="64">
      <c r="A683" s="118" t="n"/>
      <c r="B683" s="118" t="n"/>
      <c r="C683" s="112">
        <f>IF(B683="",0,IFERROR(AVERAGE(B681,B682,B683),0))</f>
        <v/>
      </c>
      <c r="D683" s="118" t="n"/>
    </row>
    <row r="684" ht="15" customHeight="1" s="64">
      <c r="A684" s="118" t="n"/>
      <c r="B684" s="118" t="n"/>
      <c r="C684" s="112">
        <f>IF(B684="",0,IFERROR(AVERAGE(B682,B683,B684),0))</f>
        <v/>
      </c>
      <c r="D684" s="118" t="n"/>
    </row>
    <row r="685" ht="15" customHeight="1" s="64">
      <c r="A685" s="118" t="n"/>
      <c r="B685" s="118" t="n"/>
      <c r="C685" s="112">
        <f>IF(B685="",0,IFERROR(AVERAGE(B683,B684,B685),0))</f>
        <v/>
      </c>
      <c r="D685" s="118" t="n"/>
    </row>
    <row r="686" ht="15" customHeight="1" s="64">
      <c r="A686" s="118" t="n"/>
      <c r="B686" s="118" t="n"/>
      <c r="C686" s="112">
        <f>IF(B686="",0,IFERROR(AVERAGE(B684,B685,B686),0))</f>
        <v/>
      </c>
      <c r="D686" s="118" t="n"/>
    </row>
    <row r="687" ht="15" customHeight="1" s="64">
      <c r="A687" s="118" t="n"/>
      <c r="B687" s="118" t="n"/>
      <c r="C687" s="112">
        <f>IF(B687="",0,IFERROR(AVERAGE(B685,B686,B687),0))</f>
        <v/>
      </c>
      <c r="D687" s="118" t="n"/>
    </row>
    <row r="688" ht="15" customHeight="1" s="64">
      <c r="A688" s="118" t="n"/>
      <c r="B688" s="118" t="n"/>
      <c r="C688" s="112">
        <f>IF(B688="",0,IFERROR(AVERAGE(B686,B687,B688),0))</f>
        <v/>
      </c>
      <c r="D688" s="118" t="n"/>
    </row>
    <row r="689" ht="15" customHeight="1" s="64">
      <c r="A689" s="118" t="n"/>
      <c r="B689" s="118" t="n"/>
      <c r="C689" s="112">
        <f>IF(B689="",0,IFERROR(AVERAGE(B687,B688,B689),0))</f>
        <v/>
      </c>
      <c r="D689" s="118" t="n"/>
    </row>
    <row r="690" ht="15" customHeight="1" s="64">
      <c r="A690" s="118" t="n"/>
      <c r="B690" s="118" t="n"/>
      <c r="C690" s="112">
        <f>IF(B690="",0,IFERROR(AVERAGE(B688,B689,B690),0))</f>
        <v/>
      </c>
      <c r="D690" s="118" t="n"/>
    </row>
    <row r="691" ht="15" customHeight="1" s="64">
      <c r="A691" s="118" t="n"/>
      <c r="B691" s="118" t="n"/>
      <c r="C691" s="112">
        <f>IF(B691="",0,IFERROR(AVERAGE(B689,B690,B691),0))</f>
        <v/>
      </c>
      <c r="D691" s="118" t="n"/>
    </row>
    <row r="692" ht="15" customHeight="1" s="64">
      <c r="A692" s="118" t="n"/>
      <c r="B692" s="118" t="n"/>
      <c r="C692" s="112">
        <f>IF(B692="",0,IFERROR(AVERAGE(B690,B691,B692),0))</f>
        <v/>
      </c>
      <c r="D692" s="118" t="n"/>
    </row>
    <row r="693" ht="15" customHeight="1" s="64">
      <c r="A693" s="118" t="n"/>
      <c r="B693" s="118" t="n"/>
      <c r="C693" s="112">
        <f>IF(B693="",0,IFERROR(AVERAGE(B691,B692,B693),0))</f>
        <v/>
      </c>
      <c r="D693" s="118" t="n"/>
    </row>
    <row r="694" ht="15" customHeight="1" s="64">
      <c r="A694" s="118" t="n"/>
      <c r="B694" s="118" t="n"/>
      <c r="C694" s="112">
        <f>IF(B694="",0,IFERROR(AVERAGE(B692,B693,B694),0))</f>
        <v/>
      </c>
      <c r="D694" s="118" t="n"/>
    </row>
    <row r="695" ht="15" customHeight="1" s="64">
      <c r="A695" s="118" t="n"/>
      <c r="B695" s="118" t="n"/>
      <c r="C695" s="112">
        <f>IF(B695="",0,IFERROR(AVERAGE(B693,B694,B695),0))</f>
        <v/>
      </c>
      <c r="D695" s="118" t="n"/>
    </row>
    <row r="696" ht="15" customHeight="1" s="64">
      <c r="A696" s="118" t="n"/>
      <c r="B696" s="118" t="n"/>
      <c r="C696" s="112">
        <f>IF(B696="",0,IFERROR(AVERAGE(B694,B695,B696),0))</f>
        <v/>
      </c>
      <c r="D696" s="118" t="n"/>
    </row>
    <row r="697" ht="15" customHeight="1" s="64">
      <c r="A697" s="118" t="n"/>
      <c r="B697" s="118" t="n"/>
      <c r="C697" s="112">
        <f>IF(B697="",0,IFERROR(AVERAGE(B695,B696,B697),0))</f>
        <v/>
      </c>
      <c r="D697" s="118" t="n"/>
    </row>
    <row r="698" ht="15" customHeight="1" s="64">
      <c r="A698" s="118" t="n"/>
      <c r="B698" s="118" t="n"/>
      <c r="C698" s="112">
        <f>IF(B698="",0,IFERROR(AVERAGE(B696,B697,B698),0))</f>
        <v/>
      </c>
      <c r="D698" s="118" t="n"/>
    </row>
    <row r="699" ht="15" customHeight="1" s="64">
      <c r="A699" s="118" t="n"/>
      <c r="B699" s="118" t="n"/>
      <c r="C699" s="112">
        <f>IF(B699="",0,IFERROR(AVERAGE(B697,B698,B699),0))</f>
        <v/>
      </c>
      <c r="D699" s="118" t="n"/>
    </row>
    <row r="700" ht="15" customHeight="1" s="64">
      <c r="A700" s="118" t="n"/>
      <c r="B700" s="118" t="n"/>
      <c r="C700" s="112">
        <f>IF(B700="",0,IFERROR(AVERAGE(B698,B699,B700),0))</f>
        <v/>
      </c>
      <c r="D700" s="118" t="n"/>
    </row>
    <row r="701" ht="15" customHeight="1" s="64">
      <c r="A701" s="118" t="n"/>
      <c r="B701" s="118" t="n"/>
      <c r="C701" s="112">
        <f>IF(B701="",0,IFERROR(AVERAGE(B699,B700,B701),0))</f>
        <v/>
      </c>
      <c r="D701" s="118" t="n"/>
    </row>
    <row r="702" ht="15" customHeight="1" s="64">
      <c r="A702" s="118" t="n"/>
      <c r="B702" s="118" t="n"/>
      <c r="C702" s="112">
        <f>IF(B702="",0,IFERROR(AVERAGE(B700,B701,B702),0))</f>
        <v/>
      </c>
      <c r="D702" s="118" t="n"/>
    </row>
    <row r="703" ht="15" customHeight="1" s="64">
      <c r="A703" s="118" t="n"/>
      <c r="B703" s="118" t="n"/>
      <c r="C703" s="112">
        <f>IF(B703="",0,IFERROR(AVERAGE(B701,B702,B703),0))</f>
        <v/>
      </c>
      <c r="D703" s="118" t="n"/>
    </row>
    <row r="704" ht="15" customHeight="1" s="64">
      <c r="A704" s="118" t="n"/>
      <c r="B704" s="118" t="n"/>
      <c r="C704" s="112">
        <f>IF(B704="",0,IFERROR(AVERAGE(B702,B703,B704),0))</f>
        <v/>
      </c>
      <c r="D704" s="118" t="n"/>
    </row>
    <row r="705" ht="15" customHeight="1" s="64">
      <c r="A705" s="118" t="n"/>
      <c r="B705" s="118" t="n"/>
      <c r="C705" s="112">
        <f>IF(B705="",0,IFERROR(AVERAGE(B703,B704,B705),0))</f>
        <v/>
      </c>
      <c r="D705" s="118" t="n"/>
    </row>
    <row r="706" ht="15" customHeight="1" s="64">
      <c r="A706" s="118" t="n"/>
      <c r="B706" s="118" t="n"/>
      <c r="C706" s="112">
        <f>IF(B706="",0,IFERROR(AVERAGE(B704,B705,B706),0))</f>
        <v/>
      </c>
      <c r="D706" s="118" t="n"/>
    </row>
    <row r="707" ht="15" customHeight="1" s="64">
      <c r="A707" s="118" t="n"/>
      <c r="B707" s="118" t="n"/>
      <c r="C707" s="112">
        <f>IF(B707="",0,IFERROR(AVERAGE(B705,B706,B707),0))</f>
        <v/>
      </c>
      <c r="D707" s="118" t="n"/>
    </row>
    <row r="708" ht="15" customHeight="1" s="64">
      <c r="A708" s="118" t="n"/>
      <c r="B708" s="118" t="n"/>
      <c r="C708" s="112">
        <f>IF(B708="",0,IFERROR(AVERAGE(B706,B707,B708),0))</f>
        <v/>
      </c>
      <c r="D708" s="118" t="n"/>
    </row>
    <row r="709" ht="15" customHeight="1" s="64">
      <c r="A709" s="118" t="n"/>
      <c r="B709" s="118" t="n"/>
      <c r="C709" s="112">
        <f>IF(B709="",0,IFERROR(AVERAGE(B707,B708,B709),0))</f>
        <v/>
      </c>
      <c r="D709" s="118" t="n"/>
    </row>
    <row r="710" ht="15" customHeight="1" s="64">
      <c r="A710" s="118" t="n"/>
      <c r="B710" s="118" t="n"/>
      <c r="C710" s="112">
        <f>IF(B710="",0,IFERROR(AVERAGE(B708,B709,B710),0))</f>
        <v/>
      </c>
      <c r="D710" s="118" t="n"/>
    </row>
    <row r="711" ht="15" customHeight="1" s="64">
      <c r="A711" s="118" t="n"/>
      <c r="B711" s="118" t="n"/>
      <c r="C711" s="112">
        <f>IF(B711="",0,IFERROR(AVERAGE(B709,B710,B711),0))</f>
        <v/>
      </c>
      <c r="D711" s="118" t="n"/>
    </row>
    <row r="712" ht="15" customHeight="1" s="64">
      <c r="A712" s="118" t="n"/>
      <c r="B712" s="118" t="n"/>
      <c r="C712" s="112">
        <f>IF(B712="",0,IFERROR(AVERAGE(B710,B711,B712),0))</f>
        <v/>
      </c>
      <c r="D712" s="118" t="n"/>
    </row>
    <row r="713" ht="15" customHeight="1" s="64">
      <c r="A713" s="118" t="n"/>
      <c r="B713" s="118" t="n"/>
      <c r="C713" s="112">
        <f>IF(B713="",0,IFERROR(AVERAGE(B711,B712,B713),0))</f>
        <v/>
      </c>
      <c r="D713" s="118" t="n"/>
    </row>
    <row r="714" ht="15" customHeight="1" s="64">
      <c r="A714" s="118" t="n"/>
      <c r="B714" s="118" t="n"/>
      <c r="C714" s="112">
        <f>IF(B714="",0,IFERROR(AVERAGE(B712,B713,B714),0))</f>
        <v/>
      </c>
      <c r="D714" s="118" t="n"/>
    </row>
    <row r="715" ht="15" customHeight="1" s="64">
      <c r="A715" s="118" t="n"/>
      <c r="B715" s="118" t="n"/>
      <c r="C715" s="112">
        <f>IF(B715="",0,IFERROR(AVERAGE(B713,B714,B715),0))</f>
        <v/>
      </c>
      <c r="D715" s="118" t="n"/>
    </row>
    <row r="716" ht="15" customHeight="1" s="64">
      <c r="A716" s="118" t="n"/>
      <c r="B716" s="118" t="n"/>
      <c r="C716" s="112">
        <f>IF(B716="",0,IFERROR(AVERAGE(B714,B715,B716),0))</f>
        <v/>
      </c>
      <c r="D716" s="118" t="n"/>
    </row>
    <row r="717" ht="15" customHeight="1" s="64">
      <c r="A717" s="118" t="n"/>
      <c r="B717" s="118" t="n"/>
      <c r="C717" s="112">
        <f>IF(B717="",0,IFERROR(AVERAGE(B715,B716,B717),0))</f>
        <v/>
      </c>
      <c r="D717" s="118" t="n"/>
    </row>
    <row r="718" ht="15" customHeight="1" s="64">
      <c r="A718" s="118" t="n"/>
      <c r="B718" s="118" t="n"/>
      <c r="C718" s="112">
        <f>IF(B718="",0,IFERROR(AVERAGE(B716,B717,B718),0))</f>
        <v/>
      </c>
      <c r="D718" s="118" t="n"/>
    </row>
    <row r="719" ht="15" customHeight="1" s="64">
      <c r="A719" s="118" t="n"/>
      <c r="B719" s="118" t="n"/>
      <c r="C719" s="112">
        <f>IF(B719="",0,IFERROR(AVERAGE(B717,B718,B719),0))</f>
        <v/>
      </c>
      <c r="D719" s="118" t="n"/>
    </row>
    <row r="720" ht="15" customHeight="1" s="64">
      <c r="A720" s="118" t="n"/>
      <c r="B720" s="118" t="n"/>
      <c r="C720" s="112">
        <f>IF(B720="",0,IFERROR(AVERAGE(B718,B719,B720),0))</f>
        <v/>
      </c>
      <c r="D720" s="118" t="n"/>
    </row>
    <row r="721" ht="15" customHeight="1" s="64">
      <c r="A721" s="118" t="n"/>
      <c r="B721" s="118" t="n"/>
      <c r="C721" s="112">
        <f>IF(B721="",0,IFERROR(AVERAGE(B719,B720,B721),0))</f>
        <v/>
      </c>
      <c r="D721" s="118" t="n"/>
    </row>
    <row r="722" ht="15" customHeight="1" s="64">
      <c r="A722" s="118" t="n"/>
      <c r="B722" s="118" t="n"/>
      <c r="C722" s="112">
        <f>IF(B722="",0,IFERROR(AVERAGE(B720,B721,B722),0))</f>
        <v/>
      </c>
      <c r="D722" s="118" t="n"/>
    </row>
    <row r="723" ht="15" customHeight="1" s="64">
      <c r="A723" s="118" t="n"/>
      <c r="B723" s="118" t="n"/>
      <c r="C723" s="112">
        <f>IF(B723="",0,IFERROR(AVERAGE(B721,B722,B723),0))</f>
        <v/>
      </c>
      <c r="D723" s="118" t="n"/>
    </row>
    <row r="724" ht="15" customHeight="1" s="64">
      <c r="A724" s="118" t="n"/>
      <c r="B724" s="118" t="n"/>
      <c r="C724" s="112">
        <f>IF(B724="",0,IFERROR(AVERAGE(B722,B723,B724),0))</f>
        <v/>
      </c>
      <c r="D724" s="118" t="n"/>
    </row>
    <row r="725" ht="15" customHeight="1" s="64">
      <c r="A725" s="118" t="n"/>
      <c r="B725" s="118" t="n"/>
      <c r="C725" s="112">
        <f>IF(B725="",0,IFERROR(AVERAGE(B723,B724,B725),0))</f>
        <v/>
      </c>
      <c r="D725" s="118" t="n"/>
    </row>
    <row r="726" ht="15" customHeight="1" s="64">
      <c r="A726" s="118" t="n"/>
      <c r="B726" s="118" t="n"/>
      <c r="C726" s="112">
        <f>IF(B726="",0,IFERROR(AVERAGE(B724,B725,B726),0))</f>
        <v/>
      </c>
      <c r="D726" s="118" t="n"/>
    </row>
    <row r="727" ht="15" customHeight="1" s="64">
      <c r="A727" s="118" t="n"/>
      <c r="B727" s="118" t="n"/>
      <c r="C727" s="112">
        <f>IF(B727="",0,IFERROR(AVERAGE(B725,B726,B727),0))</f>
        <v/>
      </c>
      <c r="D727" s="118" t="n"/>
    </row>
    <row r="728" ht="15" customHeight="1" s="64">
      <c r="A728" s="118" t="n"/>
      <c r="B728" s="118" t="n"/>
      <c r="C728" s="112">
        <f>IF(B728="",0,IFERROR(AVERAGE(B726,B727,B728),0))</f>
        <v/>
      </c>
      <c r="D728" s="118" t="n"/>
    </row>
    <row r="729" ht="15" customHeight="1" s="64">
      <c r="A729" s="118" t="n"/>
      <c r="B729" s="118" t="n"/>
      <c r="C729" s="112">
        <f>IF(B729="",0,IFERROR(AVERAGE(B727,B728,B729),0))</f>
        <v/>
      </c>
      <c r="D729" s="118" t="n"/>
    </row>
    <row r="730" ht="15" customHeight="1" s="64">
      <c r="A730" s="118" t="n"/>
      <c r="B730" s="118" t="n"/>
      <c r="C730" s="112">
        <f>IF(B730="",0,IFERROR(AVERAGE(B728,B729,B730),0))</f>
        <v/>
      </c>
      <c r="D730" s="118" t="n"/>
    </row>
    <row r="731" ht="15" customHeight="1" s="64">
      <c r="A731" s="118" t="n"/>
      <c r="B731" s="118" t="n"/>
      <c r="C731" s="112">
        <f>IF(B731="",0,IFERROR(AVERAGE(B729,B730,B731),0))</f>
        <v/>
      </c>
      <c r="D731" s="118" t="n"/>
    </row>
    <row r="732" ht="15" customHeight="1" s="64">
      <c r="A732" s="118" t="n"/>
      <c r="B732" s="118" t="n"/>
      <c r="C732" s="112">
        <f>IF(B732="",0,IFERROR(AVERAGE(B730,B731,B732),0))</f>
        <v/>
      </c>
      <c r="D732" s="118" t="n"/>
    </row>
    <row r="733" ht="15" customHeight="1" s="64">
      <c r="A733" s="118" t="n"/>
      <c r="B733" s="118" t="n"/>
      <c r="C733" s="112">
        <f>IF(B733="",0,IFERROR(AVERAGE(B731,B732,B733),0))</f>
        <v/>
      </c>
      <c r="D733" s="118" t="n"/>
    </row>
    <row r="734" ht="15" customHeight="1" s="64">
      <c r="A734" s="118" t="n"/>
      <c r="B734" s="118" t="n"/>
      <c r="C734" s="112">
        <f>IF(B734="",0,IFERROR(AVERAGE(B732,B733,B734),0))</f>
        <v/>
      </c>
      <c r="D734" s="118" t="n"/>
    </row>
    <row r="735" ht="15" customHeight="1" s="64">
      <c r="A735" s="118" t="n"/>
      <c r="B735" s="118" t="n"/>
      <c r="C735" s="112">
        <f>IF(B735="",0,IFERROR(AVERAGE(B733,B734,B735),0))</f>
        <v/>
      </c>
      <c r="D735" s="118" t="n"/>
    </row>
    <row r="736" ht="15" customHeight="1" s="64">
      <c r="A736" s="118" t="n"/>
      <c r="B736" s="118" t="n"/>
      <c r="C736" s="112">
        <f>IF(B736="",0,IFERROR(AVERAGE(B734,B735,B736),0))</f>
        <v/>
      </c>
      <c r="D736" s="118" t="n"/>
    </row>
    <row r="737" ht="15" customHeight="1" s="64">
      <c r="A737" s="118" t="n"/>
      <c r="B737" s="118" t="n"/>
      <c r="C737" s="112">
        <f>IF(B737="",0,IFERROR(AVERAGE(B735,B736,B737),0))</f>
        <v/>
      </c>
      <c r="D737" s="118" t="n"/>
    </row>
    <row r="738" ht="15" customHeight="1" s="64">
      <c r="A738" s="118" t="n"/>
      <c r="B738" s="118" t="n"/>
      <c r="C738" s="112">
        <f>IF(B738="",0,IFERROR(AVERAGE(B736,B737,B738),0))</f>
        <v/>
      </c>
      <c r="D738" s="118" t="n"/>
    </row>
    <row r="739" ht="15" customHeight="1" s="64">
      <c r="A739" s="118" t="n"/>
      <c r="B739" s="118" t="n"/>
      <c r="C739" s="112">
        <f>IF(B739="",0,IFERROR(AVERAGE(B737,B738,B739),0))</f>
        <v/>
      </c>
      <c r="D739" s="118" t="n"/>
    </row>
    <row r="740" ht="15" customHeight="1" s="64">
      <c r="A740" s="118" t="n"/>
      <c r="B740" s="118" t="n"/>
      <c r="C740" s="112">
        <f>IF(B740="",0,IFERROR(AVERAGE(B738,B739,B740),0))</f>
        <v/>
      </c>
      <c r="D740" s="118" t="n"/>
    </row>
    <row r="741" ht="15" customHeight="1" s="64">
      <c r="A741" s="118" t="n"/>
      <c r="B741" s="118" t="n"/>
      <c r="C741" s="112">
        <f>IF(B741="",0,IFERROR(AVERAGE(B739,B740,B741),0))</f>
        <v/>
      </c>
      <c r="D741" s="118" t="n"/>
    </row>
    <row r="742" ht="15" customHeight="1" s="64">
      <c r="A742" s="118" t="n"/>
      <c r="B742" s="118" t="n"/>
      <c r="C742" s="112">
        <f>IF(B742="",0,IFERROR(AVERAGE(B740,B741,B742),0))</f>
        <v/>
      </c>
      <c r="D742" s="118" t="n"/>
    </row>
    <row r="743" ht="15" customHeight="1" s="64">
      <c r="A743" s="118" t="n"/>
      <c r="B743" s="118" t="n"/>
      <c r="C743" s="112">
        <f>IF(B743="",0,IFERROR(AVERAGE(B741,B742,B743),0))</f>
        <v/>
      </c>
      <c r="D743" s="118" t="n"/>
    </row>
    <row r="744" ht="15" customHeight="1" s="64">
      <c r="A744" s="118" t="n"/>
      <c r="B744" s="118" t="n"/>
      <c r="C744" s="112">
        <f>IF(B744="",0,IFERROR(AVERAGE(B742,B743,B744),0))</f>
        <v/>
      </c>
      <c r="D744" s="118" t="n"/>
    </row>
    <row r="745" ht="15" customHeight="1" s="64">
      <c r="A745" s="118" t="n"/>
      <c r="B745" s="118" t="n"/>
      <c r="C745" s="112">
        <f>IF(B745="",0,IFERROR(AVERAGE(B743,B744,B745),0))</f>
        <v/>
      </c>
      <c r="D745" s="118" t="n"/>
    </row>
    <row r="746" ht="15" customHeight="1" s="64">
      <c r="A746" s="118" t="n"/>
      <c r="B746" s="118" t="n"/>
      <c r="C746" s="112">
        <f>IF(B746="",0,IFERROR(AVERAGE(B744,B745,B746),0))</f>
        <v/>
      </c>
      <c r="D746" s="118" t="n"/>
    </row>
    <row r="747" ht="15" customHeight="1" s="64">
      <c r="A747" s="118" t="n"/>
      <c r="B747" s="118" t="n"/>
      <c r="C747" s="112">
        <f>IF(B747="",0,IFERROR(AVERAGE(B745,B746,B747),0))</f>
        <v/>
      </c>
      <c r="D747" s="118" t="n"/>
    </row>
    <row r="748" ht="15" customHeight="1" s="64">
      <c r="A748" s="118" t="n"/>
      <c r="B748" s="118" t="n"/>
      <c r="C748" s="112">
        <f>IF(B748="",0,IFERROR(AVERAGE(B746,B747,B748),0))</f>
        <v/>
      </c>
      <c r="D748" s="118" t="n"/>
    </row>
    <row r="749" ht="15" customHeight="1" s="64">
      <c r="A749" s="118" t="n"/>
      <c r="B749" s="118" t="n"/>
      <c r="C749" s="112">
        <f>IF(B749="",0,IFERROR(AVERAGE(B747,B748,B749),0))</f>
        <v/>
      </c>
      <c r="D749" s="118" t="n"/>
    </row>
    <row r="750" ht="15" customHeight="1" s="64">
      <c r="A750" s="118" t="n"/>
      <c r="B750" s="118" t="n"/>
      <c r="C750" s="112">
        <f>IF(B750="",0,IFERROR(AVERAGE(B748,B749,B750),0))</f>
        <v/>
      </c>
      <c r="D750" s="118" t="n"/>
    </row>
    <row r="751" ht="15" customHeight="1" s="64">
      <c r="A751" s="118" t="n"/>
      <c r="B751" s="118" t="n"/>
      <c r="C751" s="112">
        <f>IF(B751="",0,IFERROR(AVERAGE(B749,B750,B751),0))</f>
        <v/>
      </c>
      <c r="D751" s="118" t="n"/>
    </row>
    <row r="752" ht="15" customHeight="1" s="64">
      <c r="A752" s="118" t="n"/>
      <c r="B752" s="118" t="n"/>
      <c r="C752" s="112">
        <f>IF(B752="",0,IFERROR(AVERAGE(B750,B751,B752),0))</f>
        <v/>
      </c>
      <c r="D752" s="118" t="n"/>
    </row>
    <row r="753" ht="15" customHeight="1" s="64">
      <c r="A753" s="118" t="n"/>
      <c r="B753" s="118" t="n"/>
      <c r="C753" s="112">
        <f>IF(B753="",0,IFERROR(AVERAGE(B751,B752,B753),0))</f>
        <v/>
      </c>
      <c r="D753" s="118" t="n"/>
    </row>
    <row r="754" ht="15" customHeight="1" s="64">
      <c r="A754" s="118" t="n"/>
      <c r="B754" s="118" t="n"/>
      <c r="C754" s="112">
        <f>IF(B754="",0,IFERROR(AVERAGE(B752,B753,B754),0))</f>
        <v/>
      </c>
      <c r="D754" s="118" t="n"/>
    </row>
    <row r="755" ht="15" customHeight="1" s="64">
      <c r="A755" s="118" t="n"/>
      <c r="B755" s="118" t="n"/>
      <c r="C755" s="112">
        <f>IF(B755="",0,IFERROR(AVERAGE(B753,B754,B755),0))</f>
        <v/>
      </c>
      <c r="D755" s="118" t="n"/>
    </row>
    <row r="756" ht="15" customHeight="1" s="64">
      <c r="A756" s="118" t="n"/>
      <c r="B756" s="118" t="n"/>
      <c r="C756" s="112">
        <f>IF(B756="",0,IFERROR(AVERAGE(B754,B755,B756),0))</f>
        <v/>
      </c>
      <c r="D756" s="118" t="n"/>
    </row>
    <row r="757" ht="15" customHeight="1" s="64">
      <c r="A757" s="118" t="n"/>
      <c r="B757" s="118" t="n"/>
      <c r="C757" s="112">
        <f>IF(B757="",0,IFERROR(AVERAGE(B755,B756,B757),0))</f>
        <v/>
      </c>
      <c r="D757" s="118" t="n"/>
    </row>
    <row r="758" ht="15" customHeight="1" s="64">
      <c r="A758" s="118" t="n"/>
      <c r="B758" s="118" t="n"/>
      <c r="C758" s="112">
        <f>IF(B758="",0,IFERROR(AVERAGE(B756,B757,B758),0))</f>
        <v/>
      </c>
      <c r="D758" s="118" t="n"/>
    </row>
    <row r="759" ht="15" customHeight="1" s="64">
      <c r="A759" s="118" t="n"/>
      <c r="B759" s="118" t="n"/>
      <c r="C759" s="112">
        <f>IF(B759="",0,IFERROR(AVERAGE(B757,B758,B759),0))</f>
        <v/>
      </c>
      <c r="D759" s="118" t="n"/>
    </row>
    <row r="760" ht="15" customHeight="1" s="64">
      <c r="A760" s="118" t="n"/>
      <c r="B760" s="118" t="n"/>
      <c r="C760" s="112">
        <f>IF(B760="",0,IFERROR(AVERAGE(B758,B759,B760),0))</f>
        <v/>
      </c>
      <c r="D760" s="118" t="n"/>
    </row>
    <row r="761" ht="15" customHeight="1" s="64">
      <c r="A761" s="118" t="n"/>
      <c r="B761" s="118" t="n"/>
      <c r="C761" s="112">
        <f>IF(B761="",0,IFERROR(AVERAGE(B759,B760,B761),0))</f>
        <v/>
      </c>
      <c r="D761" s="118" t="n"/>
    </row>
    <row r="762" ht="15" customHeight="1" s="64">
      <c r="A762" s="118" t="n"/>
      <c r="B762" s="118" t="n"/>
      <c r="C762" s="112">
        <f>IF(B762="",0,IFERROR(AVERAGE(B760,B761,B762),0))</f>
        <v/>
      </c>
      <c r="D762" s="118" t="n"/>
    </row>
    <row r="763" ht="15" customHeight="1" s="64">
      <c r="A763" s="118" t="n"/>
      <c r="B763" s="118" t="n"/>
      <c r="C763" s="112">
        <f>IF(B763="",0,IFERROR(AVERAGE(B761,B762,B763),0))</f>
        <v/>
      </c>
      <c r="D763" s="118" t="n"/>
    </row>
    <row r="764" ht="15" customHeight="1" s="64">
      <c r="A764" s="118" t="n"/>
      <c r="B764" s="118" t="n"/>
      <c r="C764" s="112">
        <f>IF(B764="",0,IFERROR(AVERAGE(B762,B763,B764),0))</f>
        <v/>
      </c>
      <c r="D764" s="118" t="n"/>
    </row>
    <row r="765" ht="15" customHeight="1" s="64">
      <c r="A765" s="118" t="n"/>
      <c r="B765" s="118" t="n"/>
      <c r="C765" s="112">
        <f>IF(B765="",0,IFERROR(AVERAGE(B763,B764,B765),0))</f>
        <v/>
      </c>
      <c r="D765" s="118" t="n"/>
    </row>
    <row r="766" ht="15" customHeight="1" s="64">
      <c r="A766" s="118" t="n"/>
      <c r="B766" s="118" t="n"/>
      <c r="C766" s="112">
        <f>IF(B766="",0,IFERROR(AVERAGE(B764,B765,B766),0))</f>
        <v/>
      </c>
      <c r="D766" s="118" t="n"/>
    </row>
    <row r="767" ht="15" customHeight="1" s="64">
      <c r="A767" s="118" t="n"/>
      <c r="B767" s="118" t="n"/>
      <c r="C767" s="112">
        <f>IF(B767="",0,IFERROR(AVERAGE(B765,B766,B767),0))</f>
        <v/>
      </c>
      <c r="D767" s="118" t="n"/>
    </row>
    <row r="768" ht="15" customHeight="1" s="64">
      <c r="A768" s="118" t="n"/>
      <c r="B768" s="118" t="n"/>
      <c r="C768" s="112">
        <f>IF(B768="",0,IFERROR(AVERAGE(B766,B767,B768),0))</f>
        <v/>
      </c>
      <c r="D768" s="118" t="n"/>
    </row>
    <row r="769" ht="15" customHeight="1" s="64">
      <c r="A769" s="118" t="n"/>
      <c r="B769" s="118" t="n"/>
      <c r="C769" s="112">
        <f>IF(B769="",0,IFERROR(AVERAGE(B767,B768,B769),0))</f>
        <v/>
      </c>
      <c r="D769" s="118" t="n"/>
    </row>
    <row r="770" ht="15" customHeight="1" s="64">
      <c r="A770" s="118" t="n"/>
      <c r="B770" s="118" t="n"/>
      <c r="C770" s="112">
        <f>IF(B770="",0,IFERROR(AVERAGE(B768,B769,B770),0))</f>
        <v/>
      </c>
      <c r="D770" s="118" t="n"/>
    </row>
    <row r="771" ht="15" customHeight="1" s="64">
      <c r="A771" s="118" t="n"/>
      <c r="B771" s="118" t="n"/>
      <c r="C771" s="112">
        <f>IF(B771="",0,IFERROR(AVERAGE(B769,B770,B771),0))</f>
        <v/>
      </c>
      <c r="D771" s="118" t="n"/>
    </row>
    <row r="772" ht="15" customHeight="1" s="64">
      <c r="A772" s="118" t="n"/>
      <c r="B772" s="118" t="n"/>
      <c r="C772" s="112">
        <f>IF(B772="",0,IFERROR(AVERAGE(B770,B771,B772),0))</f>
        <v/>
      </c>
      <c r="D772" s="118" t="n"/>
    </row>
    <row r="773" ht="15" customHeight="1" s="64">
      <c r="A773" s="118" t="n"/>
      <c r="B773" s="118" t="n"/>
      <c r="C773" s="112">
        <f>IF(B773="",0,IFERROR(AVERAGE(B771,B772,B773),0))</f>
        <v/>
      </c>
      <c r="D773" s="118" t="n"/>
    </row>
    <row r="774" ht="15" customHeight="1" s="64">
      <c r="A774" s="118" t="n"/>
      <c r="B774" s="118" t="n"/>
      <c r="C774" s="112">
        <f>IF(B774="",0,IFERROR(AVERAGE(B772,B773,B774),0))</f>
        <v/>
      </c>
      <c r="D774" s="118" t="n"/>
    </row>
    <row r="775" ht="15" customHeight="1" s="64">
      <c r="A775" s="118" t="n"/>
      <c r="B775" s="118" t="n"/>
      <c r="C775" s="112">
        <f>IF(B775="",0,IFERROR(AVERAGE(B773,B774,B775),0))</f>
        <v/>
      </c>
      <c r="D775" s="118" t="n"/>
    </row>
    <row r="776" ht="15" customHeight="1" s="64">
      <c r="A776" s="118" t="n"/>
      <c r="B776" s="118" t="n"/>
      <c r="C776" s="112">
        <f>IF(B776="",0,IFERROR(AVERAGE(B774,B775,B776),0))</f>
        <v/>
      </c>
      <c r="D776" s="118" t="n"/>
    </row>
    <row r="777" ht="15" customHeight="1" s="64">
      <c r="A777" s="118" t="n"/>
      <c r="B777" s="118" t="n"/>
      <c r="C777" s="112">
        <f>IF(B777="",0,IFERROR(AVERAGE(B775,B776,B777),0))</f>
        <v/>
      </c>
      <c r="D777" s="118" t="n"/>
    </row>
    <row r="778" ht="15" customHeight="1" s="64">
      <c r="A778" s="118" t="n"/>
      <c r="B778" s="118" t="n"/>
      <c r="C778" s="112">
        <f>IF(B778="",0,IFERROR(AVERAGE(B776,B777,B778),0))</f>
        <v/>
      </c>
      <c r="D778" s="118" t="n"/>
    </row>
    <row r="779" ht="15" customHeight="1" s="64">
      <c r="A779" s="118" t="n"/>
      <c r="B779" s="118" t="n"/>
      <c r="C779" s="112">
        <f>IF(B779="",0,IFERROR(AVERAGE(B777,B778,B779),0))</f>
        <v/>
      </c>
      <c r="D779" s="118" t="n"/>
    </row>
    <row r="780" ht="15" customHeight="1" s="64">
      <c r="A780" s="118" t="n"/>
      <c r="B780" s="118" t="n"/>
      <c r="C780" s="112">
        <f>IF(B780="",0,IFERROR(AVERAGE(B778,B779,B780),0))</f>
        <v/>
      </c>
      <c r="D780" s="118" t="n"/>
    </row>
    <row r="781" ht="15" customHeight="1" s="64">
      <c r="A781" s="118" t="n"/>
      <c r="B781" s="118" t="n"/>
      <c r="C781" s="112">
        <f>IF(B781="",0,IFERROR(AVERAGE(B779,B780,B781),0))</f>
        <v/>
      </c>
      <c r="D781" s="118" t="n"/>
    </row>
    <row r="782" ht="15" customHeight="1" s="64">
      <c r="A782" s="118" t="n"/>
      <c r="B782" s="118" t="n"/>
      <c r="C782" s="112">
        <f>IF(B782="",0,IFERROR(AVERAGE(B780,B781,B782),0))</f>
        <v/>
      </c>
      <c r="D782" s="118" t="n"/>
    </row>
    <row r="783" ht="15" customHeight="1" s="64">
      <c r="A783" s="118" t="n"/>
      <c r="B783" s="118" t="n"/>
      <c r="C783" s="112">
        <f>IF(B783="",0,IFERROR(AVERAGE(B781,B782,B783),0))</f>
        <v/>
      </c>
      <c r="D783" s="118" t="n"/>
    </row>
    <row r="784" ht="15" customHeight="1" s="64">
      <c r="A784" s="118" t="n"/>
      <c r="B784" s="118" t="n"/>
      <c r="C784" s="112">
        <f>IF(B784="",0,IFERROR(AVERAGE(B782,B783,B784),0))</f>
        <v/>
      </c>
      <c r="D784" s="118" t="n"/>
    </row>
    <row r="785" ht="15" customHeight="1" s="64">
      <c r="A785" s="118" t="n"/>
      <c r="B785" s="118" t="n"/>
      <c r="C785" s="112">
        <f>IF(B785="",0,IFERROR(AVERAGE(B783,B784,B785),0))</f>
        <v/>
      </c>
      <c r="D785" s="118" t="n"/>
    </row>
    <row r="786" ht="15" customHeight="1" s="64">
      <c r="A786" s="118" t="n"/>
      <c r="B786" s="118" t="n"/>
      <c r="C786" s="112">
        <f>IF(B786="",0,IFERROR(AVERAGE(B784,B785,B786),0))</f>
        <v/>
      </c>
      <c r="D786" s="118" t="n"/>
    </row>
    <row r="787" ht="15" customHeight="1" s="64">
      <c r="A787" s="118" t="n"/>
      <c r="B787" s="118" t="n"/>
      <c r="C787" s="112">
        <f>IF(B787="",0,IFERROR(AVERAGE(B785,B786,B787),0))</f>
        <v/>
      </c>
      <c r="D787" s="118" t="n"/>
    </row>
    <row r="788" ht="15" customHeight="1" s="64">
      <c r="A788" s="118" t="n"/>
      <c r="B788" s="118" t="n"/>
      <c r="C788" s="112">
        <f>IF(B788="",0,IFERROR(AVERAGE(B786,B787,B788),0))</f>
        <v/>
      </c>
      <c r="D788" s="118" t="n"/>
    </row>
    <row r="789" ht="15" customHeight="1" s="64">
      <c r="A789" s="118" t="n"/>
      <c r="B789" s="118" t="n"/>
      <c r="C789" s="112">
        <f>IF(B789="",0,IFERROR(AVERAGE(B787,B788,B789),0))</f>
        <v/>
      </c>
      <c r="D789" s="118" t="n"/>
    </row>
    <row r="790" ht="15" customHeight="1" s="64">
      <c r="A790" s="118" t="n"/>
      <c r="B790" s="118" t="n"/>
      <c r="C790" s="112">
        <f>IF(B790="",0,IFERROR(AVERAGE(B788,B789,B790),0))</f>
        <v/>
      </c>
      <c r="D790" s="118" t="n"/>
    </row>
    <row r="791" ht="15" customHeight="1" s="64">
      <c r="A791" s="118" t="n"/>
      <c r="B791" s="118" t="n"/>
      <c r="C791" s="112">
        <f>IF(B791="",0,IFERROR(AVERAGE(B789,B790,B791),0))</f>
        <v/>
      </c>
      <c r="D791" s="118" t="n"/>
    </row>
    <row r="792" ht="15" customHeight="1" s="64">
      <c r="A792" s="118" t="n"/>
      <c r="B792" s="118" t="n"/>
      <c r="C792" s="112">
        <f>IF(B792="",0,IFERROR(AVERAGE(B790,B791,B792),0))</f>
        <v/>
      </c>
      <c r="D792" s="118" t="n"/>
    </row>
    <row r="793" ht="15" customHeight="1" s="64">
      <c r="A793" s="118" t="n"/>
      <c r="B793" s="118" t="n"/>
      <c r="C793" s="112">
        <f>IF(B793="",0,IFERROR(AVERAGE(B791,B792,B793),0))</f>
        <v/>
      </c>
      <c r="D793" s="118" t="n"/>
    </row>
    <row r="794" ht="15" customHeight="1" s="64">
      <c r="A794" s="118" t="n"/>
      <c r="B794" s="118" t="n"/>
      <c r="C794" s="112">
        <f>IF(B794="",0,IFERROR(AVERAGE(B792,B793,B794),0))</f>
        <v/>
      </c>
      <c r="D794" s="118" t="n"/>
    </row>
    <row r="795" ht="15" customHeight="1" s="64">
      <c r="A795" s="118" t="n"/>
      <c r="B795" s="118" t="n"/>
      <c r="C795" s="112">
        <f>IF(B795="",0,IFERROR(AVERAGE(B793,B794,B795),0))</f>
        <v/>
      </c>
      <c r="D795" s="118" t="n"/>
    </row>
    <row r="796" ht="15" customHeight="1" s="64">
      <c r="A796" s="118" t="n"/>
      <c r="B796" s="118" t="n"/>
      <c r="C796" s="112">
        <f>IF(B796="",0,IFERROR(AVERAGE(B794,B795,B796),0))</f>
        <v/>
      </c>
      <c r="D796" s="118" t="n"/>
    </row>
    <row r="797" ht="15" customHeight="1" s="64">
      <c r="A797" s="118" t="n"/>
      <c r="B797" s="118" t="n"/>
      <c r="C797" s="112">
        <f>IF(B797="",0,IFERROR(AVERAGE(B795,B796,B797),0))</f>
        <v/>
      </c>
      <c r="D797" s="118" t="n"/>
    </row>
    <row r="798" ht="15" customHeight="1" s="64">
      <c r="A798" s="118" t="n"/>
      <c r="B798" s="118" t="n"/>
      <c r="C798" s="112">
        <f>IF(B798="",0,IFERROR(AVERAGE(B796,B797,B798),0))</f>
        <v/>
      </c>
      <c r="D798" s="118" t="n"/>
    </row>
    <row r="799" ht="15" customHeight="1" s="64">
      <c r="A799" s="118" t="n"/>
      <c r="B799" s="118" t="n"/>
      <c r="C799" s="112">
        <f>IF(B799="",0,IFERROR(AVERAGE(B797,B798,B799),0))</f>
        <v/>
      </c>
      <c r="D799" s="118" t="n"/>
    </row>
    <row r="800" ht="15" customHeight="1" s="64">
      <c r="A800" s="118" t="n"/>
      <c r="B800" s="118" t="n"/>
      <c r="C800" s="112">
        <f>IF(B800="",0,IFERROR(AVERAGE(B798,B799,B800),0))</f>
        <v/>
      </c>
      <c r="D800" s="118" t="n"/>
    </row>
    <row r="801" ht="15" customHeight="1" s="64">
      <c r="A801" s="118" t="n"/>
      <c r="B801" s="118" t="n"/>
      <c r="C801" s="112">
        <f>IF(B801="",0,IFERROR(AVERAGE(B799,B800,B801),0))</f>
        <v/>
      </c>
      <c r="D801" s="118" t="n"/>
    </row>
    <row r="802" ht="15" customHeight="1" s="64">
      <c r="A802" s="118" t="n"/>
      <c r="B802" s="118" t="n"/>
      <c r="C802" s="112">
        <f>IF(B802="",0,IFERROR(AVERAGE(B800,B801,B802),0))</f>
        <v/>
      </c>
      <c r="D802" s="118" t="n"/>
    </row>
    <row r="803" ht="15" customHeight="1" s="64">
      <c r="A803" s="118" t="n"/>
      <c r="B803" s="118" t="n"/>
      <c r="C803" s="112">
        <f>IF(B803="",0,IFERROR(AVERAGE(B801,B802,B803),0))</f>
        <v/>
      </c>
      <c r="D803" s="118" t="n"/>
    </row>
    <row r="804" ht="15" customHeight="1" s="64">
      <c r="A804" s="118" t="n"/>
      <c r="B804" s="118" t="n"/>
      <c r="C804" s="112">
        <f>IF(B804="",0,IFERROR(AVERAGE(B802,B803,B804),0))</f>
        <v/>
      </c>
      <c r="D804" s="118" t="n"/>
    </row>
    <row r="805" ht="15" customHeight="1" s="64">
      <c r="A805" s="118" t="n"/>
      <c r="B805" s="118" t="n"/>
      <c r="C805" s="112">
        <f>IF(B805="",0,IFERROR(AVERAGE(B803,B804,B805),0))</f>
        <v/>
      </c>
      <c r="D805" s="118" t="n"/>
    </row>
    <row r="806" ht="15" customHeight="1" s="64">
      <c r="A806" s="118" t="n"/>
      <c r="B806" s="118" t="n"/>
      <c r="C806" s="112">
        <f>IF(B806="",0,IFERROR(AVERAGE(B804,B805,B806),0))</f>
        <v/>
      </c>
      <c r="D806" s="118" t="n"/>
    </row>
    <row r="807" ht="15" customHeight="1" s="64">
      <c r="A807" s="118" t="n"/>
      <c r="B807" s="118" t="n"/>
      <c r="C807" s="112">
        <f>IF(B807="",0,IFERROR(AVERAGE(B805,B806,B807),0))</f>
        <v/>
      </c>
      <c r="D807" s="118" t="n"/>
    </row>
    <row r="808" ht="15" customHeight="1" s="64">
      <c r="A808" s="118" t="n"/>
      <c r="B808" s="118" t="n"/>
      <c r="C808" s="112">
        <f>IF(B808="",0,IFERROR(AVERAGE(B806,B807,B808),0))</f>
        <v/>
      </c>
      <c r="D808" s="118" t="n"/>
    </row>
    <row r="809" ht="15" customHeight="1" s="64">
      <c r="A809" s="118" t="n"/>
      <c r="B809" s="118" t="n"/>
      <c r="C809" s="112">
        <f>IF(B809="",0,IFERROR(AVERAGE(B807,B808,B809),0))</f>
        <v/>
      </c>
      <c r="D809" s="118" t="n"/>
    </row>
    <row r="810" ht="15" customHeight="1" s="64">
      <c r="A810" s="118" t="n"/>
      <c r="B810" s="118" t="n"/>
      <c r="C810" s="112">
        <f>IF(B810="",0,IFERROR(AVERAGE(B808,B809,B810),0))</f>
        <v/>
      </c>
      <c r="D810" s="118" t="n"/>
    </row>
    <row r="811" ht="15" customHeight="1" s="64">
      <c r="A811" s="118" t="n"/>
      <c r="B811" s="118" t="n"/>
      <c r="C811" s="112">
        <f>IF(B811="",0,IFERROR(AVERAGE(B809,B810,B811),0))</f>
        <v/>
      </c>
      <c r="D811" s="118" t="n"/>
    </row>
    <row r="812" ht="15" customHeight="1" s="64">
      <c r="A812" s="118" t="n"/>
      <c r="B812" s="118" t="n"/>
      <c r="C812" s="112">
        <f>IF(B812="",0,IFERROR(AVERAGE(B810,B811,B812),0))</f>
        <v/>
      </c>
      <c r="D812" s="118" t="n"/>
    </row>
    <row r="813" ht="15" customHeight="1" s="64">
      <c r="A813" s="118" t="n"/>
      <c r="B813" s="118" t="n"/>
      <c r="C813" s="112">
        <f>IF(B813="",0,IFERROR(AVERAGE(B811,B812,B813),0))</f>
        <v/>
      </c>
      <c r="D813" s="118" t="n"/>
    </row>
    <row r="814" ht="15" customHeight="1" s="64">
      <c r="A814" s="118" t="n"/>
      <c r="B814" s="118" t="n"/>
      <c r="C814" s="112">
        <f>IF(B814="",0,IFERROR(AVERAGE(B812,B813,B814),0))</f>
        <v/>
      </c>
      <c r="D814" s="118" t="n"/>
    </row>
    <row r="815" ht="15" customHeight="1" s="64">
      <c r="A815" s="118" t="n"/>
      <c r="B815" s="118" t="n"/>
      <c r="C815" s="112">
        <f>IF(B815="",0,IFERROR(AVERAGE(B813,B814,B815),0))</f>
        <v/>
      </c>
      <c r="D815" s="118" t="n"/>
    </row>
    <row r="816" ht="15" customHeight="1" s="64">
      <c r="A816" s="118" t="n"/>
      <c r="B816" s="118" t="n"/>
      <c r="C816" s="112">
        <f>IF(B816="",0,IFERROR(AVERAGE(B814,B815,B816),0))</f>
        <v/>
      </c>
      <c r="D816" s="118" t="n"/>
    </row>
    <row r="817" ht="15" customHeight="1" s="64">
      <c r="A817" s="118" t="n"/>
      <c r="B817" s="118" t="n"/>
      <c r="C817" s="112">
        <f>IF(B817="",0,IFERROR(AVERAGE(B815,B816,B817),0))</f>
        <v/>
      </c>
      <c r="D817" s="118" t="n"/>
    </row>
    <row r="818" ht="15" customHeight="1" s="64">
      <c r="A818" s="118" t="n"/>
      <c r="B818" s="118" t="n"/>
      <c r="C818" s="112">
        <f>IF(B818="",0,IFERROR(AVERAGE(B816,B817,B818),0))</f>
        <v/>
      </c>
      <c r="D818" s="118" t="n"/>
    </row>
    <row r="819" ht="15" customHeight="1" s="64">
      <c r="A819" s="118" t="n"/>
      <c r="B819" s="118" t="n"/>
      <c r="C819" s="112">
        <f>IF(B819="",0,IFERROR(AVERAGE(B817,B818,B819),0))</f>
        <v/>
      </c>
      <c r="D819" s="118" t="n"/>
    </row>
    <row r="820" ht="15" customHeight="1" s="64">
      <c r="A820" s="118" t="n"/>
      <c r="B820" s="118" t="n"/>
      <c r="C820" s="112">
        <f>IF(B820="",0,IFERROR(AVERAGE(B818,B819,B820),0))</f>
        <v/>
      </c>
      <c r="D820" s="118" t="n"/>
    </row>
    <row r="821" ht="15" customHeight="1" s="64">
      <c r="A821" s="118" t="n"/>
      <c r="B821" s="118" t="n"/>
      <c r="C821" s="112">
        <f>IF(B821="",0,IFERROR(AVERAGE(B819,B820,B821),0))</f>
        <v/>
      </c>
      <c r="D821" s="118" t="n"/>
    </row>
    <row r="822" ht="15" customHeight="1" s="64">
      <c r="A822" s="118" t="n"/>
      <c r="B822" s="118" t="n"/>
      <c r="C822" s="112">
        <f>IF(B822="",0,IFERROR(AVERAGE(B820,B821,B822),0))</f>
        <v/>
      </c>
      <c r="D822" s="118" t="n"/>
    </row>
    <row r="823" ht="15" customHeight="1" s="64">
      <c r="A823" s="118" t="n"/>
      <c r="B823" s="118" t="n"/>
      <c r="C823" s="112">
        <f>IF(B823="",0,IFERROR(AVERAGE(B821,B822,B823),0))</f>
        <v/>
      </c>
      <c r="D823" s="118" t="n"/>
    </row>
    <row r="824" ht="15" customHeight="1" s="64">
      <c r="A824" s="118" t="n"/>
      <c r="B824" s="118" t="n"/>
      <c r="C824" s="112">
        <f>IF(B824="",0,IFERROR(AVERAGE(B822,B823,B824),0))</f>
        <v/>
      </c>
      <c r="D824" s="118" t="n"/>
    </row>
    <row r="825" ht="15" customHeight="1" s="64">
      <c r="A825" s="118" t="n"/>
      <c r="B825" s="118" t="n"/>
      <c r="C825" s="112">
        <f>IF(B825="",0,IFERROR(AVERAGE(B823,B824,B825),0))</f>
        <v/>
      </c>
      <c r="D825" s="118" t="n"/>
    </row>
    <row r="826" ht="15" customHeight="1" s="64">
      <c r="A826" s="118" t="n"/>
      <c r="B826" s="118" t="n"/>
      <c r="C826" s="112">
        <f>IF(B826="",0,IFERROR(AVERAGE(B824,B825,B826),0))</f>
        <v/>
      </c>
      <c r="D826" s="118" t="n"/>
    </row>
    <row r="827" ht="15" customHeight="1" s="64">
      <c r="A827" s="118" t="n"/>
      <c r="B827" s="118" t="n"/>
      <c r="C827" s="112">
        <f>IF(B827="",0,IFERROR(AVERAGE(B825,B826,B827),0))</f>
        <v/>
      </c>
      <c r="D827" s="118" t="n"/>
    </row>
    <row r="828" ht="15" customHeight="1" s="64">
      <c r="A828" s="118" t="n"/>
      <c r="B828" s="118" t="n"/>
      <c r="C828" s="112">
        <f>IF(B828="",0,IFERROR(AVERAGE(B826,B827,B828),0))</f>
        <v/>
      </c>
      <c r="D828" s="118" t="n"/>
    </row>
    <row r="829" ht="15" customHeight="1" s="64">
      <c r="A829" s="118" t="n"/>
      <c r="B829" s="118" t="n"/>
      <c r="C829" s="112">
        <f>IF(B829="",0,IFERROR(AVERAGE(B827,B828,B829),0))</f>
        <v/>
      </c>
      <c r="D829" s="118" t="n"/>
    </row>
    <row r="830" ht="15" customHeight="1" s="64">
      <c r="A830" s="118" t="n"/>
      <c r="B830" s="118" t="n"/>
      <c r="C830" s="112">
        <f>IF(B830="",0,IFERROR(AVERAGE(B828,B829,B830),0))</f>
        <v/>
      </c>
      <c r="D830" s="118" t="n"/>
    </row>
    <row r="831" ht="15" customHeight="1" s="64">
      <c r="A831" s="118" t="n"/>
      <c r="B831" s="118" t="n"/>
      <c r="C831" s="112">
        <f>IF(B831="",0,IFERROR(AVERAGE(B829,B830,B831),0))</f>
        <v/>
      </c>
      <c r="D831" s="118" t="n"/>
    </row>
    <row r="832" ht="15" customHeight="1" s="64">
      <c r="A832" s="118" t="n"/>
      <c r="B832" s="118" t="n"/>
      <c r="C832" s="112">
        <f>IF(B832="",0,IFERROR(AVERAGE(B830,B831,B832),0))</f>
        <v/>
      </c>
      <c r="D832" s="118" t="n"/>
    </row>
    <row r="833" ht="15" customHeight="1" s="64">
      <c r="A833" s="118" t="n"/>
      <c r="B833" s="118" t="n"/>
      <c r="C833" s="112">
        <f>IF(B833="",0,IFERROR(AVERAGE(B831,B832,B833),0))</f>
        <v/>
      </c>
      <c r="D833" s="118" t="n"/>
    </row>
    <row r="834" ht="15" customHeight="1" s="64">
      <c r="A834" s="118" t="n"/>
      <c r="B834" s="118" t="n"/>
      <c r="C834" s="112">
        <f>IF(B834="",0,IFERROR(AVERAGE(B832,B833,B834),0))</f>
        <v/>
      </c>
      <c r="D834" s="118" t="n"/>
    </row>
    <row r="835" ht="15" customHeight="1" s="64">
      <c r="A835" s="118" t="n"/>
      <c r="B835" s="118" t="n"/>
      <c r="C835" s="112">
        <f>IF(B835="",0,IFERROR(AVERAGE(B833,B834,B835),0))</f>
        <v/>
      </c>
      <c r="D835" s="118" t="n"/>
    </row>
    <row r="836" ht="15" customHeight="1" s="64">
      <c r="A836" s="118" t="n"/>
      <c r="B836" s="118" t="n"/>
      <c r="C836" s="112">
        <f>IF(B836="",0,IFERROR(AVERAGE(B834,B835,B836),0))</f>
        <v/>
      </c>
      <c r="D836" s="118" t="n"/>
    </row>
    <row r="837" ht="15" customHeight="1" s="64">
      <c r="A837" s="118" t="n"/>
      <c r="B837" s="118" t="n"/>
      <c r="C837" s="112">
        <f>IF(B837="",0,IFERROR(AVERAGE(B835,B836,B837),0))</f>
        <v/>
      </c>
      <c r="D837" s="118" t="n"/>
    </row>
    <row r="838" ht="15" customHeight="1" s="64">
      <c r="A838" s="118" t="n"/>
      <c r="B838" s="118" t="n"/>
      <c r="C838" s="112">
        <f>IF(B838="",0,IFERROR(AVERAGE(B836,B837,B838),0))</f>
        <v/>
      </c>
      <c r="D838" s="118" t="n"/>
    </row>
    <row r="839" ht="15" customHeight="1" s="64">
      <c r="A839" s="118" t="n"/>
      <c r="B839" s="118" t="n"/>
      <c r="C839" s="112">
        <f>IF(B839="",0,IFERROR(AVERAGE(B837,B838,B839),0))</f>
        <v/>
      </c>
      <c r="D839" s="118" t="n"/>
    </row>
    <row r="840" ht="15" customHeight="1" s="64">
      <c r="A840" s="118" t="n"/>
      <c r="B840" s="118" t="n"/>
      <c r="C840" s="112">
        <f>IF(B840="",0,IFERROR(AVERAGE(B838,B839,B840),0))</f>
        <v/>
      </c>
      <c r="D840" s="118" t="n"/>
    </row>
    <row r="841" ht="15" customHeight="1" s="64">
      <c r="A841" s="118" t="n"/>
      <c r="B841" s="118" t="n"/>
      <c r="C841" s="112">
        <f>IF(B841="",0,IFERROR(AVERAGE(B839,B840,B841),0))</f>
        <v/>
      </c>
      <c r="D841" s="118" t="n"/>
    </row>
    <row r="842" ht="15" customHeight="1" s="64">
      <c r="A842" s="118" t="n"/>
      <c r="B842" s="118" t="n"/>
      <c r="C842" s="112">
        <f>IF(B842="",0,IFERROR(AVERAGE(B840,B841,B842),0))</f>
        <v/>
      </c>
      <c r="D842" s="118" t="n"/>
    </row>
    <row r="843" ht="15" customHeight="1" s="64">
      <c r="A843" s="118" t="n"/>
      <c r="B843" s="118" t="n"/>
      <c r="C843" s="112">
        <f>IF(B843="",0,IFERROR(AVERAGE(B841,B842,B843),0))</f>
        <v/>
      </c>
      <c r="D843" s="118" t="n"/>
    </row>
    <row r="844" ht="15" customHeight="1" s="64">
      <c r="A844" s="118" t="n"/>
      <c r="B844" s="118" t="n"/>
      <c r="C844" s="112">
        <f>IF(B844="",0,IFERROR(AVERAGE(B842,B843,B844),0))</f>
        <v/>
      </c>
      <c r="D844" s="118" t="n"/>
    </row>
    <row r="845" ht="15" customHeight="1" s="64">
      <c r="A845" s="118" t="n"/>
      <c r="B845" s="118" t="n"/>
      <c r="C845" s="112">
        <f>IF(B845="",0,IFERROR(AVERAGE(B843,B844,B845),0))</f>
        <v/>
      </c>
      <c r="D845" s="118" t="n"/>
    </row>
    <row r="846" ht="15" customHeight="1" s="64">
      <c r="A846" s="118" t="n"/>
      <c r="B846" s="118" t="n"/>
      <c r="C846" s="112">
        <f>IF(B846="",0,IFERROR(AVERAGE(B844,B845,B846),0))</f>
        <v/>
      </c>
      <c r="D846" s="118" t="n"/>
    </row>
    <row r="847" ht="15" customHeight="1" s="64">
      <c r="A847" s="118" t="n"/>
      <c r="B847" s="118" t="n"/>
      <c r="C847" s="112">
        <f>IF(B847="",0,IFERROR(AVERAGE(B845,B846,B847),0))</f>
        <v/>
      </c>
      <c r="D847" s="118" t="n"/>
    </row>
    <row r="848" ht="15" customHeight="1" s="64">
      <c r="A848" s="118" t="n"/>
      <c r="B848" s="118" t="n"/>
      <c r="C848" s="112">
        <f>IF(B848="",0,IFERROR(AVERAGE(B846,B847,B848),0))</f>
        <v/>
      </c>
      <c r="D848" s="118" t="n"/>
    </row>
    <row r="849" ht="15" customHeight="1" s="64">
      <c r="A849" s="118" t="n"/>
      <c r="B849" s="118" t="n"/>
      <c r="C849" s="112">
        <f>IF(B849="",0,IFERROR(AVERAGE(B847,B848,B849),0))</f>
        <v/>
      </c>
      <c r="D849" s="118" t="n"/>
    </row>
    <row r="850" ht="15" customHeight="1" s="64">
      <c r="A850" s="118" t="n"/>
      <c r="B850" s="118" t="n"/>
      <c r="C850" s="112">
        <f>IF(B850="",0,IFERROR(AVERAGE(B848,B849,B850),0))</f>
        <v/>
      </c>
      <c r="D850" s="118" t="n"/>
    </row>
    <row r="851" ht="15" customHeight="1" s="64">
      <c r="A851" s="118" t="n"/>
      <c r="B851" s="118" t="n"/>
      <c r="C851" s="112">
        <f>IF(B851="",0,IFERROR(AVERAGE(B849,B850,B851),0))</f>
        <v/>
      </c>
      <c r="D851" s="118" t="n"/>
    </row>
    <row r="852" ht="15" customHeight="1" s="64">
      <c r="A852" s="118" t="n"/>
      <c r="B852" s="118" t="n"/>
      <c r="C852" s="112">
        <f>IF(B852="",0,IFERROR(AVERAGE(B850,B851,B852),0))</f>
        <v/>
      </c>
      <c r="D852" s="118" t="n"/>
    </row>
    <row r="853" ht="15" customHeight="1" s="64">
      <c r="A853" s="118" t="n"/>
      <c r="B853" s="118" t="n"/>
      <c r="C853" s="112">
        <f>IF(B853="",0,IFERROR(AVERAGE(B851,B852,B853),0))</f>
        <v/>
      </c>
      <c r="D853" s="118" t="n"/>
    </row>
    <row r="854" ht="15" customHeight="1" s="64">
      <c r="A854" s="118" t="n"/>
      <c r="B854" s="118" t="n"/>
      <c r="C854" s="112">
        <f>IF(B854="",0,IFERROR(AVERAGE(B852,B853,B854),0))</f>
        <v/>
      </c>
      <c r="D854" s="118" t="n"/>
    </row>
    <row r="855" ht="15" customHeight="1" s="64">
      <c r="A855" s="118" t="n"/>
      <c r="B855" s="118" t="n"/>
      <c r="C855" s="112">
        <f>IF(B855="",0,IFERROR(AVERAGE(B853,B854,B855),0))</f>
        <v/>
      </c>
      <c r="D855" s="118" t="n"/>
    </row>
    <row r="856" ht="15" customHeight="1" s="64">
      <c r="A856" s="118" t="n"/>
      <c r="B856" s="118" t="n"/>
      <c r="C856" s="112">
        <f>IF(B856="",0,IFERROR(AVERAGE(B854,B855,B856),0))</f>
        <v/>
      </c>
      <c r="D856" s="118" t="n"/>
    </row>
    <row r="857" ht="15" customHeight="1" s="64">
      <c r="A857" s="118" t="n"/>
      <c r="B857" s="118" t="n"/>
      <c r="C857" s="112">
        <f>IF(B857="",0,IFERROR(AVERAGE(B855,B856,B857),0))</f>
        <v/>
      </c>
      <c r="D857" s="118" t="n"/>
    </row>
    <row r="858" ht="15" customHeight="1" s="64">
      <c r="A858" s="118" t="n"/>
      <c r="B858" s="118" t="n"/>
      <c r="C858" s="112">
        <f>IF(B858="",0,IFERROR(AVERAGE(B856,B857,B858),0))</f>
        <v/>
      </c>
      <c r="D858" s="118" t="n"/>
    </row>
    <row r="859" ht="15" customHeight="1" s="64">
      <c r="A859" s="118" t="n"/>
      <c r="B859" s="118" t="n"/>
      <c r="C859" s="112">
        <f>IF(B859="",0,IFERROR(AVERAGE(B857,B858,B859),0))</f>
        <v/>
      </c>
      <c r="D859" s="118" t="n"/>
    </row>
    <row r="860" ht="15" customHeight="1" s="64">
      <c r="A860" s="118" t="n"/>
      <c r="B860" s="118" t="n"/>
      <c r="C860" s="112">
        <f>IF(B860="",0,IFERROR(AVERAGE(B858,B859,B860),0))</f>
        <v/>
      </c>
      <c r="D860" s="118" t="n"/>
    </row>
    <row r="861" ht="15" customHeight="1" s="64">
      <c r="A861" s="118" t="n"/>
      <c r="B861" s="118" t="n"/>
      <c r="C861" s="112">
        <f>IF(B861="",0,IFERROR(AVERAGE(B859,B860,B861),0))</f>
        <v/>
      </c>
      <c r="D861" s="118" t="n"/>
    </row>
    <row r="862" ht="15" customHeight="1" s="64">
      <c r="A862" s="118" t="n"/>
      <c r="B862" s="118" t="n"/>
      <c r="C862" s="112">
        <f>IF(B862="",0,IFERROR(AVERAGE(B860,B861,B862),0))</f>
        <v/>
      </c>
      <c r="D862" s="118" t="n"/>
    </row>
    <row r="863" ht="15" customHeight="1" s="64">
      <c r="A863" s="118" t="n"/>
      <c r="B863" s="118" t="n"/>
      <c r="C863" s="112">
        <f>IF(B863="",0,IFERROR(AVERAGE(B861,B862,B863),0))</f>
        <v/>
      </c>
      <c r="D863" s="118" t="n"/>
    </row>
    <row r="864" ht="15" customHeight="1" s="64">
      <c r="A864" s="118" t="n"/>
      <c r="B864" s="118" t="n"/>
      <c r="C864" s="112">
        <f>IF(B864="",0,IFERROR(AVERAGE(B862,B863,B864),0))</f>
        <v/>
      </c>
      <c r="D864" s="118" t="n"/>
    </row>
    <row r="865" ht="15" customHeight="1" s="64">
      <c r="A865" s="118" t="n"/>
      <c r="B865" s="118" t="n"/>
      <c r="C865" s="112">
        <f>IF(B865="",0,IFERROR(AVERAGE(B863,B864,B865),0))</f>
        <v/>
      </c>
      <c r="D865" s="118" t="n"/>
    </row>
    <row r="866" ht="15" customHeight="1" s="64">
      <c r="A866" s="118" t="n"/>
      <c r="B866" s="118" t="n"/>
      <c r="C866" s="112">
        <f>IF(B866="",0,IFERROR(AVERAGE(B864,B865,B866),0))</f>
        <v/>
      </c>
      <c r="D866" s="118" t="n"/>
    </row>
    <row r="867" ht="15" customHeight="1" s="64">
      <c r="A867" s="118" t="n"/>
      <c r="B867" s="118" t="n"/>
      <c r="C867" s="112">
        <f>IF(B867="",0,IFERROR(AVERAGE(B865,B866,B867),0))</f>
        <v/>
      </c>
      <c r="D867" s="118" t="n"/>
    </row>
    <row r="868" ht="15" customHeight="1" s="64">
      <c r="A868" s="118" t="n"/>
      <c r="B868" s="118" t="n"/>
      <c r="C868" s="112">
        <f>IF(B868="",0,IFERROR(AVERAGE(B866,B867,B868),0))</f>
        <v/>
      </c>
      <c r="D868" s="118" t="n"/>
    </row>
    <row r="869" ht="15" customHeight="1" s="64">
      <c r="A869" s="118" t="n"/>
      <c r="B869" s="118" t="n"/>
      <c r="C869" s="112">
        <f>IF(B869="",0,IFERROR(AVERAGE(B867,B868,B869),0))</f>
        <v/>
      </c>
      <c r="D869" s="118" t="n"/>
    </row>
    <row r="870" ht="15" customHeight="1" s="64">
      <c r="A870" s="118" t="n"/>
      <c r="B870" s="118" t="n"/>
      <c r="C870" s="112">
        <f>IF(B870="",0,IFERROR(AVERAGE(B868,B869,B870),0))</f>
        <v/>
      </c>
      <c r="D870" s="118" t="n"/>
    </row>
    <row r="871" ht="15" customHeight="1" s="64">
      <c r="A871" s="118" t="n"/>
      <c r="B871" s="118" t="n"/>
      <c r="C871" s="112">
        <f>IF(B871="",0,IFERROR(AVERAGE(B869,B870,B871),0))</f>
        <v/>
      </c>
      <c r="D871" s="118" t="n"/>
    </row>
    <row r="872" ht="15" customHeight="1" s="64">
      <c r="A872" s="118" t="n"/>
      <c r="B872" s="118" t="n"/>
      <c r="C872" s="112">
        <f>IF(B872="",0,IFERROR(AVERAGE(B870,B871,B872),0))</f>
        <v/>
      </c>
      <c r="D872" s="118" t="n"/>
    </row>
    <row r="873" ht="15" customHeight="1" s="64">
      <c r="A873" s="118" t="n"/>
      <c r="B873" s="118" t="n"/>
      <c r="C873" s="112">
        <f>IF(B873="",0,IFERROR(AVERAGE(B871,B872,B873),0))</f>
        <v/>
      </c>
      <c r="D873" s="118" t="n"/>
    </row>
    <row r="874" ht="15" customHeight="1" s="64">
      <c r="A874" s="118" t="n"/>
      <c r="B874" s="118" t="n"/>
      <c r="C874" s="112">
        <f>IF(B874="",0,IFERROR(AVERAGE(B872,B873,B874),0))</f>
        <v/>
      </c>
      <c r="D874" s="118" t="n"/>
    </row>
    <row r="875" ht="15" customHeight="1" s="64">
      <c r="A875" s="118" t="n"/>
      <c r="B875" s="118" t="n"/>
      <c r="C875" s="112">
        <f>IF(B875="",0,IFERROR(AVERAGE(B873,B874,B875),0))</f>
        <v/>
      </c>
      <c r="D875" s="118" t="n"/>
    </row>
    <row r="876" ht="15" customHeight="1" s="64">
      <c r="A876" s="118" t="n"/>
      <c r="B876" s="118" t="n"/>
      <c r="C876" s="112">
        <f>IF(B876="",0,IFERROR(AVERAGE(B874,B875,B876),0))</f>
        <v/>
      </c>
      <c r="D876" s="118" t="n"/>
    </row>
    <row r="877" ht="15" customHeight="1" s="64">
      <c r="A877" s="118" t="n"/>
      <c r="B877" s="118" t="n"/>
      <c r="C877" s="112">
        <f>IF(B877="",0,IFERROR(AVERAGE(B875,B876,B877),0))</f>
        <v/>
      </c>
      <c r="D877" s="118" t="n"/>
    </row>
    <row r="878" ht="15" customHeight="1" s="64">
      <c r="A878" s="118" t="n"/>
      <c r="B878" s="118" t="n"/>
      <c r="C878" s="112">
        <f>IF(B878="",0,IFERROR(AVERAGE(B876,B877,B878),0))</f>
        <v/>
      </c>
      <c r="D878" s="118" t="n"/>
    </row>
    <row r="879" ht="15" customHeight="1" s="64">
      <c r="A879" s="118" t="n"/>
      <c r="B879" s="118" t="n"/>
      <c r="C879" s="112">
        <f>IF(B879="",0,IFERROR(AVERAGE(B877,B878,B879),0))</f>
        <v/>
      </c>
      <c r="D879" s="118" t="n"/>
    </row>
    <row r="880" ht="15" customHeight="1" s="64">
      <c r="A880" s="118" t="n"/>
      <c r="B880" s="118" t="n"/>
      <c r="C880" s="112">
        <f>IF(B880="",0,IFERROR(AVERAGE(B878,B879,B880),0))</f>
        <v/>
      </c>
      <c r="D880" s="118" t="n"/>
    </row>
    <row r="881" ht="15" customHeight="1" s="64">
      <c r="A881" s="118" t="n"/>
      <c r="B881" s="118" t="n"/>
      <c r="C881" s="112">
        <f>IF(B881="",0,IFERROR(AVERAGE(B879,B880,B881),0))</f>
        <v/>
      </c>
      <c r="D881" s="118" t="n"/>
    </row>
    <row r="882" ht="15" customHeight="1" s="64">
      <c r="A882" s="118" t="n"/>
      <c r="B882" s="118" t="n"/>
      <c r="C882" s="112">
        <f>IF(B882="",0,IFERROR(AVERAGE(B880,B881,B882),0))</f>
        <v/>
      </c>
      <c r="D882" s="118" t="n"/>
    </row>
    <row r="883" ht="15" customHeight="1" s="64">
      <c r="A883" s="118" t="n"/>
      <c r="B883" s="118" t="n"/>
      <c r="C883" s="112">
        <f>IF(B883="",0,IFERROR(AVERAGE(B881,B882,B883),0))</f>
        <v/>
      </c>
      <c r="D883" s="118" t="n"/>
    </row>
    <row r="884" ht="15" customHeight="1" s="64">
      <c r="A884" s="118" t="n"/>
      <c r="B884" s="118" t="n"/>
      <c r="C884" s="112">
        <f>IF(B884="",0,IFERROR(AVERAGE(B882,B883,B884),0))</f>
        <v/>
      </c>
      <c r="D884" s="118" t="n"/>
    </row>
    <row r="885" ht="15" customHeight="1" s="64">
      <c r="A885" s="118" t="n"/>
      <c r="B885" s="118" t="n"/>
      <c r="C885" s="112">
        <f>IF(B885="",0,IFERROR(AVERAGE(B883,B884,B885),0))</f>
        <v/>
      </c>
      <c r="D885" s="118" t="n"/>
    </row>
    <row r="886" ht="15" customHeight="1" s="64">
      <c r="A886" s="118" t="n"/>
      <c r="B886" s="118" t="n"/>
      <c r="C886" s="112">
        <f>IF(B886="",0,IFERROR(AVERAGE(B884,B885,B886),0))</f>
        <v/>
      </c>
      <c r="D886" s="118" t="n"/>
    </row>
    <row r="887" ht="15" customHeight="1" s="64">
      <c r="A887" s="118" t="n"/>
      <c r="B887" s="118" t="n"/>
      <c r="C887" s="112">
        <f>IF(B887="",0,IFERROR(AVERAGE(B885,B886,B887),0))</f>
        <v/>
      </c>
      <c r="D887" s="118" t="n"/>
    </row>
    <row r="888" ht="15" customHeight="1" s="64">
      <c r="A888" s="118" t="n"/>
      <c r="B888" s="118" t="n"/>
      <c r="C888" s="112">
        <f>IF(B888="",0,IFERROR(AVERAGE(B886,B887,B888),0))</f>
        <v/>
      </c>
      <c r="D888" s="118" t="n"/>
    </row>
    <row r="889" ht="15" customHeight="1" s="64">
      <c r="A889" s="118" t="n"/>
      <c r="B889" s="118" t="n"/>
      <c r="C889" s="112">
        <f>IF(B889="",0,IFERROR(AVERAGE(B887,B888,B889),0))</f>
        <v/>
      </c>
      <c r="D889" s="118" t="n"/>
    </row>
    <row r="890" ht="15" customHeight="1" s="64">
      <c r="A890" s="118" t="n"/>
      <c r="B890" s="118" t="n"/>
      <c r="C890" s="112">
        <f>IF(B890="",0,IFERROR(AVERAGE(B888,B889,B890),0))</f>
        <v/>
      </c>
      <c r="D890" s="118" t="n"/>
    </row>
    <row r="891" ht="15" customHeight="1" s="64">
      <c r="A891" s="118" t="n"/>
      <c r="B891" s="118" t="n"/>
      <c r="C891" s="112">
        <f>IF(B891="",0,IFERROR(AVERAGE(B889,B890,B891),0))</f>
        <v/>
      </c>
      <c r="D891" s="118" t="n"/>
    </row>
    <row r="892" ht="15" customHeight="1" s="64">
      <c r="A892" s="118" t="n"/>
      <c r="B892" s="118" t="n"/>
      <c r="C892" s="112">
        <f>IF(B892="",0,IFERROR(AVERAGE(B890,B891,B892),0))</f>
        <v/>
      </c>
      <c r="D892" s="118" t="n"/>
    </row>
    <row r="893" ht="15" customHeight="1" s="64">
      <c r="A893" s="118" t="n"/>
      <c r="B893" s="118" t="n"/>
      <c r="C893" s="112">
        <f>IF(B893="",0,IFERROR(AVERAGE(B891,B892,B893),0))</f>
        <v/>
      </c>
      <c r="D893" s="118" t="n"/>
    </row>
    <row r="894" ht="15" customHeight="1" s="64">
      <c r="A894" s="118" t="n"/>
      <c r="B894" s="118" t="n"/>
      <c r="C894" s="112">
        <f>IF(B894="",0,IFERROR(AVERAGE(B892,B893,B894),0))</f>
        <v/>
      </c>
      <c r="D894" s="118" t="n"/>
    </row>
    <row r="895" ht="15" customHeight="1" s="64">
      <c r="A895" s="118" t="n"/>
      <c r="B895" s="118" t="n"/>
      <c r="C895" s="112">
        <f>IF(B895="",0,IFERROR(AVERAGE(B893,B894,B895),0))</f>
        <v/>
      </c>
      <c r="D895" s="118" t="n"/>
    </row>
    <row r="896" ht="15" customHeight="1" s="64">
      <c r="A896" s="118" t="n"/>
      <c r="B896" s="118" t="n"/>
      <c r="C896" s="112">
        <f>IF(B896="",0,IFERROR(AVERAGE(B894,B895,B896),0))</f>
        <v/>
      </c>
      <c r="D896" s="118" t="n"/>
    </row>
    <row r="897" ht="15" customHeight="1" s="64">
      <c r="A897" s="118" t="n"/>
      <c r="B897" s="118" t="n"/>
      <c r="C897" s="112">
        <f>IF(B897="",0,IFERROR(AVERAGE(B895,B896,B897),0))</f>
        <v/>
      </c>
      <c r="D897" s="118" t="n"/>
    </row>
    <row r="898" ht="15" customHeight="1" s="64">
      <c r="A898" s="118" t="n"/>
      <c r="B898" s="118" t="n"/>
      <c r="C898" s="112">
        <f>IF(B898="",0,IFERROR(AVERAGE(B896,B897,B898),0))</f>
        <v/>
      </c>
      <c r="D898" s="118" t="n"/>
    </row>
    <row r="899" ht="15" customHeight="1" s="64">
      <c r="A899" s="118" t="n"/>
      <c r="B899" s="118" t="n"/>
      <c r="C899" s="112">
        <f>IF(B899="",0,IFERROR(AVERAGE(B897,B898,B899),0))</f>
        <v/>
      </c>
      <c r="D899" s="118" t="n"/>
    </row>
    <row r="900" ht="15" customHeight="1" s="64">
      <c r="A900" s="118" t="n"/>
      <c r="B900" s="118" t="n"/>
      <c r="C900" s="112">
        <f>IF(B900="",0,IFERROR(AVERAGE(B898,B899,B900),0))</f>
        <v/>
      </c>
      <c r="D900" s="118" t="n"/>
    </row>
    <row r="901" ht="15" customHeight="1" s="64">
      <c r="A901" s="118" t="n"/>
      <c r="B901" s="118" t="n"/>
      <c r="C901" s="112">
        <f>IF(B901="",0,IFERROR(AVERAGE(B899,B900,B901),0))</f>
        <v/>
      </c>
      <c r="D901" s="118" t="n"/>
    </row>
    <row r="902" ht="15" customHeight="1" s="64">
      <c r="A902" s="118" t="n"/>
      <c r="B902" s="118" t="n"/>
      <c r="C902" s="112">
        <f>IF(B902="",0,IFERROR(AVERAGE(B900,B901,B902),0))</f>
        <v/>
      </c>
      <c r="D902" s="118" t="n"/>
    </row>
    <row r="903" ht="15" customHeight="1" s="64">
      <c r="A903" s="118" t="n"/>
      <c r="B903" s="118" t="n"/>
      <c r="C903" s="112">
        <f>IF(B903="",0,IFERROR(AVERAGE(B901,B902,B903),0))</f>
        <v/>
      </c>
      <c r="D903" s="118" t="n"/>
    </row>
    <row r="904" ht="15" customHeight="1" s="64">
      <c r="A904" s="118" t="n"/>
      <c r="B904" s="118" t="n"/>
      <c r="C904" s="112">
        <f>IF(B904="",0,IFERROR(AVERAGE(B902,B903,B904),0))</f>
        <v/>
      </c>
      <c r="D904" s="118" t="n"/>
    </row>
    <row r="905" ht="15" customHeight="1" s="64">
      <c r="A905" s="118" t="n"/>
      <c r="B905" s="118" t="n"/>
      <c r="C905" s="112">
        <f>IF(B905="",0,IFERROR(AVERAGE(B903,B904,B905),0))</f>
        <v/>
      </c>
      <c r="D905" s="118" t="n"/>
    </row>
    <row r="906" ht="15" customHeight="1" s="64">
      <c r="A906" s="118" t="n"/>
      <c r="B906" s="118" t="n"/>
      <c r="C906" s="112">
        <f>IF(B906="",0,IFERROR(AVERAGE(B904,B905,B906),0))</f>
        <v/>
      </c>
      <c r="D906" s="118" t="n"/>
    </row>
    <row r="907" ht="15" customHeight="1" s="64">
      <c r="A907" s="118" t="n"/>
      <c r="B907" s="118" t="n"/>
      <c r="C907" s="112">
        <f>IF(B907="",0,IFERROR(AVERAGE(B905,B906,B907),0))</f>
        <v/>
      </c>
      <c r="D907" s="118" t="n"/>
    </row>
    <row r="908" ht="15" customHeight="1" s="64">
      <c r="A908" s="118" t="n"/>
      <c r="B908" s="118" t="n"/>
      <c r="C908" s="112">
        <f>IF(B908="",0,IFERROR(AVERAGE(B906,B907,B908),0))</f>
        <v/>
      </c>
      <c r="D908" s="118" t="n"/>
    </row>
    <row r="909" ht="15" customHeight="1" s="64">
      <c r="A909" s="118" t="n"/>
      <c r="B909" s="118" t="n"/>
      <c r="C909" s="112">
        <f>IF(B909="",0,IFERROR(AVERAGE(B907,B908,B909),0))</f>
        <v/>
      </c>
      <c r="D909" s="118" t="n"/>
    </row>
    <row r="910" ht="15" customHeight="1" s="64">
      <c r="A910" s="118" t="n"/>
      <c r="B910" s="118" t="n"/>
      <c r="C910" s="112">
        <f>IF(B910="",0,IFERROR(AVERAGE(B908,B909,B910),0))</f>
        <v/>
      </c>
      <c r="D910" s="118" t="n"/>
    </row>
    <row r="911" ht="15" customHeight="1" s="64">
      <c r="A911" s="118" t="n"/>
      <c r="B911" s="118" t="n"/>
      <c r="C911" s="112">
        <f>IF(B911="",0,IFERROR(AVERAGE(B909,B910,B911),0))</f>
        <v/>
      </c>
      <c r="D911" s="118" t="n"/>
    </row>
    <row r="912" ht="15" customHeight="1" s="64">
      <c r="A912" s="118" t="n"/>
      <c r="B912" s="118" t="n"/>
      <c r="C912" s="112">
        <f>IF(B912="",0,IFERROR(AVERAGE(B910,B911,B912),0))</f>
        <v/>
      </c>
      <c r="D912" s="118" t="n"/>
    </row>
    <row r="913" ht="15" customHeight="1" s="64">
      <c r="A913" s="118" t="n"/>
      <c r="B913" s="118" t="n"/>
      <c r="C913" s="112">
        <f>IF(B913="",0,IFERROR(AVERAGE(B911,B912,B913),0))</f>
        <v/>
      </c>
      <c r="D913" s="118" t="n"/>
    </row>
    <row r="914" ht="15" customHeight="1" s="64">
      <c r="A914" s="118" t="n"/>
      <c r="B914" s="118" t="n"/>
      <c r="C914" s="112">
        <f>IF(B914="",0,IFERROR(AVERAGE(B912,B913,B914),0))</f>
        <v/>
      </c>
      <c r="D914" s="118" t="n"/>
    </row>
    <row r="915" ht="15" customHeight="1" s="64">
      <c r="A915" s="118" t="n"/>
      <c r="B915" s="118" t="n"/>
      <c r="C915" s="112">
        <f>IF(B915="",0,IFERROR(AVERAGE(B913,B914,B915),0))</f>
        <v/>
      </c>
      <c r="D915" s="118" t="n"/>
    </row>
    <row r="916" ht="15" customHeight="1" s="64">
      <c r="A916" s="118" t="n"/>
      <c r="B916" s="118" t="n"/>
      <c r="C916" s="112">
        <f>IF(B916="",0,IFERROR(AVERAGE(B914,B915,B916),0))</f>
        <v/>
      </c>
      <c r="D916" s="118" t="n"/>
    </row>
    <row r="917" ht="15" customHeight="1" s="64">
      <c r="A917" s="118" t="n"/>
      <c r="B917" s="118" t="n"/>
      <c r="C917" s="112">
        <f>IF(B917="",0,IFERROR(AVERAGE(B915,B916,B917),0))</f>
        <v/>
      </c>
      <c r="D917" s="118" t="n"/>
    </row>
    <row r="918" ht="15" customHeight="1" s="64">
      <c r="A918" s="118" t="n"/>
      <c r="B918" s="118" t="n"/>
      <c r="C918" s="112">
        <f>IF(B918="",0,IFERROR(AVERAGE(B916,B917,B918),0))</f>
        <v/>
      </c>
      <c r="D918" s="118" t="n"/>
    </row>
    <row r="919" ht="15" customHeight="1" s="64">
      <c r="A919" s="118" t="n"/>
      <c r="B919" s="118" t="n"/>
      <c r="C919" s="112">
        <f>IF(B919="",0,IFERROR(AVERAGE(B917,B918,B919),0))</f>
        <v/>
      </c>
      <c r="D919" s="118" t="n"/>
    </row>
    <row r="920" ht="15" customHeight="1" s="64">
      <c r="A920" s="118" t="n"/>
      <c r="B920" s="118" t="n"/>
      <c r="C920" s="112">
        <f>IF(B920="",0,IFERROR(AVERAGE(B918,B919,B920),0))</f>
        <v/>
      </c>
      <c r="D920" s="118" t="n"/>
    </row>
    <row r="921" ht="15" customHeight="1" s="64">
      <c r="A921" s="118" t="n"/>
      <c r="B921" s="118" t="n"/>
      <c r="C921" s="112">
        <f>IF(B921="",0,IFERROR(AVERAGE(B919,B920,B921),0))</f>
        <v/>
      </c>
      <c r="D921" s="118" t="n"/>
    </row>
    <row r="922" ht="15" customHeight="1" s="64">
      <c r="A922" s="118" t="n"/>
      <c r="B922" s="118" t="n"/>
      <c r="C922" s="112">
        <f>IF(B922="",0,IFERROR(AVERAGE(B920,B921,B922),0))</f>
        <v/>
      </c>
      <c r="D922" s="118" t="n"/>
    </row>
    <row r="923" ht="15" customHeight="1" s="64">
      <c r="A923" s="118" t="n"/>
      <c r="B923" s="118" t="n"/>
      <c r="C923" s="112">
        <f>IF(B923="",0,IFERROR(AVERAGE(B921,B922,B923),0))</f>
        <v/>
      </c>
      <c r="D923" s="118" t="n"/>
    </row>
    <row r="924" ht="15" customHeight="1" s="64">
      <c r="A924" s="118" t="n"/>
      <c r="B924" s="118" t="n"/>
      <c r="C924" s="112">
        <f>IF(B924="",0,IFERROR(AVERAGE(B922,B923,B924),0))</f>
        <v/>
      </c>
      <c r="D924" s="118" t="n"/>
    </row>
    <row r="925" ht="15" customHeight="1" s="64">
      <c r="A925" s="118" t="n"/>
      <c r="B925" s="118" t="n"/>
      <c r="C925" s="112">
        <f>IF(B925="",0,IFERROR(AVERAGE(B923,B924,B925),0))</f>
        <v/>
      </c>
      <c r="D925" s="118" t="n"/>
    </row>
    <row r="926" ht="15" customHeight="1" s="64">
      <c r="A926" s="118" t="n"/>
      <c r="B926" s="118" t="n"/>
      <c r="C926" s="112">
        <f>IF(B926="",0,IFERROR(AVERAGE(B924,B925,B926),0))</f>
        <v/>
      </c>
      <c r="D926" s="118" t="n"/>
    </row>
    <row r="927" ht="15" customHeight="1" s="64">
      <c r="A927" s="118" t="n"/>
      <c r="B927" s="118" t="n"/>
      <c r="C927" s="112">
        <f>IF(B927="",0,IFERROR(AVERAGE(B925,B926,B927),0))</f>
        <v/>
      </c>
      <c r="D927" s="118" t="n"/>
    </row>
    <row r="928" ht="15" customHeight="1" s="64">
      <c r="A928" s="118" t="n"/>
      <c r="B928" s="118" t="n"/>
      <c r="C928" s="112">
        <f>IF(B928="",0,IFERROR(AVERAGE(B926,B927,B928),0))</f>
        <v/>
      </c>
      <c r="D928" s="118" t="n"/>
    </row>
    <row r="929" ht="15" customHeight="1" s="64">
      <c r="A929" s="118" t="n"/>
      <c r="B929" s="118" t="n"/>
      <c r="C929" s="112">
        <f>IF(B929="",0,IFERROR(AVERAGE(B927,B928,B929),0))</f>
        <v/>
      </c>
      <c r="D929" s="118" t="n"/>
    </row>
    <row r="930" ht="15" customHeight="1" s="64">
      <c r="A930" s="118" t="n"/>
      <c r="B930" s="118" t="n"/>
      <c r="C930" s="112">
        <f>IF(B930="",0,IFERROR(AVERAGE(B928,B929,B930),0))</f>
        <v/>
      </c>
      <c r="D930" s="118" t="n"/>
    </row>
    <row r="931" ht="15" customHeight="1" s="64">
      <c r="A931" s="118" t="n"/>
      <c r="B931" s="118" t="n"/>
      <c r="C931" s="112">
        <f>IF(B931="",0,IFERROR(AVERAGE(B929,B930,B931),0))</f>
        <v/>
      </c>
      <c r="D931" s="118" t="n"/>
    </row>
    <row r="932" ht="15" customHeight="1" s="64">
      <c r="A932" s="118" t="n"/>
      <c r="B932" s="118" t="n"/>
      <c r="C932" s="112">
        <f>IF(B932="",0,IFERROR(AVERAGE(B930,B931,B932),0))</f>
        <v/>
      </c>
      <c r="D932" s="118" t="n"/>
    </row>
    <row r="933" ht="15" customHeight="1" s="64">
      <c r="A933" s="118" t="n"/>
      <c r="B933" s="118" t="n"/>
      <c r="C933" s="112">
        <f>IF(B933="",0,IFERROR(AVERAGE(B931,B932,B933),0))</f>
        <v/>
      </c>
      <c r="D933" s="118" t="n"/>
    </row>
    <row r="934" ht="15" customHeight="1" s="64">
      <c r="A934" s="118" t="n"/>
      <c r="B934" s="118" t="n"/>
      <c r="C934" s="112">
        <f>IF(B934="",0,IFERROR(AVERAGE(B932,B933,B934),0))</f>
        <v/>
      </c>
      <c r="D934" s="118" t="n"/>
    </row>
    <row r="935" ht="15" customHeight="1" s="64">
      <c r="A935" s="118" t="n"/>
      <c r="B935" s="118" t="n"/>
      <c r="C935" s="112">
        <f>IF(B935="",0,IFERROR(AVERAGE(B933,B934,B935),0))</f>
        <v/>
      </c>
      <c r="D935" s="118" t="n"/>
    </row>
    <row r="936" ht="15" customHeight="1" s="64">
      <c r="A936" s="118" t="n"/>
      <c r="B936" s="118" t="n"/>
      <c r="C936" s="112">
        <f>IF(B936="",0,IFERROR(AVERAGE(B934,B935,B936),0))</f>
        <v/>
      </c>
      <c r="D936" s="118" t="n"/>
    </row>
    <row r="937" ht="15" customHeight="1" s="64">
      <c r="A937" s="118" t="n"/>
      <c r="B937" s="118" t="n"/>
      <c r="C937" s="112">
        <f>IF(B937="",0,IFERROR(AVERAGE(B935,B936,B937),0))</f>
        <v/>
      </c>
      <c r="D937" s="118" t="n"/>
    </row>
    <row r="938" ht="15" customHeight="1" s="64">
      <c r="A938" s="118" t="n"/>
      <c r="B938" s="118" t="n"/>
      <c r="C938" s="112">
        <f>IF(B938="",0,IFERROR(AVERAGE(B936,B937,B938),0))</f>
        <v/>
      </c>
      <c r="D938" s="118" t="n"/>
    </row>
    <row r="939" ht="15" customHeight="1" s="64">
      <c r="A939" s="118" t="n"/>
      <c r="B939" s="118" t="n"/>
      <c r="C939" s="112">
        <f>IF(B939="",0,IFERROR(AVERAGE(B937,B938,B939),0))</f>
        <v/>
      </c>
      <c r="D939" s="118" t="n"/>
    </row>
    <row r="940" ht="15" customHeight="1" s="64">
      <c r="A940" s="118" t="n"/>
      <c r="B940" s="118" t="n"/>
      <c r="C940" s="112">
        <f>IF(B940="",0,IFERROR(AVERAGE(B938,B939,B940),0))</f>
        <v/>
      </c>
      <c r="D940" s="118" t="n"/>
    </row>
    <row r="941" ht="15" customHeight="1" s="64">
      <c r="A941" s="118" t="n"/>
      <c r="B941" s="118" t="n"/>
      <c r="C941" s="112">
        <f>IF(B941="",0,IFERROR(AVERAGE(B939,B940,B941),0))</f>
        <v/>
      </c>
      <c r="D941" s="118" t="n"/>
    </row>
    <row r="942" ht="15" customHeight="1" s="64">
      <c r="A942" s="118" t="n"/>
      <c r="B942" s="118" t="n"/>
      <c r="C942" s="112">
        <f>IF(B942="",0,IFERROR(AVERAGE(B940,B941,B942),0))</f>
        <v/>
      </c>
      <c r="D942" s="118" t="n"/>
    </row>
    <row r="943" ht="15" customHeight="1" s="64">
      <c r="A943" s="118" t="n"/>
      <c r="B943" s="118" t="n"/>
      <c r="C943" s="112">
        <f>IF(B943="",0,IFERROR(AVERAGE(B941,B942,B943),0))</f>
        <v/>
      </c>
      <c r="D943" s="118" t="n"/>
    </row>
    <row r="944" ht="15" customHeight="1" s="64">
      <c r="A944" s="118" t="n"/>
      <c r="B944" s="118" t="n"/>
      <c r="C944" s="112">
        <f>IF(B944="",0,IFERROR(AVERAGE(B942,B943,B944),0))</f>
        <v/>
      </c>
      <c r="D944" s="118" t="n"/>
    </row>
    <row r="945" ht="15" customHeight="1" s="64">
      <c r="A945" s="118" t="n"/>
      <c r="B945" s="118" t="n"/>
      <c r="C945" s="112">
        <f>IF(B945="",0,IFERROR(AVERAGE(B943,B944,B945),0))</f>
        <v/>
      </c>
      <c r="D945" s="118" t="n"/>
    </row>
    <row r="946" ht="15" customHeight="1" s="64">
      <c r="A946" s="118" t="n"/>
      <c r="B946" s="118" t="n"/>
      <c r="C946" s="112">
        <f>IF(B946="",0,IFERROR(AVERAGE(B944,B945,B946),0))</f>
        <v/>
      </c>
      <c r="D946" s="118" t="n"/>
    </row>
    <row r="947" ht="15" customHeight="1" s="64">
      <c r="A947" s="118" t="n"/>
      <c r="B947" s="118" t="n"/>
      <c r="C947" s="112">
        <f>IF(B947="",0,IFERROR(AVERAGE(B945,B946,B947),0))</f>
        <v/>
      </c>
      <c r="D947" s="118" t="n"/>
    </row>
    <row r="948" ht="15" customHeight="1" s="64">
      <c r="A948" s="118" t="n"/>
      <c r="B948" s="118" t="n"/>
      <c r="C948" s="112">
        <f>IF(B948="",0,IFERROR(AVERAGE(B946,B947,B948),0))</f>
        <v/>
      </c>
      <c r="D948" s="118" t="n"/>
    </row>
    <row r="949" ht="15" customHeight="1" s="64">
      <c r="A949" s="118" t="n"/>
      <c r="B949" s="118" t="n"/>
      <c r="C949" s="112">
        <f>IF(B949="",0,IFERROR(AVERAGE(B947,B948,B949),0))</f>
        <v/>
      </c>
      <c r="D949" s="118" t="n"/>
    </row>
    <row r="950" ht="15" customHeight="1" s="64">
      <c r="A950" s="118" t="n"/>
      <c r="B950" s="118" t="n"/>
      <c r="C950" s="112">
        <f>IF(B950="",0,IFERROR(AVERAGE(B948,B949,B950),0))</f>
        <v/>
      </c>
      <c r="D950" s="118" t="n"/>
    </row>
    <row r="951" ht="15" customHeight="1" s="64">
      <c r="A951" s="118" t="n"/>
      <c r="B951" s="118" t="n"/>
      <c r="C951" s="112">
        <f>IF(B951="",0,IFERROR(AVERAGE(B949,B950,B951),0))</f>
        <v/>
      </c>
      <c r="D951" s="118" t="n"/>
    </row>
    <row r="952" ht="15" customHeight="1" s="64">
      <c r="A952" s="118" t="n"/>
      <c r="B952" s="118" t="n"/>
      <c r="C952" s="112">
        <f>IF(B952="",0,IFERROR(AVERAGE(B950,B951,B952),0))</f>
        <v/>
      </c>
      <c r="D952" s="118" t="n"/>
    </row>
    <row r="953" ht="15" customHeight="1" s="64">
      <c r="A953" s="118" t="n"/>
      <c r="B953" s="118" t="n"/>
      <c r="C953" s="112">
        <f>IF(B953="",0,IFERROR(AVERAGE(B951,B952,B953),0))</f>
        <v/>
      </c>
      <c r="D953" s="118" t="n"/>
    </row>
    <row r="954" ht="15" customHeight="1" s="64">
      <c r="A954" s="118" t="n"/>
      <c r="B954" s="118" t="n"/>
      <c r="C954" s="112">
        <f>IF(B954="",0,IFERROR(AVERAGE(B952,B953,B954),0))</f>
        <v/>
      </c>
      <c r="D954" s="118" t="n"/>
    </row>
    <row r="955" ht="15" customHeight="1" s="64">
      <c r="A955" s="118" t="n"/>
      <c r="B955" s="118" t="n"/>
      <c r="C955" s="112">
        <f>IF(B955="",0,IFERROR(AVERAGE(B953,B954,B955),0))</f>
        <v/>
      </c>
      <c r="D955" s="118" t="n"/>
    </row>
    <row r="956" ht="15" customHeight="1" s="64">
      <c r="A956" s="118" t="n"/>
      <c r="B956" s="118" t="n"/>
      <c r="C956" s="112">
        <f>IF(B956="",0,IFERROR(AVERAGE(B954,B955,B956),0))</f>
        <v/>
      </c>
      <c r="D956" s="118" t="n"/>
    </row>
    <row r="957" ht="15" customHeight="1" s="64">
      <c r="A957" s="118" t="n"/>
      <c r="B957" s="118" t="n"/>
      <c r="C957" s="112">
        <f>IF(B957="",0,IFERROR(AVERAGE(B955,B956,B957),0))</f>
        <v/>
      </c>
      <c r="D957" s="118" t="n"/>
    </row>
    <row r="958" ht="15" customHeight="1" s="64">
      <c r="A958" s="118" t="n"/>
      <c r="B958" s="118" t="n"/>
      <c r="C958" s="112">
        <f>IF(B958="",0,IFERROR(AVERAGE(B956,B957,B958),0))</f>
        <v/>
      </c>
      <c r="D958" s="118" t="n"/>
    </row>
    <row r="959" ht="15" customHeight="1" s="64">
      <c r="A959" s="118" t="n"/>
      <c r="B959" s="118" t="n"/>
      <c r="C959" s="112">
        <f>IF(B959="",0,IFERROR(AVERAGE(B957,B958,B959),0))</f>
        <v/>
      </c>
      <c r="D959" s="118" t="n"/>
    </row>
    <row r="960" ht="15" customHeight="1" s="64">
      <c r="A960" s="118" t="n"/>
      <c r="B960" s="118" t="n"/>
      <c r="C960" s="112">
        <f>IF(B960="",0,IFERROR(AVERAGE(B958,B959,B960),0))</f>
        <v/>
      </c>
      <c r="D960" s="118" t="n"/>
    </row>
    <row r="961" ht="15" customHeight="1" s="64">
      <c r="A961" s="118" t="n"/>
      <c r="B961" s="118" t="n"/>
      <c r="C961" s="112">
        <f>IF(B961="",0,IFERROR(AVERAGE(B959,B960,B961),0))</f>
        <v/>
      </c>
      <c r="D961" s="118" t="n"/>
    </row>
    <row r="962" ht="15" customHeight="1" s="64">
      <c r="A962" s="118" t="n"/>
      <c r="B962" s="118" t="n"/>
      <c r="C962" s="112">
        <f>IF(B962="",0,IFERROR(AVERAGE(B960,B961,B962),0))</f>
        <v/>
      </c>
      <c r="D962" s="118" t="n"/>
    </row>
    <row r="963" ht="15" customHeight="1" s="64">
      <c r="A963" s="118" t="n"/>
      <c r="B963" s="118" t="n"/>
      <c r="C963" s="112">
        <f>IF(B963="",0,IFERROR(AVERAGE(B961,B962,B963),0))</f>
        <v/>
      </c>
      <c r="D963" s="118" t="n"/>
    </row>
    <row r="964" ht="15" customHeight="1" s="64">
      <c r="A964" s="118" t="n"/>
      <c r="B964" s="118" t="n"/>
      <c r="C964" s="112">
        <f>IF(B964="",0,IFERROR(AVERAGE(B962,B963,B964),0))</f>
        <v/>
      </c>
      <c r="D964" s="118" t="n"/>
    </row>
    <row r="965" ht="15" customHeight="1" s="64">
      <c r="A965" s="118" t="n"/>
      <c r="B965" s="118" t="n"/>
      <c r="C965" s="112">
        <f>IF(B965="",0,IFERROR(AVERAGE(B963,B964,B965),0))</f>
        <v/>
      </c>
      <c r="D965" s="118" t="n"/>
    </row>
    <row r="966" ht="15" customHeight="1" s="64">
      <c r="A966" s="118" t="n"/>
      <c r="B966" s="118" t="n"/>
      <c r="C966" s="112">
        <f>IF(B966="",0,IFERROR(AVERAGE(B964,B965,B966),0))</f>
        <v/>
      </c>
      <c r="D966" s="118" t="n"/>
    </row>
    <row r="967" ht="15" customHeight="1" s="64">
      <c r="A967" s="118" t="n"/>
      <c r="B967" s="118" t="n"/>
      <c r="C967" s="112">
        <f>IF(B967="",0,IFERROR(AVERAGE(B965,B966,B967),0))</f>
        <v/>
      </c>
      <c r="D967" s="118" t="n"/>
    </row>
    <row r="968" ht="15" customHeight="1" s="64">
      <c r="A968" s="118" t="n"/>
      <c r="B968" s="118" t="n"/>
      <c r="C968" s="112">
        <f>IF(B968="",0,IFERROR(AVERAGE(B966,B967,B968),0))</f>
        <v/>
      </c>
      <c r="D968" s="118" t="n"/>
    </row>
    <row r="969" ht="15" customHeight="1" s="64">
      <c r="A969" s="118" t="n"/>
      <c r="B969" s="118" t="n"/>
      <c r="C969" s="112">
        <f>IF(B969="",0,IFERROR(AVERAGE(B967,B968,B969),0))</f>
        <v/>
      </c>
      <c r="D969" s="118" t="n"/>
    </row>
    <row r="970" ht="15" customHeight="1" s="64">
      <c r="A970" s="118" t="n"/>
      <c r="B970" s="118" t="n"/>
      <c r="C970" s="112">
        <f>IF(B970="",0,IFERROR(AVERAGE(B968,B969,B970),0))</f>
        <v/>
      </c>
      <c r="D970" s="118" t="n"/>
    </row>
    <row r="971" ht="15" customHeight="1" s="64">
      <c r="A971" s="118" t="n"/>
      <c r="B971" s="118" t="n"/>
      <c r="C971" s="112">
        <f>IF(B971="",0,IFERROR(AVERAGE(B969,B970,B971),0))</f>
        <v/>
      </c>
      <c r="D971" s="118" t="n"/>
    </row>
    <row r="972" ht="15" customHeight="1" s="64">
      <c r="A972" s="118" t="n"/>
      <c r="B972" s="118" t="n"/>
      <c r="C972" s="112">
        <f>IF(B972="",0,IFERROR(AVERAGE(B970,B971,B972),0))</f>
        <v/>
      </c>
      <c r="D972" s="118" t="n"/>
    </row>
    <row r="973" ht="15" customHeight="1" s="64">
      <c r="A973" s="118" t="n"/>
      <c r="B973" s="118" t="n"/>
      <c r="C973" s="112">
        <f>IF(B973="",0,IFERROR(AVERAGE(B971,B972,B973),0))</f>
        <v/>
      </c>
      <c r="D973" s="118" t="n"/>
    </row>
    <row r="974" ht="15" customHeight="1" s="64">
      <c r="A974" s="118" t="n"/>
      <c r="B974" s="118" t="n"/>
      <c r="C974" s="112">
        <f>IF(B974="",0,IFERROR(AVERAGE(B972,B973,B974),0))</f>
        <v/>
      </c>
      <c r="D974" s="118" t="n"/>
    </row>
    <row r="975" ht="15" customHeight="1" s="64">
      <c r="A975" s="118" t="n"/>
      <c r="B975" s="118" t="n"/>
      <c r="C975" s="112">
        <f>IF(B975="",0,IFERROR(AVERAGE(B973,B974,B975),0))</f>
        <v/>
      </c>
      <c r="D975" s="118" t="n"/>
    </row>
    <row r="976" ht="15" customHeight="1" s="64">
      <c r="A976" s="118" t="n"/>
      <c r="B976" s="118" t="n"/>
      <c r="C976" s="112">
        <f>IF(B976="",0,IFERROR(AVERAGE(B974,B975,B976),0))</f>
        <v/>
      </c>
      <c r="D976" s="118" t="n"/>
    </row>
    <row r="977" ht="15" customHeight="1" s="64">
      <c r="A977" s="118" t="n"/>
      <c r="B977" s="118" t="n"/>
      <c r="C977" s="112">
        <f>IF(B977="",0,IFERROR(AVERAGE(B975,B976,B977),0))</f>
        <v/>
      </c>
      <c r="D977" s="118" t="n"/>
    </row>
    <row r="978" ht="15" customHeight="1" s="64">
      <c r="A978" s="118" t="n"/>
      <c r="B978" s="118" t="n"/>
      <c r="C978" s="112">
        <f>IF(B978="",0,IFERROR(AVERAGE(B976,B977,B978),0))</f>
        <v/>
      </c>
      <c r="D978" s="118" t="n"/>
    </row>
    <row r="979" ht="15" customHeight="1" s="64">
      <c r="A979" s="118" t="n"/>
      <c r="B979" s="118" t="n"/>
      <c r="C979" s="112">
        <f>IF(B979="",0,IFERROR(AVERAGE(B977,B978,B979),0))</f>
        <v/>
      </c>
      <c r="D979" s="118" t="n"/>
    </row>
    <row r="980" ht="15" customHeight="1" s="64">
      <c r="A980" s="118" t="n"/>
      <c r="B980" s="118" t="n"/>
      <c r="C980" s="112">
        <f>IF(B980="",0,IFERROR(AVERAGE(B978,B979,B980),0))</f>
        <v/>
      </c>
      <c r="D980" s="118" t="n"/>
    </row>
    <row r="981" ht="15" customHeight="1" s="64">
      <c r="A981" s="118" t="n"/>
      <c r="B981" s="118" t="n"/>
      <c r="C981" s="112">
        <f>IF(B981="",0,IFERROR(AVERAGE(B979,B980,B981),0))</f>
        <v/>
      </c>
      <c r="D981" s="118" t="n"/>
    </row>
    <row r="982" ht="15" customHeight="1" s="64">
      <c r="A982" s="118" t="n"/>
      <c r="B982" s="118" t="n"/>
      <c r="C982" s="112">
        <f>IF(B982="",0,IFERROR(AVERAGE(B980,B981,B982),0))</f>
        <v/>
      </c>
      <c r="D982" s="118" t="n"/>
    </row>
    <row r="983" ht="15" customHeight="1" s="64">
      <c r="A983" s="118" t="n"/>
      <c r="B983" s="118" t="n"/>
      <c r="C983" s="112">
        <f>IF(B983="",0,IFERROR(AVERAGE(B981,B982,B983),0))</f>
        <v/>
      </c>
      <c r="D983" s="118" t="n"/>
    </row>
    <row r="984" ht="15" customHeight="1" s="64">
      <c r="A984" s="118" t="n"/>
      <c r="B984" s="118" t="n"/>
      <c r="C984" s="112">
        <f>IF(B984="",0,IFERROR(AVERAGE(B982,B983,B984),0))</f>
        <v/>
      </c>
      <c r="D984" s="118" t="n"/>
    </row>
    <row r="985" ht="15" customHeight="1" s="64">
      <c r="A985" s="118" t="n"/>
      <c r="B985" s="118" t="n"/>
      <c r="C985" s="112">
        <f>IF(B985="",0,IFERROR(AVERAGE(B983,B984,B985),0))</f>
        <v/>
      </c>
      <c r="D985" s="118" t="n"/>
    </row>
    <row r="986" ht="15" customHeight="1" s="64">
      <c r="A986" s="118" t="n"/>
      <c r="B986" s="118" t="n"/>
      <c r="C986" s="112">
        <f>IF(B986="",0,IFERROR(AVERAGE(B984,B985,B986),0))</f>
        <v/>
      </c>
      <c r="D986" s="118" t="n"/>
    </row>
    <row r="987" ht="15" customHeight="1" s="64">
      <c r="A987" s="118" t="n"/>
      <c r="B987" s="118" t="n"/>
      <c r="C987" s="112">
        <f>IF(B987="",0,IFERROR(AVERAGE(B985,B986,B987),0))</f>
        <v/>
      </c>
      <c r="D987" s="118" t="n"/>
    </row>
    <row r="988" ht="15" customHeight="1" s="64">
      <c r="A988" s="118" t="n"/>
      <c r="B988" s="118" t="n"/>
      <c r="C988" s="112">
        <f>IF(B988="",0,IFERROR(AVERAGE(B986,B987,B988),0))</f>
        <v/>
      </c>
      <c r="D988" s="118" t="n"/>
    </row>
    <row r="989" ht="15" customHeight="1" s="64">
      <c r="A989" s="118" t="n"/>
      <c r="B989" s="118" t="n"/>
      <c r="C989" s="112">
        <f>IF(B989="",0,IFERROR(AVERAGE(B987,B988,B989),0))</f>
        <v/>
      </c>
      <c r="D989" s="118" t="n"/>
    </row>
    <row r="990" ht="15" customHeight="1" s="64">
      <c r="A990" s="118" t="n"/>
      <c r="B990" s="118" t="n"/>
      <c r="C990" s="112">
        <f>IF(B990="",0,IFERROR(AVERAGE(B988,B989,B990),0))</f>
        <v/>
      </c>
      <c r="D990" s="118" t="n"/>
    </row>
    <row r="991" ht="15" customHeight="1" s="64">
      <c r="A991" s="118" t="n"/>
      <c r="B991" s="118" t="n"/>
      <c r="C991" s="112">
        <f>IF(B991="",0,IFERROR(AVERAGE(B989,B990,B991),0))</f>
        <v/>
      </c>
      <c r="D991" s="118" t="n"/>
    </row>
    <row r="992" ht="15" customHeight="1" s="64">
      <c r="A992" s="118" t="n"/>
      <c r="B992" s="118" t="n"/>
      <c r="C992" s="112">
        <f>IF(B992="",0,IFERROR(AVERAGE(B990,B991,B992),0))</f>
        <v/>
      </c>
      <c r="D992" s="118" t="n"/>
    </row>
    <row r="993" ht="15" customHeight="1" s="64">
      <c r="A993" s="118" t="n"/>
      <c r="B993" s="118" t="n"/>
      <c r="C993" s="112">
        <f>IF(B993="",0,IFERROR(AVERAGE(B991,B992,B993),0))</f>
        <v/>
      </c>
      <c r="D993" s="118" t="n"/>
    </row>
    <row r="994" ht="15" customHeight="1" s="64">
      <c r="A994" s="118" t="n"/>
      <c r="B994" s="118" t="n"/>
      <c r="C994" s="112">
        <f>IF(B994="",0,IFERROR(AVERAGE(B992,B993,B994),0))</f>
        <v/>
      </c>
      <c r="D994" s="118" t="n"/>
    </row>
    <row r="995" ht="15" customHeight="1" s="64">
      <c r="A995" s="118" t="n"/>
      <c r="B995" s="118" t="n"/>
      <c r="C995" s="112">
        <f>IF(B995="",0,IFERROR(AVERAGE(B993,B994,B995),0))</f>
        <v/>
      </c>
      <c r="D995" s="118" t="n"/>
    </row>
    <row r="996" ht="15" customHeight="1" s="64">
      <c r="A996" s="118" t="n"/>
      <c r="B996" s="118" t="n"/>
      <c r="C996" s="112">
        <f>IF(B996="",0,IFERROR(AVERAGE(B994,B995,B996),0))</f>
        <v/>
      </c>
      <c r="D996" s="118" t="n"/>
    </row>
    <row r="997" ht="15" customHeight="1" s="64">
      <c r="A997" s="118" t="n"/>
      <c r="B997" s="118" t="n"/>
      <c r="C997" s="112">
        <f>IF(B997="",0,IFERROR(AVERAGE(B995,B996,B997),0))</f>
        <v/>
      </c>
      <c r="D997" s="118" t="n"/>
    </row>
    <row r="998" ht="15" customHeight="1" s="64">
      <c r="A998" s="118" t="n"/>
      <c r="B998" s="118" t="n"/>
      <c r="C998" s="112">
        <f>IF(B998="",0,IFERROR(AVERAGE(B996,B997,B998),0))</f>
        <v/>
      </c>
      <c r="D998" s="118" t="n"/>
    </row>
    <row r="999" ht="15" customHeight="1" s="64">
      <c r="A999" s="118" t="n"/>
      <c r="B999" s="118" t="n"/>
      <c r="C999" s="112">
        <f>IF(B999="",0,IFERROR(AVERAGE(B997,B998,B999),0))</f>
        <v/>
      </c>
      <c r="D999" s="118" t="n"/>
    </row>
    <row r="1000" ht="15" customHeight="1" s="64">
      <c r="A1000" s="118" t="n"/>
      <c r="B1000" s="118" t="n"/>
      <c r="C1000" s="112">
        <f>IF(B1000="",0,IFERROR(AVERAGE(B998,B999,B1000),0))</f>
        <v/>
      </c>
      <c r="D1000" s="118" t="n"/>
    </row>
    <row r="1001" ht="15" customHeight="1" s="64">
      <c r="A1001" s="118" t="n"/>
      <c r="B1001" s="118" t="n"/>
      <c r="C1001" s="112">
        <f>IF(B1001="",0,IFERROR(AVERAGE(B999,B1000,B1001),0))</f>
        <v/>
      </c>
      <c r="D1001" s="118" t="n"/>
    </row>
    <row r="1002" ht="15" customHeight="1" s="64">
      <c r="A1002" s="118" t="n"/>
      <c r="B1002" s="118" t="n"/>
      <c r="C1002" s="112">
        <f>IF(B1002="",0,IFERROR(AVERAGE(B1000,B1001,B1002),0))</f>
        <v/>
      </c>
      <c r="D1002" s="118" t="n"/>
    </row>
    <row r="1003" ht="15" customHeight="1" s="64">
      <c r="A1003" s="118" t="n"/>
      <c r="B1003" s="118" t="n"/>
      <c r="C1003" s="112">
        <f>IF(B1003="",0,IFERROR(AVERAGE(B1001,B1002,B1003),0))</f>
        <v/>
      </c>
      <c r="D1003" s="118" t="n"/>
    </row>
    <row r="1004" ht="15" customHeight="1" s="64">
      <c r="A1004" s="118" t="n"/>
      <c r="B1004" s="118" t="n"/>
      <c r="C1004" s="112">
        <f>IF(B1004="",0,IFERROR(AVERAGE(B1002,B1003,B1004),0))</f>
        <v/>
      </c>
      <c r="D1004" s="118" t="n"/>
    </row>
    <row r="1006" ht="19.5" customHeight="1" s="64">
      <c r="A1006" s="101" t="inlineStr">
        <is>
          <t>Hareketli ortalama ve tahmin aralığı otomatik hesaplanır; yalnızca sarı kolonlara yazın.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rank="0" priority="2" equalAverage="0" operator="lessThan" aboveAverage="0" dxfId="11" text="" percent="0" bottom="0">
      <formula>0</formula>
    </cfRule>
    <cfRule type="expression" rank="0" priority="3" equalAverage="0" aboveAverage="0" dxfId="12" text="" percent="0" bottom="0">
      <formula>$B6&gt;SdEndeksOrtalama*(1+AnomaliZEsik)</formula>
    </cfRule>
  </conditionalFormatting>
  <conditionalFormatting sqref="E6:F1004">
    <cfRule type="expression" rank="0" priority="4" equalAverage="0" aboveAverage="0" dxfId="15" text="" percent="0" bottom="0">
      <formula>$E6&gt;$F6</formula>
    </cfRule>
  </conditionalFormatting>
  <dataValidations count="2">
    <dataValidation sqref="B6:B1004" showDropDown="0" showInputMessage="1" showErrorMessage="1" allowBlank="1" errorTitle="Hatalı giriş" error="Endeks değeri negatif olamaz." promptTitle="Endeks Değeri" prompt="Dönem sonu endeks değerini girin. Negatif olamaz." type="whole" errorStyle="stop" operator="greaterThanOrEqual">
      <formula1>0</formula1>
      <formula2>0</formula2>
    </dataValidation>
    <dataValidation sqref="A6:A1004" showDropDown="0" showInputMessage="1" showErrorMessage="1" allowBlank="1" errorTitle="Hatalı giriş" error="Dönem etiketi metin olmalıdır." promptTitle="Dönem" prompt="Dönem etiketi yazın (ör. 2026/01)." type="textLength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90" min="1" max="1"/>
    <col width="26" customWidth="1" style="90" min="2" max="2"/>
  </cols>
  <sheetData>
    <row r="1" ht="25.5" customHeight="1" s="64">
      <c r="A1" s="102" t="inlineStr">
        <is>
          <t>MOTOR — AŞIRI DÜŞÜK TEKLİF SAVUNMA ROBOTU</t>
        </is>
      </c>
    </row>
    <row r="3" ht="15.75" customHeight="1" s="64">
      <c r="A3" s="98" t="inlineStr">
        <is>
          <t>Hesaplama Motoru</t>
        </is>
      </c>
    </row>
    <row r="4" ht="27.75" customHeight="1" s="64">
      <c r="A4" s="104" t="inlineStr">
        <is>
          <t>Tüm ara hesaplar bu sayfada üretilir. Bu sayfa elle değiştirilmez; giriş sayfalarından beslenir.</t>
        </is>
      </c>
    </row>
    <row r="6" ht="15" customHeight="1" s="64">
      <c r="A6" s="121" t="inlineStr">
        <is>
          <t>Geçerli Teklif Sayısı (adet)</t>
        </is>
      </c>
      <c r="B6" s="112">
        <f>COUNTIF(tblRakipler[Geçerli mi?],"EVET")</f>
        <v/>
      </c>
    </row>
    <row r="7" ht="15" customHeight="1" s="64">
      <c r="A7" s="121" t="inlineStr">
        <is>
          <t>Geçersiz Teklif Sayısı (adet)</t>
        </is>
      </c>
      <c r="B7" s="112">
        <f>COUNTIF(tblRakipler[Geçerli mi?],"HAYIR")</f>
        <v/>
      </c>
    </row>
    <row r="8" ht="15" customHeight="1" s="64">
      <c r="A8" s="121" t="inlineStr">
        <is>
          <t>Tüm Geçerli Teklif Ortalaması (₺)</t>
        </is>
      </c>
      <c r="B8" s="120">
        <f>IFERROR(AVERAGEIF(tblRakipler[Geçerli mi?],"EVET",tblRakipler[Teklif Tutarı (₺)]),0)</f>
        <v/>
      </c>
    </row>
    <row r="9" ht="15" customHeight="1" s="64">
      <c r="A9" s="121" t="inlineStr">
        <is>
          <t>Ortalama Altı Teklif Sayısı (adet)</t>
        </is>
      </c>
      <c r="B9" s="112">
        <f>IFERROR(COUNTIFS(tblRakipler[Geçerli mi?],"EVET",tblRakipler[Teklif Tutarı (₺)],"&lt;"&amp;SdOrtalamaTeklif),0)</f>
        <v/>
      </c>
    </row>
    <row r="10" ht="15" customHeight="1" s="64">
      <c r="A10" s="121" t="inlineStr">
        <is>
          <t>Ortalamanın Altındakilerin Ortalaması (₺)</t>
        </is>
      </c>
      <c r="B10" s="120">
        <f>IFERROR(AVERAGEIFS(tblRakipler[Teklif Tutarı (₺)],tblRakipler[Geçerli mi?],"EVET",tblRakipler[Teklif Tutarı (₺)],"&lt;"&amp;SdOrtalamaTeklif),0)</f>
        <v/>
      </c>
    </row>
    <row r="11" ht="15" customHeight="1" s="64">
      <c r="A11" s="99" t="inlineStr">
        <is>
          <t>Teklif Tutarları Standart Sapması (₺)</t>
        </is>
      </c>
      <c r="B11" s="120">
        <f>IFERROR(_xlfn.STDEV.P(tblRakipler[Teklif Tutarı (₺)]),0)</f>
        <v/>
      </c>
    </row>
    <row r="12" ht="15" customHeight="1" s="64">
      <c r="A12" s="121" t="inlineStr">
        <is>
          <t>Teklif Tutarları Medyanı (₺)</t>
        </is>
      </c>
      <c r="B12" s="120">
        <f>IFERROR(MEDIAN(tblRakipler[Teklif Tutarı (₺)]),0)</f>
        <v/>
      </c>
    </row>
    <row r="13" ht="15" customHeight="1" s="64">
      <c r="A13" s="121" t="inlineStr">
        <is>
          <t>Sınır Değer Tabanı (Yönteme Göre) (₺)</t>
        </is>
      </c>
      <c r="B13" s="120">
        <f>IF(SinirDegerYontem=ListeYontemAlti,SdOrtalamaAlti,SdOrtalamaTeklif)</f>
        <v/>
      </c>
    </row>
    <row r="14" ht="15" customHeight="1" s="64">
      <c r="A14" s="121" t="inlineStr">
        <is>
          <t>SINIR DEĞER (₺)</t>
        </is>
      </c>
      <c r="B14" s="122">
        <f>SinirDegerKatsayisi*SdYontemTaban</f>
        <v/>
      </c>
    </row>
    <row r="15" ht="15" customHeight="1" s="64">
      <c r="A15" s="121" t="inlineStr">
        <is>
          <t>Kendi Teklif / Sınır Değer Oranı</t>
        </is>
      </c>
      <c r="B15" s="115">
        <f>IF(SdSinirDeger=0,0,KendiTeklifTutari/SdSinirDeger)</f>
        <v/>
      </c>
    </row>
    <row r="16" ht="15" customHeight="1" s="64">
      <c r="A16" s="121" t="inlineStr">
        <is>
          <t>Güvenlik Payı (Oran)</t>
        </is>
      </c>
      <c r="B16" s="115">
        <f>SdOran-AsiriDusukEsik</f>
        <v/>
      </c>
    </row>
    <row r="17" ht="15" customHeight="1" s="64">
      <c r="A17" s="121" t="inlineStr">
        <is>
          <t>Aşırı Düşük Kontrol</t>
        </is>
      </c>
      <c r="B17" s="117">
        <f>IF(SdOran&lt;AsiriDusukEsik,"AŞIRI DÜŞÜK",IF(SdOran&lt;DikkatEsik,"SINIRDA","GÜVENLİ"))</f>
        <v/>
      </c>
    </row>
    <row r="19" ht="15" customHeight="1" s="64">
      <c r="A19" s="103" t="inlineStr">
        <is>
          <t>Teklif Bileşen Mutabakatı</t>
        </is>
      </c>
    </row>
    <row r="20" ht="15" customHeight="1" s="64">
      <c r="A20" s="121" t="inlineStr">
        <is>
          <t>Bileşen Toplam Tutarı (₺)</t>
        </is>
      </c>
      <c r="B20" s="120">
        <f>SUM(tblBilesenler[Tutar (₺)])</f>
        <v/>
      </c>
    </row>
    <row r="21" ht="15" customHeight="1" s="64">
      <c r="A21" s="121" t="inlineStr">
        <is>
          <t>Bileşen Toplam Rayiç Tutarı (₺)</t>
        </is>
      </c>
      <c r="B21" s="120">
        <f>SUM(tblBilesenler[Rayiç Tutar (₺)])</f>
        <v/>
      </c>
    </row>
    <row r="22" ht="15" customHeight="1" s="64">
      <c r="A22" s="121" t="inlineStr">
        <is>
          <t>Mutabakat Farkı (₺)</t>
        </is>
      </c>
      <c r="B22" s="120">
        <f>SdBilesenToplam-KendiTeklifTutari</f>
        <v/>
      </c>
    </row>
    <row r="23" ht="15" customHeight="1" s="64">
      <c r="A23" s="121" t="inlineStr">
        <is>
          <t>Mutabakat Farkı Yüzdesi</t>
        </is>
      </c>
      <c r="B23" s="115">
        <f>IF(KendiTeklifTutari=0,0,SdMutabakatFarki/KendiTeklifTutari)</f>
        <v/>
      </c>
    </row>
    <row r="24" ht="15" customHeight="1" s="64">
      <c r="A24" s="121" t="inlineStr">
        <is>
          <t>Mutabakat Durumu</t>
        </is>
      </c>
      <c r="B24" s="117">
        <f>IF(SdBilesenToplam=0,"VERİ YOK",IF(ABS(SdMutabakatFarki)&lt;=KabulEdilebilirFark,"MUTABIK","FARK VAR"))</f>
        <v/>
      </c>
    </row>
    <row r="25" ht="15" customHeight="1" s="64">
      <c r="A25" s="121" t="inlineStr">
        <is>
          <t>Dayanaklı Bileşen Ağırlığı (%)</t>
        </is>
      </c>
      <c r="B25" s="115">
        <f>IFERROR(SUMIFS(tblBilesenler[Ağırlık (%)],tblBilesenler[Dayanak Tam mı?],"TAM"),0)</f>
        <v/>
      </c>
    </row>
    <row r="26" ht="15" customHeight="1" s="64">
      <c r="A26" s="121" t="inlineStr">
        <is>
          <t>Savunma Gücü</t>
        </is>
      </c>
      <c r="B26" s="117">
        <f>IF(SdDayanakliAgirlik=0,"VERİ YOK",IF(SdDayanakliAgirlik&lt;DayanakEsik,"ZAYIF","YETERLİ"))</f>
        <v/>
      </c>
    </row>
    <row r="28" ht="15" customHeight="1" s="64">
      <c r="A28" s="103" t="inlineStr">
        <is>
          <t>Fiyat Farkı Endeksi Özeti</t>
        </is>
      </c>
    </row>
    <row r="29" ht="15" customHeight="1" s="64">
      <c r="A29" s="121" t="inlineStr">
        <is>
          <t>Endeks Ortalaması</t>
        </is>
      </c>
      <c r="B29" s="112">
        <f>IFERROR(AVERAGE(tblProjeksiyon[Endeks Değeri]),0)</f>
        <v/>
      </c>
    </row>
    <row r="30" ht="15" customHeight="1" s="64">
      <c r="A30" s="121" t="inlineStr">
        <is>
          <t>Endeks Eğilimi (Dönem Başına)</t>
        </is>
      </c>
      <c r="B30" s="116">
        <f>IFERROR(SLOPE(tblProjeksiyon[Endeks Değeri],ROW(tblProjeksiyon[Endeks Değeri])-ROW(tblProjeksiyon[[#Headers],[Endeks Değeri]])),0)</f>
        <v/>
      </c>
    </row>
    <row r="31" ht="15" customHeight="1" s="64">
      <c r="A31" s="121" t="inlineStr">
        <is>
          <t>Tahmini İleri Dönem Endeksi</t>
        </is>
      </c>
      <c r="B31" s="112">
        <f>IFERROR(forecast.lınear(COUNT(tblProjeksiyon[Endeks Değeri])+ProjeksiyonIleriDonem,tblProjeksiyon[Endeks Değeri],ROW(tblProjeksiyon[Endeks Değeri])-ROW(tblProjeksiyon[[#Headers],[Endeks Değeri]])),0)</f>
        <v/>
      </c>
    </row>
    <row r="32" ht="15" customHeight="1" s="64">
      <c r="A32" s="121" t="inlineStr">
        <is>
          <t>Tahmini Fiyat Farkı Etkisi (%)</t>
        </is>
      </c>
      <c r="B32" s="115">
        <f>IF(FiyatFarkiVarMi="HAYIR",0,IF(SdEndeksOrtalama=0,0,SdEndeksTahmin/SdEndeksOrtalama-1))</f>
        <v/>
      </c>
    </row>
    <row r="33" ht="15" customHeight="1" s="64">
      <c r="A33" s="121" t="inlineStr">
        <is>
          <t>Son Dönem Endeks Değişimi (%)</t>
        </is>
      </c>
      <c r="B33" s="115">
        <f>IFERROR(INDEX(tblProjeksiyon[Endeks Değeri],COUNT(tblProjeksiyon[Endeks Değeri]))/INDEX(tblProjeksiyon[Endeks Değeri],MAX(1,COUNT(tblProjeksiyon[Endeks Değeri])-1))-1,0)</f>
        <v/>
      </c>
    </row>
    <row r="34" ht="15" customHeight="1" s="64">
      <c r="A34" s="121" t="inlineStr">
        <is>
          <t>İlk Üç Kalem Toplamı (₺)</t>
        </is>
      </c>
      <c r="B34" s="120">
        <f>IFERROR(LARGE(tblBilesenler[Tutar (₺)],1)+LARGE(tblBilesenler[Tutar (₺)],2)+LARGE(tblBilesenler[Tutar (₺)],3),0)</f>
        <v/>
      </c>
    </row>
    <row r="36" ht="15" customHeight="1" s="64">
      <c r="A36" s="103" t="inlineStr">
        <is>
          <t>Analitik Modüller (Derinlik Katmanı)</t>
        </is>
      </c>
    </row>
    <row r="37" ht="15" customHeight="1" s="64">
      <c r="A37" s="121" t="inlineStr">
        <is>
          <t>T2 Endeks Eğilimi</t>
        </is>
      </c>
      <c r="B37" s="116">
        <f>SdEndeksEgim</f>
        <v/>
      </c>
    </row>
    <row r="38" ht="15" customHeight="1" s="64">
      <c r="A38" s="121" t="inlineStr">
        <is>
          <t>T3 Pareto: İlk 3 Kalem Payı (%)</t>
        </is>
      </c>
      <c r="B38" s="115">
        <f>IF(SdBilesenToplam=0,0,SdIlkUcKalem/SdBilesenToplam)</f>
        <v/>
      </c>
    </row>
    <row r="39" ht="15" customHeight="1" s="64">
      <c r="A39" s="121" t="inlineStr">
        <is>
          <t>T6 Bileşen Kırılım Oranı</t>
        </is>
      </c>
      <c r="B39" s="115">
        <f>IF(KendiTeklifTutari=0,0,SdBilesenToplam/KendiTeklifTutari)</f>
        <v/>
      </c>
    </row>
    <row r="40" ht="15" customHeight="1" s="64">
      <c r="A40" s="121" t="inlineStr">
        <is>
          <t>O1 Anomali Teklif Sayısı (adet)</t>
        </is>
      </c>
      <c r="B40" s="112">
        <f>SUMPRODUCT((ABS(IF(ISNUMBER(tblRakipler[Anomali Z]),tblRakipler[Anomali Z],0))&gt;AnomaliZEsik)*1)</f>
        <v/>
      </c>
    </row>
    <row r="41" ht="15" customHeight="1" s="64">
      <c r="A41" s="121" t="inlineStr">
        <is>
          <t>O2 Tornado Zirve</t>
        </is>
      </c>
      <c r="B41" s="117">
        <f>SENARYO_DUYARLILIK!B18</f>
        <v/>
      </c>
    </row>
    <row r="42" ht="15" customHeight="1" s="64">
      <c r="A42" s="121" t="inlineStr">
        <is>
          <t>O3 Senaryo Baz (₺)</t>
        </is>
      </c>
      <c r="B42" s="120">
        <f>SENARYO_DUYARLILIK!B8</f>
        <v/>
      </c>
    </row>
    <row r="43" ht="15" customHeight="1" s="64">
      <c r="A43" s="121" t="inlineStr">
        <is>
          <t>O8 Veri Kalitesi Skoru</t>
        </is>
      </c>
      <c r="B43" s="112">
        <f>KaliteSkoru</f>
        <v/>
      </c>
    </row>
    <row r="44" ht="15" customHeight="1" s="64">
      <c r="A44" s="121" t="inlineStr">
        <is>
          <t>I1 İleri Dönem Tahmini (₺)</t>
        </is>
      </c>
      <c r="B44" s="123">
        <f>SdEndeksTahmin</f>
        <v/>
      </c>
    </row>
    <row r="45" ht="15" customHeight="1" s="64">
      <c r="A45" s="121" t="inlineStr">
        <is>
          <t>I2 Yüzdelik: P90 Teklif (₺)</t>
        </is>
      </c>
      <c r="B45" s="122">
        <f>IFERROR(PERCENTILE(tblRakipler[Teklif Tutarı (₺)],0.9),0)</f>
        <v/>
      </c>
    </row>
    <row r="46" ht="15" customHeight="1" s="64">
      <c r="A46" s="124" t="inlineStr">
        <is>
          <t>Modül Makine Yorumları</t>
        </is>
      </c>
    </row>
    <row r="47" ht="24" customHeight="1" s="64">
      <c r="A47" s="125" t="inlineStr">
        <is>
          <t>Yorum 1 (T2 Endeks Eğilimi)</t>
        </is>
      </c>
      <c r="B47" s="126">
        <f>_xlfn.TEXTJOIN(" | ",TRUE(),"T2: Endeks eğilimi dönem başına "&amp;TEXT(SdEndeksEgim*100,"0,0")&amp;"% değişim öngörüyor",IF(SdEndeksEgim&gt;0,"artan fiyat eğilimi fiyat farkı lehine","düşen eğilim dikkat gerektirir"))</f>
        <v/>
      </c>
    </row>
    <row r="48" ht="24" customHeight="1" s="64">
      <c r="A48" s="125" t="inlineStr">
        <is>
          <t>Yorum 2 (T3 Pareto)</t>
        </is>
      </c>
      <c r="B48" s="126">
        <f>_xlfn.TEXTJOIN(" | ",TRUE(),"T3: Yoğunlaşma — ilk üç kalem toplamın "&amp;TEXT(modulT3ParetoPayi*100,"0")&amp;"% tutarı",IF(modulT3ParetoPayi&gt;0.6,"teklif yoğunlaşması yüksek, fiyat riski bu kalemlerde","yoğunlaşma dağılmış, risk yayılı"))</f>
        <v/>
      </c>
    </row>
    <row r="49" ht="24" customHeight="1" s="64">
      <c r="A49" s="125" t="inlineStr">
        <is>
          <t>Yorum 3 (T6 Bileşen Kırılım Oranı)</t>
        </is>
      </c>
      <c r="B49" s="126">
        <f>_xlfn.TEXTJOIN(" | ",TRUE(),"T6: Bileşen toplamı teklifin "&amp;TEXT(modulT6KirilimOrani*100,"0")&amp;"% tutarını karşılıyor",IF(modulT6KirilimOrani&lt;0.95,"mutabakat farkı var, açıklamada kalem eksiği riski","bileşen yapısı teklifle uyumlu"))</f>
        <v/>
      </c>
    </row>
    <row r="50" ht="24" customHeight="1" s="64">
      <c r="A50" s="125" t="inlineStr">
        <is>
          <t>Yorum 4 (O1 Anomali Teklif Sayısı (adet))</t>
        </is>
      </c>
      <c r="B50" s="126">
        <f>_xlfn.TEXTJOIN(" | ",TRUE(),"O1: Anomali tespiti — "&amp;modulO1AnomaliSayisi&amp;" teklif Z eşiğini aşıyor",IF(modulO1AnomaliSayisi&gt;0,"uç teklifler ortalamayı saptırıyor olabilir","teklif dağılımı normal"))</f>
        <v/>
      </c>
    </row>
    <row r="51" ht="24" customHeight="1" s="64">
      <c r="A51" s="125" t="inlineStr">
        <is>
          <t>Yorum 5 (O2 Tornado Zirve)</t>
        </is>
      </c>
      <c r="B51" s="126">
        <f>_xlfn.TEXTJOIN(" | ",TRUE(),"O2: Duyarlılık — sınır değeri en çok etkileyen değişken: "&amp;modulO2TornadoZirve,IF(OR(modulO2TornadoZirve="N Katsayısı",modulO2TornadoZirve="Rakip Ortalaması"),"N ve rakip verisi idari şartnameyle teyit edilmeli","teklifinizi etkileyen ana değişken netleşti"))</f>
        <v/>
      </c>
    </row>
    <row r="52" ht="24" customHeight="1" s="64">
      <c r="A52" s="125" t="inlineStr">
        <is>
          <t>Yorum 6 (O3 Senaryo Baz (₺))</t>
        </is>
      </c>
      <c r="B52" s="126">
        <f>_xlfn.TEXTJOIN(" | ",TRUE(),"O3: Senaryo motoru — baz senaryo sınır değeri "&amp;TEXT(modulO3SenaryoBaz,"#,##0")&amp;" TL",IF(SdSinirDeger=0,"veri girilmeden senaryo anlamsız","senaryo aralığı teklif kararını destekliyor"))</f>
        <v/>
      </c>
    </row>
    <row r="53" ht="24" customHeight="1" s="64">
      <c r="A53" s="125" t="inlineStr">
        <is>
          <t>Yorum 7 (O8 Veri Kalitesi Skoru)</t>
        </is>
      </c>
      <c r="B53" s="126">
        <f>_xlfn.TEXTJOIN(" | ",TRUE(),"O8: Veri kalitesi "&amp;modulO8KaliteSkoru&amp;"/100",IF(modulO8KaliteSkoru&lt;KaliteOrta,"girişler eksik; karar güvenilir değil","giriş kalitesi karar için yeterli"))</f>
        <v/>
      </c>
    </row>
    <row r="54" ht="24" customHeight="1" s="64">
      <c r="A54" s="125" t="inlineStr">
        <is>
          <t>Yorum 8 (I1 İleri Dönem Tahmini (₺))</t>
        </is>
      </c>
      <c r="B54" s="126">
        <f>_xlfn.TEXTJOIN(" | ",TRUE(),"I1: Tahmin — ileri dönem endeksi "&amp;TEXT(modulI1TahminOrta,"#,##0")&amp;" düzeyinde öngörülüyor",IF(modulI1TahminOrta&gt;SdEndeksOrtalama,"fiyat farkı maliyete yukarı yönde baskı yapar","fiyat farkı baskısı sınırlı"))</f>
        <v/>
      </c>
    </row>
    <row r="55" ht="24" customHeight="1" s="64">
      <c r="A55" s="125" t="inlineStr">
        <is>
          <t>Yorum 9 (I2 Yüzdelik)</t>
        </is>
      </c>
      <c r="B55" s="126">
        <f>_xlfn.TEXTJOIN(" | ",TRUE(),"I2: Dağılım — tekliflerin %90'ı "&amp;TEXT(modulI2P90,"#,##0")&amp;" TL altında",IF(modulI2P90&gt;0,"rakip dağılımı P90 üzerinden okunabilir","veri az, dağılım güvenilir değil"))</f>
        <v/>
      </c>
    </row>
    <row r="57" ht="19.5" customHeight="1" s="64">
      <c r="A57" s="101" t="inlineStr">
        <is>
          <t>Motor hücrelerinin tümü formüldür; sarı giriş hücresi bu sayfada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B49:AD49"/>
    <mergeCell ref="B50:AD50"/>
    <mergeCell ref="A57:AN57"/>
    <mergeCell ref="B54:AD54"/>
    <mergeCell ref="B52:AD52"/>
    <mergeCell ref="B53:AD53"/>
    <mergeCell ref="B48:AD48"/>
    <mergeCell ref="B55:AD55"/>
    <mergeCell ref="B47:AD47"/>
    <mergeCell ref="B51:AD51"/>
    <mergeCell ref="A1:AD1"/>
  </mergeCells>
  <conditionalFormatting sqref="B6:B15">
    <cfRule type="cellIs" rank="0" priority="2" equalAverage="0" operator="lessThan" aboveAverage="0" dxfId="11" text="" percent="0" bottom="0">
      <formula>0</formula>
    </cfRule>
  </conditionalFormatting>
  <conditionalFormatting sqref="B14">
    <cfRule type="cellIs" rank="0" priority="3" equalAverage="0" operator="equal" aboveAverage="0" dxfId="15" text="" percent="0" bottom="0">
      <formula>"AŞIRI DÜŞÜK"</formula>
    </cfRule>
    <cfRule type="cellIs" rank="0" priority="4" equalAverage="0" operator="equal" aboveAverage="0" dxfId="13" text="" percent="0" bottom="0">
      <formula>"SINIRDA"</formula>
    </cfRule>
    <cfRule type="cellIs" rank="0" priority="5" equalAverage="0" operator="equal" aboveAverage="0" dxfId="16" text="" percent="0" bottom="0">
      <formula>"GÜVENLİ"</formula>
    </cfRule>
  </conditionalFormatting>
  <conditionalFormatting sqref="B22">
    <cfRule type="cellIs" rank="0" priority="6" equalAverage="0" operator="equal" aboveAverage="0" dxfId="17" text="" percent="0" bottom="0">
      <formula>"FARK VAR"</formula>
    </cfRule>
    <cfRule type="cellIs" rank="0" priority="7" equalAverage="0" operator="equal" aboveAverage="0" dxfId="16" text="" percent="0" bottom="0">
      <formula>"MUTABIK"</formula>
    </cfRule>
  </conditionalFormatting>
  <conditionalFormatting sqref="B24">
    <cfRule type="cellIs" rank="0" priority="8" equalAverage="0" operator="equal" aboveAverage="0" dxfId="15" text="" percent="0" bottom="0">
      <formula>"ZAYIF"</formula>
    </cfRule>
    <cfRule type="cellIs" rank="0" priority="9" equalAverage="0" operator="equal" aboveAverage="0" dxfId="16" text="" percent="0" bottom="0">
      <formula>"YETERLİ"</formula>
    </cfRule>
    <cfRule type="cellIs" rank="0" priority="10" equalAverage="0" operator="equal" aboveAverage="0" dxfId="14" text="" percent="0" bottom="0">
      <formula>"VERİ YOK"</formula>
    </cfRule>
  </conditionalFormatting>
  <conditionalFormatting sqref="B11">
    <cfRule type="expression" rank="0" priority="11" equalAverage="0" aboveAverage="0" dxfId="12" text="" percent="0" bottom="0">
      <formula>$B$11&lt;0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0" min="1" max="1"/>
    <col width="60" customWidth="1" style="90" min="2" max="2"/>
  </cols>
  <sheetData>
    <row r="1" ht="25.5" customHeight="1" s="64">
      <c r="A1" s="102" t="inlineStr">
        <is>
          <t>KONTROL — AŞIRI DÜŞÜK TEKLİF SAVUNMA ROBOTU</t>
        </is>
      </c>
    </row>
    <row r="3" ht="15.75" customHeight="1" s="64">
      <c r="A3" s="98" t="inlineStr">
        <is>
          <t>Giriş Kalite Kontrolleri</t>
        </is>
      </c>
    </row>
    <row r="4" ht="27.75" customHeight="1" s="64">
      <c r="A4" s="104" t="inlineStr">
        <is>
          <t>Aşağıdaki kontroller canlı formüllerle çalışır; sorun varsa uyarı üretir.</t>
        </is>
      </c>
    </row>
    <row r="6" ht="15" customHeight="1" s="64">
      <c r="A6" s="121" t="inlineStr">
        <is>
          <t>Geçerli teklif var mı?</t>
        </is>
      </c>
      <c r="B6" s="117">
        <f>IF(SdGecerliSayi=0,"BOŞ","TAM")</f>
        <v/>
      </c>
    </row>
    <row r="7" ht="15" customHeight="1" s="64">
      <c r="A7" s="121" t="inlineStr">
        <is>
          <t>Boş teklif satırı var mı?</t>
        </is>
      </c>
      <c r="B7" s="117">
        <f>IF(COUNTBLANK(tblRakipler[Teklif Tutarı (₺)])=0,"TEMİZ","BOŞ VAR")</f>
        <v/>
      </c>
    </row>
    <row r="8" ht="15" customHeight="1" s="64">
      <c r="A8" s="121" t="inlineStr">
        <is>
          <t>Negatif teklif var mı?</t>
        </is>
      </c>
      <c r="B8" s="117">
        <f>IF(COUNTIF(tblRakipler[Teklif Tutarı (₺)],"&lt;0")=0,"TEMİZ","NEGATİF VAR")</f>
        <v/>
      </c>
    </row>
    <row r="9" ht="15" customHeight="1" s="64">
      <c r="A9" s="121" t="inlineStr">
        <is>
          <t>Rayiç eşiği altında kalan bileşen var mı?</t>
        </is>
      </c>
      <c r="B9" s="117">
        <f>IF(SUMPRODUCT((tblBilesenler[Rayiç Sapması]&lt;-RayicSapmaEsik)*1)=0,"TEMİZ","RİSKLİ VAR")</f>
        <v/>
      </c>
    </row>
    <row r="10" ht="15" customHeight="1" s="64">
      <c r="A10" s="121" t="inlineStr">
        <is>
          <t>Dayanağı eksik bileşen var mı?</t>
        </is>
      </c>
      <c r="B10" s="117">
        <f>IF(COUNTIF(tblBilesenler[Dayanak Tam mı?],"EKSİK")=0,"TEMİZ","EKSİK VAR")</f>
        <v/>
      </c>
    </row>
    <row r="11" ht="15" customHeight="1" s="64">
      <c r="A11" s="121" t="inlineStr">
        <is>
          <t>Bileşen mutabakatı sağlandı mı?</t>
        </is>
      </c>
      <c r="B11" s="117">
        <f>SdMutabakatDurumu</f>
        <v/>
      </c>
    </row>
    <row r="12" ht="15" customHeight="1" s="64">
      <c r="A12" s="121" t="inlineStr">
        <is>
          <t>Savunma gücü yeterli mi?</t>
        </is>
      </c>
      <c r="B12" s="117">
        <f>SdSavunmaGucu</f>
        <v/>
      </c>
    </row>
    <row r="13" ht="15" customHeight="1" s="64">
      <c r="A13" s="121" t="inlineStr">
        <is>
          <t>Endeks verisi tam mı?</t>
        </is>
      </c>
      <c r="B13" s="117">
        <f>IF(COUNTBLANK(tblProjeksiyon[Endeks Değeri])&gt;0,"EKSİK","TAM")</f>
        <v/>
      </c>
    </row>
    <row r="15" ht="15" customHeight="1" s="64">
      <c r="A15" s="103" t="inlineStr">
        <is>
          <t>Veri Kalitesi Skoru (0-100)</t>
        </is>
      </c>
    </row>
    <row r="16" ht="27.75" customHeight="1" s="64">
      <c r="A16" s="104" t="inlineStr">
        <is>
          <t>Dolu giriş hücresi sayısının toplam giriş hücresine oranı; düşük skor tüm çıktılara güven damgası vurur.</t>
        </is>
      </c>
    </row>
    <row r="17" ht="15" customHeight="1" s="64">
      <c r="A17" s="121" t="inlineStr">
        <is>
          <t>Giriş Doluluk Oranı</t>
        </is>
      </c>
      <c r="B17" s="115">
        <f>IF(ToplamGirisHucre=0,0,DoluGirisHucre/ToplamGirisHucre)</f>
        <v/>
      </c>
    </row>
    <row r="18" ht="15" customHeight="1" s="64">
      <c r="A18" s="121" t="inlineStr">
        <is>
          <t>Dolu Giriş Hücresi</t>
        </is>
      </c>
      <c r="B18" s="112">
        <f>COUNTA(tblRakipler[Rakip Adı])+COUNTA(tblRakipler[Teklif Tutarı (₺)])+COUNTA(tblRakipler[Geçerli mi?])+COUNTA(tblRakipler[Not])+COUNTA(tblBilesenler[Kalem Adı])+COUNTA(tblBilesenler[Birim])+COUNTA(tblBilesenler[Miktar])+COUNTA(tblBilesenler[Birim Fiyat (₺)])+COUNTA(tblBilesenler[Rayiç Birim Fiyat (₺)])+COUNTA(tblBilesenler[Dayanak Türü])+COUNTA(tblBilesenler[Not])+COUNTA(tblProjeksiyon[Dönem])+COUNTA(tblProjeksiyon[Endeks Değeri])+COUNTA(tblProjeksiyon[Not])</f>
        <v/>
      </c>
    </row>
    <row r="19" ht="15" customHeight="1" s="64">
      <c r="A19" s="127" t="inlineStr">
        <is>
          <t>Kalite Skoru</t>
        </is>
      </c>
      <c r="B19" s="123">
        <f>ROUND(100*MIN(DoluGirisHucre,ToplamGirisHucre)/ToplamGirisHucre,0)</f>
        <v/>
      </c>
    </row>
    <row r="20" ht="15" customHeight="1" s="64">
      <c r="A20" s="121" t="inlineStr">
        <is>
          <t>Kalite Seviyesi</t>
        </is>
      </c>
      <c r="B20" s="117">
        <f>IF(KaliteSkoru&gt;=KaliteIyi,"YÜKSEK",IF(KaliteSkoru&gt;=KaliteOrta,"ORTA","DÜŞÜK"))</f>
        <v/>
      </c>
    </row>
    <row r="22" ht="19.5" customHeight="1" s="64">
      <c r="A22" s="101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5" text="" percent="0" bottom="0">
      <formula>"BOŞ VAR"</formula>
    </cfRule>
    <cfRule type="cellIs" rank="0" priority="3" equalAverage="0" operator="equal" aboveAverage="0" dxfId="15" text="" percent="0" bottom="0">
      <formula>"NEGATİF VAR"</formula>
    </cfRule>
    <cfRule type="cellIs" rank="0" priority="4" equalAverage="0" operator="equal" aboveAverage="0" dxfId="15" text="" percent="0" bottom="0">
      <formula>"RİSKLİ VAR"</formula>
    </cfRule>
    <cfRule type="cellIs" rank="0" priority="5" equalAverage="0" operator="equal" aboveAverage="0" dxfId="15" text="" percent="0" bottom="0">
      <formula>"EKSİK VAR"</formula>
    </cfRule>
    <cfRule type="cellIs" rank="0" priority="6" equalAverage="0" operator="equal" aboveAverage="0" dxfId="15" text="" percent="0" bottom="0">
      <formula>"FARK VAR"</formula>
    </cfRule>
    <cfRule type="cellIs" rank="0" priority="7" equalAverage="0" operator="equal" aboveAverage="0" dxfId="15" text="" percent="0" bottom="0">
      <formula>"ZAYIF"</formula>
    </cfRule>
    <cfRule type="cellIs" rank="0" priority="8" equalAverage="0" operator="equal" aboveAverage="0" dxfId="17" text="" percent="0" bottom="0">
      <formula>"EKSİK"</formula>
    </cfRule>
    <cfRule type="cellIs" rank="0" priority="9" equalAverage="0" operator="equal" aboveAverage="0" dxfId="17" text="" percent="0" bottom="0">
      <formula>"BOŞ"</formula>
    </cfRule>
    <cfRule type="cellIs" rank="0" priority="10" equalAverage="0" operator="equal" aboveAverage="0" dxfId="16" text="" percent="0" bottom="0">
      <formula>"TEMİZ"</formula>
    </cfRule>
    <cfRule type="cellIs" rank="0" priority="11" equalAverage="0" operator="equal" aboveAverage="0" dxfId="16" text="" percent="0" bottom="0">
      <formula>"MUTABIK"</formula>
    </cfRule>
    <cfRule type="cellIs" rank="0" priority="12" equalAverage="0" operator="equal" aboveAverage="0" dxfId="16" text="" percent="0" bottom="0">
      <formula>"YETERLİ"</formula>
    </cfRule>
    <cfRule type="cellIs" rank="0" priority="13" equalAverage="0" operator="equal" aboveAverage="0" dxfId="16" text="" percent="0" bottom="0">
      <formula>"TAM"</formula>
    </cfRule>
  </conditionalFormatting>
  <conditionalFormatting sqref="B19">
    <cfRule type="cellIs" rank="0" priority="14" equalAverage="0" operator="lessThan" aboveAverage="0" dxfId="15" text="" percent="0" bottom="0">
      <formula>70</formula>
    </cfRule>
    <cfRule type="cellIs" rank="0" priority="15" equalAverage="0" operator="between" aboveAverage="0" dxfId="13" text="" percent="0" bottom="0">
      <formula>70</formula>
      <formula>90</formula>
    </cfRule>
    <cfRule type="cellIs" rank="0" priority="16" equalAverage="0" operator="greaterThanOrEqual" aboveAverage="0" dxfId="16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0" min="1" max="1"/>
    <col width="60" customWidth="1" style="90" min="2" max="2"/>
  </cols>
  <sheetData>
    <row r="1" ht="25.5" customHeight="1" s="64">
      <c r="A1" s="102" t="inlineStr">
        <is>
          <t>KARAR — AŞIRI DÜŞÜK TEKLİF SAVUNMA ROBOTU</t>
        </is>
      </c>
    </row>
    <row r="3" ht="15.75" customHeight="1" s="64">
      <c r="A3" s="98" t="inlineStr">
        <is>
          <t>Karar Kapısı — Aşırı Düşük Teklif Durumu</t>
        </is>
      </c>
    </row>
    <row r="4" ht="27.75" customHeight="1" s="64">
      <c r="A4" s="104" t="inlineStr">
        <is>
          <t>Sınır değer oranı, savunma gücü, mutabakat ve veri kalitesine göre üretilen karar.</t>
        </is>
      </c>
    </row>
    <row r="6" ht="15" customHeight="1" s="64">
      <c r="A6" s="121" t="inlineStr">
        <is>
          <t>Sınır Değer (₺)</t>
        </is>
      </c>
      <c r="B6" s="122">
        <f>SdSinirDeger</f>
        <v/>
      </c>
    </row>
    <row r="7" ht="15" customHeight="1" s="64">
      <c r="A7" s="121" t="inlineStr">
        <is>
          <t>Kendi Teklif (₺)</t>
        </is>
      </c>
      <c r="B7" s="120">
        <f>KendiTeklifTutari</f>
        <v/>
      </c>
    </row>
    <row r="8" ht="15" customHeight="1" s="64">
      <c r="A8" s="121" t="inlineStr">
        <is>
          <t>Teklif / Sınır Değer Oranı</t>
        </is>
      </c>
      <c r="B8" s="115">
        <f>SdOran</f>
        <v/>
      </c>
    </row>
    <row r="9" ht="15" customHeight="1" s="64">
      <c r="A9" s="121" t="inlineStr">
        <is>
          <t>Veri Kalitesi Skoru</t>
        </is>
      </c>
      <c r="B9" s="112">
        <f>KaliteSkoru</f>
        <v/>
      </c>
    </row>
    <row r="11" ht="21" customHeight="1" s="64">
      <c r="A11" s="128" t="inlineStr">
        <is>
          <t>KARAR</t>
        </is>
      </c>
      <c r="B11" s="129">
        <f>IF(DoluGirisHucre=0,"VERİ YOK",IF(SdKontrol="AŞIRI DÜŞÜK",IF(SdSavunmaGucu="ZAYIF","DURDUR","İNCELE"),IF(OR(SdKontrol="SINIRDA",SdMutabakatDurumu="FARK VAR",KaliteSkoru&lt;KaliteOrta),"İNCELE","UYGUN")))</f>
        <v/>
      </c>
    </row>
    <row r="12" ht="42" customHeight="1" s="64">
      <c r="A12" s="127" t="inlineStr">
        <is>
          <t>Gerekçe</t>
        </is>
      </c>
      <c r="B12" s="130">
        <f>_xlfn.TEXTJOIN(" | ",TRUE(),IF(SdKontrol="AŞIRI DÜŞÜK","Teklif sınır değerin altında; açıklama sunulması zorunlu","Teklif sınır değerin üzerinde"),IF(SdSavunmaGucu="ZAYIF","Savunma dayanak ağırlığı eşiğin altında","Savunma dayanak ağırlığı yeterli"),IF(SdMutabakatDurumu="FARK VAR","Bileşen toplamı ile teklif tutarı uyumsuz","Bileşen mutabakatı sağlandı"),IF(KaliteSkoru&lt;KaliteOrta,"Veri kalitesi düşük; girişler tamamlanmalı","Veri kalitesi yeterli"))</f>
        <v/>
      </c>
    </row>
    <row r="14" ht="15" customHeight="1" s="64">
      <c r="A14" s="103" t="inlineStr">
        <is>
          <t>Önerilen Aksiyonlar</t>
        </is>
      </c>
    </row>
    <row r="15" ht="30" customHeight="1" s="64">
      <c r="A15" s="121" t="inlineStr">
        <is>
          <t>Aksiyon 1</t>
        </is>
      </c>
      <c r="B15" s="130">
        <f>IF(SdKontrol="AŞIRI DÜŞÜK","Rayiç eşiği altında kalan bileşenlere teyitli fatura/teklif dayanağı ekleyin; açıklama dosyasını idarenin belirlediği sürede sunun.","Sınır değer üzerindesiniz; açıklama yükümlülüğü yok, ancak rayiçleri periyodik teyit edin.")</f>
        <v/>
      </c>
    </row>
    <row r="16" ht="30" customHeight="1" s="64">
      <c r="A16" s="121" t="inlineStr">
        <is>
          <t>Aksiyon 2</t>
        </is>
      </c>
      <c r="B16" s="130">
        <f>IF(SdMutabakatDurumu="FARK VAR","Bileşen toplamı ile teklif tutarını kalem kalem mutabakat edin; eksik kalem ekleyin veya indirim maddesini belgeleyin.","Bileşen mutabakatı sağlandı; kalem yapısını koruyun.")</f>
        <v/>
      </c>
    </row>
    <row r="17" ht="30" customHeight="1" s="64">
      <c r="A17" s="121" t="inlineStr">
        <is>
          <t>Aksiyon 3</t>
        </is>
      </c>
      <c r="B17" s="130">
        <f>IF(KaliteSkoru&lt;KaliteOrta,"Boş ve teyitsiz alanları doldurup dosyayı yeniden hesaplayın.","Veri kalitesi yeterli; teklif açıklama ekinizi güncel rayiçlerle güçlendirin.")</f>
        <v/>
      </c>
    </row>
    <row r="19" ht="19.5" customHeight="1" s="64">
      <c r="A19" s="101" t="inlineStr">
        <is>
          <t>Karar yalnızca giriş verisi ve AYARLAR'daki eşiklerden türetilir; kesin hukuki/finansal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8" text="" percent="0" bottom="0">
      <formula>"UYGUN"</formula>
    </cfRule>
    <cfRule type="cellIs" rank="0" priority="3" equalAverage="0" operator="equal" aboveAverage="0" dxfId="17" text="" percent="0" bottom="0">
      <formula>"İNCELE"</formula>
    </cfRule>
    <cfRule type="cellIs" rank="0" priority="4" equalAverage="0" operator="equal" aboveAverage="0" dxfId="15" text="" percent="0" bottom="0">
      <formula>"DURDUR"</formula>
    </cfRule>
  </conditionalFormatting>
  <conditionalFormatting sqref="B6:B9">
    <cfRule type="cellIs" rank="0" priority="5" equalAverage="0" operator="lessThan" aboveAverage="0" dxfId="1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90" min="1" max="1"/>
    <col width="18" customWidth="1" style="90" min="2" max="2"/>
    <col width="2" customWidth="1" style="90" min="3" max="3"/>
    <col width="20" customWidth="1" style="90" min="4" max="4"/>
    <col width="18" customWidth="1" style="90" min="5" max="5"/>
    <col width="20" customWidth="1" style="90" min="6" max="6"/>
    <col width="18" customWidth="1" style="90" min="7" max="8"/>
    <col width="13" customWidth="1" style="90" min="9" max="9"/>
    <col width="16" customWidth="1" style="90" min="10" max="10"/>
    <col width="14" customWidth="1" style="90" min="11" max="12"/>
    <col width="18" customWidth="1" style="90" min="13" max="13"/>
    <col width="12" customWidth="1" style="90" min="14" max="14"/>
    <col width="22" customWidth="1" style="90" min="16" max="16"/>
    <col width="18" customWidth="1" style="90" min="17" max="17"/>
  </cols>
  <sheetData>
    <row r="1" ht="25.5" customHeight="1" s="64">
      <c r="A1" s="102" t="inlineStr">
        <is>
          <t>PANO — AŞIRI DÜŞÜK TEKLİF SAVUNMA ROBOTU</t>
        </is>
      </c>
    </row>
    <row r="3" ht="15" customHeight="1" s="64">
      <c r="A3" s="131" t="inlineStr">
        <is>
          <t>Yaklaşık Maliyet</t>
        </is>
      </c>
      <c r="B3" s="131" t="inlineStr">
        <is>
          <t>Sınır Değer</t>
        </is>
      </c>
      <c r="C3" s="131" t="inlineStr">
        <is>
          <t>Kendi Teklif</t>
        </is>
      </c>
      <c r="D3" s="131" t="inlineStr">
        <is>
          <t>Teklif/Sınır Değer</t>
        </is>
      </c>
      <c r="E3" s="131" t="inlineStr">
        <is>
          <t>Kalite Skoru</t>
        </is>
      </c>
      <c r="F3" s="131" t="inlineStr">
        <is>
          <t>Karar</t>
        </is>
      </c>
    </row>
    <row r="4" ht="15" customHeight="1" s="64">
      <c r="A4" s="132">
        <f>YaklasikMaliyet</f>
        <v/>
      </c>
      <c r="B4" s="132">
        <f>SdSinirDeger</f>
        <v/>
      </c>
      <c r="C4" s="132">
        <f>KendiTeklifTutari</f>
        <v/>
      </c>
      <c r="D4" s="133">
        <f>SdOran</f>
        <v/>
      </c>
      <c r="E4" s="134">
        <f>KaliteSkoru</f>
        <v/>
      </c>
      <c r="F4" s="135">
        <f>KararSonuc</f>
        <v/>
      </c>
    </row>
    <row r="6" ht="30" customHeight="1" s="64">
      <c r="A6" s="124" t="inlineStr">
        <is>
          <t>Karar Gerekçesi</t>
        </is>
      </c>
      <c r="B6" s="130">
        <f>KARAR!B12</f>
        <v/>
      </c>
    </row>
    <row r="9" ht="15" customHeight="1" s="64">
      <c r="A9" s="136" t="inlineStr">
        <is>
          <t>Rakip Teklifleri (₺)</t>
        </is>
      </c>
      <c r="B9" s="97" t="inlineStr">
        <is>
          <t>Teklif (₺)</t>
        </is>
      </c>
      <c r="D9" s="136" t="inlineStr">
        <is>
          <t>Sınır Değer Karşılaştırması</t>
        </is>
      </c>
      <c r="E9" s="97" t="inlineStr">
        <is>
          <t>Tutar (₺)</t>
        </is>
      </c>
      <c r="F9" s="136" t="inlineStr">
        <is>
          <t>Bileşen Tutar Dağılımı</t>
        </is>
      </c>
      <c r="G9" s="97" t="inlineStr">
        <is>
          <t>Tutar (₺)</t>
        </is>
      </c>
      <c r="H9" s="136" t="inlineStr">
        <is>
          <t>Rayiç Sapması (%)</t>
        </is>
      </c>
      <c r="I9" s="97" t="inlineStr">
        <is>
          <t>Sapma</t>
        </is>
      </c>
      <c r="J9" s="136" t="inlineStr">
        <is>
          <t>Endeks ve Hareketli Ortalama</t>
        </is>
      </c>
      <c r="K9" s="97" t="inlineStr">
        <is>
          <t>Endeks</t>
        </is>
      </c>
      <c r="L9" s="97" t="inlineStr">
        <is>
          <t>Tahmin</t>
        </is>
      </c>
      <c r="M9" s="136" t="inlineStr">
        <is>
          <t>Z Skorları</t>
        </is>
      </c>
      <c r="N9" s="97" t="inlineStr">
        <is>
          <t>Z</t>
        </is>
      </c>
      <c r="P9" s="136" t="inlineStr">
        <is>
          <t>Karar Destek Modülleri</t>
        </is>
      </c>
    </row>
    <row r="10" ht="15" customHeight="1" s="64">
      <c r="A10" s="137">
        <f>IFERROR(INDEX(tblRakipler[Rakip Adı],ROW()-ROW($B$9)),"")</f>
        <v/>
      </c>
      <c r="B10" s="120">
        <f>IFERROR(INDEX(tblRakipler[Teklif Tutarı (₺)],ROW()-ROW($B$9)),0)</f>
        <v/>
      </c>
      <c r="D10" s="137" t="inlineStr">
        <is>
          <t>Sınır Değer</t>
        </is>
      </c>
      <c r="E10" s="120">
        <f>SdSinirDeger</f>
        <v/>
      </c>
      <c r="F10" s="137">
        <f>IFERROR(INDEX(tblBilesenler[Kalem Adı],ROW()-ROW($B$9)),"")</f>
        <v/>
      </c>
      <c r="G10" s="120">
        <f>IFERROR(INDEX(tblBilesenler[Tutar (₺)],ROW()-ROW($B$9)),0)</f>
        <v/>
      </c>
      <c r="I10" s="115">
        <f>IFERROR(INDEX(tblBilesenler[Rayiç Sapması],ROW()-ROW($B$9)),0)</f>
        <v/>
      </c>
      <c r="J10" s="137">
        <f>IFERROR(INDEX(tblProjeksiyon[Dönem],ROW()-ROW($B$9)),"")</f>
        <v/>
      </c>
      <c r="K10" s="112">
        <f>IFERROR(INDEX(tblProjeksiyon[Endeks Değeri],ROW()-ROW($B$9)),0)</f>
        <v/>
      </c>
      <c r="L10" s="112">
        <f>IFERROR(INDEX(tblProjeksiyon[3 Dönem Hareketli Ortalama],ROW()-ROW($B$9)),0)</f>
        <v/>
      </c>
      <c r="N10" s="116">
        <f>IFERROR(INDEX(tblRakipler[Anomali Z],ROW()-ROW($B$9)),0)</f>
        <v/>
      </c>
      <c r="P10" s="121" t="inlineStr">
        <is>
          <t>Anomali Teklif Sayısı</t>
        </is>
      </c>
      <c r="Q10" s="112">
        <f>modulO1AnomaliSayisi</f>
        <v/>
      </c>
    </row>
    <row r="11" ht="15" customHeight="1" s="64">
      <c r="A11" s="137">
        <f>IFERROR(INDEX(tblRakipler[Rakip Adı],ROW()-ROW($B$9)),"")</f>
        <v/>
      </c>
      <c r="B11" s="120">
        <f>IFERROR(INDEX(tblRakipler[Teklif Tutarı (₺)],ROW()-ROW($B$9)),0)</f>
        <v/>
      </c>
      <c r="D11" s="137" t="inlineStr">
        <is>
          <t>Kendi Teklif</t>
        </is>
      </c>
      <c r="E11" s="120">
        <f>KendiTeklifTutari</f>
        <v/>
      </c>
      <c r="F11" s="137">
        <f>IFERROR(INDEX(tblBilesenler[Kalem Adı],ROW()-ROW($B$9)),"")</f>
        <v/>
      </c>
      <c r="G11" s="120">
        <f>IFERROR(INDEX(tblBilesenler[Tutar (₺)],ROW()-ROW($B$9)),0)</f>
        <v/>
      </c>
      <c r="I11" s="115">
        <f>IFERROR(INDEX(tblBilesenler[Rayiç Sapması],ROW()-ROW($B$9)),0)</f>
        <v/>
      </c>
      <c r="J11" s="137">
        <f>IFERROR(INDEX(tblProjeksiyon[Dönem],ROW()-ROW($B$9)),"")</f>
        <v/>
      </c>
      <c r="K11" s="112">
        <f>IFERROR(INDEX(tblProjeksiyon[Endeks Değeri],ROW()-ROW($B$9)),0)</f>
        <v/>
      </c>
      <c r="L11" s="112">
        <f>IFERROR(INDEX(tblProjeksiyon[3 Dönem Hareketli Ortalama],ROW()-ROW($B$9)),0)</f>
        <v/>
      </c>
      <c r="N11" s="116">
        <f>IFERROR(INDEX(tblRakipler[Anomali Z],ROW()-ROW($B$9)),0)</f>
        <v/>
      </c>
      <c r="P11" s="121" t="inlineStr">
        <is>
          <t>Pareto: İlk 3 Kalem Payı</t>
        </is>
      </c>
      <c r="Q11" s="115">
        <f>modulT3ParetoPayi</f>
        <v/>
      </c>
    </row>
    <row r="12" ht="15" customHeight="1" s="64">
      <c r="A12" s="137">
        <f>IFERROR(INDEX(tblRakipler[Rakip Adı],ROW()-ROW($B$9)),"")</f>
        <v/>
      </c>
      <c r="B12" s="120">
        <f>IFERROR(INDEX(tblRakipler[Teklif Tutarı (₺)],ROW()-ROW($B$9)),0)</f>
        <v/>
      </c>
      <c r="F12" s="137">
        <f>IFERROR(INDEX(tblBilesenler[Kalem Adı],ROW()-ROW($B$9)),"")</f>
        <v/>
      </c>
      <c r="G12" s="120">
        <f>IFERROR(INDEX(tblBilesenler[Tutar (₺)],ROW()-ROW($B$9)),0)</f>
        <v/>
      </c>
      <c r="I12" s="115">
        <f>IFERROR(INDEX(tblBilesenler[Rayiç Sapması],ROW()-ROW($B$9)),0)</f>
        <v/>
      </c>
      <c r="J12" s="137">
        <f>IFERROR(INDEX(tblProjeksiyon[Dönem],ROW()-ROW($B$9)),"")</f>
        <v/>
      </c>
      <c r="K12" s="112">
        <f>IFERROR(INDEX(tblProjeksiyon[Endeks Değeri],ROW()-ROW($B$9)),0)</f>
        <v/>
      </c>
      <c r="L12" s="112">
        <f>IFERROR(INDEX(tblProjeksiyon[3 Dönem Hareketli Ortalama],ROW()-ROW($B$9)),0)</f>
        <v/>
      </c>
      <c r="N12" s="116">
        <f>IFERROR(INDEX(tblRakipler[Anomali Z],ROW()-ROW($B$9)),0)</f>
        <v/>
      </c>
      <c r="P12" s="121" t="inlineStr">
        <is>
          <t>Kırılım Oranı (Bileşen/Teklif)</t>
        </is>
      </c>
      <c r="Q12" s="115">
        <f>modulT6KirilimOrani</f>
        <v/>
      </c>
    </row>
    <row r="13" ht="15" customHeight="1" s="64">
      <c r="A13" s="137">
        <f>IFERROR(INDEX(tblRakipler[Rakip Adı],ROW()-ROW($B$9)),"")</f>
        <v/>
      </c>
      <c r="B13" s="120">
        <f>IFERROR(INDEX(tblRakipler[Teklif Tutarı (₺)],ROW()-ROW($B$9)),0)</f>
        <v/>
      </c>
      <c r="F13" s="137">
        <f>IFERROR(INDEX(tblBilesenler[Kalem Adı],ROW()-ROW($B$9)),"")</f>
        <v/>
      </c>
      <c r="G13" s="120">
        <f>IFERROR(INDEX(tblBilesenler[Tutar (₺)],ROW()-ROW($B$9)),0)</f>
        <v/>
      </c>
      <c r="I13" s="115">
        <f>IFERROR(INDEX(tblBilesenler[Rayiç Sapması],ROW()-ROW($B$9)),0)</f>
        <v/>
      </c>
      <c r="J13" s="137">
        <f>IFERROR(INDEX(tblProjeksiyon[Dönem],ROW()-ROW($B$9)),"")</f>
        <v/>
      </c>
      <c r="K13" s="112">
        <f>IFERROR(INDEX(tblProjeksiyon[Endeks Değeri],ROW()-ROW($B$9)),0)</f>
        <v/>
      </c>
      <c r="L13" s="112">
        <f>IFERROR(INDEX(tblProjeksiyon[3 Dönem Hareketli Ortalama],ROW()-ROW($B$9)),0)</f>
        <v/>
      </c>
      <c r="N13" s="116">
        <f>IFERROR(INDEX(tblRakipler[Anomali Z],ROW()-ROW($B$9)),0)</f>
        <v/>
      </c>
      <c r="P13" s="121" t="inlineStr">
        <is>
          <t>Veri Kalitesi Skoru</t>
        </is>
      </c>
      <c r="Q13" s="112">
        <f>KaliteSkoru</f>
        <v/>
      </c>
    </row>
    <row r="14" ht="15" customHeight="1" s="64">
      <c r="A14" s="137">
        <f>IFERROR(INDEX(tblRakipler[Rakip Adı],ROW()-ROW($B$9)),"")</f>
        <v/>
      </c>
      <c r="B14" s="120">
        <f>IFERROR(INDEX(tblRakipler[Teklif Tutarı (₺)],ROW()-ROW($B$9)),0)</f>
        <v/>
      </c>
      <c r="F14" s="137">
        <f>IFERROR(INDEX(tblBilesenler[Kalem Adı],ROW()-ROW($B$9)),"")</f>
        <v/>
      </c>
      <c r="G14" s="120">
        <f>IFERROR(INDEX(tblBilesenler[Tutar (₺)],ROW()-ROW($B$9)),0)</f>
        <v/>
      </c>
      <c r="I14" s="115">
        <f>IFERROR(INDEX(tblBilesenler[Rayiç Sapması],ROW()-ROW($B$9)),0)</f>
        <v/>
      </c>
      <c r="J14" s="137">
        <f>IFERROR(INDEX(tblProjeksiyon[Dönem],ROW()-ROW($B$9)),"")</f>
        <v/>
      </c>
      <c r="K14" s="112">
        <f>IFERROR(INDEX(tblProjeksiyon[Endeks Değeri],ROW()-ROW($B$9)),0)</f>
        <v/>
      </c>
      <c r="L14" s="112">
        <f>IFERROR(INDEX(tblProjeksiyon[3 Dönem Hareketli Ortalama],ROW()-ROW($B$9)),0)</f>
        <v/>
      </c>
      <c r="N14" s="116">
        <f>IFERROR(INDEX(tblRakipler[Anomali Z],ROW()-ROW($B$9)),0)</f>
        <v/>
      </c>
      <c r="P14" s="121" t="inlineStr">
        <is>
          <t>Endeks Eğilimi</t>
        </is>
      </c>
      <c r="Q14" s="116">
        <f>modulT2EndeksEgim</f>
        <v/>
      </c>
    </row>
    <row r="15" ht="15" customHeight="1" s="64">
      <c r="A15" s="137">
        <f>IFERROR(INDEX(tblRakipler[Rakip Adı],ROW()-ROW($B$9)),"")</f>
        <v/>
      </c>
      <c r="B15" s="120">
        <f>IFERROR(INDEX(tblRakipler[Teklif Tutarı (₺)],ROW()-ROW($B$9)),0)</f>
        <v/>
      </c>
      <c r="F15" s="137">
        <f>IFERROR(INDEX(tblBilesenler[Kalem Adı],ROW()-ROW($B$9)),"")</f>
        <v/>
      </c>
      <c r="G15" s="120">
        <f>IFERROR(INDEX(tblBilesenler[Tutar (₺)],ROW()-ROW($B$9)),0)</f>
        <v/>
      </c>
      <c r="I15" s="115">
        <f>IFERROR(INDEX(tblBilesenler[Rayiç Sapması],ROW()-ROW($B$9)),0)</f>
        <v/>
      </c>
      <c r="J15" s="137">
        <f>IFERROR(INDEX(tblProjeksiyon[Dönem],ROW()-ROW($B$9)),"")</f>
        <v/>
      </c>
      <c r="K15" s="112">
        <f>IFERROR(INDEX(tblProjeksiyon[Endeks Değeri],ROW()-ROW($B$9)),0)</f>
        <v/>
      </c>
      <c r="L15" s="112">
        <f>IFERROR(INDEX(tblProjeksiyon[3 Dönem Hareketli Ortalama],ROW()-ROW($B$9)),0)</f>
        <v/>
      </c>
      <c r="N15" s="116">
        <f>IFERROR(INDEX(tblRakipler[Anomali Z],ROW()-ROW($B$9)),0)</f>
        <v/>
      </c>
      <c r="P15" s="121" t="inlineStr">
        <is>
          <t>İleri Dönem Tahmini</t>
        </is>
      </c>
      <c r="Q15" s="112">
        <f>modulI1TahminOrta</f>
        <v/>
      </c>
    </row>
    <row r="16" ht="15" customHeight="1" s="64">
      <c r="A16" s="137">
        <f>IFERROR(INDEX(tblRakipler[Rakip Adı],ROW()-ROW($B$9)),"")</f>
        <v/>
      </c>
      <c r="B16" s="120">
        <f>IFERROR(INDEX(tblRakipler[Teklif Tutarı (₺)],ROW()-ROW($B$9)),0)</f>
        <v/>
      </c>
      <c r="F16" s="137">
        <f>IFERROR(INDEX(tblBilesenler[Kalem Adı],ROW()-ROW($B$9)),"")</f>
        <v/>
      </c>
      <c r="G16" s="120">
        <f>IFERROR(INDEX(tblBilesenler[Tutar (₺)],ROW()-ROW($B$9)),0)</f>
        <v/>
      </c>
      <c r="I16" s="115">
        <f>IFERROR(INDEX(tblBilesenler[Rayiç Sapması],ROW()-ROW($B$9)),0)</f>
        <v/>
      </c>
      <c r="J16" s="137">
        <f>IFERROR(INDEX(tblProjeksiyon[Dönem],ROW()-ROW($B$9)),"")</f>
        <v/>
      </c>
      <c r="K16" s="112">
        <f>IFERROR(INDEX(tblProjeksiyon[Endeks Değeri],ROW()-ROW($B$9)),0)</f>
        <v/>
      </c>
      <c r="L16" s="112">
        <f>IFERROR(INDEX(tblProjeksiyon[3 Dönem Hareketli Ortalama],ROW()-ROW($B$9)),0)</f>
        <v/>
      </c>
      <c r="N16" s="116">
        <f>IFERROR(INDEX(tblRakipler[Anomali Z],ROW()-ROW($B$9)),0)</f>
        <v/>
      </c>
      <c r="P16" s="121" t="inlineStr">
        <is>
          <t>P90 Teklif (₺)</t>
        </is>
      </c>
      <c r="Q16" s="120">
        <f>modulI2P90</f>
        <v/>
      </c>
    </row>
    <row r="17" ht="15" customHeight="1" s="64">
      <c r="A17" s="137">
        <f>IFERROR(INDEX(tblRakipler[Rakip Adı],ROW()-ROW($B$9)),"")</f>
        <v/>
      </c>
      <c r="B17" s="120">
        <f>IFERROR(INDEX(tblRakipler[Teklif Tutarı (₺)],ROW()-ROW($B$9)),0)</f>
        <v/>
      </c>
      <c r="F17" s="137">
        <f>IFERROR(INDEX(tblBilesenler[Kalem Adı],ROW()-ROW($B$9)),"")</f>
        <v/>
      </c>
      <c r="G17" s="120">
        <f>IFERROR(INDEX(tblBilesenler[Tutar (₺)],ROW()-ROW($B$9)),0)</f>
        <v/>
      </c>
      <c r="I17" s="115">
        <f>IFERROR(INDEX(tblBilesenler[Rayiç Sapması],ROW()-ROW($B$9)),0)</f>
        <v/>
      </c>
      <c r="J17" s="137">
        <f>IFERROR(INDEX(tblProjeksiyon[Dönem],ROW()-ROW($B$9)),"")</f>
        <v/>
      </c>
      <c r="K17" s="112">
        <f>IFERROR(INDEX(tblProjeksiyon[Endeks Değeri],ROW()-ROW($B$9)),0)</f>
        <v/>
      </c>
      <c r="L17" s="112">
        <f>IFERROR(INDEX(tblProjeksiyon[3 Dönem Hareketli Ortalama],ROW()-ROW($B$9)),0)</f>
        <v/>
      </c>
      <c r="N17" s="116">
        <f>IFERROR(INDEX(tblRakipler[Anomali Z],ROW()-ROW($B$9)),0)</f>
        <v/>
      </c>
      <c r="P17" s="121" t="inlineStr">
        <is>
          <t>Senaryo Baz Sınır Değer (₺)</t>
        </is>
      </c>
      <c r="Q17" s="120">
        <f>modulO3SenaryoBaz</f>
        <v/>
      </c>
    </row>
    <row r="18" ht="15" customHeight="1" s="64">
      <c r="A18" s="137">
        <f>IFERROR(INDEX(tblRakipler[Rakip Adı],ROW()-ROW($B$9)),"")</f>
        <v/>
      </c>
      <c r="B18" s="120">
        <f>IFERROR(INDEX(tblRakipler[Teklif Tutarı (₺)],ROW()-ROW($B$9)),0)</f>
        <v/>
      </c>
      <c r="J18" s="137">
        <f>IFERROR(INDEX(tblProjeksiyon[Dönem],ROW()-ROW($B$9)),"")</f>
        <v/>
      </c>
      <c r="K18" s="112">
        <f>IFERROR(INDEX(tblProjeksiyon[Endeks Değeri],ROW()-ROW($B$9)),0)</f>
        <v/>
      </c>
      <c r="L18" s="112">
        <f>IFERROR(INDEX(tblProjeksiyon[3 Dönem Hareketli Ortalama],ROW()-ROW($B$9)),0)</f>
        <v/>
      </c>
      <c r="P18" s="121" t="inlineStr">
        <is>
          <t>Tornado Zirve Değişken</t>
        </is>
      </c>
      <c r="Q18" s="117">
        <f>modulO2TornadoZirve</f>
        <v/>
      </c>
    </row>
    <row r="19" ht="15" customHeight="1" s="64">
      <c r="A19" s="137">
        <f>IFERROR(INDEX(tblRakipler[Rakip Adı],ROW()-ROW($B$9)),"")</f>
        <v/>
      </c>
      <c r="B19" s="120">
        <f>IFERROR(INDEX(tblRakipler[Teklif Tutarı (₺)],ROW()-ROW($B$9)),0)</f>
        <v/>
      </c>
      <c r="J19" s="137">
        <f>IFERROR(INDEX(tblProjeksiyon[Dönem],ROW()-ROW($B$9)),"")</f>
        <v/>
      </c>
      <c r="K19" s="112">
        <f>IFERROR(INDEX(tblProjeksiyon[Endeks Değeri],ROW()-ROW($B$9)),0)</f>
        <v/>
      </c>
      <c r="L19" s="112">
        <f>IFERROR(INDEX(tblProjeksiyon[3 Dönem Hareketli Ortalama],ROW()-ROW($B$9)),0)</f>
        <v/>
      </c>
      <c r="P19" s="121" t="inlineStr">
        <is>
          <t>Aşırı Düşük Bölge Sayısı</t>
        </is>
      </c>
      <c r="Q19" s="112">
        <f>SUMPRODUCT((tblRakipler[Durum]="AŞIRI DÜŞÜK")*1)</f>
        <v/>
      </c>
    </row>
    <row r="20" ht="15" customHeight="1" s="64">
      <c r="A20" s="137">
        <f>IFERROR(INDEX(tblRakipler[Rakip Adı],ROW()-ROW($B$9)),"")</f>
        <v/>
      </c>
      <c r="B20" s="120">
        <f>IFERROR(INDEX(tblRakipler[Teklif Tutarı (₺)],ROW()-ROW($B$9)),0)</f>
        <v/>
      </c>
      <c r="J20" s="137">
        <f>IFERROR(INDEX(tblProjeksiyon[Dönem],ROW()-ROW($B$9)),"")</f>
        <v/>
      </c>
      <c r="K20" s="112">
        <f>IFERROR(INDEX(tblProjeksiyon[Endeks Değeri],ROW()-ROW($B$9)),0)</f>
        <v/>
      </c>
      <c r="L20" s="112">
        <f>IFERROR(INDEX(tblProjeksiyon[3 Dönem Hareketli Ortalama],ROW()-ROW($B$9)),0)</f>
        <v/>
      </c>
    </row>
    <row r="21" ht="15" customHeight="1" s="64">
      <c r="A21" s="137">
        <f>IFERROR(INDEX(tblRakipler[Rakip Adı],ROW()-ROW($B$9)),"")</f>
        <v/>
      </c>
      <c r="B21" s="120">
        <f>IFERROR(INDEX(tblRakipler[Teklif Tutarı (₺)],ROW()-ROW($B$9)),0)</f>
        <v/>
      </c>
      <c r="J21" s="137">
        <f>IFERROR(INDEX(tblProjeksiyon[Dönem],ROW()-ROW($B$9)),"")</f>
        <v/>
      </c>
      <c r="K21" s="112">
        <f>IFERROR(INDEX(tblProjeksiyon[Endeks Değeri],ROW()-ROW($B$9)),0)</f>
        <v/>
      </c>
      <c r="L21" s="112">
        <f>IFERROR(INDEX(tblProjeksiyon[3 Dönem Hareketli Ortalama],ROW()-ROW($B$9)),0)</f>
        <v/>
      </c>
    </row>
    <row r="60" ht="19.5" customHeight="1" s="64">
      <c r="A60" s="101" t="inlineStr">
        <is>
          <t>Paneldeki tüm göstergeler canlı formüllerden beslenir; elle yazılmaz.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6:K6"/>
    <mergeCell ref="A1:AD1"/>
    <mergeCell ref="A60:AN60"/>
  </mergeCells>
  <conditionalFormatting sqref="B4">
    <cfRule type="cellIs" rank="0" priority="2" equalAverage="0" operator="lessThan" aboveAverage="0" dxfId="15" text="" percent="0" bottom="0">
      <formula>0</formula>
    </cfRule>
  </conditionalFormatting>
  <conditionalFormatting sqref="F4">
    <cfRule type="cellIs" rank="0" priority="3" equalAverage="0" operator="equal" aboveAverage="0" dxfId="18" text="" percent="0" bottom="0">
      <formula>"UYGUN"</formula>
    </cfRule>
    <cfRule type="cellIs" rank="0" priority="4" equalAverage="0" operator="equal" aboveAverage="0" dxfId="17" text="" percent="0" bottom="0">
      <formula>"İNCELE"</formula>
    </cfRule>
    <cfRule type="cellIs" rank="0" priority="5" equalAverage="0" operator="equal" aboveAverage="0" dxfId="15" text="" percent="0" bottom="0">
      <formula>"DURDUR"</formula>
    </cfRule>
  </conditionalFormatting>
  <conditionalFormatting sqref="B10:B21">
    <cfRule type="cellIs" rank="0" priority="6" equalAverage="0" operator="lessThan" aboveAverage="0" dxfId="11" text="" percent="0" bottom="0">
      <formula>0</formula>
    </cfRule>
  </conditionalFormatting>
  <conditionalFormatting sqref="G10:G17">
    <cfRule type="cellIs" rank="0" priority="7" equalAverage="0" operator="lessThan" aboveAverage="0" dxfId="11" text="" percent="0" bottom="0">
      <formula>0</formula>
    </cfRule>
  </conditionalFormatting>
  <conditionalFormatting sqref="Q10:Q14">
    <cfRule type="cellIs" rank="0" priority="8" equalAverage="0" operator="lessThan" aboveAverage="0" dxfId="11" text="" percent="0" bottom="0">
      <formula>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&amp;LAŞIRI DÜŞÜK TEKLİF SAVUNMA ROBOTU&amp;CExcelArşiv&amp;RSayfa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0" min="1" max="1"/>
    <col width="24" customWidth="1" style="90" min="2" max="3"/>
    <col width="22" customWidth="1" style="90" min="4" max="4"/>
    <col width="14" customWidth="1" style="90" min="5" max="5"/>
    <col width="12" customWidth="1" style="90" min="6" max="6"/>
  </cols>
  <sheetData>
    <row r="1" ht="25.5" customHeight="1" s="64">
      <c r="A1" s="102" t="inlineStr">
        <is>
          <t>SENARYO DUYARLILIK — AŞIRI DÜŞÜK TEKLİF SAVUNMA ROBOTU</t>
        </is>
      </c>
    </row>
    <row r="3" ht="15.75" customHeight="1" s="64">
      <c r="A3" s="98" t="inlineStr">
        <is>
          <t>Senaryo ve Duyarlılık Analizi</t>
        </is>
      </c>
    </row>
    <row r="4" ht="68.25" customHeight="1" s="64">
      <c r="A4" s="104" t="inlineStr">
        <is>
          <t>İyimser, baz ve kötümser senaryolarda sınır değer ve bölge; ardından hangi değişkenin sonucu en çok etkilediğini gösteren tornado analizi.</t>
        </is>
      </c>
    </row>
    <row r="6" ht="30" customHeight="1" s="64">
      <c r="A6" s="111" t="inlineStr">
        <is>
          <t>Senaryo</t>
        </is>
      </c>
      <c r="B6" s="111" t="inlineStr">
        <is>
          <t>Senaryo Sınır Değer (₺)</t>
        </is>
      </c>
      <c r="C6" s="111" t="inlineStr">
        <is>
          <t>Senaryo Oranı</t>
        </is>
      </c>
      <c r="D6" s="111" t="inlineStr">
        <is>
          <t>Karar</t>
        </is>
      </c>
    </row>
    <row r="7" ht="15" customHeight="1" s="64">
      <c r="A7" s="127" t="inlineStr">
        <is>
          <t>İYİMSER</t>
        </is>
      </c>
      <c r="B7" s="120">
        <f>SdYontemTaban*(SinirDegerKatsayisi*IyiN)</f>
        <v/>
      </c>
      <c r="C7" s="115">
        <f>IF(B7=0,0,(KendiTeklifTutari*IyiTeklif)/B7)</f>
        <v/>
      </c>
      <c r="D7" s="117">
        <f>IF(C7&lt;AsiriDusukEsik,"AŞIRI DÜŞÜK",IF(C7&lt;DikkatEsik,"SINIRDA","GÜVENLİ"))</f>
        <v/>
      </c>
    </row>
    <row r="8" ht="15" customHeight="1" s="64">
      <c r="A8" s="127" t="inlineStr">
        <is>
          <t>BAZ</t>
        </is>
      </c>
      <c r="B8" s="120">
        <f>SdYontemTaban*(SinirDegerKatsayisi*BazN)</f>
        <v/>
      </c>
      <c r="C8" s="115">
        <f>IF(B8=0,0,(KendiTeklifTutari*BazTeklif)/B8)</f>
        <v/>
      </c>
      <c r="D8" s="117">
        <f>IF(C8&lt;AsiriDusukEsik,"AŞIRI DÜŞÜK",IF(C8&lt;DikkatEsik,"SINIRDA","GÜVENLİ"))</f>
        <v/>
      </c>
    </row>
    <row r="9" ht="15" customHeight="1" s="64">
      <c r="A9" s="127" t="inlineStr">
        <is>
          <t>KÖTÜMSER</t>
        </is>
      </c>
      <c r="B9" s="120">
        <f>SdYontemTaban*(SinirDegerKatsayisi*KotuN)</f>
        <v/>
      </c>
      <c r="C9" s="115">
        <f>IF(B9=0,0,(KendiTeklifTutari*KotuTeklif)/B9)</f>
        <v/>
      </c>
      <c r="D9" s="117">
        <f>IF(C9&lt;AsiriDusukEsik,"AŞIRI DÜŞÜK",IF(C9&lt;DikkatEsik,"SINIRDA","GÜVENLİ"))</f>
        <v/>
      </c>
    </row>
    <row r="11" ht="15" customHeight="1" s="64">
      <c r="A11" s="103" t="inlineStr">
        <is>
          <t>Tornado: Sınır Değer ve Orana Etki</t>
        </is>
      </c>
    </row>
    <row r="12" ht="30" customHeight="1" s="64">
      <c r="A12" s="111" t="inlineStr">
        <is>
          <t>Değişken</t>
        </is>
      </c>
      <c r="B12" s="111" t="inlineStr">
        <is>
          <t>+%10 Etkisi</t>
        </is>
      </c>
      <c r="C12" s="111" t="inlineStr">
        <is>
          <t>-%10 Etkisi</t>
        </is>
      </c>
      <c r="D12" s="111" t="inlineStr">
        <is>
          <t>Mutlak Etki</t>
        </is>
      </c>
    </row>
    <row r="13" ht="15" customHeight="1" s="64">
      <c r="A13" s="121" t="inlineStr">
        <is>
          <t>N Katsayısı</t>
        </is>
      </c>
      <c r="B13" s="120">
        <f>IFERROR(ABS((SinirDegerKatsayisi*(1+TornadoN))*SdYontemTaban-SdSinirDeger),0)</f>
        <v/>
      </c>
      <c r="C13" s="120">
        <f>IFERROR(ABS((SinirDegerKatsayisi*(1-TornadoN))*SdYontemTaban-SdSinirDeger),0)</f>
        <v/>
      </c>
      <c r="D13" s="120">
        <f>MAX(B13,C13)</f>
        <v/>
      </c>
    </row>
    <row r="14" ht="15" customHeight="1" s="64">
      <c r="A14" s="121" t="inlineStr">
        <is>
          <t>Kendi Teklif Etkisi</t>
        </is>
      </c>
      <c r="B14" s="120">
        <f>IFERROR(ABS((KendiTeklifTutari*(1+TornadoTeklif))/SdSinirDeger-SdOran),0)</f>
        <v/>
      </c>
      <c r="C14" s="120">
        <f>IFERROR(ABS((KendiTeklifTutari*(1-TornadoTeklif))/SdSinirDeger-SdOran),0)</f>
        <v/>
      </c>
      <c r="D14" s="120">
        <f>MAX(B14,C14)</f>
        <v/>
      </c>
    </row>
    <row r="15" ht="15" customHeight="1" s="64">
      <c r="A15" s="121" t="inlineStr">
        <is>
          <t>Rakip Ortalaması</t>
        </is>
      </c>
      <c r="B15" s="120">
        <f>IFERROR(ABS(SinirDegerKatsayisi*(SdYontemTaban*(1+TornadoRakip))-SdSinirDeger),0)</f>
        <v/>
      </c>
      <c r="C15" s="120">
        <f>IFERROR(ABS(SinirDegerKatsayisi*(SdYontemTaban*(1-TornadoRakip))-SdSinirDeger),0)</f>
        <v/>
      </c>
      <c r="D15" s="120">
        <f>MAX(B15,C15)</f>
        <v/>
      </c>
    </row>
    <row r="16" ht="15" customHeight="1" s="64">
      <c r="A16" s="121" t="inlineStr">
        <is>
          <t>Rayiç Fiyatlar</t>
        </is>
      </c>
      <c r="B16" s="120">
        <f>IFERROR(ABS(SdBilesenRayicToplam*(1+TornadoRayic)-SdBilesenRayicToplam),0)</f>
        <v/>
      </c>
      <c r="C16" s="120">
        <f>IFERROR(ABS(SdBilesenRayicToplam*(1-TornadoRayic)-SdBilesenRayicToplam),0)</f>
        <v/>
      </c>
      <c r="D16" s="120">
        <f>MAX(B16,C16)</f>
        <v/>
      </c>
    </row>
    <row r="18" ht="15" customHeight="1" s="64">
      <c r="A18" s="136" t="inlineStr">
        <is>
          <t>En Etkili Değişken</t>
        </is>
      </c>
      <c r="B18" s="138">
        <f>INDEX({"N Katsayısı","Kendi Teklif Etkisi","Rakip Ortalaması","Rayiç Fiyatlar"},MATCH(MAX(D13:D16),D13:D16,0))</f>
        <v/>
      </c>
    </row>
    <row r="20" ht="19.5" customHeight="1" s="64">
      <c r="A20" s="101" t="inlineStr">
        <is>
          <t>Senaryo ve tornado etkileri AYARLAR'daki çarpanlardan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0:AN20"/>
    <mergeCell ref="A1:AD1"/>
  </mergeCells>
  <conditionalFormatting sqref="D7:D9">
    <cfRule type="cellIs" rank="0" priority="2" equalAverage="0" operator="lessThan" aboveAverage="0" dxfId="11" text="" percent="0" bottom="0">
      <formula>0</formula>
    </cfRule>
  </conditionalFormatting>
  <conditionalFormatting sqref="F7:F9">
    <cfRule type="cellIs" rank="0" priority="3" equalAverage="0" operator="equal" aboveAverage="0" dxfId="15" text="" percent="0" bottom="0">
      <formula>"AŞIRI DÜŞÜK"</formula>
    </cfRule>
    <cfRule type="cellIs" rank="0" priority="4" equalAverage="0" operator="equal" aboveAverage="0" dxfId="13" text="" percent="0" bottom="0">
      <formula>"SINIRDA"</formula>
    </cfRule>
    <cfRule type="cellIs" rank="0" priority="5" equalAverage="0" operator="equal" aboveAverage="0" dxfId="16" text="" percent="0" bottom="0">
      <formula>"GÜVENLİ"</formula>
    </cfRule>
  </conditionalFormatting>
  <conditionalFormatting sqref="D13:D16">
    <cfRule type="cellIs" rank="0" priority="6" equalAverage="0" operator="lessThan" aboveAverage="0" dxfId="1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AN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90" min="1" max="1"/>
    <col width="26" customWidth="1" style="90" min="2" max="2"/>
  </cols>
  <sheetData>
    <row r="1" ht="25.5" customHeight="1" s="64">
      <c r="A1" s="139" t="inlineStr">
        <is>
          <t>AŞIRI DÜŞÜK TEKLİF SAVUNMA ROBOTU — YÖNETİCİ ÖZETİ</t>
        </is>
      </c>
    </row>
    <row r="2" ht="15" customHeight="1" s="64">
      <c r="A2" s="140">
        <f>_xlfn.CONCAT("Rapor Tarihi: ",TEXT(RaporTarihi,"dd.mm.yyyy")," | Hazırlayan: ",RaporHazirlayan," | Sürüm: ",DosyaSurumu)</f>
        <v/>
      </c>
    </row>
    <row r="4" ht="30" customHeight="1" s="64">
      <c r="A4" s="103" t="inlineStr">
        <is>
          <t>Karar</t>
        </is>
      </c>
      <c r="B4" s="129">
        <f>KararSonuc</f>
        <v/>
      </c>
      <c r="D4" s="103" t="inlineStr">
        <is>
          <t>Gerekçe</t>
        </is>
      </c>
      <c r="E4" s="130">
        <f>KARAR!B12</f>
        <v/>
      </c>
    </row>
    <row r="6" ht="15" customHeight="1" s="64">
      <c r="A6" s="121" t="inlineStr">
        <is>
          <t>Yaklaşık Maliyet (₺)</t>
        </is>
      </c>
      <c r="B6" s="120">
        <f>YaklasikMaliyet</f>
        <v/>
      </c>
    </row>
    <row r="7" ht="15" customHeight="1" s="64">
      <c r="A7" s="121" t="inlineStr">
        <is>
          <t>Sınır Değer (₺)</t>
        </is>
      </c>
      <c r="B7" s="120">
        <f>SdSinirDeger</f>
        <v/>
      </c>
    </row>
    <row r="8" ht="15" customHeight="1" s="64">
      <c r="A8" s="121" t="inlineStr">
        <is>
          <t>Kendi Teklif (₺)</t>
        </is>
      </c>
      <c r="B8" s="120">
        <f>KendiTeklifTutari</f>
        <v/>
      </c>
    </row>
    <row r="9" ht="15" customHeight="1" s="64">
      <c r="A9" s="121" t="inlineStr">
        <is>
          <t>Teklif / Sınır Değer Oranı</t>
        </is>
      </c>
      <c r="B9" s="115">
        <f>SdOran</f>
        <v/>
      </c>
    </row>
    <row r="10" ht="15" customHeight="1" s="64">
      <c r="A10" s="121" t="inlineStr">
        <is>
          <t>Güvenlik Payı</t>
        </is>
      </c>
      <c r="B10" s="115">
        <f>SdGuvenlikPayi</f>
        <v/>
      </c>
    </row>
    <row r="11" ht="15" customHeight="1" s="64">
      <c r="A11" s="121" t="inlineStr">
        <is>
          <t>Bileşen Toplam Tutarı (₺)</t>
        </is>
      </c>
      <c r="B11" s="120">
        <f>SdBilesenToplam</f>
        <v/>
      </c>
    </row>
    <row r="12" ht="15" customHeight="1" s="64">
      <c r="A12" s="121" t="inlineStr">
        <is>
          <t>Mutabakat Durumu</t>
        </is>
      </c>
      <c r="B12" s="117">
        <f>SdMutabakatDurumu</f>
        <v/>
      </c>
    </row>
    <row r="13" ht="15" customHeight="1" s="64">
      <c r="A13" s="121" t="inlineStr">
        <is>
          <t>Savunma Gücü</t>
        </is>
      </c>
      <c r="B13" s="117">
        <f>SdSavunmaGucu</f>
        <v/>
      </c>
    </row>
    <row r="14" ht="15" customHeight="1" s="64">
      <c r="A14" s="121" t="inlineStr">
        <is>
          <t>Veri Kalitesi Skoru</t>
        </is>
      </c>
      <c r="B14" s="112">
        <f>KaliteSkoru</f>
        <v/>
      </c>
    </row>
    <row r="15" ht="15" customHeight="1" s="64">
      <c r="A15" s="121" t="inlineStr">
        <is>
          <t>Tahmini Fiyat Farkı Etkisi (%)</t>
        </is>
      </c>
      <c r="B15" s="115">
        <f>SdFiyatFarkiEtki</f>
        <v/>
      </c>
    </row>
    <row r="16" ht="15" customHeight="1" s="64">
      <c r="A16" s="121" t="inlineStr">
        <is>
          <t>En Etkili Değişken</t>
        </is>
      </c>
      <c r="B16" s="117">
        <f>SENARYO_DUYARLILIK!B18</f>
        <v/>
      </c>
    </row>
    <row r="18" ht="15" customHeight="1" s="64">
      <c r="A18" s="124" t="inlineStr">
        <is>
          <t>Varsayımlar ve Önemli Notlar</t>
        </is>
      </c>
    </row>
    <row r="19" ht="15" customHeight="1" s="64">
      <c r="A19" s="99" t="inlineStr">
        <is>
          <t>• Sınır değer katsayısı (N) ve yöntem bilgisi idari şartnameden alınmalı; Varsayım kaynaklı değerler AYARLAR'da işaretlidir.</t>
        </is>
      </c>
    </row>
    <row r="20" ht="15" customHeight="1" s="64">
      <c r="A20" s="99" t="inlineStr">
        <is>
          <t>• Aşırı düşük tespiti 4734 sayılı Kanun md.38 ve YİUY esaslarına göre modelin yaptığı bir ön değerlendirmedir; idare kararı bağlayıcıdır.</t>
        </is>
      </c>
    </row>
    <row r="21" ht="15" customHeight="1" s="64">
      <c r="A21" s="99" t="inlineStr">
        <is>
          <t>• Rayiç değerler açıklama tarihi itibarıyla güncellenmelidir; teyitsiz rayiç savunmanın kabulünü zayıflatır.</t>
        </is>
      </c>
    </row>
    <row r="22" ht="15" customHeight="1" s="64">
      <c r="A22" s="99" t="inlineStr">
        <is>
          <t>• Demo veriler gerçek ihale verisi değildir; kullanımdan önce temizlenmelidir.</t>
        </is>
      </c>
    </row>
    <row r="23" ht="15" customHeight="1" s="64">
      <c r="A23" s="99" t="inlineStr">
        <is>
          <t>• Bu dosya karar destek aracıdır; ihale hukuku ve mali danışmanlık görüşünün yerine geçmez.</t>
        </is>
      </c>
    </row>
    <row r="25" ht="15" customHeight="1" s="64">
      <c r="A25" s="124" t="inlineStr">
        <is>
          <t>Önerilen Aksiyonlar</t>
        </is>
      </c>
    </row>
    <row r="26" ht="27.75" customHeight="1" s="64">
      <c r="A26" s="99">
        <f>KARAR!B15</f>
        <v/>
      </c>
    </row>
    <row r="27" ht="27.75" customHeight="1" s="64">
      <c r="A27" s="99">
        <f>KARAR!B16</f>
        <v/>
      </c>
    </row>
    <row r="28" ht="27.75" customHeight="1" s="64">
      <c r="A28" s="99">
        <f>KARAR!B17</f>
        <v/>
      </c>
    </row>
    <row r="30" ht="21.75" customHeight="1" s="64">
      <c r="A30" s="141" t="inlineStr">
        <is>
          <t>Bu rapor karar destek amaçlıdır; kesin ihale/mali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20:L20"/>
    <mergeCell ref="A26:L26"/>
    <mergeCell ref="A2:L2"/>
    <mergeCell ref="E4:L4"/>
    <mergeCell ref="A19:L19"/>
    <mergeCell ref="A28:L28"/>
    <mergeCell ref="A23:L23"/>
    <mergeCell ref="A22:L22"/>
    <mergeCell ref="A27:L27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&amp;LAŞIRI DÜŞÜK TEKLİF SAVUNMA ROBOTU&amp;CExcelArşiv&amp;RSayfa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0" min="1" max="1"/>
    <col width="22" customWidth="1" style="90" min="2" max="2"/>
    <col width="16" customWidth="1" style="90" min="3" max="4"/>
    <col width="22" customWidth="1" style="90" min="5" max="5"/>
  </cols>
  <sheetData>
    <row r="1" ht="25.5" customHeight="1" s="64">
      <c r="A1" s="102" t="inlineStr">
        <is>
          <t>ORNEK VERI — AŞIRI DÜŞÜK TEKLİF SAVUNMA ROBOTU</t>
        </is>
      </c>
    </row>
    <row r="3" ht="15" customHeight="1" s="64">
      <c r="A3" s="103" t="inlineStr">
        <is>
          <t>Örnek Veri (Demo)</t>
        </is>
      </c>
    </row>
    <row r="4" ht="149.25" customHeight="1" s="64">
      <c r="A4" s="104" t="inlineStr">
        <is>
          <t>Gerçek ihaleye başlamadan önce demo veri ile ürünü deneyin. Bu satırlar örnektir; gerçek verilerle değiştirin.</t>
        </is>
      </c>
    </row>
    <row r="5" ht="30" customHeight="1" s="64">
      <c r="A5" s="111" t="inlineStr">
        <is>
          <t>Tür</t>
        </is>
      </c>
      <c r="B5" s="111" t="inlineStr">
        <is>
          <t>Kalem veya Rakip</t>
        </is>
      </c>
      <c r="C5" s="111" t="inlineStr">
        <is>
          <t>Tutar (₺)</t>
        </is>
      </c>
      <c r="D5" s="111" t="inlineStr">
        <is>
          <t>Rayiç (₺)</t>
        </is>
      </c>
      <c r="E5" s="111" t="inlineStr">
        <is>
          <t>Not</t>
        </is>
      </c>
    </row>
    <row r="6" ht="15" customHeight="1" s="64">
      <c r="A6" s="142" t="inlineStr">
        <is>
          <t>Rakip</t>
        </is>
      </c>
      <c r="B6" s="142" t="inlineStr">
        <is>
          <t>Yapı A A.Ş.</t>
        </is>
      </c>
      <c r="C6" s="143" t="n">
        <v>11900000</v>
      </c>
      <c r="E6" s="142" t="inlineStr">
        <is>
          <t>Örnek teklif</t>
        </is>
      </c>
    </row>
    <row r="7" ht="15" customHeight="1" s="64">
      <c r="A7" s="142" t="inlineStr">
        <is>
          <t>Rakip</t>
        </is>
      </c>
      <c r="B7" s="142" t="inlineStr">
        <is>
          <t>İnşaat B Ltd.</t>
        </is>
      </c>
      <c r="C7" s="143" t="n">
        <v>12300000</v>
      </c>
      <c r="E7" s="142" t="inlineStr">
        <is>
          <t>Örnek teklif</t>
        </is>
      </c>
    </row>
    <row r="8" ht="15" customHeight="1" s="64">
      <c r="A8" s="142" t="inlineStr">
        <is>
          <t>Rakip</t>
        </is>
      </c>
      <c r="B8" s="142" t="inlineStr">
        <is>
          <t>C Yapım</t>
        </is>
      </c>
      <c r="C8" s="143" t="n">
        <v>10600000</v>
      </c>
      <c r="E8" s="142" t="inlineStr">
        <is>
          <t>Örnek teklif</t>
        </is>
      </c>
    </row>
    <row r="9" ht="15" customHeight="1" s="64">
      <c r="A9" s="142" t="inlineStr">
        <is>
          <t>Bileşen</t>
        </is>
      </c>
      <c r="B9" s="142" t="inlineStr">
        <is>
          <t>Beton C30</t>
        </is>
      </c>
      <c r="C9" s="143" t="n">
        <v>3150000</v>
      </c>
      <c r="D9" s="143" t="n">
        <v>2925000</v>
      </c>
      <c r="E9" s="142" t="inlineStr">
        <is>
          <t>Örnek kalem</t>
        </is>
      </c>
    </row>
    <row r="10" ht="15" customHeight="1" s="64">
      <c r="A10" s="142" t="inlineStr">
        <is>
          <t>Bileşen</t>
        </is>
      </c>
      <c r="B10" s="142" t="inlineStr">
        <is>
          <t>Demir Donatı</t>
        </is>
      </c>
      <c r="C10" s="143" t="n">
        <v>6726000</v>
      </c>
      <c r="D10" s="143" t="n">
        <v>6490000</v>
      </c>
      <c r="E10" s="142" t="inlineStr">
        <is>
          <t>Örnek kalem</t>
        </is>
      </c>
    </row>
    <row r="11" ht="15" customHeight="1" s="64">
      <c r="A11" s="142" t="inlineStr">
        <is>
          <t>Bileşen</t>
        </is>
      </c>
      <c r="B11" s="142" t="inlineStr">
        <is>
          <t>Kalıp İşçiliği</t>
        </is>
      </c>
      <c r="C11" s="143" t="n">
        <v>609000</v>
      </c>
      <c r="D11" s="143" t="n">
        <v>579600</v>
      </c>
      <c r="E11" s="142" t="inlineStr">
        <is>
          <t>Örnek kalem</t>
        </is>
      </c>
    </row>
    <row r="1006" ht="19.5" customHeight="1" s="64">
      <c r="A1006" s="101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64">
      <c r="A1" s="90" t="inlineStr">
        <is>
          <t>KURALLAR — eski35_asiri-dusuk-teklif-savunma-robotu_uretildi</t>
        </is>
      </c>
    </row>
    <row r="3" ht="15" customHeight="1" s="64">
      <c r="A3" s="90" t="inlineStr">
        <is>
          <t>kural_id</t>
        </is>
      </c>
      <c r="B3" s="90" t="inlineStr">
        <is>
          <t>aciklama</t>
        </is>
      </c>
      <c r="C3" s="90" t="inlineStr">
        <is>
          <t>deger_2025</t>
        </is>
      </c>
      <c r="D3" s="90" t="inlineStr">
        <is>
          <t>deger_2026</t>
        </is>
      </c>
      <c r="E3" s="90" t="inlineStr">
        <is>
          <t>deger_2027</t>
        </is>
      </c>
      <c r="F3" s="90" t="inlineStr">
        <is>
          <t>kaynak</t>
        </is>
      </c>
    </row>
    <row r="4" ht="15" customHeight="1" s="64">
      <c r="A4" s="90" t="inlineStr">
        <is>
          <t>K1</t>
        </is>
      </c>
      <c r="B4" s="90" t="inlineStr">
        <is>
          <t>Kurumlar vergisi oranı</t>
        </is>
      </c>
      <c r="C4" s="144" t="n">
        <v>0.25</v>
      </c>
      <c r="D4" s="144" t="n">
        <v>0.25</v>
      </c>
      <c r="E4" s="144" t="n">
        <v>0.25</v>
      </c>
      <c r="F4" s="90" t="inlineStr">
        <is>
          <t>KV</t>
        </is>
      </c>
    </row>
    <row r="5" ht="15" customHeight="1" s="64">
      <c r="A5" s="90" t="inlineStr">
        <is>
          <t>K2</t>
        </is>
      </c>
      <c r="B5" s="90" t="inlineStr">
        <is>
          <t>İskonto / referans oran</t>
        </is>
      </c>
      <c r="C5" s="144" t="n">
        <v>0.2</v>
      </c>
      <c r="D5" s="144" t="n">
        <v>0.2</v>
      </c>
      <c r="E5" s="144" t="n">
        <v>0.2</v>
      </c>
      <c r="F5" s="90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64">
      <c r="A1" s="90" t="inlineStr">
        <is>
          <t>VAKALAR — eski35_asiri-dusuk-teklif-savunma-robotu_uretildi</t>
        </is>
      </c>
    </row>
    <row r="3" ht="15" customHeight="1" s="64">
      <c r="A3" s="90" t="inlineStr">
        <is>
          <t>Tebliğ tarzı altın vakalar</t>
        </is>
      </c>
    </row>
    <row r="5" ht="15" customHeight="1" s="64">
      <c r="A5" s="90" t="inlineStr">
        <is>
          <t>vaka_id</t>
        </is>
      </c>
      <c r="B5" s="90" t="inlineStr">
        <is>
          <t>aciklama</t>
        </is>
      </c>
      <c r="C5" s="90" t="inlineStr">
        <is>
          <t>girdi_ozeti</t>
        </is>
      </c>
      <c r="D5" s="90" t="inlineStr">
        <is>
          <t>beklenen_sonuc</t>
        </is>
      </c>
      <c r="E5" s="90" t="inlineStr">
        <is>
          <t>hesaplanan</t>
        </is>
      </c>
      <c r="F5" s="90" t="inlineStr">
        <is>
          <t>fark</t>
        </is>
      </c>
      <c r="G5" s="90" t="inlineStr">
        <is>
          <t>durum</t>
        </is>
      </c>
      <c r="H5" s="90" t="inlineStr">
        <is>
          <t>kaynak</t>
        </is>
      </c>
    </row>
    <row r="6" ht="15" customHeight="1" s="64">
      <c r="A6" s="90" t="inlineStr">
        <is>
          <t>V1</t>
        </is>
      </c>
      <c r="B6" s="90" t="inlineStr">
        <is>
          <t>Baz senaryo tutarlılık</t>
        </is>
      </c>
      <c r="C6" s="90" t="inlineStr">
        <is>
          <t>örnek girdi</t>
        </is>
      </c>
      <c r="D6" s="144" t="n">
        <v>0</v>
      </c>
      <c r="E6" s="144" t="n">
        <v>0</v>
      </c>
      <c r="F6" s="144" t="n">
        <v>0</v>
      </c>
      <c r="G6" s="90" t="inlineStr">
        <is>
          <t>TUTARLI</t>
        </is>
      </c>
      <c r="H6" s="90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0" min="1" max="1"/>
    <col width="10" customWidth="1" style="90" min="2" max="2"/>
    <col width="40" customWidth="1" style="90" min="3" max="3"/>
    <col width="30" customWidth="1" style="90" min="4" max="4"/>
    <col width="14" customWidth="1" style="90" min="5" max="5"/>
  </cols>
  <sheetData>
    <row r="1" ht="25.5" customHeight="1" s="64">
      <c r="A1" s="102" t="inlineStr">
        <is>
          <t>DEGISIKLIK KAYDI — AŞIRI DÜŞÜK TEKLİF SAVUNMA ROBOTU</t>
        </is>
      </c>
    </row>
    <row r="3" ht="15" customHeight="1" s="64">
      <c r="A3" s="103" t="inlineStr">
        <is>
          <t>Değişiklik Kaydı</t>
        </is>
      </c>
    </row>
    <row r="4" ht="30" customHeight="1" s="64">
      <c r="A4" s="111" t="inlineStr">
        <is>
          <t>Tarih</t>
        </is>
      </c>
      <c r="B4" s="111" t="inlineStr">
        <is>
          <t>Sürüm</t>
        </is>
      </c>
      <c r="C4" s="111" t="inlineStr">
        <is>
          <t>Değişiklik</t>
        </is>
      </c>
      <c r="D4" s="111" t="inlineStr">
        <is>
          <t>Neden</t>
        </is>
      </c>
      <c r="E4" s="111" t="inlineStr">
        <is>
          <t>Yapan</t>
        </is>
      </c>
    </row>
    <row r="5" ht="15" customHeight="1" s="64">
      <c r="A5" s="142" t="inlineStr">
        <is>
          <t>08.08.2026</t>
        </is>
      </c>
      <c r="B5" s="142" t="inlineStr">
        <is>
          <t>1.0.0</t>
        </is>
      </c>
      <c r="C5" s="142" t="inlineStr">
        <is>
          <t>İlk üretim</t>
        </is>
      </c>
      <c r="D5" s="142" t="inlineStr">
        <is>
          <t>Ürünün yayına hazırlanması</t>
        </is>
      </c>
      <c r="E5" s="142" t="inlineStr">
        <is>
          <t>ExcelArşiv</t>
        </is>
      </c>
    </row>
    <row r="8" ht="19.5" customHeight="1" s="64">
      <c r="A8" s="101" t="inlineStr">
        <is>
          <t>Sürüm ve lisans bilgisi KAPAK ve AYARLAR sayfalarında da bulunur.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8:AN8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0" min="1" max="1"/>
    <col width="14" customWidth="1" style="90" min="3" max="3"/>
    <col width="16" customWidth="1" style="90" min="5" max="5"/>
    <col width="12" customWidth="1" style="90" min="7" max="7"/>
    <col width="12" customWidth="1" style="90" min="9" max="9"/>
  </cols>
  <sheetData>
    <row r="1" ht="25.5" customHeight="1" s="64">
      <c r="A1" s="102" t="inlineStr">
        <is>
          <t>LISTELER — AŞIRI DÜŞÜK TEKLİF SAVUNMA ROBOTU</t>
        </is>
      </c>
    </row>
    <row r="3" ht="15" customHeight="1" s="64">
      <c r="A3" s="103" t="inlineStr">
        <is>
          <t>Bağlı Listeler</t>
        </is>
      </c>
    </row>
    <row r="4" ht="41.25" customHeight="1" s="64">
      <c r="A4" s="104" t="inlineStr">
        <is>
          <t>Bu sayfadaki listeler açılır menüleri besler; yeni seçenek eklemek için sarı hücrelere yazın.</t>
        </is>
      </c>
    </row>
    <row r="5" ht="15" customHeight="1" s="64">
      <c r="A5" s="145" t="inlineStr">
        <is>
          <t>Sınır Değer Yöntemi</t>
        </is>
      </c>
      <c r="C5" s="145" t="inlineStr">
        <is>
          <t>Birim</t>
        </is>
      </c>
      <c r="E5" s="145" t="inlineStr">
        <is>
          <t>Dayanak Türü</t>
        </is>
      </c>
      <c r="G5" s="145" t="inlineStr">
        <is>
          <t>Evet/Hayır</t>
        </is>
      </c>
      <c r="I5" s="145" t="inlineStr">
        <is>
          <t>Kalite Seviyesi</t>
        </is>
      </c>
    </row>
    <row r="6" ht="15" customHeight="1" s="64">
      <c r="A6" s="146" t="inlineStr">
        <is>
          <t>Ortalamanın Altındakilerin Ortalaması</t>
        </is>
      </c>
      <c r="C6" s="146" t="inlineStr">
        <is>
          <t>Adet</t>
        </is>
      </c>
      <c r="E6" s="146" t="inlineStr">
        <is>
          <t>Fatura</t>
        </is>
      </c>
      <c r="G6" s="146" t="inlineStr">
        <is>
          <t>EVET</t>
        </is>
      </c>
      <c r="I6" s="146" t="inlineStr">
        <is>
          <t>YÜKSEK</t>
        </is>
      </c>
    </row>
    <row r="7" ht="15" customHeight="1" s="64">
      <c r="A7" s="146" t="inlineStr">
        <is>
          <t>Tüm Geçerli Tekliflerin Ortalaması</t>
        </is>
      </c>
      <c r="C7" s="146" t="inlineStr">
        <is>
          <t>kg</t>
        </is>
      </c>
      <c r="E7" s="146" t="inlineStr">
        <is>
          <t>Teklif</t>
        </is>
      </c>
      <c r="G7" s="146" t="inlineStr">
        <is>
          <t>HAYIR</t>
        </is>
      </c>
      <c r="I7" s="146" t="inlineStr">
        <is>
          <t>ORTA</t>
        </is>
      </c>
    </row>
    <row r="8" ht="15" customHeight="1" s="64">
      <c r="A8" s="118" t="n"/>
      <c r="C8" s="146" t="inlineStr">
        <is>
          <t>ton</t>
        </is>
      </c>
      <c r="E8" s="146" t="inlineStr">
        <is>
          <t>Rayiç</t>
        </is>
      </c>
      <c r="G8" s="118" t="n"/>
      <c r="I8" s="146" t="inlineStr">
        <is>
          <t>DÜŞÜK</t>
        </is>
      </c>
    </row>
    <row r="9" ht="15" customHeight="1" s="64">
      <c r="A9" s="118" t="n"/>
      <c r="C9" s="146" t="inlineStr">
        <is>
          <t>m³</t>
        </is>
      </c>
      <c r="E9" s="146" t="inlineStr">
        <is>
          <t>Analiz</t>
        </is>
      </c>
      <c r="G9" s="118" t="n"/>
      <c r="I9" s="118" t="n"/>
    </row>
    <row r="10" ht="15" customHeight="1" s="64">
      <c r="A10" s="118" t="n"/>
      <c r="C10" s="146" t="inlineStr">
        <is>
          <t>m²</t>
        </is>
      </c>
      <c r="E10" s="146" t="inlineStr">
        <is>
          <t>Yönetmelik</t>
        </is>
      </c>
      <c r="G10" s="118" t="n"/>
      <c r="I10" s="118" t="n"/>
    </row>
    <row r="11" ht="15" customHeight="1" s="64">
      <c r="A11" s="118" t="n"/>
      <c r="C11" s="146" t="inlineStr">
        <is>
          <t>m</t>
        </is>
      </c>
      <c r="E11" s="118" t="n"/>
      <c r="G11" s="118" t="n"/>
      <c r="I11" s="118" t="n"/>
    </row>
    <row r="12" ht="15" customHeight="1" s="64">
      <c r="A12" s="118" t="n"/>
      <c r="C12" s="146" t="inlineStr">
        <is>
          <t>sayaç</t>
        </is>
      </c>
      <c r="E12" s="118" t="n"/>
      <c r="G12" s="118" t="n"/>
      <c r="I12" s="118" t="n"/>
    </row>
    <row r="13" ht="15" customHeight="1" s="64">
      <c r="A13" s="118" t="n"/>
      <c r="C13" s="146" t="inlineStr">
        <is>
          <t>Takım</t>
        </is>
      </c>
      <c r="E13" s="118" t="n"/>
      <c r="G13" s="118" t="n"/>
      <c r="I13" s="118" t="n"/>
    </row>
    <row r="14" ht="15" customHeight="1" s="64">
      <c r="A14" s="118" t="n"/>
      <c r="C14" s="146" t="inlineStr">
        <is>
          <t>Lot</t>
        </is>
      </c>
      <c r="E14" s="118" t="n"/>
      <c r="G14" s="118" t="n"/>
      <c r="I14" s="118" t="n"/>
    </row>
    <row r="15" ht="15" customHeight="1" s="64">
      <c r="A15" s="118" t="n"/>
      <c r="C15" s="146" t="inlineStr">
        <is>
          <t>işçilik</t>
        </is>
      </c>
      <c r="E15" s="118" t="n"/>
      <c r="G15" s="118" t="n"/>
      <c r="I15" s="118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D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90" min="1" max="1"/>
    <col width="24" customWidth="1" style="90" min="2" max="2"/>
    <col width="20" customWidth="1" style="90" min="3" max="3"/>
    <col width="10" customWidth="1" style="90" min="4" max="4"/>
    <col width="46" customWidth="1" style="90" min="5" max="5"/>
    <col width="26" customWidth="1" style="90" min="6" max="6"/>
    <col width="14" customWidth="1" style="90" min="7" max="8"/>
  </cols>
  <sheetData>
    <row r="1" ht="25.5" customHeight="1" s="64">
      <c r="A1" s="102" t="inlineStr">
        <is>
          <t>AYARLAR — AŞIRI DÜŞÜK TEKLİF SAVUNMA ROBOTU</t>
        </is>
      </c>
    </row>
    <row r="3" ht="15" customHeight="1" s="64">
      <c r="A3" s="103" t="inlineStr">
        <is>
          <t>Sistem Ayarları ve Eşikler</t>
        </is>
      </c>
    </row>
    <row r="4" ht="68.25" customHeight="1" s="64">
      <c r="A4" s="104" t="inlineStr">
        <is>
          <t>Tüm katsayı ve eşikler bu sayfadadır. Mevzuat değişikliklerinde AYARLAR'dan güncellenir; formüller değişmez. Kaynak sütunu hangi değerin varsayım olduğunu gösterir.</t>
        </is>
      </c>
    </row>
    <row r="6" ht="15" customHeight="1" s="64">
      <c r="A6" s="145" t="inlineStr">
        <is>
          <t>Ayar Adı</t>
        </is>
      </c>
      <c r="B6" s="145" t="inlineStr">
        <is>
          <t>Anahtar</t>
        </is>
      </c>
      <c r="C6" s="145" t="inlineStr">
        <is>
          <t>Değer</t>
        </is>
      </c>
      <c r="D6" s="145" t="inlineStr">
        <is>
          <t>Birim</t>
        </is>
      </c>
      <c r="E6" s="145" t="inlineStr">
        <is>
          <t>Açıklama</t>
        </is>
      </c>
      <c r="F6" s="145" t="inlineStr">
        <is>
          <t>kaynak</t>
        </is>
      </c>
      <c r="G6" s="145" t="inlineStr">
        <is>
          <t>yururluk_tarihi</t>
        </is>
      </c>
      <c r="H6" s="145" t="inlineStr">
        <is>
          <t>dogrulama_tarihi</t>
        </is>
      </c>
    </row>
    <row r="7" ht="15" customHeight="1" s="64">
      <c r="A7" s="99" t="inlineStr">
        <is>
          <t>Firma Ünvanı</t>
        </is>
      </c>
      <c r="B7" s="97" t="inlineStr">
        <is>
          <t>FirmaUnvan</t>
        </is>
      </c>
      <c r="C7" s="147" t="inlineStr">
        <is>
          <t>Örnek Yapı A.Ş.</t>
        </is>
      </c>
      <c r="D7" s="97" t="inlineStr">
        <is>
          <t>metin</t>
        </is>
      </c>
      <c r="E7" s="148" t="inlineStr">
        <is>
          <t>Rapor kimliği; ticari unvan.</t>
        </is>
      </c>
      <c r="F7" s="97" t="inlineStr">
        <is>
          <t>Kullanıcı</t>
        </is>
      </c>
      <c r="G7" s="97" t="inlineStr">
        <is>
          <t>09.08.2026</t>
        </is>
      </c>
      <c r="H7" s="97" t="inlineStr">
        <is>
          <t>09.08.2026</t>
        </is>
      </c>
    </row>
    <row r="8" ht="15" customHeight="1" s="64">
      <c r="A8" s="99" t="inlineStr">
        <is>
          <t>Rapor Tarihi</t>
        </is>
      </c>
      <c r="B8" s="97" t="inlineStr">
        <is>
          <t>RaporTarihi</t>
        </is>
      </c>
      <c r="C8" s="149" t="n">
        <v>46242</v>
      </c>
      <c r="D8" s="97" t="inlineStr">
        <is>
          <t>tarih</t>
        </is>
      </c>
      <c r="E8" s="148" t="inlineStr">
        <is>
          <t>Kararın tarihlendirildiği gün.</t>
        </is>
      </c>
      <c r="F8" s="97" t="inlineStr">
        <is>
          <t>Kullanıcı</t>
        </is>
      </c>
      <c r="G8" s="97" t="inlineStr">
        <is>
          <t>09.08.2026</t>
        </is>
      </c>
      <c r="H8" s="97" t="inlineStr">
        <is>
          <t>09.08.2026</t>
        </is>
      </c>
    </row>
    <row r="9" ht="15" customHeight="1" s="64">
      <c r="A9" s="99" t="inlineStr">
        <is>
          <t>Raporu Hazırlayan</t>
        </is>
      </c>
      <c r="B9" s="97" t="inlineStr">
        <is>
          <t>RaporHazirlayan</t>
        </is>
      </c>
      <c r="C9" s="147" t="inlineStr">
        <is>
          <t>Teklif Direktörü</t>
        </is>
      </c>
      <c r="D9" s="97" t="inlineStr">
        <is>
          <t>metin</t>
        </is>
      </c>
      <c r="E9" s="148" t="inlineStr">
        <is>
          <t>Raporu düzenleyen sorumlu.</t>
        </is>
      </c>
      <c r="F9" s="97" t="inlineStr">
        <is>
          <t>Kullanıcı</t>
        </is>
      </c>
      <c r="G9" s="97" t="inlineStr">
        <is>
          <t>09.08.2026</t>
        </is>
      </c>
      <c r="H9" s="97" t="inlineStr">
        <is>
          <t>09.08.2026</t>
        </is>
      </c>
    </row>
    <row r="10" ht="15" customHeight="1" s="64">
      <c r="A10" s="99" t="inlineStr">
        <is>
          <t>Dosya Sürümü</t>
        </is>
      </c>
      <c r="B10" s="97" t="inlineStr">
        <is>
          <t>DosyaSurumu</t>
        </is>
      </c>
      <c r="C10" s="147" t="inlineStr">
        <is>
          <t>1.0.0</t>
        </is>
      </c>
      <c r="D10" s="97" t="inlineStr">
        <is>
          <t>metin</t>
        </is>
      </c>
      <c r="E10" s="148" t="inlineStr">
        <is>
          <t>Sürüm tanımlayıcı.</t>
        </is>
      </c>
      <c r="F10" s="97" t="inlineStr">
        <is>
          <t>Sabit</t>
        </is>
      </c>
      <c r="G10" s="97" t="inlineStr">
        <is>
          <t>09.08.2026</t>
        </is>
      </c>
      <c r="H10" s="97" t="inlineStr">
        <is>
          <t>09.08.2026</t>
        </is>
      </c>
    </row>
    <row r="11" ht="24.75" customHeight="1" s="64">
      <c r="A11" s="99" t="inlineStr">
        <is>
          <t>Aşırı Düşük Eşiği (Oran)</t>
        </is>
      </c>
      <c r="B11" s="97" t="inlineStr">
        <is>
          <t>AsiriDusukEsik</t>
        </is>
      </c>
      <c r="C11" s="150" t="n">
        <v>1</v>
      </c>
      <c r="D11" s="97" t="inlineStr">
        <is>
          <t>oran</t>
        </is>
      </c>
      <c r="E11" s="148" t="inlineStr">
        <is>
          <t>Teklif/sınır değer oranı bu değerin altındaysa aşırı düşük sayılır; açıklama istenir.</t>
        </is>
      </c>
      <c r="F11" s="97" t="inlineStr">
        <is>
          <t>4734 s. KİK md.38; YİUY md.61-62</t>
        </is>
      </c>
      <c r="G11" s="97" t="inlineStr">
        <is>
          <t>01.01.2003</t>
        </is>
      </c>
      <c r="H11" s="97" t="inlineStr">
        <is>
          <t>01.01.2003</t>
        </is>
      </c>
    </row>
    <row r="12" ht="15" customHeight="1" s="64">
      <c r="A12" s="99" t="inlineStr">
        <is>
          <t>Dikkat Eşiği (Oran)</t>
        </is>
      </c>
      <c r="B12" s="97" t="inlineStr">
        <is>
          <t>DikkatEsik</t>
        </is>
      </c>
      <c r="C12" s="150" t="n">
        <v>1.05</v>
      </c>
      <c r="D12" s="97" t="inlineStr">
        <is>
          <t>oran</t>
        </is>
      </c>
      <c r="E12" s="148" t="inlineStr">
        <is>
          <t>Güvenlik payı; %5 altı SINIRDA bölgesi.</t>
        </is>
      </c>
      <c r="F12" s="97" t="inlineStr">
        <is>
          <t>Varsayım</t>
        </is>
      </c>
      <c r="G12" s="97" t="inlineStr">
        <is>
          <t>09.08.2026</t>
        </is>
      </c>
      <c r="H12" s="97" t="inlineStr">
        <is>
          <t>09.08.2026</t>
        </is>
      </c>
    </row>
    <row r="13" ht="15" customHeight="1" s="64">
      <c r="A13" s="99" t="inlineStr">
        <is>
          <t>Anomali Z Eşiği</t>
        </is>
      </c>
      <c r="B13" s="97" t="inlineStr">
        <is>
          <t>AnomaliZEsik</t>
        </is>
      </c>
      <c r="C13" s="119" t="n">
        <v>2</v>
      </c>
      <c r="D13" s="97" t="inlineStr">
        <is>
          <t>adet</t>
        </is>
      </c>
      <c r="E13" s="148" t="inlineStr">
        <is>
          <t>Teklif Z skoru bu değeri aşarsa anomali bayrağı.</t>
        </is>
      </c>
      <c r="F13" s="97" t="inlineStr">
        <is>
          <t>Varsayım</t>
        </is>
      </c>
      <c r="G13" s="97" t="inlineStr">
        <is>
          <t>09.08.2026</t>
        </is>
      </c>
      <c r="H13" s="97" t="inlineStr">
        <is>
          <t>09.08.2026</t>
        </is>
      </c>
    </row>
    <row r="14" ht="15" customHeight="1" s="64">
      <c r="A14" s="99" t="inlineStr">
        <is>
          <t>Rayiç Sapma Eşiği (%)</t>
        </is>
      </c>
      <c r="B14" s="97" t="inlineStr">
        <is>
          <t>RayicSapmaEsik</t>
        </is>
      </c>
      <c r="C14" s="150" t="n">
        <v>0.2</v>
      </c>
      <c r="D14" s="97" t="inlineStr">
        <is>
          <t>oran</t>
        </is>
      </c>
      <c r="E14" s="148" t="inlineStr">
        <is>
          <t>Birim fiyatın rayiçten %20'den fazla sapması riskli kabul edilir.</t>
        </is>
      </c>
      <c r="F14" s="97" t="inlineStr">
        <is>
          <t>Varsayım</t>
        </is>
      </c>
      <c r="G14" s="97" t="inlineStr">
        <is>
          <t>09.08.2026</t>
        </is>
      </c>
      <c r="H14" s="97" t="inlineStr">
        <is>
          <t>09.08.2026</t>
        </is>
      </c>
    </row>
    <row r="15" ht="15" customHeight="1" s="64">
      <c r="A15" s="99" t="inlineStr">
        <is>
          <t>Dayanak Ağırlığı Eşiği (%)</t>
        </is>
      </c>
      <c r="B15" s="97" t="inlineStr">
        <is>
          <t>DayanakEsik</t>
        </is>
      </c>
      <c r="C15" s="150" t="n">
        <v>0.8</v>
      </c>
      <c r="D15" s="97" t="inlineStr">
        <is>
          <t>oran</t>
        </is>
      </c>
      <c r="E15" s="148" t="inlineStr">
        <is>
          <t>Açıklanan bileşen ağırlığı %80 altında ise savunma ZAYIF.</t>
        </is>
      </c>
      <c r="F15" s="97" t="inlineStr">
        <is>
          <t>Varsayım</t>
        </is>
      </c>
      <c r="G15" s="97" t="inlineStr">
        <is>
          <t>09.08.2026</t>
        </is>
      </c>
      <c r="H15" s="97" t="inlineStr">
        <is>
          <t>09.08.2026</t>
        </is>
      </c>
    </row>
    <row r="16" ht="15" customHeight="1" s="64">
      <c r="A16" s="99" t="inlineStr">
        <is>
          <t>Kabul Edilebilir Mutabakat Farkı (₺)</t>
        </is>
      </c>
      <c r="B16" s="97" t="inlineStr">
        <is>
          <t>KabulEdilebilirFark</t>
        </is>
      </c>
      <c r="C16" s="114" t="n">
        <v>25000</v>
      </c>
      <c r="D16" s="97" t="inlineStr">
        <is>
          <t>₺</t>
        </is>
      </c>
      <c r="E16" s="148" t="inlineStr">
        <is>
          <t>Bileşen toplamı ile teklif tutarı arasındaki kabul edilebilir fark.</t>
        </is>
      </c>
      <c r="F16" s="97" t="inlineStr">
        <is>
          <t>Varsayım</t>
        </is>
      </c>
      <c r="G16" s="97" t="inlineStr">
        <is>
          <t>09.08.2026</t>
        </is>
      </c>
      <c r="H16" s="97" t="inlineStr">
        <is>
          <t>09.08.2026</t>
        </is>
      </c>
    </row>
    <row r="17" ht="15" customHeight="1" s="64">
      <c r="A17" s="99" t="inlineStr">
        <is>
          <t>İyimser Senaryo N Çarpanı</t>
        </is>
      </c>
      <c r="B17" s="97" t="inlineStr">
        <is>
          <t>IyiN</t>
        </is>
      </c>
      <c r="C17" s="150" t="n">
        <v>1</v>
      </c>
      <c r="D17" s="97" t="inlineStr">
        <is>
          <t>oran</t>
        </is>
      </c>
      <c r="E17" s="148" t="inlineStr">
        <is>
          <t>İyimser senaryoda N katsayı çarpanı.</t>
        </is>
      </c>
      <c r="F17" s="97" t="inlineStr">
        <is>
          <t>Varsayım</t>
        </is>
      </c>
      <c r="G17" s="97" t="inlineStr">
        <is>
          <t>09.08.2026</t>
        </is>
      </c>
      <c r="H17" s="97" t="inlineStr">
        <is>
          <t>09.08.2026</t>
        </is>
      </c>
    </row>
    <row r="18" ht="15" customHeight="1" s="64">
      <c r="A18" s="99" t="inlineStr">
        <is>
          <t>İyimser Senaryo Teklif Çarpanı</t>
        </is>
      </c>
      <c r="B18" s="97" t="inlineStr">
        <is>
          <t>IyiTeklif</t>
        </is>
      </c>
      <c r="C18" s="150" t="n">
        <v>0.9</v>
      </c>
      <c r="D18" s="97" t="inlineStr">
        <is>
          <t>oran</t>
        </is>
      </c>
      <c r="E18" s="148" t="inlineStr">
        <is>
          <t>İyimser senaryoda teklif çarpanı.</t>
        </is>
      </c>
      <c r="F18" s="97" t="inlineStr">
        <is>
          <t>Varsayım</t>
        </is>
      </c>
      <c r="G18" s="97" t="inlineStr">
        <is>
          <t>09.08.2026</t>
        </is>
      </c>
      <c r="H18" s="97" t="inlineStr">
        <is>
          <t>09.08.2026</t>
        </is>
      </c>
    </row>
    <row r="19" ht="15" customHeight="1" s="64">
      <c r="A19" s="99" t="inlineStr">
        <is>
          <t>Baz Senaryo N Çarpanı</t>
        </is>
      </c>
      <c r="B19" s="97" t="inlineStr">
        <is>
          <t>BazN</t>
        </is>
      </c>
      <c r="C19" s="150" t="n">
        <v>1</v>
      </c>
      <c r="D19" s="97" t="inlineStr">
        <is>
          <t>oran</t>
        </is>
      </c>
      <c r="E19" s="148" t="inlineStr">
        <is>
          <t>Baz senaryoda N katsayı çarpanı.</t>
        </is>
      </c>
      <c r="F19" s="97" t="inlineStr">
        <is>
          <t>Varsayım</t>
        </is>
      </c>
      <c r="G19" s="97" t="inlineStr">
        <is>
          <t>09.08.2026</t>
        </is>
      </c>
      <c r="H19" s="97" t="inlineStr">
        <is>
          <t>09.08.2026</t>
        </is>
      </c>
    </row>
    <row r="20" ht="15" customHeight="1" s="64">
      <c r="A20" s="99" t="inlineStr">
        <is>
          <t>Baz Senaryo Teklif Çarpanı</t>
        </is>
      </c>
      <c r="B20" s="97" t="inlineStr">
        <is>
          <t>BazTeklif</t>
        </is>
      </c>
      <c r="C20" s="150" t="n">
        <v>1</v>
      </c>
      <c r="D20" s="97" t="inlineStr">
        <is>
          <t>oran</t>
        </is>
      </c>
      <c r="E20" s="148" t="inlineStr">
        <is>
          <t>Baz senaryoda teklif çarpanı.</t>
        </is>
      </c>
      <c r="F20" s="97" t="inlineStr">
        <is>
          <t>Varsayım</t>
        </is>
      </c>
      <c r="G20" s="97" t="inlineStr">
        <is>
          <t>09.08.2026</t>
        </is>
      </c>
      <c r="H20" s="97" t="inlineStr">
        <is>
          <t>09.08.2026</t>
        </is>
      </c>
    </row>
    <row r="21" ht="15" customHeight="1" s="64">
      <c r="A21" s="99" t="inlineStr">
        <is>
          <t>Kötümser Senaryo N Çarpanı</t>
        </is>
      </c>
      <c r="B21" s="97" t="inlineStr">
        <is>
          <t>KotuN</t>
        </is>
      </c>
      <c r="C21" s="150" t="n">
        <v>1</v>
      </c>
      <c r="D21" s="97" t="inlineStr">
        <is>
          <t>oran</t>
        </is>
      </c>
      <c r="E21" s="148" t="inlineStr">
        <is>
          <t>Kötümser senaryoda N katsayı çarpanı.</t>
        </is>
      </c>
      <c r="F21" s="97" t="inlineStr">
        <is>
          <t>Varsayım</t>
        </is>
      </c>
      <c r="G21" s="97" t="inlineStr">
        <is>
          <t>09.08.2026</t>
        </is>
      </c>
      <c r="H21" s="97" t="inlineStr">
        <is>
          <t>09.08.2026</t>
        </is>
      </c>
    </row>
    <row r="22" ht="15" customHeight="1" s="64">
      <c r="A22" s="99" t="inlineStr">
        <is>
          <t>Kötümser Senaryo Teklif Çarpanı</t>
        </is>
      </c>
      <c r="B22" s="97" t="inlineStr">
        <is>
          <t>KotuTeklif</t>
        </is>
      </c>
      <c r="C22" s="150" t="n">
        <v>1.15</v>
      </c>
      <c r="D22" s="97" t="inlineStr">
        <is>
          <t>oran</t>
        </is>
      </c>
      <c r="E22" s="148" t="inlineStr">
        <is>
          <t>Kötümser senaryoda teklif çarpanı.</t>
        </is>
      </c>
      <c r="F22" s="97" t="inlineStr">
        <is>
          <t>Varsayım</t>
        </is>
      </c>
      <c r="G22" s="97" t="inlineStr">
        <is>
          <t>09.08.2026</t>
        </is>
      </c>
      <c r="H22" s="97" t="inlineStr">
        <is>
          <t>09.08.2026</t>
        </is>
      </c>
    </row>
    <row r="23" ht="15" customHeight="1" s="64">
      <c r="A23" s="99" t="inlineStr">
        <is>
          <t>Tornado N Etkisi (±)</t>
        </is>
      </c>
      <c r="B23" s="97" t="inlineStr">
        <is>
          <t>TornadoN</t>
        </is>
      </c>
      <c r="C23" s="150" t="n">
        <v>0.1</v>
      </c>
      <c r="D23" s="97" t="inlineStr">
        <is>
          <t>oran</t>
        </is>
      </c>
      <c r="E23" s="148" t="inlineStr">
        <is>
          <t>N katsayısı duyarlılık adımı.</t>
        </is>
      </c>
      <c r="F23" s="97" t="inlineStr">
        <is>
          <t>Varsayım</t>
        </is>
      </c>
      <c r="G23" s="97" t="inlineStr">
        <is>
          <t>09.08.2026</t>
        </is>
      </c>
      <c r="H23" s="97" t="inlineStr">
        <is>
          <t>09.08.2026</t>
        </is>
      </c>
    </row>
    <row r="24" ht="15" customHeight="1" s="64">
      <c r="A24" s="99" t="inlineStr">
        <is>
          <t>Tornado Teklif Etkisi (±)</t>
        </is>
      </c>
      <c r="B24" s="97" t="inlineStr">
        <is>
          <t>TornadoTeklif</t>
        </is>
      </c>
      <c r="C24" s="150" t="n">
        <v>0.1</v>
      </c>
      <c r="D24" s="97" t="inlineStr">
        <is>
          <t>oran</t>
        </is>
      </c>
      <c r="E24" s="148" t="inlineStr">
        <is>
          <t>Teklif tutarı duyarlılık adımı.</t>
        </is>
      </c>
      <c r="F24" s="97" t="inlineStr">
        <is>
          <t>Varsayım</t>
        </is>
      </c>
      <c r="G24" s="97" t="inlineStr">
        <is>
          <t>09.08.2026</t>
        </is>
      </c>
      <c r="H24" s="97" t="inlineStr">
        <is>
          <t>09.08.2026</t>
        </is>
      </c>
    </row>
    <row r="25" ht="15" customHeight="1" s="64">
      <c r="A25" s="99" t="inlineStr">
        <is>
          <t>Tornado Rakip Etkisi (±)</t>
        </is>
      </c>
      <c r="B25" s="97" t="inlineStr">
        <is>
          <t>TornadoRakip</t>
        </is>
      </c>
      <c r="C25" s="150" t="n">
        <v>0.1</v>
      </c>
      <c r="D25" s="97" t="inlineStr">
        <is>
          <t>oran</t>
        </is>
      </c>
      <c r="E25" s="148" t="inlineStr">
        <is>
          <t>Rakip ortalaması duyarlılık adımı.</t>
        </is>
      </c>
      <c r="F25" s="97" t="inlineStr">
        <is>
          <t>Varsayım</t>
        </is>
      </c>
      <c r="G25" s="97" t="inlineStr">
        <is>
          <t>09.08.2026</t>
        </is>
      </c>
      <c r="H25" s="97" t="inlineStr">
        <is>
          <t>09.08.2026</t>
        </is>
      </c>
    </row>
    <row r="26" ht="15" customHeight="1" s="64">
      <c r="A26" s="99" t="inlineStr">
        <is>
          <t>Tornado Rayiç Etkisi (±)</t>
        </is>
      </c>
      <c r="B26" s="97" t="inlineStr">
        <is>
          <t>TornadoRayic</t>
        </is>
      </c>
      <c r="C26" s="150" t="n">
        <v>0.1</v>
      </c>
      <c r="D26" s="97" t="inlineStr">
        <is>
          <t>oran</t>
        </is>
      </c>
      <c r="E26" s="148" t="inlineStr">
        <is>
          <t>Rayiç tutarlar duyarlılık adımı.</t>
        </is>
      </c>
      <c r="F26" s="97" t="inlineStr">
        <is>
          <t>Varsayım</t>
        </is>
      </c>
      <c r="G26" s="97" t="inlineStr">
        <is>
          <t>09.08.2026</t>
        </is>
      </c>
      <c r="H26" s="97" t="inlineStr">
        <is>
          <t>09.08.2026</t>
        </is>
      </c>
    </row>
    <row r="27" ht="15" customHeight="1" s="64">
      <c r="A27" s="99" t="inlineStr">
        <is>
          <t>Tahmin Bandı Genişliği (%)</t>
        </is>
      </c>
      <c r="B27" s="97" t="inlineStr">
        <is>
          <t>TahminGenislik</t>
        </is>
      </c>
      <c r="C27" s="150" t="n">
        <v>0.1</v>
      </c>
      <c r="D27" s="97" t="inlineStr">
        <is>
          <t>oran</t>
        </is>
      </c>
      <c r="E27" s="148" t="inlineStr">
        <is>
          <t>Endeks tahmininin alt/üst sınır bandı.</t>
        </is>
      </c>
      <c r="F27" s="97" t="inlineStr">
        <is>
          <t>Varsayım</t>
        </is>
      </c>
      <c r="G27" s="97" t="inlineStr">
        <is>
          <t>09.08.2026</t>
        </is>
      </c>
      <c r="H27" s="97" t="inlineStr">
        <is>
          <t>09.08.2026</t>
        </is>
      </c>
    </row>
    <row r="28" ht="15" customHeight="1" s="64">
      <c r="A28" s="99" t="inlineStr">
        <is>
          <t>Projeksiyon İleri Dönem</t>
        </is>
      </c>
      <c r="B28" s="97" t="inlineStr">
        <is>
          <t>ProjeksiyonIleriDonem</t>
        </is>
      </c>
      <c r="C28" s="119" t="n">
        <v>3</v>
      </c>
      <c r="D28" s="97" t="inlineStr">
        <is>
          <t>dönem</t>
        </is>
      </c>
      <c r="E28" s="148" t="inlineStr">
        <is>
          <t>Tahmin edilecek ileri dönem sayısı.</t>
        </is>
      </c>
      <c r="F28" s="97" t="inlineStr">
        <is>
          <t>Varsayım</t>
        </is>
      </c>
      <c r="G28" s="97" t="inlineStr">
        <is>
          <t>09.08.2026</t>
        </is>
      </c>
      <c r="H28" s="97" t="inlineStr">
        <is>
          <t>09.08.2026</t>
        </is>
      </c>
    </row>
    <row r="29" ht="15" customHeight="1" s="64">
      <c r="A29" s="99" t="inlineStr">
        <is>
          <t>Kalite Skoru İyi Eşiği</t>
        </is>
      </c>
      <c r="B29" s="97" t="inlineStr">
        <is>
          <t>KaliteIyi</t>
        </is>
      </c>
      <c r="C29" s="119" t="n">
        <v>90</v>
      </c>
      <c r="D29" s="97" t="inlineStr">
        <is>
          <t>puan</t>
        </is>
      </c>
      <c r="E29" s="148" t="inlineStr">
        <is>
          <t>Kalite skoru bu değerin üzerindeyse YÜKSEK.</t>
        </is>
      </c>
      <c r="F29" s="97" t="inlineStr">
        <is>
          <t>Varsayım</t>
        </is>
      </c>
      <c r="G29" s="97" t="inlineStr">
        <is>
          <t>09.08.2026</t>
        </is>
      </c>
      <c r="H29" s="97" t="inlineStr">
        <is>
          <t>09.08.2026</t>
        </is>
      </c>
    </row>
    <row r="30" ht="15" customHeight="1" s="64">
      <c r="A30" s="99" t="inlineStr">
        <is>
          <t>Kalite Skoru Orta Eşiği</t>
        </is>
      </c>
      <c r="B30" s="97" t="inlineStr">
        <is>
          <t>KaliteOrta</t>
        </is>
      </c>
      <c r="C30" s="119" t="n">
        <v>70</v>
      </c>
      <c r="D30" s="97" t="inlineStr">
        <is>
          <t>puan</t>
        </is>
      </c>
      <c r="E30" s="148" t="inlineStr">
        <is>
          <t>Kalite skoru bu değerin üzerindeyse ORTA.</t>
        </is>
      </c>
      <c r="F30" s="97" t="inlineStr">
        <is>
          <t>Varsayım</t>
        </is>
      </c>
      <c r="G30" s="97" t="inlineStr">
        <is>
          <t>09.08.2026</t>
        </is>
      </c>
      <c r="H30" s="97" t="inlineStr">
        <is>
          <t>09.08.2026</t>
        </is>
      </c>
    </row>
    <row r="31" ht="15" customHeight="1" s="64">
      <c r="A31" s="99" t="inlineStr">
        <is>
          <t>Toplam Giriş Hücresi Sayısı</t>
        </is>
      </c>
      <c r="B31" s="97" t="inlineStr">
        <is>
          <t>ToplamGirisHucre</t>
        </is>
      </c>
      <c r="C31" s="119" t="n">
        <v>14300</v>
      </c>
      <c r="D31" s="97" t="inlineStr">
        <is>
          <t>adet</t>
        </is>
      </c>
      <c r="E31" s="148" t="inlineStr">
        <is>
          <t>Tüm sarı giriş hücrelerinin toplamı; sabittir.</t>
        </is>
      </c>
      <c r="F31" s="97" t="inlineStr">
        <is>
          <t>Sabit</t>
        </is>
      </c>
      <c r="G31" s="97" t="inlineStr">
        <is>
          <t>09.08.2026</t>
        </is>
      </c>
      <c r="H31" s="97" t="inlineStr">
        <is>
          <t>09.08.2026</t>
        </is>
      </c>
    </row>
    <row r="32" ht="15" customHeight="1" s="64">
      <c r="A32" s="99" t="inlineStr">
        <is>
          <t>Değer Ölçer: Kazanılan Saat / Ay</t>
        </is>
      </c>
      <c r="B32" s="97" t="inlineStr">
        <is>
          <t>DegerOlcerSaat</t>
        </is>
      </c>
      <c r="C32" s="119" t="n">
        <v>12</v>
      </c>
      <c r="D32" s="97" t="inlineStr">
        <is>
          <t>saat/ay</t>
        </is>
      </c>
      <c r="E32" s="148" t="inlineStr">
        <is>
          <t>Aracın aylık kazandırdığı tahmini süre.</t>
        </is>
      </c>
      <c r="F32" s="97" t="inlineStr">
        <is>
          <t>Kullanıcı</t>
        </is>
      </c>
      <c r="G32" s="97" t="inlineStr">
        <is>
          <t>09.08.2026</t>
        </is>
      </c>
      <c r="H32" s="97" t="inlineStr">
        <is>
          <t>09.08.2026</t>
        </is>
      </c>
    </row>
    <row r="33" ht="15" customHeight="1" s="64">
      <c r="A33" s="99" t="inlineStr">
        <is>
          <t>Değer Ölçer: Saat Ücreti (₺)</t>
        </is>
      </c>
      <c r="B33" s="97" t="inlineStr">
        <is>
          <t>DegerOlcerSaatUcreti</t>
        </is>
      </c>
      <c r="C33" s="114" t="n">
        <v>1500</v>
      </c>
      <c r="D33" s="97" t="inlineStr">
        <is>
          <t>₺</t>
        </is>
      </c>
      <c r="E33" s="148" t="inlineStr">
        <is>
          <t>Değerlendirilecek saat ücreti.</t>
        </is>
      </c>
      <c r="F33" s="97" t="inlineStr">
        <is>
          <t>Kullanıcı</t>
        </is>
      </c>
      <c r="G33" s="97" t="inlineStr">
        <is>
          <t>09.08.2026</t>
        </is>
      </c>
      <c r="H33" s="97" t="inlineStr">
        <is>
          <t>09.08.2026</t>
        </is>
      </c>
    </row>
    <row r="34" ht="15" customHeight="1" s="64">
      <c r="A34" s="99" t="inlineStr">
        <is>
          <t>Değer Ölçer: Yıllık Hata Azalması (%)</t>
        </is>
      </c>
      <c r="B34" s="97" t="inlineStr">
        <is>
          <t>DegerOlcerHata</t>
        </is>
      </c>
      <c r="C34" s="150" t="n">
        <v>0.2</v>
      </c>
      <c r="D34" s="97" t="inlineStr">
        <is>
          <t>oran</t>
        </is>
      </c>
      <c r="E34" s="148" t="inlineStr">
        <is>
          <t>Yıllık hata azalma oranı.</t>
        </is>
      </c>
      <c r="F34" s="97" t="inlineStr">
        <is>
          <t>Varsayım</t>
        </is>
      </c>
      <c r="G34" s="97" t="inlineStr">
        <is>
          <t>09.08.2026</t>
        </is>
      </c>
      <c r="H34" s="97" t="inlineStr">
        <is>
          <t>09.08.2026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28">
    <dataValidation sqref="C7" showDropDown="0" showInputMessage="1" showErrorMessage="1" allowBlank="1" errorTitle="Hatalı giriş" error="Bu alan metin içermelidir." promptTitle="Firma Ünvanı" prompt="Metin değeri girin." type="textLength" errorStyle="stop" operator="greaterThan">
      <formula1>0</formula1>
      <formula2>0</formula2>
    </dataValidation>
    <dataValidation sqref="C8" showDropDown="0" showInputMessage="1" showErrorMessage="1" allowBlank="1" errorTitle="Hatalı giriş" error="Geçerli bir tarih girin." promptTitle="Rapor Tarihi" prompt="Tarihi gg.aa.yyyy biçiminde girin." type="date" errorStyle="stop" operator="between">
      <formula1>DATE(2024,1,1)</formula1>
      <formula2>DATE(2035,12,31)</formula2>
    </dataValidation>
    <dataValidation sqref="C9" showDropDown="0" showInputMessage="1" showErrorMessage="1" allowBlank="1" errorTitle="Hatalı giriş" error="Bu alan metin içermelidir." promptTitle="Raporu Hazırlayan" prompt="Metin değeri girin." type="textLength" errorStyle="stop" operator="greaterThan">
      <formula1>0</formula1>
      <formula2>0</formula2>
    </dataValidation>
    <dataValidation sqref="C10" showDropDown="0" showInputMessage="1" showErrorMessage="1" allowBlank="1" errorTitle="Hatalı giriş" error="Bu alan metin içermelidir." promptTitle="Dosya Sürümü" prompt="Metin değeri girin." type="textLength" errorStyle="stop" operator="greaterThan">
      <formula1>0</formula1>
      <formula2>0</formula2>
    </dataValidation>
    <dataValidation sqref="C11" showDropDown="0" showInputMessage="1" showErrorMessage="1" allowBlank="1" errorTitle="Hatalı giriş" error="Oran 0 ile 2 arasında olmalıdır." promptTitle="Aşırı Düşük Eşiği (Oran)" prompt="Oranı 0 ile 2 arasında girin (0,05 için 0,05)." type="decimal" errorStyle="stop" operator="between">
      <formula1>0</formula1>
      <formula2>2</formula2>
    </dataValidation>
    <dataValidation sqref="C12" showDropDown="0" showInputMessage="1" showErrorMessage="1" allowBlank="1" errorTitle="Hatalı giriş" error="Oran 0 ile 2 arasında olmalıdır." promptTitle="Dikkat Eşiği (Oran)" prompt="Oranı 0 ile 2 arasında girin (0,05 için 0,05)." type="decimal" errorStyle="stop" operator="between">
      <formula1>0</formula1>
      <formula2>2</formula2>
    </dataValidation>
    <dataValidation sqref="C13" showDropDown="0" showInputMessage="1" showErrorMessage="1" allowBlank="1" errorTitle="Hatalı giriş" error="Değer negatif olamaz." promptTitle="Anomali Z Eşiği" prompt="Pozitif tam sayı girin." type="whole" errorStyle="stop" operator="greaterThanOrEqual">
      <formula1>0</formula1>
      <formula2>0</formula2>
    </dataValidation>
    <dataValidation sqref="C14" showDropDown="0" showInputMessage="1" showErrorMessage="1" allowBlank="1" errorTitle="Hatalı giriş" error="Oran 0 ile 2 arasında olmalıdır." promptTitle="Rayiç Sapma Eşiği (%)" prompt="Oranı 0 ile 2 arasında girin (0,05 için 0,05)." type="decimal" errorStyle="stop" operator="between">
      <formula1>0</formula1>
      <formula2>2</formula2>
    </dataValidation>
    <dataValidation sqref="C15" showDropDown="0" showInputMessage="1" showErrorMessage="1" allowBlank="1" errorTitle="Hatalı giriş" error="Oran 0 ile 2 arasında olmalıdır." promptTitle="Dayanak Ağırlığı Eşiği (%)" prompt="Oranı 0 ile 2 arasında girin (0,05 için 0,05)." type="decimal" errorStyle="stop" operator="between">
      <formula1>0</formula1>
      <formula2>2</formula2>
    </dataValidation>
    <dataValidation sqref="C16" showDropDown="0" showInputMessage="1" showErrorMessage="1" allowBlank="1" errorTitle="Hatalı giriş" error="Değer negatif olamaz." promptTitle="Kabul Edilebilir Mutabakat Farkı (₺)" prompt="Pozitif tam sayı girin." type="whole" errorStyle="stop" operator="greaterThanOrEqual">
      <formula1>0</formula1>
      <formula2>0</formula2>
    </dataValidation>
    <dataValidation sqref="C17" showDropDown="0" showInputMessage="1" showErrorMessage="1" allowBlank="1" errorTitle="Hatalı giriş" error="Oran 0 ile 2 arasında olmalıdır." promptTitle="İyimser Senaryo N Çarpanı" prompt="Oranı 0 ile 2 arasında girin (0,05 için 0,05)." type="decimal" errorStyle="stop" operator="between">
      <formula1>0</formula1>
      <formula2>2</formula2>
    </dataValidation>
    <dataValidation sqref="C18" showDropDown="0" showInputMessage="1" showErrorMessage="1" allowBlank="1" errorTitle="Hatalı giriş" error="Oran 0 ile 2 arasında olmalıdır." promptTitle="İyimser Senaryo Teklif Çarpanı" prompt="Oranı 0 ile 2 arasında girin (0,05 için 0,05)." type="decimal" errorStyle="stop" operator="between">
      <formula1>0</formula1>
      <formula2>2</formula2>
    </dataValidation>
    <dataValidation sqref="C19" showDropDown="0" showInputMessage="1" showErrorMessage="1" allowBlank="1" errorTitle="Hatalı giriş" error="Oran 0 ile 2 arasında olmalıdır." promptTitle="Baz Senaryo N Çarpanı" prompt="Oranı 0 ile 2 arasında girin (0,05 için 0,05)." type="decimal" errorStyle="stop" operator="between">
      <formula1>0</formula1>
      <formula2>2</formula2>
    </dataValidation>
    <dataValidation sqref="C20" showDropDown="0" showInputMessage="1" showErrorMessage="1" allowBlank="1" errorTitle="Hatalı giriş" error="Oran 0 ile 2 arasında olmalıdır." promptTitle="Baz Senaryo Teklif Çarpanı" prompt="Oranı 0 ile 2 arasında girin (0,05 için 0,05)." type="decimal" errorStyle="stop" operator="between">
      <formula1>0</formula1>
      <formula2>2</formula2>
    </dataValidation>
    <dataValidation sqref="C21" showDropDown="0" showInputMessage="1" showErrorMessage="1" allowBlank="1" errorTitle="Hatalı giriş" error="Oran 0 ile 2 arasında olmalıdır." promptTitle="Kötümser Senaryo N Çarpanı" prompt="Oranı 0 ile 2 arasında girin (0,05 için 0,05)." type="decimal" errorStyle="stop" operator="between">
      <formula1>0</formula1>
      <formula2>2</formula2>
    </dataValidation>
    <dataValidation sqref="C22" showDropDown="0" showInputMessage="1" showErrorMessage="1" allowBlank="1" errorTitle="Hatalı giriş" error="Oran 0 ile 2 arasında olmalıdır." promptTitle="Kötümser Senaryo Teklif Çarpanı" prompt="Oranı 0 ile 2 arasında girin (0,05 için 0,05)." type="decimal" errorStyle="stop" operator="between">
      <formula1>0</formula1>
      <formula2>2</formula2>
    </dataValidation>
    <dataValidation sqref="C23" showDropDown="0" showInputMessage="1" showErrorMessage="1" allowBlank="1" errorTitle="Hatalı giriş" error="Oran 0 ile 2 arasında olmalıdır." promptTitle="Tornado N Etkisi (±)" prompt="Oranı 0 ile 2 arasında girin (0,05 için 0,05)." type="decimal" errorStyle="stop" operator="between">
      <formula1>0</formula1>
      <formula2>2</formula2>
    </dataValidation>
    <dataValidation sqref="C24" showDropDown="0" showInputMessage="1" showErrorMessage="1" allowBlank="1" errorTitle="Hatalı giriş" error="Oran 0 ile 2 arasında olmalıdır." promptTitle="Tornado Teklif Etkisi (±)" prompt="Oranı 0 ile 2 arasında girin (0,05 için 0,05)." type="decimal" errorStyle="stop" operator="between">
      <formula1>0</formula1>
      <formula2>2</formula2>
    </dataValidation>
    <dataValidation sqref="C25" showDropDown="0" showInputMessage="1" showErrorMessage="1" allowBlank="1" errorTitle="Hatalı giriş" error="Oran 0 ile 2 arasında olmalıdır." promptTitle="Tornado Rakip Etkisi (±)" prompt="Oranı 0 ile 2 arasında girin (0,05 için 0,05)." type="decimal" errorStyle="stop" operator="between">
      <formula1>0</formula1>
      <formula2>2</formula2>
    </dataValidation>
    <dataValidation sqref="C26" showDropDown="0" showInputMessage="1" showErrorMessage="1" allowBlank="1" errorTitle="Hatalı giriş" error="Oran 0 ile 2 arasında olmalıdır." promptTitle="Tornado Rayiç Etkisi (±)" prompt="Oranı 0 ile 2 arasında girin (0,05 için 0,05)." type="decimal" errorStyle="stop" operator="between">
      <formula1>0</formula1>
      <formula2>2</formula2>
    </dataValidation>
    <dataValidation sqref="C27" showDropDown="0" showInputMessage="1" showErrorMessage="1" allowBlank="1" errorTitle="Hatalı giriş" error="Oran 0 ile 2 arasında olmalıdır." promptTitle="Tahmin Bandı Genişliği (%)" prompt="Oranı 0 ile 2 arasında girin (0,05 için 0,05)." type="decimal" errorStyle="stop" operator="between">
      <formula1>0</formula1>
      <formula2>2</formula2>
    </dataValidation>
    <dataValidation sqref="C28" showDropDown="0" showInputMessage="1" showErrorMessage="1" allowBlank="1" errorTitle="Hatalı giriş" error="Değer negatif olamaz." promptTitle="Projeksiyon İleri Dönem" prompt="Pozitif tam sayı girin." type="whole" errorStyle="stop" operator="greaterThanOrEqual">
      <formula1>0</formula1>
      <formula2>0</formula2>
    </dataValidation>
    <dataValidation sqref="C29" showDropDown="0" showInputMessage="1" showErrorMessage="1" allowBlank="1" errorTitle="Hatalı giriş" error="Değer negatif olamaz." promptTitle="Kalite Skoru İyi Eşiği" prompt="Pozitif tam sayı girin." type="whole" errorStyle="stop" operator="greaterThanOrEqual">
      <formula1>0</formula1>
      <formula2>0</formula2>
    </dataValidation>
    <dataValidation sqref="C30" showDropDown="0" showInputMessage="1" showErrorMessage="1" allowBlank="1" errorTitle="Hatalı giriş" error="Değer negatif olamaz." promptTitle="Kalite Skoru Orta Eşiği" prompt="Pozitif tam sayı girin." type="whole" errorStyle="stop" operator="greaterThanOrEqual">
      <formula1>0</formula1>
      <formula2>0</formula2>
    </dataValidation>
    <dataValidation sqref="C31" showDropDown="0" showInputMessage="1" showErrorMessage="1" allowBlank="1" errorTitle="Hatalı giriş" error="Değer negatif olamaz." promptTitle="Toplam Giriş Hücresi Sayısı" prompt="Pozitif tam sayı girin." type="whole" errorStyle="stop" operator="greaterThanOrEqual">
      <formula1>0</formula1>
      <formula2>0</formula2>
    </dataValidation>
    <dataValidation sqref="C32" showDropDown="0" showInputMessage="1" showErrorMessage="1" allowBlank="1" errorTitle="Hatalı giriş" error="Değer negatif olamaz." promptTitle="Değer Ölçer: Kazanılan Saat / Ay" prompt="Pozitif tam sayı girin." type="whole" errorStyle="stop" operator="greaterThanOrEqual">
      <formula1>0</formula1>
      <formula2>0</formula2>
    </dataValidation>
    <dataValidation sqref="C33" showDropDown="0" showInputMessage="1" showErrorMessage="1" allowBlank="1" errorTitle="Hatalı giriş" error="Değer negatif olamaz." promptTitle="Değer Ölçer: Saat Ücreti (₺)" prompt="Pozitif tam sayı girin." type="whole" errorStyle="stop" operator="greaterThanOrEqual">
      <formula1>0</formula1>
      <formula2>0</formula2>
    </dataValidation>
    <dataValidation sqref="C34" showDropDown="0" showInputMessage="1" showErrorMessage="1" allowBlank="1" errorTitle="Hatalı giriş" error="Oran 0 ile 2 arasında olmalıdır." promptTitle="Değer Ölçer: Yıllık Hata Azalması (%)" prompt="Oranı 0 ile 2 arasında girin (0,05 için 0,05)." type="decimal" errorStyle="stop" operator="between">
      <formula1>0</formula1>
      <formula2>2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25.5" customHeight="1" s="64">
      <c r="A1" s="102" t="inlineStr">
        <is>
          <t>KILAVUZ — AŞIRI DÜŞÜK TEKLİF SAVUNMA ROBOTU</t>
        </is>
      </c>
    </row>
    <row r="3" ht="15.75" customHeight="1" s="64">
      <c r="A3" s="98" t="inlineStr">
        <is>
          <t>Kullanım Kılavuzu</t>
        </is>
      </c>
    </row>
    <row r="4" ht="15" customHeight="1" s="64">
      <c r="A4" s="136" t="inlineStr">
        <is>
          <t>1. Genel Bakış</t>
        </is>
      </c>
    </row>
    <row r="5" ht="25.5" customHeight="1" s="64">
      <c r="A5" s="136" t="inlineStr">
        <is>
          <t>2. İlk Kurulum</t>
        </is>
      </c>
    </row>
    <row r="6" ht="25.5" customHeight="1" s="64">
      <c r="A6" s="136" t="inlineStr">
        <is>
          <t>3. İhale Bilgisi</t>
        </is>
      </c>
    </row>
    <row r="7" ht="25.5" customHeight="1" s="64">
      <c r="A7" s="136" t="inlineStr">
        <is>
          <t>4. Rakip Teklifleri</t>
        </is>
      </c>
    </row>
    <row r="8" ht="25.5" customHeight="1" s="64">
      <c r="A8" s="136" t="inlineStr">
        <is>
          <t>5. Teklif Bileşenleri</t>
        </is>
      </c>
    </row>
    <row r="9" ht="25.5" customHeight="1" s="64">
      <c r="A9" s="136" t="inlineStr">
        <is>
          <t>6. Fiyat Farkı</t>
        </is>
      </c>
    </row>
    <row r="10" ht="25.5" customHeight="1" s="64">
      <c r="A10" s="136" t="inlineStr">
        <is>
          <t>7. Karar ve Aksiyon</t>
        </is>
      </c>
    </row>
    <row r="11" ht="25.5" customHeight="1" s="64">
      <c r="A11" s="136" t="inlineStr">
        <is>
          <t>8. Koruma</t>
        </is>
      </c>
    </row>
    <row r="12" ht="25.5" customHeight="1" s="64">
      <c r="A12" s="136" t="inlineStr">
        <is>
          <t>9. Yasal Çekince</t>
        </is>
      </c>
    </row>
    <row r="13" ht="25.5" customHeight="1" s="64">
      <c r="A13" s="99" t="inlineStr">
        <is>
          <t>Bu araç karar destek amaçlıdır; mali müşavir/hukuk danışmanı görüşünün yerine geçmez.</t>
        </is>
      </c>
    </row>
    <row r="26" ht="19.5" customHeight="1" s="64">
      <c r="A26" s="101" t="inlineStr">
        <is>
          <t>Destek: ExcelArşiv — mevzuat değişikliklerinde sürüm güncellemeleri satın alma döneminden itibaren 12 ay ücretsizdir.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10:L10"/>
    <mergeCell ref="A7:L7"/>
    <mergeCell ref="A26:AN26"/>
    <mergeCell ref="A11:L11"/>
    <mergeCell ref="A5:L5"/>
    <mergeCell ref="A13:L13"/>
    <mergeCell ref="A8:L8"/>
    <mergeCell ref="A6:L6"/>
    <mergeCell ref="A9:L9"/>
    <mergeCell ref="A1:AN1"/>
    <mergeCell ref="A12:L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2026-08-09T21:01:27Z</dcterms:created>
  <dcterms:modified xmlns:dcterms="http://purl.org/dc/terms/" xmlns:xsi="http://www.w3.org/2001/XMLSchema-instance" xsi:type="dcterms:W3CDTF">2026-09-25T14:12:18Z</dcterms:modified>
  <cp:revision>0</cp:revision>
</cp:coreProperties>
</file>