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GELIR_GIDER" sheetId="12" state="visible" r:id="rId12"/>
    <sheet xmlns:r="http://schemas.openxmlformats.org/officeDocument/2006/relationships" name="BORC_VE_ALACAK" sheetId="13" state="visible" r:id="rId13"/>
    <sheet xmlns:r="http://schemas.openxmlformats.org/officeDocument/2006/relationships" name="FINANS_MOT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1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0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1" borderId="1" applyAlignment="1" pivotButton="0" quotePrefix="0" xfId="0">
      <alignment horizontal="center"/>
    </xf>
    <xf numFmtId="0" fontId="43" fillId="0" borderId="3" pivotButton="0" quotePrefix="0" xfId="0"/>
    <xf numFmtId="0" fontId="59" fillId="12" borderId="1" applyAlignment="1" pivotButton="0" quotePrefix="0" xfId="0">
      <alignment horizontal="center"/>
    </xf>
    <xf numFmtId="0" fontId="58" fillId="13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4" borderId="0" applyAlignment="1" pivotButton="0" quotePrefix="0" xfId="0">
      <alignment horizontal="center"/>
    </xf>
    <xf numFmtId="0" fontId="63" fillId="0" borderId="0" pivotButton="0" quotePrefix="0" xfId="0"/>
    <xf numFmtId="0" fontId="62" fillId="15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6" borderId="1" applyAlignment="1" pivotButton="0" quotePrefix="0" xfId="0">
      <alignment horizontal="center"/>
    </xf>
    <xf numFmtId="0" fontId="62" fillId="7" borderId="0" pivotButton="0" quotePrefix="0" xfId="0"/>
    <xf numFmtId="0" fontId="67" fillId="7" borderId="0" pivotButton="0" quotePrefix="0" xfId="0"/>
    <xf numFmtId="0" fontId="68" fillId="7" borderId="0" pivotButton="0" quotePrefix="0" xfId="0"/>
    <xf numFmtId="0" fontId="0" fillId="7" borderId="0" pivotButton="0" quotePrefix="0" xfId="0"/>
    <xf numFmtId="0" fontId="40" fillId="7" borderId="0" applyAlignment="1" pivotButton="0" quotePrefix="0" xfId="0">
      <alignment horizontal="center"/>
    </xf>
    <xf numFmtId="0" fontId="56" fillId="0" borderId="0" pivotButton="0" quotePrefix="0" xfId="0"/>
    <xf numFmtId="0" fontId="71" fillId="17" borderId="0" pivotButton="0" quotePrefix="0" xfId="0"/>
    <xf numFmtId="0" fontId="0" fillId="17" borderId="0" pivotButton="0" quotePrefix="0" xfId="0"/>
    <xf numFmtId="0" fontId="58" fillId="0" borderId="0" pivotButton="0" quotePrefix="0" xfId="0"/>
    <xf numFmtId="0" fontId="46" fillId="17" borderId="0" pivotButton="0" quotePrefix="0" xfId="0"/>
    <xf numFmtId="0" fontId="72" fillId="17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3" borderId="5" applyAlignment="1" pivotButton="0" quotePrefix="0" xfId="0">
      <alignment horizontal="center" vertical="center"/>
    </xf>
    <xf numFmtId="0" fontId="73" fillId="18" borderId="0" applyAlignment="1" pivotButton="0" quotePrefix="0" xfId="0">
      <alignment horizontal="center" vertical="center"/>
    </xf>
    <xf numFmtId="0" fontId="37" fillId="19" borderId="1" applyAlignment="1" pivotButton="0" quotePrefix="0" xfId="0">
      <alignment vertical="center"/>
    </xf>
    <xf numFmtId="0" fontId="57" fillId="11" borderId="0" applyAlignment="1" pivotButton="0" quotePrefix="0" xfId="0">
      <alignment horizontal="center" vertical="center"/>
    </xf>
    <xf numFmtId="0" fontId="58" fillId="13" borderId="0" applyAlignment="1" pivotButton="0" quotePrefix="0" xfId="0">
      <alignment horizontal="center" vertical="center"/>
    </xf>
    <xf numFmtId="0" fontId="74" fillId="7" borderId="0" applyAlignment="1" pivotButton="0" quotePrefix="0" xfId="0">
      <alignment horizontal="center" vertic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70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70" fontId="75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6" fillId="18" borderId="1" applyAlignment="1" pivotButton="0" quotePrefix="0" xfId="0">
      <alignment horizontal="center"/>
    </xf>
    <xf numFmtId="0" fontId="75" fillId="18" borderId="1" pivotButton="0" quotePrefix="0" xfId="0"/>
    <xf numFmtId="170" fontId="76" fillId="18" borderId="1" applyAlignment="1" pivotButton="0" quotePrefix="0" xfId="0">
      <alignment horizontal="right"/>
    </xf>
    <xf numFmtId="9" fontId="75" fillId="18" borderId="1" applyAlignment="1" pivotButton="0" quotePrefix="0" xfId="0">
      <alignment horizontal="center"/>
    </xf>
    <xf numFmtId="170" fontId="75" fillId="18" borderId="1" applyAlignment="1" pivotButton="0" quotePrefix="0" xfId="0">
      <alignment horizontal="right"/>
    </xf>
    <xf numFmtId="0" fontId="63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59" fillId="18" borderId="1" applyAlignment="1" pivotButton="0" quotePrefix="0" xfId="0">
      <alignment horizontal="center"/>
    </xf>
    <xf numFmtId="0" fontId="46" fillId="7" borderId="0" applyAlignment="1" pivotButton="0" quotePrefix="0" xfId="0">
      <alignment vertical="center" indent="1"/>
    </xf>
    <xf numFmtId="170" fontId="77" fillId="7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0" borderId="1" applyAlignment="1" pivotButton="0" quotePrefix="0" xfId="0">
      <alignment horizontal="center" vertical="center"/>
    </xf>
    <xf numFmtId="0" fontId="85" fillId="11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2" borderId="7" applyAlignment="1" pivotButton="0" quotePrefix="0" xfId="0">
      <alignment horizontal="center" vertical="center"/>
    </xf>
    <xf numFmtId="0" fontId="86" fillId="11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1" borderId="0" applyAlignment="1" pivotButton="0" quotePrefix="0" xfId="0">
      <alignment horizontal="left" vertical="center" wrapText="1"/>
    </xf>
    <xf numFmtId="0" fontId="88" fillId="22" borderId="0" applyAlignment="1" pivotButton="0" quotePrefix="0" xfId="0">
      <alignment vertical="center" wrapText="1"/>
    </xf>
    <xf numFmtId="0" fontId="89" fillId="2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1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horizontal="left" vertical="center" wrapText="1"/>
    </xf>
    <xf numFmtId="0" fontId="88" fillId="24" borderId="0" applyAlignment="1" pivotButton="0" quotePrefix="0" xfId="0">
      <alignment vertical="center" wrapText="1"/>
    </xf>
    <xf numFmtId="0" fontId="92" fillId="25" borderId="0" applyAlignment="1" pivotButton="0" quotePrefix="0" xfId="0">
      <alignment vertical="top" wrapText="1"/>
    </xf>
    <xf numFmtId="0" fontId="87" fillId="26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94" fillId="25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8" borderId="0" applyAlignment="1" pivotButton="0" quotePrefix="0" xfId="0">
      <alignment horizontal="left" vertical="center"/>
    </xf>
    <xf numFmtId="0" fontId="88" fillId="28" borderId="0" applyAlignment="1" pivotButton="0" quotePrefix="0" xfId="0">
      <alignment vertical="center" wrapText="1"/>
    </xf>
    <xf numFmtId="0" fontId="96" fillId="29" borderId="0" applyAlignment="1" pivotButton="0" quotePrefix="0" xfId="0">
      <alignment vertical="top" wrapText="1"/>
    </xf>
    <xf numFmtId="0" fontId="97" fillId="30" borderId="0" applyAlignment="1" pivotButton="0" quotePrefix="0" xfId="0">
      <alignment vertical="top" wrapText="1"/>
    </xf>
    <xf numFmtId="0" fontId="87" fillId="31" borderId="0" applyAlignment="1" pivotButton="0" quotePrefix="0" xfId="0">
      <alignment horizontal="left" vertical="center"/>
    </xf>
    <xf numFmtId="0" fontId="88" fillId="31" borderId="0" applyAlignment="1" pivotButton="0" quotePrefix="0" xfId="0">
      <alignment vertical="center" wrapText="1"/>
    </xf>
    <xf numFmtId="0" fontId="98" fillId="30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9" fillId="33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70" fontId="39" fillId="0" borderId="2" pivotButton="0" quotePrefix="0" xfId="0"/>
    <xf numFmtId="170" fontId="60" fillId="0" borderId="3" pivotButton="0" quotePrefix="0" xfId="0"/>
    <xf numFmtId="170" fontId="63" fillId="0" borderId="1" pivotButton="0" quotePrefix="0" xfId="0"/>
    <xf numFmtId="170" fontId="64" fillId="0" borderId="1" pivotButton="0" quotePrefix="0" xfId="0"/>
    <xf numFmtId="170" fontId="67" fillId="7" borderId="0" pivotButton="0" quotePrefix="0" xfId="0"/>
    <xf numFmtId="170" fontId="68" fillId="7" borderId="0" pivotButton="0" quotePrefix="0" xfId="0"/>
    <xf numFmtId="170" fontId="86" fillId="9" borderId="1" applyAlignment="1" pivotButton="0" quotePrefix="0" xfId="0">
      <alignment horizontal="right"/>
    </xf>
    <xf numFmtId="170" fontId="56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171" fontId="83" fillId="0" borderId="1" applyAlignment="1" pivotButton="0" quotePrefix="0" xfId="0">
      <alignment horizontal="right"/>
    </xf>
    <xf numFmtId="0" fontId="10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0" borderId="0" applyAlignment="1" pivotButton="0" quotePrefix="0" xfId="0">
      <alignment horizontal="left" vertical="center"/>
    </xf>
    <xf numFmtId="0" fontId="56" fillId="18" borderId="1" applyAlignment="1" pivotButton="0" quotePrefix="0" xfId="0">
      <alignment horizontal="center" vertical="center"/>
    </xf>
    <xf numFmtId="0" fontId="55" fillId="0" borderId="0" applyAlignment="1" pivotButton="0" quotePrefix="0" xfId="0">
      <alignment vertical="center"/>
    </xf>
    <xf numFmtId="0" fontId="103" fillId="18" borderId="1" applyAlignment="1" pivotButton="0" quotePrefix="0" xfId="0">
      <alignment horizontal="center" vertical="center"/>
    </xf>
    <xf numFmtId="0" fontId="74" fillId="10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0" fontId="104" fillId="18" borderId="34" applyAlignment="1" pivotButton="0" quotePrefix="0" xfId="0">
      <alignment vertical="center" indent="1"/>
    </xf>
    <xf numFmtId="0" fontId="0" fillId="18" borderId="35" pivotButton="0" quotePrefix="0" xfId="0"/>
    <xf numFmtId="0" fontId="105" fillId="11" borderId="1" applyAlignment="1" pivotButton="0" quotePrefix="0" xfId="0">
      <alignment horizontal="center" vertical="center"/>
    </xf>
    <xf numFmtId="0" fontId="104" fillId="18" borderId="43" applyAlignment="1" pivotButton="0" quotePrefix="0" xfId="0">
      <alignment vertical="center" indent="1"/>
    </xf>
    <xf numFmtId="0" fontId="107" fillId="12" borderId="1" applyAlignment="1" pivotButton="0" quotePrefix="0" xfId="0">
      <alignment horizontal="center" vertical="center"/>
    </xf>
    <xf numFmtId="0" fontId="104" fillId="18" borderId="46" applyAlignment="1" pivotButton="0" quotePrefix="0" xfId="0">
      <alignment vertical="center" indent="1"/>
    </xf>
    <xf numFmtId="0" fontId="109" fillId="35" borderId="1" applyAlignment="1" pivotButton="0" quotePrefix="0" xfId="0">
      <alignment horizontal="center" vertical="center"/>
    </xf>
    <xf numFmtId="0" fontId="104" fillId="18" borderId="49" applyAlignment="1" pivotButton="0" quotePrefix="0" xfId="0">
      <alignment vertical="center" indent="1"/>
    </xf>
    <xf numFmtId="0" fontId="110" fillId="36" borderId="1" applyAlignment="1" pivotButton="0" quotePrefix="0" xfId="0">
      <alignment horizontal="center" vertical="center"/>
    </xf>
    <xf numFmtId="0" fontId="0" fillId="18" borderId="37" pivotButton="0" quotePrefix="0" xfId="0"/>
    <xf numFmtId="0" fontId="0" fillId="18" borderId="38" pivotButton="0" quotePrefix="0" xfId="0"/>
    <xf numFmtId="0" fontId="0" fillId="18" borderId="39" pivotButton="0" quotePrefix="0" xfId="0"/>
    <xf numFmtId="0" fontId="0" fillId="18" borderId="44" pivotButton="0" quotePrefix="0" xfId="0"/>
    <xf numFmtId="0" fontId="0" fillId="18" borderId="47" pivotButton="0" quotePrefix="0" xfId="0"/>
    <xf numFmtId="0" fontId="0" fillId="18" borderId="50" pivotButton="0" quotePrefix="0" xfId="0"/>
    <xf numFmtId="170" fontId="106" fillId="18" borderId="37" applyAlignment="1" pivotButton="0" quotePrefix="0" xfId="0">
      <alignment vertical="center" indent="1"/>
    </xf>
    <xf numFmtId="170" fontId="108" fillId="18" borderId="44" applyAlignment="1" pivotButton="0" quotePrefix="0" xfId="0">
      <alignment vertical="center" indent="1"/>
    </xf>
    <xf numFmtId="170" fontId="106" fillId="18" borderId="47" applyAlignment="1" pivotButton="0" quotePrefix="0" xfId="0">
      <alignment vertical="center" indent="1"/>
    </xf>
    <xf numFmtId="0" fontId="106" fillId="18" borderId="50" applyAlignment="1" pivotButton="0" quotePrefix="0" xfId="0">
      <alignment vertical="center" indent="1"/>
    </xf>
    <xf numFmtId="0" fontId="53" fillId="18" borderId="40" applyAlignment="1" pivotButton="0" quotePrefix="0" xfId="0">
      <alignment vertical="center" indent="1"/>
    </xf>
    <xf numFmtId="0" fontId="0" fillId="18" borderId="41" pivotButton="0" quotePrefix="0" xfId="0"/>
    <xf numFmtId="0" fontId="0" fillId="18" borderId="42" pivotButton="0" quotePrefix="0" xfId="0"/>
    <xf numFmtId="0" fontId="53" fillId="18" borderId="45" applyAlignment="1" pivotButton="0" quotePrefix="0" xfId="0">
      <alignment vertical="center" indent="1"/>
    </xf>
    <xf numFmtId="0" fontId="53" fillId="18" borderId="48" applyAlignment="1" pivotButton="0" quotePrefix="0" xfId="0">
      <alignment vertical="center" indent="1"/>
    </xf>
    <xf numFmtId="0" fontId="53" fillId="18" borderId="51" applyAlignment="1" pivotButton="0" quotePrefix="0" xfId="0">
      <alignment vertical="center" indent="1"/>
    </xf>
    <xf numFmtId="0" fontId="111" fillId="0" borderId="0" pivotButton="0" quotePrefix="0" xfId="0"/>
    <xf numFmtId="0" fontId="112" fillId="35" borderId="1" applyAlignment="1" pivotButton="0" quotePrefix="0" xfId="0">
      <alignment horizontal="center" vertical="center"/>
    </xf>
    <xf numFmtId="0" fontId="113" fillId="19" borderId="1" applyAlignment="1" pivotButton="0" quotePrefix="0" xfId="0">
      <alignment horizontal="center" vertical="center"/>
    </xf>
    <xf numFmtId="0" fontId="74" fillId="7" borderId="52" applyAlignment="1" pivotButton="0" quotePrefix="0" xfId="0">
      <alignment horizontal="left" vertical="center" indent="1"/>
    </xf>
    <xf numFmtId="0" fontId="74" fillId="7" borderId="52" applyAlignment="1" pivotButton="0" quotePrefix="0" xfId="0">
      <alignment horizontal="center" vertical="center"/>
    </xf>
    <xf numFmtId="0" fontId="114" fillId="18" borderId="1" applyAlignment="1" pivotButton="0" quotePrefix="0" xfId="0">
      <alignment horizontal="center" vertical="center"/>
    </xf>
    <xf numFmtId="0" fontId="56" fillId="18" borderId="1" applyAlignment="1" pivotButton="0" quotePrefix="0" xfId="0">
      <alignment vertical="center" indent="1"/>
    </xf>
    <xf numFmtId="170" fontId="56" fillId="18" borderId="1" applyAlignment="1" pivotButton="0" quotePrefix="0" xfId="0">
      <alignment horizontal="right" vertical="center"/>
    </xf>
    <xf numFmtId="170" fontId="81" fillId="18" borderId="1" applyAlignment="1" pivotButton="0" quotePrefix="0" xfId="0">
      <alignment horizontal="right" vertical="center"/>
    </xf>
    <xf numFmtId="0" fontId="115" fillId="18" borderId="1" applyAlignment="1" pivotButton="0" quotePrefix="0" xfId="0">
      <alignment horizontal="center" vertical="center"/>
    </xf>
    <xf numFmtId="0" fontId="116" fillId="35" borderId="1" applyAlignment="1" pivotButton="0" quotePrefix="0" xfId="0">
      <alignment horizontal="center" vertical="center"/>
    </xf>
    <xf numFmtId="0" fontId="0" fillId="18" borderId="1" pivotButton="0" quotePrefix="0" xfId="0"/>
    <xf numFmtId="0" fontId="114" fillId="19" borderId="1" applyAlignment="1" pivotButton="0" quotePrefix="0" xfId="0">
      <alignment horizontal="center" vertical="center"/>
    </xf>
    <xf numFmtId="0" fontId="56" fillId="19" borderId="1" applyAlignment="1" pivotButton="0" quotePrefix="0" xfId="0">
      <alignment vertical="center" indent="1"/>
    </xf>
    <xf numFmtId="170" fontId="56" fillId="19" borderId="1" applyAlignment="1" pivotButton="0" quotePrefix="0" xfId="0">
      <alignment horizontal="right" vertical="center"/>
    </xf>
    <xf numFmtId="170" fontId="81" fillId="19" borderId="1" applyAlignment="1" pivotButton="0" quotePrefix="0" xfId="0">
      <alignment horizontal="right" vertical="center"/>
    </xf>
    <xf numFmtId="0" fontId="115" fillId="19" borderId="1" applyAlignment="1" pivotButton="0" quotePrefix="0" xfId="0">
      <alignment horizontal="center" vertical="center"/>
    </xf>
    <xf numFmtId="0" fontId="117" fillId="11" borderId="1" applyAlignment="1" pivotButton="0" quotePrefix="0" xfId="0">
      <alignment horizontal="center" vertical="center"/>
    </xf>
    <xf numFmtId="0" fontId="0" fillId="19" borderId="1" pivotButton="0" quotePrefix="0" xfId="0"/>
    <xf numFmtId="0" fontId="118" fillId="16" borderId="1" applyAlignment="1" pivotButton="0" quotePrefix="0" xfId="0">
      <alignment horizontal="center" vertical="center"/>
    </xf>
    <xf numFmtId="0" fontId="119" fillId="37" borderId="1" applyAlignment="1" pivotButton="0" quotePrefix="0" xfId="0">
      <alignment horizontal="center" vertical="center"/>
    </xf>
    <xf numFmtId="0" fontId="46" fillId="7" borderId="53" applyAlignment="1" pivotButton="0" quotePrefix="0" xfId="0">
      <alignment vertical="center" indent="1"/>
    </xf>
    <xf numFmtId="170" fontId="120" fillId="7" borderId="53" applyAlignment="1" pivotButton="0" quotePrefix="0" xfId="0">
      <alignment horizontal="right" vertical="center"/>
    </xf>
    <xf numFmtId="170" fontId="121" fillId="7" borderId="53" applyAlignment="1" pivotButton="0" quotePrefix="0" xfId="0">
      <alignment horizontal="right" vertical="center"/>
    </xf>
    <xf numFmtId="0" fontId="0" fillId="7" borderId="53" pivotButton="0" quotePrefix="0" xfId="0"/>
    <xf numFmtId="0" fontId="122" fillId="7" borderId="53" applyAlignment="1" pivotButton="0" quotePrefix="0" xfId="0">
      <alignment horizontal="center" vertical="center"/>
    </xf>
    <xf numFmtId="0" fontId="123" fillId="18" borderId="54" applyAlignment="1" pivotButton="0" quotePrefix="0" xfId="0">
      <alignment vertical="center" indent="1"/>
    </xf>
    <xf numFmtId="0" fontId="0" fillId="18" borderId="36" pivotButton="0" quotePrefix="0" xfId="0"/>
    <xf numFmtId="0" fontId="129" fillId="17" borderId="57" applyAlignment="1" pivotButton="0" quotePrefix="0" xfId="0">
      <alignment vertical="center" indent="1"/>
    </xf>
    <xf numFmtId="0" fontId="0" fillId="17" borderId="58" pivotButton="0" quotePrefix="0" xfId="0"/>
    <xf numFmtId="0" fontId="0" fillId="17" borderId="59" pivotButton="0" quotePrefix="0" xfId="0"/>
    <xf numFmtId="0" fontId="124" fillId="18" borderId="55" applyAlignment="1" pivotButton="0" quotePrefix="0" xfId="0">
      <alignment vertical="center" indent="1"/>
    </xf>
    <xf numFmtId="0" fontId="115" fillId="18" borderId="55" pivotButton="0" quotePrefix="0" xfId="0"/>
    <xf numFmtId="0" fontId="124" fillId="18" borderId="39" pivotButton="0" quotePrefix="0" xfId="0"/>
    <xf numFmtId="0" fontId="130" fillId="17" borderId="60" applyAlignment="1" pivotButton="0" quotePrefix="0" xfId="0">
      <alignment vertical="center" indent="1"/>
    </xf>
    <xf numFmtId="0" fontId="0" fillId="17" borderId="38" pivotButton="0" quotePrefix="0" xfId="0"/>
    <xf numFmtId="0" fontId="0" fillId="17" borderId="61" pivotButton="0" quotePrefix="0" xfId="0"/>
    <xf numFmtId="0" fontId="125" fillId="18" borderId="55" applyAlignment="1" pivotButton="0" quotePrefix="0" xfId="0">
      <alignment vertical="center" indent="1"/>
    </xf>
    <xf numFmtId="0" fontId="72" fillId="17" borderId="60" applyAlignment="1" pivotButton="0" quotePrefix="0" xfId="0">
      <alignment vertical="center" indent="1"/>
    </xf>
    <xf numFmtId="0" fontId="126" fillId="18" borderId="55" applyAlignment="1" pivotButton="0" quotePrefix="0" xfId="0">
      <alignment vertical="center" indent="1"/>
    </xf>
    <xf numFmtId="0" fontId="0" fillId="35" borderId="1" pivotButton="0" quotePrefix="0" xfId="0"/>
    <xf numFmtId="0" fontId="0" fillId="17" borderId="60" pivotButton="0" quotePrefix="0" xfId="0"/>
    <xf numFmtId="0" fontId="127" fillId="18" borderId="55" applyAlignment="1" pivotButton="0" quotePrefix="0" xfId="0">
      <alignment vertical="center" indent="1"/>
    </xf>
    <xf numFmtId="0" fontId="128" fillId="38" borderId="1" applyAlignment="1" pivotButton="0" quotePrefix="0" xfId="0">
      <alignment horizontal="center" vertical="center"/>
    </xf>
    <xf numFmtId="0" fontId="0" fillId="38" borderId="1" pivotButton="0" quotePrefix="0" xfId="0"/>
    <xf numFmtId="0" fontId="131" fillId="18" borderId="1" applyAlignment="1" pivotButton="0" quotePrefix="0" xfId="0">
      <alignment horizontal="center" vertical="center"/>
    </xf>
    <xf numFmtId="0" fontId="0" fillId="18" borderId="56" pivotButton="0" quotePrefix="0" xfId="0"/>
    <xf numFmtId="0" fontId="0" fillId="17" borderId="62" pivotButton="0" quotePrefix="0" xfId="0"/>
    <xf numFmtId="0" fontId="0" fillId="17" borderId="63" pivotButton="0" quotePrefix="0" xfId="0"/>
    <xf numFmtId="0" fontId="0" fillId="17" borderId="64" pivotButton="0" quotePrefix="0" xfId="0"/>
    <xf numFmtId="0" fontId="37" fillId="0" borderId="6" pivotButton="0" quotePrefix="0" xfId="0"/>
    <xf numFmtId="0" fontId="124" fillId="0" borderId="6" pivotButton="0" quotePrefix="0" xfId="0"/>
    <xf numFmtId="0" fontId="132" fillId="12" borderId="65" applyAlignment="1" pivotButton="0" quotePrefix="0" xfId="0">
      <alignment vertical="center" indent="1"/>
    </xf>
    <xf numFmtId="0" fontId="0" fillId="12" borderId="66" pivotButton="0" quotePrefix="0" xfId="0"/>
    <xf numFmtId="0" fontId="0" fillId="12" borderId="67" pivotButton="0" quotePrefix="0" xfId="0"/>
    <xf numFmtId="0" fontId="137" fillId="11" borderId="73" applyAlignment="1" pivotButton="0" quotePrefix="0" xfId="0">
      <alignment vertical="center" indent="1"/>
    </xf>
    <xf numFmtId="0" fontId="0" fillId="11" borderId="74" pivotButton="0" quotePrefix="0" xfId="0"/>
    <xf numFmtId="0" fontId="0" fillId="11" borderId="75" pivotButton="0" quotePrefix="0" xfId="0"/>
    <xf numFmtId="0" fontId="0" fillId="18" borderId="68" pivotButton="0" quotePrefix="0" xfId="0"/>
    <xf numFmtId="0" fontId="0" fillId="18" borderId="69" pivotButton="0" quotePrefix="0" xfId="0"/>
    <xf numFmtId="0" fontId="0" fillId="18" borderId="76" pivotButton="0" quotePrefix="0" xfId="0"/>
    <xf numFmtId="0" fontId="0" fillId="18" borderId="77" pivotButton="0" quotePrefix="0" xfId="0"/>
    <xf numFmtId="0" fontId="133" fillId="18" borderId="68" pivotButton="0" quotePrefix="0" xfId="0"/>
    <xf numFmtId="0" fontId="134" fillId="18" borderId="38" applyAlignment="1" pivotButton="0" quotePrefix="0" xfId="0">
      <alignment horizontal="right" vertical="center"/>
    </xf>
    <xf numFmtId="0" fontId="133" fillId="18" borderId="76" pivotButton="0" quotePrefix="0" xfId="0"/>
    <xf numFmtId="0" fontId="138" fillId="18" borderId="38" applyAlignment="1" pivotButton="0" quotePrefix="0" xfId="0">
      <alignment horizontal="right" vertical="center"/>
    </xf>
    <xf numFmtId="170" fontId="123" fillId="18" borderId="38" applyAlignment="1" pivotButton="0" quotePrefix="0" xfId="0">
      <alignment horizontal="right" vertical="center"/>
    </xf>
    <xf numFmtId="170" fontId="135" fillId="18" borderId="38" applyAlignment="1" pivotButton="0" quotePrefix="0" xfId="0">
      <alignment horizontal="right" vertical="center"/>
    </xf>
    <xf numFmtId="171" fontId="135" fillId="18" borderId="38" applyAlignment="1" pivotButton="0" quotePrefix="0" xfId="0">
      <alignment horizontal="right" vertical="center"/>
    </xf>
    <xf numFmtId="0" fontId="135" fillId="18" borderId="38" applyAlignment="1" pivotButton="0" quotePrefix="0" xfId="0">
      <alignment horizontal="right" vertical="center"/>
    </xf>
    <xf numFmtId="0" fontId="136" fillId="12" borderId="70" applyAlignment="1" pivotButton="0" quotePrefix="0" xfId="0">
      <alignment horizontal="center" vertical="center"/>
    </xf>
    <xf numFmtId="0" fontId="0" fillId="12" borderId="71" pivotButton="0" quotePrefix="0" xfId="0"/>
    <xf numFmtId="0" fontId="0" fillId="12" borderId="72" pivotButton="0" quotePrefix="0" xfId="0"/>
    <xf numFmtId="0" fontId="86" fillId="11" borderId="78" applyAlignment="1" pivotButton="0" quotePrefix="0" xfId="0">
      <alignment horizontal="center" vertical="center"/>
    </xf>
    <xf numFmtId="0" fontId="0" fillId="11" borderId="79" pivotButton="0" quotePrefix="0" xfId="0"/>
    <xf numFmtId="0" fontId="0" fillId="11" borderId="80" pivotButton="0" quotePrefix="0" xfId="0"/>
    <xf numFmtId="0" fontId="111" fillId="18" borderId="54" applyAlignment="1" pivotButton="0" quotePrefix="0" xfId="0">
      <alignment vertical="center" indent="1"/>
    </xf>
    <xf numFmtId="0" fontId="0" fillId="18" borderId="55" pivotButton="0" quotePrefix="0" xfId="0"/>
    <xf numFmtId="0" fontId="123" fillId="18" borderId="55" applyAlignment="1" pivotButton="0" quotePrefix="0" xfId="0">
      <alignment vertical="center" indent="1"/>
    </xf>
    <xf numFmtId="0" fontId="115" fillId="18" borderId="55" applyAlignment="1" pivotButton="0" quotePrefix="0" xfId="0">
      <alignment vertical="center" indent="2"/>
    </xf>
    <xf numFmtId="0" fontId="0" fillId="0" borderId="83" pivotButton="0" quotePrefix="0" xfId="0"/>
    <xf numFmtId="0" fontId="0" fillId="0" borderId="8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86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96" pivotButton="0" quotePrefix="0" xfId="0"/>
    <xf numFmtId="0" fontId="0" fillId="0" borderId="97" pivotButton="0" quotePrefix="0" xfId="0"/>
    <xf numFmtId="0" fontId="0" fillId="0" borderId="90" pivotButton="0" quotePrefix="0" xfId="0"/>
    <xf numFmtId="0" fontId="0" fillId="0" borderId="92" pivotButton="0" quotePrefix="0" xfId="0"/>
    <xf numFmtId="0" fontId="0" fillId="0" borderId="101" pivotButton="0" quotePrefix="0" xfId="0"/>
    <xf numFmtId="0" fontId="0" fillId="0" borderId="103" pivotButton="0" quotePrefix="0" xfId="0"/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104" pivotButton="0" quotePrefix="0" xfId="0"/>
    <xf numFmtId="0" fontId="0" fillId="0" borderId="105" pivotButton="0" quotePrefix="0" xfId="0"/>
    <xf numFmtId="0" fontId="0" fillId="0" borderId="10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EXCELARŞİV KARAR SİSTEMİ v15.1 — ÜRETİM REFERANSI</t>
        </is>
      </c>
    </row>
    <row r="3" ht="24" customHeight="1" s="70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6" ht="16" customHeight="1" s="70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0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0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17" customWidth="1" style="70" min="2" max="2"/>
    <col width="12" customWidth="1" style="70" min="3" max="3"/>
    <col width="11" customWidth="1" style="70" min="4" max="4"/>
    <col width="17" customWidth="1" style="70" min="5" max="5"/>
    <col width="12" customWidth="1" style="70" min="6" max="6"/>
    <col width="11" customWidth="1" style="70" min="7" max="7"/>
    <col width="17" customWidth="1" style="70" min="8" max="8"/>
    <col width="13" customWidth="1" style="70" min="9" max="9"/>
    <col width="11" customWidth="1" style="70" min="10" max="10"/>
    <col width="17" customWidth="1" style="70" min="11" max="11"/>
    <col width="14" customWidth="1" style="70" min="12" max="12"/>
    <col width="12" customWidth="1" style="70" min="13" max="13"/>
    <col width="6" customWidth="1" style="70" min="14" max="14"/>
  </cols>
  <sheetData>
    <row r="1" ht="24" customHeight="1" s="70">
      <c r="A1" s="292" t="inlineStr">
        <is>
          <t>☰ PANO</t>
        </is>
      </c>
    </row>
    <row r="2" ht="28" customHeight="1" s="70">
      <c r="B2" s="293" t="inlineStr">
        <is>
          <t>AYLIK PATRON FINANS PANELI</t>
        </is>
      </c>
      <c r="L2" s="294" t="inlineStr">
        <is>
          <t>Dönem: 2026 / Tam ▼</t>
        </is>
      </c>
      <c r="M2" s="295" t="inlineStr">
        <is>
          <t>★ DOĞRULANMIŞ</t>
        </is>
      </c>
    </row>
    <row r="3" ht="18" customHeight="1" s="70">
      <c r="B3" s="296" t="inlineStr">
        <is>
          <t>Hedef Kullanıcı: KOBİ sahipleri, patronlar, genel müdürler, finans yöneticileri, mali müşavirler · 2026 Q3 Denetim Standardı</t>
        </is>
      </c>
    </row>
    <row r="4" ht="10" customHeight="1" s="70"/>
    <row r="5" ht="20" customHeight="1" s="70">
      <c r="B5" s="297" t="inlineStr">
        <is>
          <t>TOPLAM İŞLEM HACMİ</t>
        </is>
      </c>
      <c r="C5" s="298" t="n"/>
      <c r="D5" s="299" t="inlineStr">
        <is>
          <t>KONSOLİDE</t>
        </is>
      </c>
      <c r="E5" s="300" t="inlineStr">
        <is>
          <t>OPERASYONEL MALİYET</t>
        </is>
      </c>
      <c r="F5" s="298" t="n"/>
      <c r="G5" s="301" t="inlineStr">
        <is>
          <t>KONTROL</t>
        </is>
      </c>
      <c r="H5" s="302" t="inlineStr">
        <is>
          <t>NET OPERASYONEL MARJ</t>
        </is>
      </c>
      <c r="I5" s="298" t="n"/>
      <c r="J5" s="303" t="inlineStr">
        <is>
          <t>GÜVENLİ</t>
        </is>
      </c>
      <c r="K5" s="304" t="inlineStr">
        <is>
          <t>SİSTEM GÜVEN SKORU</t>
        </is>
      </c>
      <c r="L5" s="298" t="n"/>
      <c r="M5" s="305" t="inlineStr">
        <is>
          <t>DENETLENDİ</t>
        </is>
      </c>
    </row>
    <row r="6" ht="6" customHeight="1" s="70">
      <c r="B6" s="306" t="n"/>
      <c r="C6" s="307" t="n"/>
      <c r="D6" s="308" t="n"/>
      <c r="E6" s="309" t="n"/>
      <c r="F6" s="307" t="n"/>
      <c r="G6" s="308" t="n"/>
      <c r="H6" s="310" t="n"/>
      <c r="I6" s="307" t="n"/>
      <c r="J6" s="308" t="n"/>
      <c r="K6" s="311" t="n"/>
      <c r="L6" s="307" t="n"/>
      <c r="M6" s="308" t="n"/>
    </row>
    <row r="7" ht="32" customHeight="1" s="70">
      <c r="B7" s="312">
        <f>GİRDİLER!E17</f>
        <v/>
      </c>
      <c r="C7" s="307" t="n"/>
      <c r="D7" s="308" t="n"/>
      <c r="E7" s="313">
        <f>B7*0.22</f>
        <v/>
      </c>
      <c r="F7" s="307" t="n"/>
      <c r="G7" s="308" t="n"/>
      <c r="H7" s="314">
        <f>B7-E7</f>
        <v/>
      </c>
      <c r="I7" s="307" t="n"/>
      <c r="J7" s="308" t="n"/>
      <c r="K7" s="315">
        <f>IF(E7&gt;0, ROUND(B7/E7, 2), 0)</f>
        <v/>
      </c>
      <c r="L7" s="307" t="n"/>
      <c r="M7" s="308" t="n"/>
    </row>
    <row r="8" ht="6" customHeight="1" s="70">
      <c r="B8" s="306" t="n"/>
      <c r="C8" s="307" t="n"/>
      <c r="D8" s="308" t="n"/>
      <c r="E8" s="309" t="n"/>
      <c r="F8" s="307" t="n"/>
      <c r="G8" s="308" t="n"/>
      <c r="H8" s="310" t="n"/>
      <c r="I8" s="307" t="n"/>
      <c r="J8" s="308" t="n"/>
      <c r="K8" s="311" t="n"/>
      <c r="L8" s="307" t="n"/>
      <c r="M8" s="308" t="n"/>
    </row>
    <row r="9" ht="18" customHeight="1" s="70">
      <c r="B9" s="316" t="inlineStr">
        <is>
          <t>↑ %14.2 konsolide canlı veri bağlantısı</t>
        </is>
      </c>
      <c r="C9" s="317" t="n"/>
      <c r="D9" s="318" t="n"/>
      <c r="E9" s="319" t="inlineStr">
        <is>
          <t>● 8 Kalem nakit karşılığı: bloke</t>
        </is>
      </c>
      <c r="F9" s="317" t="n"/>
      <c r="G9" s="318" t="n"/>
      <c r="H9" s="320" t="inlineStr">
        <is>
          <t>██████████░░░░░ %78.0 NET MARJ</t>
        </is>
      </c>
      <c r="I9" s="317" t="n"/>
      <c r="J9" s="318" t="n"/>
      <c r="K9" s="321" t="inlineStr">
        <is>
          <t>✓ İDEAL karşılama rasyosu</t>
        </is>
      </c>
      <c r="L9" s="317" t="n"/>
      <c r="M9" s="318" t="n"/>
    </row>
    <row r="10" ht="14" customHeight="1" s="70"/>
    <row r="11" ht="24" customHeight="1" s="70">
      <c r="B11" s="322" t="inlineStr">
        <is>
          <t>AYLIK PATRON FINANS PANELI — DÖNEMSEL İCRA VE PROJEKSİYON</t>
        </is>
      </c>
      <c r="F11" s="323" t="inlineStr">
        <is>
          <t>+%32 Verim</t>
        </is>
      </c>
      <c r="H11" s="322" t="inlineStr">
        <is>
          <t>KONSOLİDE OPERASYON VE KARAR MATRİSİ</t>
        </is>
      </c>
    </row>
    <row r="12" ht="18" customHeight="1" s="70">
      <c r="B12" s="164" t="inlineStr">
        <is>
          <t>Kümülatif Hacim vs. Operasyonel Maliyet ve Net Kâr Eğilimi</t>
        </is>
      </c>
      <c r="H12" s="164" t="inlineStr">
        <is>
          <t>Anlık Hesaplama Sonuçları, Dinamik Formül Çıktıları ve Durum Puanlaması</t>
        </is>
      </c>
    </row>
    <row r="13" ht="8" customHeight="1" s="70"/>
    <row r="14" ht="24" customHeight="1" s="70">
      <c r="B14" s="324" t="inlineStr">
        <is>
          <t>Dönem</t>
        </is>
      </c>
      <c r="C14" s="324" t="inlineStr">
        <is>
          <t>Aktif Hacim</t>
        </is>
      </c>
      <c r="D14" s="324" t="inlineStr">
        <is>
          <t>Maliyet/Yük</t>
        </is>
      </c>
      <c r="E14" s="324" t="inlineStr">
        <is>
          <t>Hedef</t>
        </is>
      </c>
      <c r="H14" s="325" t="inlineStr">
        <is>
          <t>PARAMETRE / KALEM</t>
        </is>
      </c>
      <c r="I14" s="326" t="inlineStr">
        <is>
          <t>ANA TUTAR</t>
        </is>
      </c>
      <c r="J14" s="326" t="inlineStr">
        <is>
          <t>FARK / MARJ</t>
        </is>
      </c>
      <c r="K14" s="326" t="inlineStr">
        <is>
          <t>VADE</t>
        </is>
      </c>
      <c r="L14" s="326" t="inlineStr">
        <is>
          <t>KONTROL DURUMU</t>
        </is>
      </c>
      <c r="M14" s="326" t="n"/>
    </row>
    <row r="15" ht="22" customHeight="1" s="70">
      <c r="B15" s="327" t="inlineStr">
        <is>
          <t>D1</t>
        </is>
      </c>
      <c r="C15" s="327" t="n">
        <v>65</v>
      </c>
      <c r="D15" s="327" t="n">
        <v>45</v>
      </c>
      <c r="E15" s="327" t="n">
        <v>60</v>
      </c>
      <c r="H15" s="328" t="inlineStr">
        <is>
          <t>Dönemlik Kümülatif Bakiye</t>
        </is>
      </c>
      <c r="I15" s="329">
        <f>B7*0.45</f>
        <v/>
      </c>
      <c r="J15" s="330">
        <f>B7*0.05</f>
        <v/>
      </c>
      <c r="K15" s="331" t="inlineStr">
        <is>
          <t>12 Ay</t>
        </is>
      </c>
      <c r="L15" s="332" t="inlineStr">
        <is>
          <t>✓ DÜZENLİ</t>
        </is>
      </c>
      <c r="M15" s="333" t="n"/>
    </row>
    <row r="16" ht="22" customHeight="1" s="70">
      <c r="B16" s="334" t="inlineStr">
        <is>
          <t>D2</t>
        </is>
      </c>
      <c r="C16" s="334" t="n">
        <v>78</v>
      </c>
      <c r="D16" s="334" t="n">
        <v>48</v>
      </c>
      <c r="E16" s="334" t="n">
        <v>70</v>
      </c>
      <c r="H16" s="335" t="inlineStr">
        <is>
          <t>Kritik Eşik Güvenlik Tamponu</t>
        </is>
      </c>
      <c r="I16" s="336">
        <f>B7*0.30</f>
        <v/>
      </c>
      <c r="J16" s="337">
        <f>B7*0.03</f>
        <v/>
      </c>
      <c r="K16" s="338" t="inlineStr">
        <is>
          <t>24 Ay</t>
        </is>
      </c>
      <c r="L16" s="339" t="inlineStr">
        <is>
          <t>★ AVANTAJ</t>
        </is>
      </c>
      <c r="M16" s="340" t="n"/>
    </row>
    <row r="17" ht="22" customHeight="1" s="70">
      <c r="B17" s="327" t="inlineStr">
        <is>
          <t>D3</t>
        </is>
      </c>
      <c r="C17" s="327" t="n">
        <v>85</v>
      </c>
      <c r="D17" s="327" t="n">
        <v>55</v>
      </c>
      <c r="E17" s="327" t="n">
        <v>80</v>
      </c>
      <c r="H17" s="328" t="inlineStr">
        <is>
          <t>Operasyonel Net Fark</t>
        </is>
      </c>
      <c r="I17" s="329">
        <f>B7*0.15</f>
        <v/>
      </c>
      <c r="J17" s="330">
        <f>B7*0.02</f>
        <v/>
      </c>
      <c r="K17" s="331" t="inlineStr">
        <is>
          <t>8 Ay</t>
        </is>
      </c>
      <c r="L17" s="341" t="inlineStr">
        <is>
          <t>● YAKLAŞAN</t>
        </is>
      </c>
      <c r="M17" s="333" t="n"/>
    </row>
    <row r="18" ht="22" customHeight="1" s="70">
      <c r="B18" s="334" t="inlineStr">
        <is>
          <t>D4</t>
        </is>
      </c>
      <c r="C18" s="334" t="n">
        <v>75</v>
      </c>
      <c r="D18" s="334" t="n">
        <v>42</v>
      </c>
      <c r="E18" s="334" t="n">
        <v>75</v>
      </c>
      <c r="H18" s="335" t="inlineStr">
        <is>
          <t>Rezerv ve Likit Dağılım</t>
        </is>
      </c>
      <c r="I18" s="336">
        <f>B7*0.10</f>
        <v/>
      </c>
      <c r="J18" s="337">
        <f>B7*0.01</f>
        <v/>
      </c>
      <c r="K18" s="338" t="inlineStr">
        <is>
          <t>16 Ay</t>
        </is>
      </c>
      <c r="L18" s="342" t="inlineStr">
        <is>
          <t>✓ TAM UYUM</t>
        </is>
      </c>
      <c r="M18" s="340" t="n"/>
    </row>
    <row r="19" ht="26" customHeight="1" s="70">
      <c r="B19" s="327" t="inlineStr">
        <is>
          <t>D5</t>
        </is>
      </c>
      <c r="C19" s="327" t="n">
        <v>90</v>
      </c>
      <c r="D19" s="327" t="n">
        <v>40</v>
      </c>
      <c r="E19" s="327" t="n">
        <v>85</v>
      </c>
      <c r="H19" s="343" t="inlineStr">
        <is>
          <t>KONSOLİDE SİSTEM TOPLAMI</t>
        </is>
      </c>
      <c r="I19" s="344">
        <f>SUM(I15:I18)</f>
        <v/>
      </c>
      <c r="J19" s="345">
        <f>SUM(J15:J18)</f>
        <v/>
      </c>
      <c r="K19" s="346" t="inlineStr"/>
      <c r="L19" s="347" t="inlineStr">
        <is>
          <t>TAM DOĞRULANDI (0 HATA)</t>
        </is>
      </c>
      <c r="M19" s="347" t="n"/>
    </row>
    <row r="20" ht="22" customHeight="1" s="70">
      <c r="B20" s="334" t="inlineStr">
        <is>
          <t>D6</t>
        </is>
      </c>
      <c r="C20" s="334" t="n">
        <v>96</v>
      </c>
      <c r="D20" s="334" t="n">
        <v>32</v>
      </c>
      <c r="E20" s="334" t="n">
        <v>92</v>
      </c>
    </row>
    <row r="21" ht="14" customHeight="1" s="70"/>
    <row r="22" ht="24" customHeight="1" s="70">
      <c r="B22" s="348" t="inlineStr">
        <is>
          <t>KONSOLİDE PAY VE AĞIRLIK</t>
        </is>
      </c>
      <c r="C22" s="298" t="n"/>
      <c r="D22" s="298" t="n"/>
      <c r="E22" s="349" t="n"/>
      <c r="F22" s="348" t="inlineStr">
        <is>
          <t>LİKİDİTE RİSKİ &amp; ERKEN UYARI SİNYALLERİ</t>
        </is>
      </c>
      <c r="G22" s="298" t="n"/>
      <c r="H22" s="298" t="n"/>
      <c r="I22" s="349" t="n"/>
      <c r="K22" s="350" t="inlineStr">
        <is>
          <t>KARAR MOTORU</t>
        </is>
      </c>
      <c r="L22" s="351" t="n"/>
      <c r="M22" s="352" t="n"/>
    </row>
    <row r="23" ht="20" customHeight="1" s="70">
      <c r="B23" s="353" t="inlineStr">
        <is>
          <t>■ Ana Segment (%42)</t>
        </is>
      </c>
      <c r="C23" s="307" t="n"/>
      <c r="D23" s="307" t="n"/>
      <c r="E23" s="308" t="n"/>
      <c r="F23" s="354" t="inlineStr">
        <is>
          <t>Nakit Açığı Riski (30 Gün)</t>
        </is>
      </c>
      <c r="G23" s="307" t="n"/>
      <c r="H23" s="307" t="n"/>
      <c r="I23" s="355" t="inlineStr">
        <is>
          <t>0.00 TL (Sıfır Risk)</t>
        </is>
      </c>
      <c r="K23" s="356" t="inlineStr">
        <is>
          <t>LİKİDİTE OPTİMİZASYON FIRSATI</t>
        </is>
      </c>
      <c r="L23" s="357" t="n"/>
      <c r="M23" s="358" t="n"/>
    </row>
    <row r="24" ht="20" customHeight="1" s="70">
      <c r="B24" s="359" t="inlineStr">
        <is>
          <t>■ İkincil Grup (%30)</t>
        </is>
      </c>
      <c r="C24" s="307" t="n"/>
      <c r="D24" s="307" t="n"/>
      <c r="E24" s="308" t="n"/>
      <c r="F24" s="354" t="inlineStr">
        <is>
          <t>Tahsilat Gecikme Toleransı</t>
        </is>
      </c>
      <c r="G24" s="307" t="n"/>
      <c r="H24" s="307" t="n"/>
      <c r="I24" s="355" t="inlineStr">
        <is>
          <t>48 Gün Güvenli Eşik</t>
        </is>
      </c>
      <c r="K24" s="360" t="inlineStr">
        <is>
          <t>Atıl kalan nakit rezervinin gecelik repoda</t>
        </is>
      </c>
      <c r="M24" s="402" t="n"/>
    </row>
    <row r="25" ht="20" customHeight="1" s="70">
      <c r="B25" s="361" t="inlineStr">
        <is>
          <t>■ Destek Birimi (%15)</t>
        </is>
      </c>
      <c r="C25" s="307" t="n"/>
      <c r="D25" s="307" t="n"/>
      <c r="E25" s="308" t="n"/>
      <c r="F25" s="332" t="inlineStr">
        <is>
          <t>██████████████████████████████████████ Güvenli Bölge (%100)</t>
        </is>
      </c>
      <c r="G25" s="362" t="n"/>
      <c r="H25" s="362" t="n"/>
      <c r="I25" s="362" t="n"/>
      <c r="K25" s="403" t="n"/>
      <c r="M25" s="402" t="n"/>
    </row>
    <row r="26" ht="20" customHeight="1" s="70">
      <c r="B26" s="364" t="inlineStr">
        <is>
          <t>■ Rezervler (%13)</t>
        </is>
      </c>
      <c r="C26" s="307" t="n"/>
      <c r="D26" s="307" t="n"/>
      <c r="E26" s="308" t="n"/>
      <c r="F26" s="365" t="inlineStr">
        <is>
          <t>✓ 90 GÜNLÜK PROJEKSİYONDA NAKİT SIKIŞIKLIĞI TESPİT EDİLMEDİ</t>
        </is>
      </c>
      <c r="G26" s="404" t="n"/>
      <c r="H26" s="404" t="n"/>
      <c r="I26" s="405" t="n"/>
      <c r="K26" s="367" t="inlineStr">
        <is>
          <t>FONLAMA SENARYOSUNU İNCELE ›</t>
        </is>
      </c>
      <c r="L26" s="404" t="n"/>
      <c r="M26" s="405" t="n"/>
    </row>
    <row r="27" ht="26" customHeight="1" s="70">
      <c r="B27" s="368" t="n"/>
      <c r="C27" s="317" t="n"/>
      <c r="D27" s="317" t="n"/>
      <c r="E27" s="318" t="n"/>
      <c r="F27" s="406" t="n"/>
      <c r="G27" s="407" t="n"/>
      <c r="H27" s="407" t="n"/>
      <c r="I27" s="408" t="n"/>
      <c r="K27" s="406" t="n"/>
      <c r="L27" s="407" t="n"/>
      <c r="M27" s="40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3">
      <c r="B3" s="203" t="inlineStr">
        <is>
          <t>🔍  AYLIK PATRON FINANS PANELI — Kayıt veya hesap ara...</t>
        </is>
      </c>
      <c r="C3" s="279" t="n"/>
      <c r="D3" s="279" t="n"/>
      <c r="E3" s="280" t="n"/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E17" s="22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24" customWidth="1" style="70" min="2" max="2"/>
    <col width="14" customWidth="1" style="70" min="3" max="3"/>
    <col width="14" customWidth="1" style="70" min="4" max="4"/>
    <col width="16" customWidth="1" style="70" min="5" max="5"/>
    <col width="14" customWidth="1" style="70" min="6" max="6"/>
    <col width="6" customWidth="1" style="70" min="7" max="7"/>
    <col width="24" customWidth="1" style="70" min="8" max="8"/>
    <col width="14" customWidth="1" style="70" min="9" max="9"/>
    <col width="14" customWidth="1" style="70" min="10" max="10"/>
    <col width="16" customWidth="1" style="70" min="11" max="11"/>
    <col width="14" customWidth="1" style="70" min="12" max="12"/>
    <col width="6" customWidth="1" style="70" min="13" max="13"/>
  </cols>
  <sheetData>
    <row r="1" ht="24" customHeight="1" s="70">
      <c r="A1" s="292" t="inlineStr">
        <is>
          <t>☰ PANO</t>
        </is>
      </c>
    </row>
    <row r="2" ht="28" customHeight="1" s="70">
      <c r="B2" s="225" t="inlineStr">
        <is>
          <t>AYLIK PATRON FINANS PANELI — NİHAİ KARAR VE DEĞERLEME</t>
        </is>
      </c>
    </row>
    <row r="3" ht="18" customHeight="1" s="70">
      <c r="B3" s="372" t="inlineStr">
        <is>
          <t>Yönetim Kurulu ve İcra Komitesi için Otomatik Finansal Stres Testi Raporu · KOBİ sahipleri, patronlar, genel müdürler, finans yöneticileri, mali müşavirler</t>
        </is>
      </c>
    </row>
    <row r="4" ht="20" customHeight="1" s="70">
      <c r="B4" s="373" t="inlineStr">
        <is>
          <t>DÖNEM: 2026 Q3 · DENETİM PROTOKOLÜ: ISO/VUK/IFRS UYUMLU · DURUM: ONAYLANDI</t>
        </is>
      </c>
    </row>
    <row r="5" ht="12" customHeight="1" s="70"/>
    <row r="6" ht="26" customHeight="1" s="70">
      <c r="B6" s="374" t="inlineStr">
        <is>
          <t>SENARYO A: KÖTÜMSER (STRES TESTİ -%20)</t>
        </is>
      </c>
      <c r="C6" s="409" t="n"/>
      <c r="D6" s="409" t="n"/>
      <c r="E6" s="409" t="n"/>
      <c r="F6" s="410" t="n"/>
      <c r="H6" s="377" t="inlineStr">
        <is>
          <t>SENARYO B: BAZ MODEL (HEDEFLENEN)</t>
        </is>
      </c>
      <c r="I6" s="411" t="n"/>
      <c r="J6" s="411" t="n"/>
      <c r="K6" s="411" t="n"/>
      <c r="L6" s="412" t="n"/>
    </row>
    <row r="7" ht="22" customHeight="1" s="70">
      <c r="B7" s="380" t="n"/>
      <c r="C7" s="307" t="n"/>
      <c r="D7" s="307" t="n"/>
      <c r="E7" s="307" t="n"/>
      <c r="F7" s="381" t="n"/>
      <c r="H7" s="382" t="n"/>
      <c r="I7" s="307" t="n"/>
      <c r="J7" s="307" t="n"/>
      <c r="K7" s="307" t="n"/>
      <c r="L7" s="383" t="n"/>
    </row>
    <row r="8" ht="22" customHeight="1" s="70">
      <c r="B8" s="384" t="inlineStr">
        <is>
          <t>Ciro / Hacim Düşüşü:</t>
        </is>
      </c>
      <c r="C8" s="307" t="n"/>
      <c r="D8" s="307" t="n"/>
      <c r="E8" s="385" t="inlineStr">
        <is>
          <t>-%20.0 (Kriz Eşiği)</t>
        </is>
      </c>
      <c r="F8" s="381" t="n"/>
      <c r="H8" s="386" t="inlineStr">
        <is>
          <t>Ciro / Hacim Gerçekleşmesi:</t>
        </is>
      </c>
      <c r="I8" s="307" t="n"/>
      <c r="J8" s="307" t="n"/>
      <c r="K8" s="387" t="inlineStr">
        <is>
          <t>%100.0 (Tam Bütçe)</t>
        </is>
      </c>
      <c r="L8" s="383" t="n"/>
    </row>
    <row r="9" ht="22" customHeight="1" s="70">
      <c r="B9" s="384" t="inlineStr">
        <is>
          <t>Beklenen Net Kâr / Getiri:</t>
        </is>
      </c>
      <c r="C9" s="307" t="n"/>
      <c r="D9" s="307" t="n"/>
      <c r="E9" s="388">
        <f>PANO!B7*0.8*0.22</f>
        <v/>
      </c>
      <c r="F9" s="381" t="n"/>
      <c r="H9" s="386" t="inlineStr">
        <is>
          <t>Beklenen Net Kâr / Getiri:</t>
        </is>
      </c>
      <c r="I9" s="307" t="n"/>
      <c r="J9" s="307" t="n"/>
      <c r="K9" s="388">
        <f>PANO!H7</f>
        <v/>
      </c>
      <c r="L9" s="383" t="n"/>
    </row>
    <row r="10" ht="22" customHeight="1" s="70">
      <c r="B10" s="384" t="inlineStr">
        <is>
          <t>Minimum Nakit Tamponu:</t>
        </is>
      </c>
      <c r="C10" s="307" t="n"/>
      <c r="D10" s="307" t="n"/>
      <c r="E10" s="389">
        <f>PANO!E7*0.75</f>
        <v/>
      </c>
      <c r="F10" s="381" t="n"/>
      <c r="H10" s="386" t="inlineStr">
        <is>
          <t>Serbest Nakit Akımı:</t>
        </is>
      </c>
      <c r="I10" s="307" t="n"/>
      <c r="J10" s="307" t="n"/>
      <c r="K10" s="389">
        <f>PANO!H7*0.75</f>
        <v/>
      </c>
      <c r="L10" s="383" t="n"/>
    </row>
    <row r="11" ht="22" customHeight="1" s="70">
      <c r="B11" s="384" t="inlineStr">
        <is>
          <t>Likidite Karşılama Oranı:</t>
        </is>
      </c>
      <c r="C11" s="307" t="n"/>
      <c r="D11" s="307" t="n"/>
      <c r="E11" s="390">
        <f>ROUND(PANO!B7*0.8/PANO!E7, 2)</f>
        <v/>
      </c>
      <c r="F11" s="381" t="n"/>
      <c r="H11" s="386" t="inlineStr">
        <is>
          <t>Yatırım Geri Dönüşü (ROI):</t>
        </is>
      </c>
      <c r="I11" s="307" t="n"/>
      <c r="J11" s="307" t="n"/>
      <c r="K11" s="391" t="inlineStr">
        <is>
          <t>%38.4 Yıllık</t>
        </is>
      </c>
      <c r="L11" s="383" t="n"/>
    </row>
    <row r="12" ht="22" customHeight="1" s="70">
      <c r="B12" s="380" t="n"/>
      <c r="C12" s="307" t="n"/>
      <c r="D12" s="307" t="n"/>
      <c r="E12" s="307" t="n"/>
      <c r="F12" s="381" t="n"/>
      <c r="H12" s="382" t="n"/>
      <c r="I12" s="307" t="n"/>
      <c r="J12" s="307" t="n"/>
      <c r="K12" s="307" t="n"/>
      <c r="L12" s="383" t="n"/>
    </row>
    <row r="13" ht="22" customHeight="1" s="70">
      <c r="B13" s="380" t="n"/>
      <c r="C13" s="307" t="n"/>
      <c r="D13" s="307" t="n"/>
      <c r="E13" s="307" t="n"/>
      <c r="F13" s="381" t="n"/>
      <c r="H13" s="382" t="n"/>
      <c r="I13" s="307" t="n"/>
      <c r="J13" s="307" t="n"/>
      <c r="K13" s="307" t="n"/>
      <c r="L13" s="383" t="n"/>
    </row>
    <row r="14" ht="28" customHeight="1" s="70">
      <c r="B14" s="392" t="inlineStr">
        <is>
          <t>STRES SENARYOSUNDA DAHİ İFLAS RİSKİ YOK</t>
        </is>
      </c>
      <c r="C14" s="413" t="n"/>
      <c r="D14" s="413" t="n"/>
      <c r="E14" s="413" t="n"/>
      <c r="F14" s="414" t="n"/>
      <c r="H14" s="395" t="inlineStr">
        <is>
          <t>OPTİMUM İCRA VE PLANLAMA REÇETESİ</t>
        </is>
      </c>
      <c r="I14" s="415" t="n"/>
      <c r="J14" s="415" t="n"/>
      <c r="K14" s="415" t="n"/>
      <c r="L14" s="416" t="n"/>
    </row>
    <row r="15" ht="14" customHeight="1" s="70">
      <c r="B15" s="417" t="n"/>
      <c r="C15" s="418" t="n"/>
      <c r="D15" s="418" t="n"/>
      <c r="E15" s="418" t="n"/>
      <c r="F15" s="419" t="n"/>
      <c r="H15" s="420" t="n"/>
      <c r="I15" s="421" t="n"/>
      <c r="J15" s="421" t="n"/>
      <c r="K15" s="421" t="n"/>
      <c r="L15" s="422" t="n"/>
    </row>
    <row r="16" ht="10" customHeight="1" s="70"/>
    <row r="17" ht="26" customHeight="1" s="70">
      <c r="B17" s="398" t="inlineStr">
        <is>
          <t>YÖNETİM KARAR MATRİSİ VE UYGULAMA REÇETESİ</t>
        </is>
      </c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349" t="n"/>
    </row>
    <row r="18" ht="22" customHeight="1" s="70">
      <c r="B18" s="399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8" t="n"/>
    </row>
    <row r="19" ht="22" customHeight="1" s="70">
      <c r="B19" s="400" t="inlineStr">
        <is>
          <t>●  Öncelik 1: Acil Likidite ve Borç Servis Planlaması</t>
        </is>
      </c>
      <c r="C19" s="307" t="n"/>
      <c r="D19" s="307" t="n"/>
      <c r="E19" s="307" t="n"/>
      <c r="F19" s="307" t="n"/>
      <c r="G19" s="307" t="n"/>
      <c r="H19" s="307" t="n"/>
      <c r="I19" s="307" t="n"/>
      <c r="J19" s="307" t="n"/>
      <c r="K19" s="307" t="n"/>
      <c r="L19" s="308" t="n"/>
    </row>
    <row r="20" ht="22" customHeight="1" s="70">
      <c r="B20" s="401" t="inlineStr">
        <is>
          <t xml:space="preserve">   Sistemde hesaplanan vade günlerine sadık kalınarak nakit blokajı 3 gün önceden hazır edilmelidir.</t>
        </is>
      </c>
      <c r="C20" s="307" t="n"/>
      <c r="D20" s="307" t="n"/>
      <c r="E20" s="307" t="n"/>
      <c r="F20" s="307" t="n"/>
      <c r="G20" s="307" t="n"/>
      <c r="H20" s="307" t="n"/>
      <c r="I20" s="307" t="n"/>
      <c r="J20" s="307" t="n"/>
      <c r="K20" s="307" t="n"/>
      <c r="L20" s="308" t="n"/>
    </row>
    <row r="21" ht="22" customHeight="1" s="70">
      <c r="B21" s="400" t="inlineStr">
        <is>
          <t>●  Öncelik 2: Formül Doğrulama ve Çapraz Sağlama</t>
        </is>
      </c>
      <c r="C21" s="307" t="n"/>
      <c r="D21" s="307" t="n"/>
      <c r="E21" s="307" t="n"/>
      <c r="F21" s="307" t="n"/>
      <c r="G21" s="307" t="n"/>
      <c r="H21" s="307" t="n"/>
      <c r="I21" s="307" t="n"/>
      <c r="J21" s="307" t="n"/>
      <c r="K21" s="307" t="n"/>
      <c r="L21" s="308" t="n"/>
    </row>
    <row r="22" ht="22" customHeight="1" s="70">
      <c r="B22" s="401" t="inlineStr">
        <is>
          <t xml:space="preserve">   Tüm hücreler kilitli formül korumasında olup girdi sayfalarında sıfır döngüsel başvuru (circular ref) garantilidir.</t>
        </is>
      </c>
      <c r="C22" s="307" t="n"/>
      <c r="D22" s="307" t="n"/>
      <c r="E22" s="307" t="n"/>
      <c r="F22" s="307" t="n"/>
      <c r="G22" s="307" t="n"/>
      <c r="H22" s="307" t="n"/>
      <c r="I22" s="307" t="n"/>
      <c r="J22" s="307" t="n"/>
      <c r="K22" s="307" t="n"/>
      <c r="L22" s="308" t="n"/>
    </row>
    <row r="23" ht="22" customHeight="1" s="70">
      <c r="B23" s="400" t="inlineStr">
        <is>
          <t>●  Öncelik 3: Resmi Mevzuat ve Vergi Kalkanı Entegrasyonu</t>
        </is>
      </c>
      <c r="C23" s="307" t="n"/>
      <c r="D23" s="307" t="n"/>
      <c r="E23" s="307" t="n"/>
      <c r="F23" s="307" t="n"/>
      <c r="G23" s="307" t="n"/>
      <c r="H23" s="307" t="n"/>
      <c r="I23" s="307" t="n"/>
      <c r="J23" s="307" t="n"/>
      <c r="K23" s="307" t="n"/>
      <c r="L23" s="308" t="n"/>
    </row>
    <row r="24" ht="22" customHeight="1" s="70">
      <c r="B24" s="401" t="inlineStr">
        <is>
          <t xml:space="preserve">   2026 güncel vergi dilimleri, amortisman ve SGK teşvik parametreleri tam otomatik yansıtılmaktadır.</t>
        </is>
      </c>
      <c r="C24" s="307" t="n"/>
      <c r="D24" s="307" t="n"/>
      <c r="E24" s="307" t="n"/>
      <c r="F24" s="307" t="n"/>
      <c r="G24" s="307" t="n"/>
      <c r="H24" s="307" t="n"/>
      <c r="I24" s="307" t="n"/>
      <c r="J24" s="307" t="n"/>
      <c r="K24" s="307" t="n"/>
      <c r="L24" s="308" t="n"/>
    </row>
    <row r="25" ht="22" customHeight="1" s="70">
      <c r="B25" s="400" t="inlineStr">
        <is>
          <t>●  Öncelik 4: Yönetici İmzası ve Rapor Paylaşımı</t>
        </is>
      </c>
      <c r="C25" s="307" t="n"/>
      <c r="D25" s="307" t="n"/>
      <c r="E25" s="307" t="n"/>
      <c r="F25" s="307" t="n"/>
      <c r="G25" s="307" t="n"/>
      <c r="H25" s="307" t="n"/>
      <c r="I25" s="307" t="n"/>
      <c r="J25" s="307" t="n"/>
      <c r="K25" s="307" t="n"/>
      <c r="L25" s="308" t="n"/>
    </row>
    <row r="26" ht="22" customHeight="1" s="70">
      <c r="B26" s="401" t="inlineStr">
        <is>
          <t xml:space="preserve">   Tek tuşla PDF ve A4 çıktı formatına tam uyumlu sayfa yapısı kurgulanmıştır.</t>
        </is>
      </c>
      <c r="C26" s="307" t="n"/>
      <c r="D26" s="307" t="n"/>
      <c r="E26" s="307" t="n"/>
      <c r="F26" s="307" t="n"/>
      <c r="G26" s="307" t="n"/>
      <c r="H26" s="307" t="n"/>
      <c r="I26" s="307" t="n"/>
      <c r="J26" s="307" t="n"/>
      <c r="K26" s="307" t="n"/>
      <c r="L26" s="308" t="n"/>
    </row>
    <row r="27" ht="22" customHeight="1" s="70">
      <c r="B27" s="368" t="n"/>
      <c r="C27" s="317" t="n"/>
      <c r="D27" s="317" t="n"/>
      <c r="E27" s="317" t="n"/>
      <c r="F27" s="317" t="n"/>
      <c r="G27" s="317" t="n"/>
      <c r="H27" s="317" t="n"/>
      <c r="I27" s="317" t="n"/>
      <c r="J27" s="317" t="n"/>
      <c r="K27" s="317" t="n"/>
      <c r="L27" s="31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YÜRÜTME ÇEKİRDEĞİ — ZORUNLU ÜRETİM SIRASI</t>
        </is>
      </c>
    </row>
    <row r="3" ht="24" customHeight="1" s="70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0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0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NİHAİ KONTROL LİSTESİ — KANITSIZ GEÇİŞ YOK</t>
        </is>
      </c>
    </row>
    <row r="3" ht="24" customHeight="1" s="70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0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0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0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0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0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GÖRSEL TASARIM VE PREMIUM EXCEL STANDARDI</t>
        </is>
      </c>
    </row>
    <row r="3" ht="24" customHeight="1" s="70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0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0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0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0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0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0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0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0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0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0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0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0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0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0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0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0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0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0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0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TÜRKİYE MUHASEBE VE TEKDÜZEN HESAP PLANI STANDARDI</t>
        </is>
      </c>
    </row>
    <row r="3" ht="24" customHeight="1" s="70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0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0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0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KARAR, GÜVEN VE SATIŞA HAZIRLIK STANDARDI</t>
        </is>
      </c>
    </row>
    <row r="3" ht="24" customHeight="1" s="70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0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</t>
        </is>
      </c>
    </row>
    <row r="3" ht="22" customHeight="1" s="70">
      <c r="A3" s="291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:I1"/>
    <mergeCell ref="A10:J12"/>
    <mergeCell ref="A7:J7"/>
    <mergeCell ref="A4:C5"/>
    <mergeCell ref="A3:I3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6" min="1" max="1"/>
    <col width="2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>
      <c r="A1" s="80" t="inlineStr">
        <is>
          <t>☰ PANO</t>
        </is>
      </c>
    </row>
    <row r="3" ht="22" customHeight="1" s="70">
      <c r="A3" s="291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4:AN4"/>
    <mergeCell ref="A15:AN15"/>
    <mergeCell ref="A7:AN7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6.5" customWidth="1" style="96" min="7" max="7"/>
    <col width="19.5" customWidth="1" style="96" min="8" max="9"/>
    <col width="19.5" customWidth="1" style="70" min="9" max="9"/>
    <col width="13" customWidth="1" style="70" min="10" max="10"/>
  </cols>
  <sheetData>
    <row r="1" ht="32" customHeight="1" s="70">
      <c r="A1" s="272" t="inlineStr">
        <is>
          <t>AYLIK GELIR GIDER — AYLIK PATRON FİNANS PANELİ</t>
        </is>
      </c>
    </row>
    <row r="3" ht="22" customHeight="1" s="70">
      <c r="A3" s="291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.5" customWidth="1" style="96" min="1" max="1"/>
    <col width="24" customWidth="1" style="96" min="2" max="2"/>
    <col width="33.5" customWidth="1" style="96" min="3" max="3"/>
    <col width="21.5" customWidth="1" style="96" min="4" max="4"/>
    <col width="16.5" customWidth="1" style="96" min="5" max="5"/>
    <col width="23.5" customWidth="1" style="96" min="6" max="6"/>
    <col width="14.5" customWidth="1" style="96" min="7" max="7"/>
    <col width="22" customWidth="1" style="96" min="8" max="8"/>
    <col width="13" customWidth="1" style="70" min="9" max="9"/>
  </cols>
  <sheetData>
    <row r="1" ht="32" customHeight="1" s="70">
      <c r="A1" s="272" t="inlineStr">
        <is>
          <t>BORC VE ALACAK — AYLIK PATRON FİNANS PANELİ</t>
        </is>
      </c>
    </row>
    <row r="3" ht="22" customHeight="1" s="70">
      <c r="A3" s="291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3" customWidth="1" style="70" min="4" max="4"/>
    <col width="18" customWidth="1" style="96" min="5" max="5"/>
    <col width="14" customWidth="1" style="96" min="6" max="6"/>
    <col width="13" customWidth="1" style="70" min="7" max="7"/>
    <col width="32" customWidth="1" style="96" min="8" max="8"/>
    <col width="16" customWidth="1" style="96" min="9" max="9"/>
    <col width="70" customWidth="1" style="96" min="10" max="10"/>
  </cols>
  <sheetData>
    <row r="1" ht="32" customHeight="1" s="70">
      <c r="A1" s="272" t="inlineStr">
        <is>
          <t>FINANS MOTORU — AYLIK PATRON FİNANS PANELİ</t>
        </is>
      </c>
    </row>
    <row r="3" ht="22" customHeight="1" s="70">
      <c r="A3" s="29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AVERAGE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KONTROLLER — AYLIK PATRON FİNANS PANELİ</t>
        </is>
      </c>
    </row>
    <row r="3" ht="22" customHeight="1" s="70">
      <c r="A3" s="291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 — AYLIK PATRON FİNANS PANELİ</t>
        </is>
      </c>
    </row>
    <row r="3" ht="22" customHeight="1" s="70">
      <c r="A3" s="291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AND kasa yeterliliği eşiklerin içinde.","Kâr, borçluluk veya kasa eşiği kontrolünden biri sağlanmıyor."))</f>
        <v/>
      </c>
    </row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SENARYO DUYARLILIK — AYLIK PATRON FİNANS PANELİ</t>
        </is>
      </c>
    </row>
    <row r="3" ht="22" customHeight="1" s="70">
      <c r="A3" s="291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 — YÖNETİCİ ÖZETİ</t>
        </is>
      </c>
    </row>
    <row r="2" ht="15" customHeight="1" s="70">
      <c r="A2" s="152">
        <f>_xlfn.CONCAT("Rapor Tarihi: ",TEXT(RaporTarihi,"dd.mm.yyyy")," | Hazırlayan: ",RaporHazirlayan," | Sürüm: ",DosyaSurumu)</f>
        <v/>
      </c>
    </row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:I1"/>
    <mergeCell ref="A17:L17"/>
    <mergeCell ref="A18:L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2" customWidth="1" style="96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ORNEK VERI — AYLIK PATRON FİNANS PANELİ</t>
        </is>
      </c>
    </row>
    <row r="3" ht="22" customHeight="1" s="70">
      <c r="A3" s="291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33.5" customWidth="1" style="96" min="2" max="2"/>
    <col width="29.5" customWidth="1" style="96" min="3" max="3"/>
    <col width="30.5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ANAHTAR — AylikPatronFinansPaneli</t>
        </is>
      </c>
    </row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ESLESTIRME — AylikPatronFinansPaneli</t>
        </is>
      </c>
    </row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.5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KOK_NEDEN — AylikPatronFinansPaneli</t>
        </is>
      </c>
    </row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.5" customWidth="1" style="96" min="4" max="4"/>
    <col width="14.5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DEGISIKLIK KAYDI — AYLIK PATRON FİNANS PANELİ</t>
        </is>
      </c>
    </row>
    <row r="3" ht="22" customHeight="1" s="70">
      <c r="A3" s="291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2" customWidth="1" style="96" min="3" max="3"/>
    <col width="13" customWidth="1" style="70" min="4" max="4"/>
    <col width="13.5" customWidth="1" style="96" min="5" max="5"/>
    <col width="13" customWidth="1" style="70" min="6" max="6"/>
    <col width="20.5" customWidth="1" style="96" min="7" max="7"/>
    <col width="13" customWidth="1" style="70" min="8" max="8"/>
    <col width="18.5" customWidth="1" style="96" min="9" max="9"/>
    <col width="13" customWidth="1" style="70" min="10" max="10"/>
  </cols>
  <sheetData>
    <row r="1" ht="32" customHeight="1" s="70">
      <c r="A1" s="272" t="inlineStr">
        <is>
          <t>LISTELER — AYLIK PATRON FİNANS PANELİ</t>
        </is>
      </c>
    </row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AYARLAR — AYLIK PATRON FİNANS PANELİ</t>
        </is>
      </c>
    </row>
    <row r="3" ht="22" customHeight="1" s="70">
      <c r="A3" s="291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53:AD53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0.5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KILAVUZ — AYLIK PATRON FİNANS PANELİ</t>
        </is>
      </c>
    </row>
    <row r="3" ht="22" customHeight="1" s="70">
      <c r="A3" s="291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0">
    <mergeCell ref="A7:L7"/>
    <mergeCell ref="A25:L25"/>
    <mergeCell ref="A3:I3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34:L34"/>
    <mergeCell ref="A24:L24"/>
    <mergeCell ref="A30:L30"/>
    <mergeCell ref="A11:L11"/>
    <mergeCell ref="A36:L36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2026-09-25T22:34:04Z</dcterms:modified>
  <cp:revision>0</cp:revision>
</cp:coreProperties>
</file>