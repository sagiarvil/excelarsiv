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20.xml" ContentType="application/vnd.openxmlformats-officedocument.spreadsheetml.worksheet+xml"/>
  <Override PartName="/xl/comments/comment5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23.xml" ContentType="application/vnd.openxmlformats-officedocument.spreadsheetml.worksheet+xml"/>
  <Override PartName="/xl/comments/comment7.xml" ContentType="application/vnd.openxmlformats-officedocument.spreadsheetml.comments+xml"/>
  <Override PartName="/xl/worksheets/sheet24.xml" ContentType="application/vnd.openxmlformats-officedocument.spreadsheetml.worksheet+xml"/>
  <Override PartName="/xl/comments/comment8.xml" ContentType="application/vnd.openxmlformats-officedocument.spreadsheetml.comments+xml"/>
  <Override PartName="/xl/tables/table7.xml" ContentType="application/vnd.openxmlformats-officedocument.spreadsheetml.table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KARTLAR" sheetId="15" state="visible" r:id="rId15"/>
    <sheet xmlns:r="http://schemas.openxmlformats.org/officeDocument/2006/relationships" name="AKIS" sheetId="16" state="visible" r:id="rId16"/>
    <sheet xmlns:r="http://schemas.openxmlformats.org/officeDocument/2006/relationships" name="KUYRUKLAR" sheetId="17" state="visible" r:id="rId17"/>
    <sheet xmlns:r="http://schemas.openxmlformats.org/officeDocument/2006/relationships" name="SENARYO" sheetId="18" state="visible" r:id="rId18"/>
    <sheet xmlns:r="http://schemas.openxmlformats.org/officeDocument/2006/relationships" name="VAKALAR" sheetId="19" state="visible" r:id="rId19"/>
    <sheet xmlns:r="http://schemas.openxmlformats.org/officeDocument/2006/relationships" name="KANIT_RAPORU" sheetId="20" state="visible" r:id="rId20"/>
    <sheet xmlns:r="http://schemas.openxmlformats.org/officeDocument/2006/relationships" name="KONTROLLER" sheetId="21" state="visible" r:id="rId21"/>
    <sheet xmlns:r="http://schemas.openxmlformats.org/officeDocument/2006/relationships" name="ORNEK_VERI" sheetId="22" state="visible" r:id="rId22"/>
    <sheet xmlns:r="http://schemas.openxmlformats.org/officeDocument/2006/relationships" name="LISTELER" sheetId="23" state="visible" r:id="rId23"/>
    <sheet xmlns:r="http://schemas.openxmlformats.org/officeDocument/2006/relationships" name="AYARLAR" sheetId="24" state="visible" r:id="rId24"/>
    <sheet xmlns:r="http://schemas.openxmlformats.org/officeDocument/2006/relationships" name="KILAVUZ" sheetId="25" state="visible" r:id="rId25"/>
  </sheets>
  <definedNames>
    <definedName name="hesapYili">GIRDI!$B$8</definedName>
    <definedName name="raporTarihi">AYARLAR!$B$7</definedName>
    <definedName name="zincirTolerans">AYARLAR!$B$45</definedName>
    <definedName name="bke_erkenUyariSkor">MOTOR!$G$55</definedName>
    <definedName name="bke_kararMetni">MOTOR!$G$34</definedName>
    <definedName name="bke_kararGerekce">MOTOR!$G$35</definedName>
    <definedName name="bke_maddeAtifMetni">MOTOR!$G$53</definedName>
    <definedName name="bke_kanitRaporu">MOTOR!$G$54</definedName>
    <definedName name="bke_kuralYilMatris">KURALLAR!$B$17</definedName>
    <definedName name="bke_parmakIzi">AYARLAR!$B$21</definedName>
    <definedName name="bke_senaryoKarsilastirma">SENARYO!$B$11</definedName>
    <definedName name="bke_yorumSenaryo">SENARYO!$B$12</definedName>
    <definedName name="bke_duyarlilikSira">SENARYO!$B$19</definedName>
    <definedName name="bke_yorumDuyarlilik">SENARYO!$B$20</definedName>
    <definedName name="bke_kuralDegisimSenaryo">SENARYO!$B$22</definedName>
    <definedName name="bke_yorumKuralDegisim">SENARYO!$B$23</definedName>
    <definedName name="bke_tahminAralik">SENARYO!$B$32</definedName>
    <definedName name="bke_yorumTahmin">SENARYO!$B$33</definedName>
    <definedName name="bke_vakaDurum">VAKALAR!$B$12</definedName>
    <definedName name="bke_vakaFark">VAKALAR!$B$13</definedName>
    <definedName name="bke_sonrakiKimlik">KARTLAR!$B$4</definedName>
    <definedName name="bke_tolerans">AYARLAR!$B$8</definedName>
    <definedName name="bke_kacirilanEsik">AYARLAR!$B$9</definedName>
    <definedName name="bke_senaryoIyi">AYARLAR!$B$10</definedName>
    <definedName name="bke_senaryoKotu">AYARLAR!$B$11</definedName>
    <definedName name="bke_esikArtis">AYARLAR!$B$12</definedName>
    <definedName name="bke_tahminAlt">AYARLAR!$B$13</definedName>
    <definedName name="bke_tahminUst">AYARLAR!$B$14</definedName>
    <definedName name="bke_tornadoDscr">AYARLAR!$B$15</definedName>
    <definedName name="bke_tornadoFavok">AYARLAR!$B$16</definedName>
    <definedName name="bke_tornadoFaiz">AYARLAR!$B$17</definedName>
    <definedName name="bke_dscrIyi">AYARLAR!$B$18</definedName>
    <definedName name="bke_dscrKotu">AYARLAR!$B$19</definedName>
    <definedName name="bke_yuzdelikOran">AYARLAR!$B$20</definedName>
    <definedName name="bke_girisBeklenen">AYARLAR!$B$23</definedName>
    <definedName name="bke_riskDusuk">AYARLAR!$B$24</definedName>
    <definedName name="bke_riskOrta">AYARLAR!$B$25</definedName>
    <definedName name="bke_riskYuksek">AYARLAR!$B$26</definedName>
    <definedName name="bke_riskEsikOran">AYARLAR!$B$27</definedName>
    <definedName name="bke_yilTaban">AYARLAR!$B$28</definedName>
    <definedName name="bke_yuvarMax">AYARLAR!$B$29</definedName>
    <definedName name="bke_dayanakCarpan">AYARLAR!$B$30</definedName>
    <definedName name="bke_bazCarpan">AYARLAR!$B$31</definedName>
    <definedName name="bke_sifirCarpan">AYARLAR!$B$32</definedName>
    <definedName name="bke_siraBir">AYARLAR!$B$33</definedName>
    <definedName name="bke_siraIki">AYARLAR!$B$34</definedName>
    <definedName name="bke_siraUc">AYARLAR!$B$35</definedName>
    <definedName name="bke_tahminX">AYARLAR!$B$36</definedName>
    <definedName name="bke_skorTavan">AYARLAR!$B$37</definedName>
    <definedName name="bke_skorIhlal">AYARLAR!$B$38</definedName>
    <definedName name="bke_skorUyari">AYARLAR!$B$39</definedName>
    <definedName name="bke_skorTaban">AYARLAR!$B$40</definedName>
    <definedName name="bke_paydaMin">AYARLAR!$B$41</definedName>
    <definedName name="bke_agirlikDscr">AYARLAR!$B$42</definedName>
    <definedName name="bke_agirlikKaldirac">AYARLAR!$B$43</definedName>
    <definedName name="bke_agirlikCari">AYARLAR!$B$44</definedName>
    <definedName name="bke_modulT1">PANO!$C$11</definedName>
    <definedName name="bke_modulT1Yorum">PANO!$D$11</definedName>
    <definedName name="bke_modulT2">PANO!$C$12</definedName>
    <definedName name="bke_modulT2Yorum">PANO!$D$12</definedName>
    <definedName name="bke_modulO1">PANO!$C$13</definedName>
    <definedName name="bke_modulO1Yorum">PANO!$D$13</definedName>
    <definedName name="bke_modulO6">PANO!$C$16</definedName>
    <definedName name="bke_modulO6Yorum">PANO!$D$16</definedName>
    <definedName name="bke_modulO8">PANO!$C$17</definedName>
    <definedName name="bke_modulO8Yorum">PANO!$D$17</definedName>
    <definedName name="bke_modulI2">PANO!$C$20</definedName>
    <definedName name="bke_modulI2Yorum">PANO!$D$20</definedName>
    <definedName name="ListeYillar">LISTELER!$A$6:$A$8</definedName>
    <definedName name="ListeYorumAB">LISTELER!$C$6:$C$7</definedName>
    <definedName name="ListeEvetHayir">LISTELER!$E$6:$E$7</definedName>
    <definedName name="ListeKrediTur">LISTELER!$G$6:$G$7</definedName>
    <definedName name="ListeDurumlar">LISTELER!$I$6:$I$10</definedName>
    <definedName name="ListeIzinliGecis">LISTELER!$K$6:$K$15</definedName>
    <definedName name="_xlnm.Print_Area" localSheetId="19">'KANIT_RAPORU'!$A$1:$F$32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[Red](0.0%);-"/>
    <numFmt numFmtId="165" formatCode="₺ #,##0;[Red](₺ #,##0);-"/>
    <numFmt numFmtId="166" formatCode="dd.mm.yyyy"/>
    <numFmt numFmtId="167" formatCode="#,##0 &quot;TL&quot;"/>
    <numFmt numFmtId="168" formatCode="0.0%"/>
    <numFmt numFmtId="169" formatCode="₺#,##0"/>
  </numFmts>
  <fonts count="8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2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0000"/>
      <sz val="10"/>
    </font>
    <font>
      <name val="Segoe UI"/>
      <b val="1"/>
      <color rgb="00006100"/>
      <sz val="12"/>
    </font>
    <font>
      <name val="Segoe UI"/>
      <color rgb="00B3261E"/>
      <sz val="9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18" fillId="4" borderId="0" applyAlignment="1" applyProtection="1" pivotButton="0" quotePrefix="0" xfId="0">
      <alignment horizontal="left" vertical="center"/>
      <protection locked="0" hidden="0"/>
    </xf>
    <xf numFmtId="165" fontId="18" fillId="4" borderId="0" applyAlignment="1" applyProtection="1" pivotButton="0" quotePrefix="0" xfId="0">
      <alignment horizontal="left" vertical="center"/>
      <protection locked="0" hidden="0"/>
    </xf>
    <xf numFmtId="164" fontId="18" fillId="4" borderId="0" applyAlignment="1" applyProtection="1" pivotButton="0" quotePrefix="0" xfId="0">
      <alignment horizontal="left" vertical="center"/>
      <protection locked="0" hidden="0"/>
    </xf>
    <xf numFmtId="3" fontId="19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8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3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3" fontId="17" fillId="0" borderId="0" applyAlignment="1" pivotButton="0" quotePrefix="0" xfId="0">
      <alignment horizontal="center" vertical="center"/>
    </xf>
    <xf numFmtId="3" fontId="14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166" fontId="18" fillId="4" borderId="0" applyAlignment="1" applyProtection="1" pivotButton="0" quotePrefix="0" xfId="0">
      <alignment horizontal="left" vertical="center"/>
      <protection locked="0" hidden="0"/>
    </xf>
    <xf numFmtId="0" fontId="15" fillId="3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4" fillId="6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6" fontId="14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7" fillId="4" borderId="0" applyAlignment="1" applyProtection="1" pivotButton="0" quotePrefix="0" xfId="0">
      <alignment horizontal="left" vertical="center"/>
      <protection locked="0" hidden="0"/>
    </xf>
    <xf numFmtId="0" fontId="22" fillId="0" borderId="0" applyAlignment="1" pivotButton="0" quotePrefix="0" xfId="0">
      <alignment horizontal="left" vertical="center" wrapText="1"/>
    </xf>
    <xf numFmtId="3" fontId="17" fillId="4" borderId="0" applyAlignment="1" applyProtection="1" pivotButton="0" quotePrefix="0" xfId="0">
      <alignment horizontal="left" vertical="center"/>
      <protection locked="0" hidden="0"/>
    </xf>
    <xf numFmtId="0" fontId="14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3" fontId="6" fillId="4" borderId="0" applyAlignment="1" applyProtection="1" pivotButton="0" quotePrefix="0" xfId="0">
      <alignment horizontal="left" vertical="center" wrapText="1"/>
      <protection locked="0" hidden="0"/>
    </xf>
    <xf numFmtId="0" fontId="23" fillId="0" borderId="0" applyAlignment="1" pivotButton="0" quotePrefix="0" xfId="0">
      <alignment horizontal="left" vertical="center" wrapText="1"/>
    </xf>
    <xf numFmtId="166" fontId="18" fillId="4" borderId="0" applyAlignment="1" applyProtection="1" pivotButton="0" quotePrefix="0" xfId="0">
      <alignment horizontal="left" vertical="center"/>
      <protection locked="0" hidden="0"/>
    </xf>
    <xf numFmtId="166" fontId="14" fillId="0" borderId="0" applyAlignment="1" pivotButton="0" quotePrefix="0" xfId="0">
      <alignment horizontal="left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24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32" fillId="0" borderId="0" pivotButton="0" quotePrefix="0" xfId="0"/>
    <xf numFmtId="0" fontId="27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2" fillId="8" borderId="0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11" fillId="7" borderId="0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167" fontId="35" fillId="0" borderId="0" pivotButton="0" quotePrefix="0" xfId="0"/>
    <xf numFmtId="168" fontId="34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/>
    </xf>
    <xf numFmtId="0" fontId="35" fillId="0" borderId="0" pivotButton="0" quotePrefix="0" xfId="0"/>
    <xf numFmtId="0" fontId="39" fillId="9" borderId="2" pivotButton="0" quotePrefix="0" xfId="0"/>
    <xf numFmtId="0" fontId="40" fillId="0" borderId="0" pivotButton="0" quotePrefix="0" xfId="0"/>
    <xf numFmtId="0" fontId="41" fillId="0" borderId="0" pivotButton="0" quotePrefix="0" xfId="0"/>
    <xf numFmtId="0" fontId="34" fillId="0" borderId="0" applyAlignment="1" pivotButton="0" quotePrefix="0" xfId="0">
      <alignment wrapText="1"/>
    </xf>
    <xf numFmtId="0" fontId="42" fillId="0" borderId="0" pivotButton="0" quotePrefix="0" xfId="0"/>
    <xf numFmtId="0" fontId="43" fillId="0" borderId="2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3" pivotButton="0" quotePrefix="0" xfId="0"/>
    <xf numFmtId="0" fontId="0" fillId="0" borderId="2" pivotButton="0" quotePrefix="0" xfId="0"/>
    <xf numFmtId="0" fontId="44" fillId="11" borderId="2" applyAlignment="1" pivotButton="0" quotePrefix="0" xfId="0">
      <alignment horizontal="center"/>
    </xf>
    <xf numFmtId="0" fontId="31" fillId="0" borderId="4" pivotButton="0" quotePrefix="0" xfId="0"/>
    <xf numFmtId="0" fontId="46" fillId="12" borderId="2" applyAlignment="1" pivotButton="0" quotePrefix="0" xfId="0">
      <alignment horizontal="center"/>
    </xf>
    <xf numFmtId="0" fontId="45" fillId="13" borderId="2" applyAlignment="1" pivotButton="0" quotePrefix="0" xfId="0">
      <alignment horizontal="center"/>
    </xf>
    <xf numFmtId="0" fontId="31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7" fillId="0" borderId="3" pivotButton="0" quotePrefix="0" xfId="0"/>
    <xf numFmtId="0" fontId="47" fillId="0" borderId="4" pivotButton="0" quotePrefix="0" xfId="0"/>
    <xf numFmtId="0" fontId="48" fillId="0" borderId="5" pivotButton="0" quotePrefix="0" xfId="0"/>
    <xf numFmtId="0" fontId="45" fillId="0" borderId="3" pivotButton="0" quotePrefix="0" xfId="0"/>
    <xf numFmtId="0" fontId="40" fillId="0" borderId="4" pivotButton="0" quotePrefix="0" xfId="0"/>
    <xf numFmtId="0" fontId="45" fillId="0" borderId="5" pivotButton="0" quotePrefix="0" xfId="0"/>
    <xf numFmtId="0" fontId="49" fillId="14" borderId="0" applyAlignment="1" pivotButton="0" quotePrefix="0" xfId="0">
      <alignment horizontal="center"/>
    </xf>
    <xf numFmtId="0" fontId="50" fillId="0" borderId="0" pivotButton="0" quotePrefix="0" xfId="0"/>
    <xf numFmtId="0" fontId="49" fillId="15" borderId="0" applyAlignment="1" pivotButton="0" quotePrefix="0" xfId="0">
      <alignment horizontal="center" vertical="center"/>
    </xf>
    <xf numFmtId="0" fontId="50" fillId="0" borderId="2" pivotButton="0" quotePrefix="0" xfId="0"/>
    <xf numFmtId="0" fontId="51" fillId="0" borderId="2" pivotButton="0" quotePrefix="0" xfId="0"/>
    <xf numFmtId="0" fontId="52" fillId="0" borderId="2" pivotButton="0" quotePrefix="0" xfId="0"/>
    <xf numFmtId="0" fontId="53" fillId="16" borderId="2" applyAlignment="1" pivotButton="0" quotePrefix="0" xfId="0">
      <alignment horizontal="center"/>
    </xf>
    <xf numFmtId="0" fontId="49" fillId="7" borderId="0" pivotButton="0" quotePrefix="0" xfId="0"/>
    <xf numFmtId="0" fontId="54" fillId="7" borderId="0" pivotButton="0" quotePrefix="0" xfId="0"/>
    <xf numFmtId="0" fontId="55" fillId="7" borderId="0" pivotButton="0" quotePrefix="0" xfId="0"/>
    <xf numFmtId="0" fontId="0" fillId="7" borderId="0" pivotButton="0" quotePrefix="0" xfId="0"/>
    <xf numFmtId="0" fontId="28" fillId="7" borderId="0" applyAlignment="1" pivotButton="0" quotePrefix="0" xfId="0">
      <alignment horizontal="center"/>
    </xf>
    <xf numFmtId="0" fontId="43" fillId="0" borderId="0" pivotButton="0" quotePrefix="0" xfId="0"/>
    <xf numFmtId="0" fontId="58" fillId="17" borderId="0" pivotButton="0" quotePrefix="0" xfId="0"/>
    <xf numFmtId="0" fontId="0" fillId="17" borderId="0" pivotButton="0" quotePrefix="0" xfId="0"/>
    <xf numFmtId="0" fontId="45" fillId="0" borderId="0" pivotButton="0" quotePrefix="0" xfId="0"/>
    <xf numFmtId="0" fontId="11" fillId="17" borderId="0" pivotButton="0" quotePrefix="0" xfId="0"/>
    <xf numFmtId="0" fontId="59" fillId="17" borderId="0" applyAlignment="1" pivotButton="0" quotePrefix="0" xfId="0">
      <alignment wrapText="1"/>
    </xf>
    <xf numFmtId="0" fontId="56" fillId="0" borderId="0" pivotButton="0" quotePrefix="0" xfId="0"/>
    <xf numFmtId="0" fontId="57" fillId="0" borderId="0" pivotButton="0" quotePrefix="0" xfId="0"/>
    <xf numFmtId="0" fontId="45" fillId="13" borderId="6" applyAlignment="1" pivotButton="0" quotePrefix="0" xfId="0">
      <alignment horizontal="center" vertical="center"/>
    </xf>
    <xf numFmtId="0" fontId="60" fillId="18" borderId="0" applyAlignment="1" pivotButton="0" quotePrefix="0" xfId="0">
      <alignment horizontal="center" vertical="center"/>
    </xf>
    <xf numFmtId="0" fontId="25" fillId="19" borderId="2" applyAlignment="1" pivotButton="0" quotePrefix="0" xfId="0">
      <alignment vertical="center"/>
    </xf>
    <xf numFmtId="0" fontId="44" fillId="11" borderId="0" applyAlignment="1" pivotButton="0" quotePrefix="0" xfId="0">
      <alignment horizontal="center" vertical="center"/>
    </xf>
    <xf numFmtId="0" fontId="45" fillId="13" borderId="0" applyAlignment="1" pivotButton="0" quotePrefix="0" xfId="0">
      <alignment horizontal="center" vertical="center"/>
    </xf>
    <xf numFmtId="0" fontId="61" fillId="7" borderId="0" applyAlignment="1" pivotButton="0" quotePrefix="0" xfId="0">
      <alignment horizontal="center" vertical="center"/>
    </xf>
    <xf numFmtId="0" fontId="62" fillId="19" borderId="2" applyAlignment="1" pivotButton="0" quotePrefix="0" xfId="0">
      <alignment horizontal="center"/>
    </xf>
    <xf numFmtId="0" fontId="63" fillId="19" borderId="2" applyAlignment="1" pivotButton="0" quotePrefix="0" xfId="0">
      <alignment horizontal="center"/>
    </xf>
    <xf numFmtId="0" fontId="62" fillId="19" borderId="2" pivotButton="0" quotePrefix="0" xfId="0"/>
    <xf numFmtId="169" fontId="63" fillId="19" borderId="2" applyAlignment="1" pivotButton="0" quotePrefix="0" xfId="0">
      <alignment horizontal="right"/>
    </xf>
    <xf numFmtId="9" fontId="62" fillId="19" borderId="2" applyAlignment="1" pivotButton="0" quotePrefix="0" xfId="0">
      <alignment horizontal="center"/>
    </xf>
    <xf numFmtId="169" fontId="62" fillId="19" borderId="2" applyAlignment="1" pivotButton="0" quotePrefix="0" xfId="0">
      <alignment horizontal="right"/>
    </xf>
    <xf numFmtId="0" fontId="45" fillId="19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3" fillId="18" borderId="2" applyAlignment="1" pivotButton="0" quotePrefix="0" xfId="0">
      <alignment horizontal="center"/>
    </xf>
    <xf numFmtId="0" fontId="62" fillId="18" borderId="2" pivotButton="0" quotePrefix="0" xfId="0"/>
    <xf numFmtId="169" fontId="63" fillId="18" borderId="2" applyAlignment="1" pivotButton="0" quotePrefix="0" xfId="0">
      <alignment horizontal="right"/>
    </xf>
    <xf numFmtId="9" fontId="62" fillId="18" borderId="2" applyAlignment="1" pivotButton="0" quotePrefix="0" xfId="0">
      <alignment horizontal="center"/>
    </xf>
    <xf numFmtId="169" fontId="62" fillId="18" borderId="2" applyAlignment="1" pivotButton="0" quotePrefix="0" xfId="0">
      <alignment horizontal="right"/>
    </xf>
    <xf numFmtId="0" fontId="50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46" fillId="18" borderId="2" applyAlignment="1" pivotButton="0" quotePrefix="0" xfId="0">
      <alignment horizontal="center"/>
    </xf>
    <xf numFmtId="0" fontId="11" fillId="7" borderId="0" applyAlignment="1" pivotButton="0" quotePrefix="0" xfId="0">
      <alignment vertical="center" indent="1"/>
    </xf>
    <xf numFmtId="169" fontId="64" fillId="7" borderId="0" applyAlignment="1" pivotButton="0" quotePrefix="0" xfId="0">
      <alignment horizontal="right" vertical="center"/>
    </xf>
    <xf numFmtId="0" fontId="65" fillId="0" borderId="7" pivotButton="0" quotePrefix="0" xfId="0"/>
    <xf numFmtId="0" fontId="66" fillId="0" borderId="7" pivotButton="0" quotePrefix="0" xfId="0"/>
    <xf numFmtId="0" fontId="67" fillId="0" borderId="7" pivotButton="0" quotePrefix="0" xfId="0"/>
    <xf numFmtId="0" fontId="68" fillId="20" borderId="2" applyAlignment="1" pivotButton="0" quotePrefix="0" xfId="0">
      <alignment horizontal="center" vertical="center"/>
    </xf>
    <xf numFmtId="0" fontId="72" fillId="11" borderId="2" applyAlignment="1" pivotButton="0" quotePrefix="0" xfId="0">
      <alignment horizontal="center" vertical="center"/>
    </xf>
    <xf numFmtId="0" fontId="69" fillId="0" borderId="2" pivotButton="0" quotePrefix="0" xfId="0"/>
    <xf numFmtId="0" fontId="68" fillId="0" borderId="2" applyAlignment="1" pivotButton="0" quotePrefix="0" xfId="0">
      <alignment horizontal="right"/>
    </xf>
    <xf numFmtId="0" fontId="72" fillId="0" borderId="2" applyAlignment="1" pivotButton="0" quotePrefix="0" xfId="0">
      <alignment horizontal="right"/>
    </xf>
    <xf numFmtId="0" fontId="43" fillId="0" borderId="2" applyAlignment="1" pivotButton="0" quotePrefix="0" xfId="0">
      <alignment horizontal="right"/>
    </xf>
    <xf numFmtId="0" fontId="70" fillId="0" borderId="2" applyAlignment="1" pivotButton="0" quotePrefix="0" xfId="0">
      <alignment horizontal="right"/>
    </xf>
    <xf numFmtId="0" fontId="71" fillId="12" borderId="8" applyAlignment="1" pivotButton="0" quotePrefix="0" xfId="0">
      <alignment horizontal="center" vertical="center"/>
    </xf>
    <xf numFmtId="0" fontId="73" fillId="11" borderId="9" applyAlignment="1" pivotButton="0" quotePrefix="0" xfId="0">
      <alignment horizontal="center" vertical="center"/>
    </xf>
    <xf numFmtId="0" fontId="69" fillId="0" borderId="0" pivotButton="0" quotePrefix="0" xfId="0"/>
    <xf numFmtId="0" fontId="74" fillId="21" borderId="0" applyAlignment="1" pivotButton="0" quotePrefix="0" xfId="0">
      <alignment horizontal="left" vertical="center" wrapText="1"/>
    </xf>
    <xf numFmtId="0" fontId="75" fillId="22" borderId="0" applyAlignment="1" pivotButton="0" quotePrefix="0" xfId="0">
      <alignment vertical="center" wrapText="1"/>
    </xf>
    <xf numFmtId="0" fontId="76" fillId="23" borderId="0" applyAlignment="1" pivotButton="0" quotePrefix="0" xfId="0">
      <alignment vertical="top" wrapText="1"/>
    </xf>
    <xf numFmtId="0" fontId="77" fillId="0" borderId="0" applyAlignment="1" pivotButton="0" quotePrefix="0" xfId="0">
      <alignment vertical="top" wrapText="1"/>
    </xf>
    <xf numFmtId="0" fontId="78" fillId="21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horizontal="left" vertical="center" wrapText="1"/>
    </xf>
    <xf numFmtId="0" fontId="75" fillId="24" borderId="0" applyAlignment="1" pivotButton="0" quotePrefix="0" xfId="0">
      <alignment vertical="center" wrapText="1"/>
    </xf>
    <xf numFmtId="0" fontId="79" fillId="25" borderId="0" applyAlignment="1" pivotButton="0" quotePrefix="0" xfId="0">
      <alignment vertical="top" wrapText="1"/>
    </xf>
    <xf numFmtId="0" fontId="74" fillId="26" borderId="0" applyAlignment="1" pivotButton="0" quotePrefix="0" xfId="0">
      <alignment horizontal="left" vertical="center" wrapText="1"/>
    </xf>
    <xf numFmtId="0" fontId="75" fillId="26" borderId="0" applyAlignment="1" pivotButton="0" quotePrefix="0" xfId="0">
      <alignment vertical="center" wrapText="1"/>
    </xf>
    <xf numFmtId="0" fontId="80" fillId="27" borderId="0" applyAlignment="1" pivotButton="0" quotePrefix="0" xfId="0">
      <alignment vertical="top" wrapText="1"/>
    </xf>
    <xf numFmtId="0" fontId="81" fillId="25" borderId="0" applyAlignment="1" pivotButton="0" quotePrefix="0" xfId="0">
      <alignment vertical="top" wrapText="1"/>
    </xf>
    <xf numFmtId="0" fontId="82" fillId="0" borderId="0" applyAlignment="1" pivotButton="0" quotePrefix="0" xfId="0">
      <alignment vertical="top" wrapText="1"/>
    </xf>
    <xf numFmtId="0" fontId="74" fillId="28" borderId="0" applyAlignment="1" pivotButton="0" quotePrefix="0" xfId="0">
      <alignment horizontal="left" vertical="center"/>
    </xf>
    <xf numFmtId="0" fontId="75" fillId="28" borderId="0" applyAlignment="1" pivotButton="0" quotePrefix="0" xfId="0">
      <alignment vertical="center" wrapText="1"/>
    </xf>
    <xf numFmtId="0" fontId="83" fillId="29" borderId="0" applyAlignment="1" pivotButton="0" quotePrefix="0" xfId="0">
      <alignment vertical="top" wrapText="1"/>
    </xf>
    <xf numFmtId="0" fontId="84" fillId="30" borderId="0" applyAlignment="1" pivotButton="0" quotePrefix="0" xfId="0">
      <alignment vertical="top" wrapText="1"/>
    </xf>
    <xf numFmtId="0" fontId="74" fillId="31" borderId="0" applyAlignment="1" pivotButton="0" quotePrefix="0" xfId="0">
      <alignment horizontal="left" vertical="center"/>
    </xf>
    <xf numFmtId="0" fontId="75" fillId="31" borderId="0" applyAlignment="1" pivotButton="0" quotePrefix="0" xfId="0">
      <alignment vertical="center" wrapText="1"/>
    </xf>
    <xf numFmtId="0" fontId="85" fillId="30" borderId="0" applyAlignment="1" pivotButton="0" quotePrefix="0" xfId="0">
      <alignment vertical="top" wrapText="1"/>
    </xf>
    <xf numFmtId="0" fontId="74" fillId="32" borderId="0" applyAlignment="1" pivotButton="0" quotePrefix="0" xfId="0">
      <alignment horizontal="left" vertical="center"/>
    </xf>
    <xf numFmtId="0" fontId="75" fillId="32" borderId="0" applyAlignment="1" pivotButton="0" quotePrefix="0" xfId="0">
      <alignment vertical="center" wrapText="1"/>
    </xf>
    <xf numFmtId="0" fontId="86" fillId="33" borderId="0" applyAlignment="1" pivotButton="0" quotePrefix="0" xfId="0">
      <alignment vertical="top" wrapText="1"/>
    </xf>
    <xf numFmtId="0" fontId="87" fillId="0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B08948"/>
      </font>
    </dxf>
    <dxf>
      <fill>
        <patternFill patternType="solid">
          <fgColor rgb="00FFF2CC"/>
        </patternFill>
      </fill>
    </dxf>
    <dxf>
      <fill>
        <patternFill patternType="solid">
          <fgColor rgb="00FDE9E9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Erken Uyarı Skoru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Skor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Adı | Neden önemli: Covenant erken uyarı kararını etkiler | Doğru kullanım: Şirket unvanını yazın. | Örnek: demo satırına bakın | Yanlışsa: Covenant sapma ve karar bozulur | Kaynak: Kredi sözleşmesi / TTK</t>
      </text>
    </comment>
    <comment ref="B7" authorId="0" shapeId="0">
      <text>
        <t>Tanım: Dönem | Neden önemli: Covenant erken uyarı kararını etkiler | Doğru kullanım: Covenant dönemini yazın (ör. 2026-Q2). | Örnek: demo satırına bakın | Yanlışsa: Covenant sapma ve karar bozulur | Kaynak: Kredi sözleşmesi / TTK</t>
      </text>
    </comment>
    <comment ref="B8" authorId="0" shapeId="0">
      <text>
        <t>Tanım: Hesap Yılı | Neden önemli: Covenant erken uyarı kararını etkiler | Doğru kullanım: 2025, 2026 veya 2027 seçin. | Örnek: demo satırına bakın | Yanlışsa: Covenant sapma ve karar bozulur | Kaynak: Kredi sözleşmesi / TTK</t>
      </text>
    </comment>
    <comment ref="B9" authorId="0" shapeId="0">
      <text>
        <t>Tanım: Kredi Bakiyesi [₺] | Neden önemli: Covenant erken uyarı kararını etkiler | Doğru kullanım: Toplam kredi bakiyesini TL girin. | Örnek: demo satırına bakın | Yanlışsa: Covenant sapma ve karar bozulur | Kaynak: Kredi sözleşmesi / TTK</t>
      </text>
    </comment>
    <comment ref="B10" authorId="0" shapeId="0">
      <text>
        <t>Tanım: Faiz Oranı | Neden önemli: Covenant erken uyarı kararını etkiler | Doğru kullanım: Yıllık faiz oranını ondalık girin (0,28 = %28). | Örnek: demo satırına bakın | Yanlışsa: Covenant sapma ve karar bozulur | Kaynak: Kredi sözleşmesi / TTK</t>
      </text>
    </comment>
    <comment ref="B11" authorId="0" shapeId="0">
      <text>
        <t>Tanım: Vade [ay] | Neden önemli: Covenant erken uyarı kararını etkiler | Doğru kullanım: Kalan vade ayını girin. | Örnek: demo satırına bakın | Yanlışsa: Covenant sapma ve karar bozulur | Kaynak: Kredi sözleşmesi / TTK</t>
      </text>
    </comment>
    <comment ref="B12" authorId="0" shapeId="0">
      <text>
        <t>Tanım: FAVÖK [₺] | Neden önemli: Covenant erken uyarı kararını etkiler | Doğru kullanım: Dönem FAVÖK tutarını TL girin. | Örnek: demo satırına bakın | Yanlışsa: Covenant sapma ve karar bozulur | Kaynak: Kredi sözleşmesi / TTK</t>
      </text>
    </comment>
    <comment ref="B13" authorId="0" shapeId="0">
      <text>
        <t>Tanım: Net Borç [₺] | Neden önemli: Covenant erken uyarı kararını etkiler | Doğru kullanım: Net borç tutarını TL girin. | Örnek: demo satırına bakın | Yanlışsa: Covenant sapma ve karar bozulur | Kaynak: Kredi sözleşmesi / TTK</t>
      </text>
    </comment>
    <comment ref="B14" authorId="0" shapeId="0">
      <text>
        <t>Tanım: Cari Oran | Neden önemli: Covenant erken uyarı kararını etkiler | Doğru kullanım: Cari oranı sayı olarak girin (ör. 1,25). | Örnek: demo satırına bakın | Yanlışsa: Covenant sapma ve karar bozulur | Kaynak: Kredi sözleşmesi / TTK</t>
      </text>
    </comment>
    <comment ref="B15" authorId="0" shapeId="0">
      <text>
        <t>Tanım: DSCR Gerçekleşen | Neden önemli: Covenant erken uyarı kararını etkiler | Doğru kullanım: Gerçekleşen DSCR değerini girin (ör. 1,45). | Örnek: demo satırına bakın | Yanlışsa: Covenant sapma ve karar bozulur | Kaynak: Kredi sözleşmesi / TTK</t>
      </text>
    </comment>
    <comment ref="B16" authorId="0" shapeId="0">
      <text>
        <t>Tanım: Yorum Modu (A/B) | Neden önemli: Covenant erken uyarı kararını etkiler | Doğru kullanım: Covenant eşik yorumu A (standart) veya B (sıkı +0,05 DSCR) seçin. | Örnek: demo satırına bakın | Yanlışsa: Covenant sapma ve karar bozulur | Kaynak: Kredi sözleşmesi / TTK</t>
      </text>
    </comment>
    <comment ref="A25" authorId="0" shapeId="0">
      <text>
        <t>Tanım: sirket_adi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25" authorId="0" shapeId="0">
      <text>
        <t>Tanım: sirket_adi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25" authorId="0" shapeId="0">
      <text>
        <t>Tanım: sirket_adi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25" authorId="0" shapeId="0">
      <text>
        <t>Tanım: sirket_adi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25" authorId="0" shapeId="0">
      <text>
        <t>Tanım: sirket_adi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26" authorId="0" shapeId="0">
      <text>
        <t>Tanım: donem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26" authorId="0" shapeId="0">
      <text>
        <t>Tanım: donem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26" authorId="0" shapeId="0">
      <text>
        <t>Tanım: donem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26" authorId="0" shapeId="0">
      <text>
        <t>Tanım: donem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26" authorId="0" shapeId="0">
      <text>
        <t>Tanım: donem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27" authorId="0" shapeId="0">
      <text>
        <t>Tanım: hesapYili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27" authorId="0" shapeId="0">
      <text>
        <t>Tanım: hesapYili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27" authorId="0" shapeId="0">
      <text>
        <t>Tanım: hesapYili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27" authorId="0" shapeId="0">
      <text>
        <t>Tanım: hesapYili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27" authorId="0" shapeId="0">
      <text>
        <t>Tanım: hesapYili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28" authorId="0" shapeId="0">
      <text>
        <t>Tanım: kredi_bakiyesi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28" authorId="0" shapeId="0">
      <text>
        <t>Tanım: kredi_bakiyesi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28" authorId="0" shapeId="0">
      <text>
        <t>Tanım: kredi_bakiyesi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28" authorId="0" shapeId="0">
      <text>
        <t>Tanım: kredi_bakiyesi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28" authorId="0" shapeId="0">
      <text>
        <t>Tanım: kredi_bakiyesi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29" authorId="0" shapeId="0">
      <text>
        <t>Tanım: faiz_orani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29" authorId="0" shapeId="0">
      <text>
        <t>Tanım: faiz_orani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29" authorId="0" shapeId="0">
      <text>
        <t>Tanım: faiz_orani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29" authorId="0" shapeId="0">
      <text>
        <t>Tanım: faiz_orani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29" authorId="0" shapeId="0">
      <text>
        <t>Tanım: faiz_orani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30" authorId="0" shapeId="0">
      <text>
        <t>Tanım: vade_ay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30" authorId="0" shapeId="0">
      <text>
        <t>Tanım: vade_ay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30" authorId="0" shapeId="0">
      <text>
        <t>Tanım: vade_ay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30" authorId="0" shapeId="0">
      <text>
        <t>Tanım: vade_ay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30" authorId="0" shapeId="0">
      <text>
        <t>Tanım: vade_ay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31" authorId="0" shapeId="0">
      <text>
        <t>Tanım: favok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31" authorId="0" shapeId="0">
      <text>
        <t>Tanım: favok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31" authorId="0" shapeId="0">
      <text>
        <t>Tanım: favok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31" authorId="0" shapeId="0">
      <text>
        <t>Tanım: favok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31" authorId="0" shapeId="0">
      <text>
        <t>Tanım: favok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32" authorId="0" shapeId="0">
      <text>
        <t>Tanım: net_borc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32" authorId="0" shapeId="0">
      <text>
        <t>Tanım: net_borc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32" authorId="0" shapeId="0">
      <text>
        <t>Tanım: net_borc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32" authorId="0" shapeId="0">
      <text>
        <t>Tanım: net_borc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32" authorId="0" shapeId="0">
      <text>
        <t>Tanım: net_borc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33" authorId="0" shapeId="0">
      <text>
        <t>Tanım: cari_oran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33" authorId="0" shapeId="0">
      <text>
        <t>Tanım: cari_oran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33" authorId="0" shapeId="0">
      <text>
        <t>Tanım: cari_oran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33" authorId="0" shapeId="0">
      <text>
        <t>Tanım: cari_oran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33" authorId="0" shapeId="0">
      <text>
        <t>Tanım: cari_oran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34" authorId="0" shapeId="0">
      <text>
        <t>Tanım: dscr_gerceklesen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34" authorId="0" shapeId="0">
      <text>
        <t>Tanım: dscr_gerceklesen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34" authorId="0" shapeId="0">
      <text>
        <t>Tanım: dscr_gerceklesen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34" authorId="0" shapeId="0">
      <text>
        <t>Tanım: dscr_gerceklesen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34" authorId="0" shapeId="0">
      <text>
        <t>Tanım: dscr_gerceklesen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A35" authorId="0" shapeId="0">
      <text>
        <t>Tanım: yorum_modu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B35" authorId="0" shapeId="0">
      <text>
        <t>Tanım: yorum_modu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C35" authorId="0" shapeId="0">
      <text>
        <t>Tanım: yorum_modu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D35" authorId="0" shapeId="0">
      <text>
        <t>Tanım: yorum_modu | Neden önemli: Covenant erken uyarı kararını etkiler | Doğru kullanım: Tablo girişi; PANO ile senkron tutun | Örnek: demo satırına bakın | Yanlışsa: Covenant sapma ve karar bozulur | Kaynak: Kredi sözleşmesi / TTK</t>
      </text>
    </comment>
    <comment ref="E35" authorId="0" shapeId="0">
      <text>
        <t>Tanım: yorum_modu | Neden önemli: Covenant erken uyarı kararını etkiler | Doğru kullanım: Tablo girişi; PANO ile senkron tutun | Örnek: demo satırına bakın | Yanlışsa: Covenant sapma ve karar bozulur | Kaynak: Kredi sözleşmesi / TTK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dscr_min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G7" authorId="0" shapeId="0">
      <text>
        <t>Tanım: dscr_min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H7" authorId="0" shapeId="0">
      <text>
        <t>Tanım: dscr_min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F8" authorId="0" shapeId="0">
      <text>
        <t>Tanım: borc_favok_max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G8" authorId="0" shapeId="0">
      <text>
        <t>Tanım: borc_favok_max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H8" authorId="0" shapeId="0">
      <text>
        <t>Tanım: borc_favok_max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F9" authorId="0" shapeId="0">
      <text>
        <t>Tanım: cari_min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G9" authorId="0" shapeId="0">
      <text>
        <t>Tanım: cari_min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H9" authorId="0" shapeId="0">
      <text>
        <t>Tanım: cari_min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F10" authorId="0" shapeId="0">
      <text>
        <t>Tanım: erken_uyari_band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G10" authorId="0" shapeId="0">
      <text>
        <t>Tanım: erken_uyari_band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H10" authorId="0" shapeId="0">
      <text>
        <t>Tanım: erken_uyari_band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F11" authorId="0" shapeId="0">
      <text>
        <t>Tanım: faiz_yuku_max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G11" authorId="0" shapeId="0">
      <text>
        <t>Tanım: faiz_yuku_max | Neden önemli: Covenant erken uyarı kararını etkiler | Doğru kullanım: Yıl bazlı parametre; kaynak kolonuna bakın | Örnek: demo satırına bakın | Yanlışsa: Covenant sapma ve karar bozulur | Kaynak: Kredi sözleşmesi / TTK</t>
      </text>
    </comment>
    <comment ref="H11" authorId="0" shapeId="0">
      <text>
        <t>Tanım: faiz_yuku_max | Neden önemli: Covenant erken uyarı kararını etkiler | Doğru kullanım: Yıl bazlı parametre; kaynak kolonuna bakın | Örnek: demo satırına bakın | Yanlışsa: Covenant sapma ve karar bozulur | Kaynak: Kredi sözleşmesi / TTK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4" authorId="0" shapeId="0">
      <text>
        <t>Tanım: Sonraki Kimlik | Neden önemli: Covenant erken uyarı kararını etkiler | Doğru kullanım: Yeni kartta kullanın | Örnek: demo satırına bakın | Yanlışsa: Covenant sapma ve karar bozulur | Kaynak: Kredi sözleşmesi / TTK</t>
      </text>
    </comment>
    <comment ref="A6" authorId="0" shapeId="0">
      <text>
        <t>Tanım: Kart Kimliği | Neden önemli: Covenant erken uyarı kararını etkiler | Doğru kullanım: BKE-##### | Örnek: demo satırına bakın | Yanlışsa: Covenant sapma ve karar bozulur | Kaynak: Kredi sözleşmesi / TTK</t>
      </text>
    </comment>
    <comment ref="B6" authorId="0" shapeId="0">
      <text>
        <t>Tanım: Unvan | Neden önemli: Covenant erken uyarı kararını etkiler | Doğru kullanım: Firma unvanı | Örnek: demo satırına bakın | Yanlışsa: Covenant sapma ve karar bozulur | Kaynak: Kredi sözleşmesi / TTK</t>
      </text>
    </comment>
    <comment ref="C6" authorId="0" shapeId="0">
      <text>
        <t>Tanım: Dönem | Neden önemli: Covenant erken uyarı kararını etkiler | Doğru kullanım: Covenant dönemi | Örnek: demo satırına bakın | Yanlışsa: Covenant sapma ve karar bozulur | Kaynak: Kredi sözleşmesi / TTK</t>
      </text>
    </comment>
    <comment ref="D6" authorId="0" shapeId="0">
      <text>
        <t>Tanım: Kredi Türü | Neden önemli: Covenant erken uyarı kararını etkiler | Doğru kullanım: ISLETME/YATIRIM | Örnek: demo satırına bakın | Yanlışsa: Covenant sapma ve karar bozulur | Kaynak: Kredi sözleşmesi / TTK</t>
      </text>
    </comment>
    <comment ref="E6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F6" authorId="0" shapeId="0">
      <text>
        <t>Tanım: Risk | Neden önemli: Covenant erken uyarı kararını etkiler | Doğru kullanım: Risk notu | Örnek: demo satırına bakın | Yanlışsa: Covenant sapma ve karar bozulur | Kaynak: Kredi sözleşmesi / TTK</t>
      </text>
    </comment>
    <comment ref="G6" authorId="0" shapeId="0">
      <text>
        <t>Tanım: Aktif | Neden önemli: Covenant erken uyarı kararını etkiler | Doğru kullanım: EVET/HAYIR | Örnek: demo satırına bakın | Yanlışsa: Covenant sapma ve karar bozulur | Kaynak: Kredi sözleşmesi / TTK</t>
      </text>
    </comment>
    <comment ref="A7" authorId="0" shapeId="0">
      <text>
        <t>Tanım: Kart Kimliği | Neden önemli: Covenant erken uyarı kararını etkiler | Doğru kullanım: BKE-##### | Örnek: demo satırına bakın | Yanlışsa: Covenant sapma ve karar bozulur | Kaynak: Kredi sözleşmesi / TTK</t>
      </text>
    </comment>
    <comment ref="B7" authorId="0" shapeId="0">
      <text>
        <t>Tanım: Unvan | Neden önemli: Covenant erken uyarı kararını etkiler | Doğru kullanım: Firma unvanı | Örnek: demo satırına bakın | Yanlışsa: Covenant sapma ve karar bozulur | Kaynak: Kredi sözleşmesi / TTK</t>
      </text>
    </comment>
    <comment ref="C7" authorId="0" shapeId="0">
      <text>
        <t>Tanım: Dönem | Neden önemli: Covenant erken uyarı kararını etkiler | Doğru kullanım: Covenant dönemi | Örnek: demo satırına bakın | Yanlışsa: Covenant sapma ve karar bozulur | Kaynak: Kredi sözleşmesi / TTK</t>
      </text>
    </comment>
    <comment ref="D7" authorId="0" shapeId="0">
      <text>
        <t>Tanım: Kredi Türü | Neden önemli: Covenant erken uyarı kararını etkiler | Doğru kullanım: ISLETME/YATIRIM | Örnek: demo satırına bakın | Yanlışsa: Covenant sapma ve karar bozulur | Kaynak: Kredi sözleşmesi / TTK</t>
      </text>
    </comment>
    <comment ref="E7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F7" authorId="0" shapeId="0">
      <text>
        <t>Tanım: Risk | Neden önemli: Covenant erken uyarı kararını etkiler | Doğru kullanım: Risk notu | Örnek: demo satırına bakın | Yanlışsa: Covenant sapma ve karar bozulur | Kaynak: Kredi sözleşmesi / TTK</t>
      </text>
    </comment>
    <comment ref="G7" authorId="0" shapeId="0">
      <text>
        <t>Tanım: Aktif | Neden önemli: Covenant erken uyarı kararını etkiler | Doğru kullanım: EVET/HAYIR | Örnek: demo satırına bakın | Yanlışsa: Covenant sapma ve karar bozulur | Kaynak: Kredi sözleşmesi / TTK</t>
      </text>
    </comment>
    <comment ref="A8" authorId="0" shapeId="0">
      <text>
        <t>Tanım: Kart Kimliği | Neden önemli: Covenant erken uyarı kararını etkiler | Doğru kullanım: BKE-##### | Örnek: demo satırına bakın | Yanlışsa: Covenant sapma ve karar bozulur | Kaynak: Kredi sözleşmesi / TTK</t>
      </text>
    </comment>
    <comment ref="B8" authorId="0" shapeId="0">
      <text>
        <t>Tanım: Unvan | Neden önemli: Covenant erken uyarı kararını etkiler | Doğru kullanım: Firma unvanı | Örnek: demo satırına bakın | Yanlışsa: Covenant sapma ve karar bozulur | Kaynak: Kredi sözleşmesi / TTK</t>
      </text>
    </comment>
    <comment ref="C8" authorId="0" shapeId="0">
      <text>
        <t>Tanım: Dönem | Neden önemli: Covenant erken uyarı kararını etkiler | Doğru kullanım: Covenant dönemi | Örnek: demo satırına bakın | Yanlışsa: Covenant sapma ve karar bozulur | Kaynak: Kredi sözleşmesi / TTK</t>
      </text>
    </comment>
    <comment ref="D8" authorId="0" shapeId="0">
      <text>
        <t>Tanım: Kredi Türü | Neden önemli: Covenant erken uyarı kararını etkiler | Doğru kullanım: ISLETME/YATIRIM | Örnek: demo satırına bakın | Yanlışsa: Covenant sapma ve karar bozulur | Kaynak: Kredi sözleşmesi / TTK</t>
      </text>
    </comment>
    <comment ref="E8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F8" authorId="0" shapeId="0">
      <text>
        <t>Tanım: Risk | Neden önemli: Covenant erken uyarı kararını etkiler | Doğru kullanım: Risk notu | Örnek: demo satırına bakın | Yanlışsa: Covenant sapma ve karar bozulur | Kaynak: Kredi sözleşmesi / TTK</t>
      </text>
    </comment>
    <comment ref="G8" authorId="0" shapeId="0">
      <text>
        <t>Tanım: Aktif | Neden önemli: Covenant erken uyarı kararını etkiler | Doğru kullanım: EVET/HAYIR | Örnek: demo satırına bakın | Yanlışsa: Covenant sapma ve karar bozulur | Kaynak: Kredi sözleşmesi / TTK</t>
      </text>
    </comment>
    <comment ref="A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2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2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2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2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2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2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2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3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3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3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3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3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3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3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4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4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4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4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4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4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4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5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5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5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5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5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5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5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6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6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6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6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6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6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6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7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7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7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7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7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7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7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8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8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8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8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8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8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8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0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0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0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0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0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0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1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1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1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1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1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1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2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2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2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2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2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2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3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3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3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3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3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3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4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4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4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4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4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4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5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5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5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5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5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5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6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6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6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6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6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6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7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7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7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7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7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7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8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8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8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8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8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8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6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6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6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6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6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6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7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7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7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7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7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7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8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8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8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8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8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8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999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999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999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999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9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999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999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00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00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00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00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00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00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01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01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01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01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01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01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02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02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02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02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02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02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03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03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03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03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03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03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04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04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04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04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04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04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  <comment ref="A1005" authorId="0" shapeId="0">
      <text>
        <t>Tanım: KartId | Neden önemli: Covenant erken uyarı kararını etkiler | Doğru kullanım: Manuel giriş | Örnek: demo satırına bakın | Yanlışsa: Covenant sapma ve karar bozulur | Kaynak: Kredi sözleşmesi / TTK</t>
      </text>
    </comment>
    <comment ref="B1005" authorId="0" shapeId="0">
      <text>
        <t>Tanım: Unvan | Neden önemli: Covenant erken uyarı kararını etkiler | Doğru kullanım: Manuel giriş | Örnek: demo satırına bakın | Yanlışsa: Covenant sapma ve karar bozulur | Kaynak: Kredi sözleşmesi / TTK</t>
      </text>
    </comment>
    <comment ref="C1005" authorId="0" shapeId="0">
      <text>
        <t>Tanım: Donem | Neden önemli: Covenant erken uyarı kararını etkiler | Doğru kullanım: Manuel giriş | Örnek: demo satırına bakın | Yanlışsa: Covenant sapma ve karar bozulur | Kaynak: Kredi sözleşmesi / TTK</t>
      </text>
    </comment>
    <comment ref="D1005" authorId="0" shapeId="0">
      <text>
        <t>Tanım: KrediTur | Neden önemli: Covenant erken uyarı kararını etkiler | Doğru kullanım: Manuel giriş | Örnek: demo satırına bakın | Yanlışsa: Covenant sapma ve karar bozulur | Kaynak: Kredi sözleşmesi / TTK</t>
      </text>
    </comment>
    <comment ref="E10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F1005" authorId="0" shapeId="0">
      <text>
        <t>Tanım: RiskNotu | Neden önemli: Covenant erken uyarı kararını etkiler | Doğru kullanım: Manuel giriş | Örnek: demo satırına bakın | Yanlışsa: Covenant sapma ve karar bozulur | Kaynak: Kredi sözleşmesi / TTK</t>
      </text>
    </comment>
    <comment ref="G1005" authorId="0" shapeId="0">
      <text>
        <t>Tanım: Aktif | Neden önemli: Covenant erken uyarı kararını etkiler | Doğru kullanım: Manuel giriş | Örnek: demo satırına bakın | Yanlışsa: Covenant sapma ve karar bozulur | Kaynak: Kredi sözleşmesi / TTK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| Neden önemli: Covenant erken uyarı kararını etkiler | Doğru kullanım: COV-##### | Örnek: demo satırına bakın | Yanlışsa: Covenant sapma ve karar bozulur | Kaynak: Kredi sözleşmesi / TTK</t>
      </text>
    </comment>
    <comment ref="B6" authorId="0" shapeId="0">
      <text>
        <t>Tanım: Kaynak Kart | Neden önemli: Covenant erken uyarı kararını etkiler | Doğru kullanım: KartId | Örnek: demo satırına bakın | Yanlışsa: Covenant sapma ve karar bozulur | Kaynak: Kredi sözleşmesi / TTK</t>
      </text>
    </comment>
    <comment ref="C6" authorId="0" shapeId="0">
      <text>
        <t>Tanım: Tarih | Neden önemli: Covenant erken uyarı kararını etkiler | Doğru kullanım: Olay tarihi | Örnek: demo satırına bakın | Yanlışsa: Covenant sapma ve karar bozulur | Kaynak: Kredi sözleşmesi / TTK</t>
      </text>
    </comment>
    <comment ref="D6" authorId="0" shapeId="0">
      <text>
        <t>Tanım: Önceki | Neden önemli: Covenant erken uyarı kararını etkiler | Doğru kullanım: Önceki durum | Örnek: demo satırına bakın | Yanlışsa: Covenant sapma ve karar bozulur | Kaynak: Kredi sözleşmesi / TTK</t>
      </text>
    </comment>
    <comment ref="E6" authorId="0" shapeId="0">
      <text>
        <t>Tanım: Durum | Neden önemli: Covenant erken uyarı kararını etkiler | Doğru kullanım: Durum haritası | Örnek: demo satırına bakın | Yanlışsa: Covenant sapma ve karar bozulur | Kaynak: Kredi sözleşmesi / TTK</t>
      </text>
    </comment>
    <comment ref="F6" authorId="0" shapeId="0">
      <text>
        <t>Tanım: Önceki Skor | Neden önemli: Covenant erken uyarı kararını etkiler | Doğru kullanım: Önceki skor | Örnek: demo satırına bakın | Yanlışsa: Covenant sapma ve karar bozulur | Kaynak: Kredi sözleşmesi / TTK</t>
      </text>
    </comment>
    <comment ref="G6" authorId="0" shapeId="0">
      <text>
        <t>Tanım: Yeni Skor | Neden önemli: Covenant erken uyarı kararını etkiler | Doğru kullanım: Yeni skor | Örnek: demo satırına bakın | Yanlışsa: Covenant sapma ve karar bozulur | Kaynak: Kredi sözleşmesi / TTK</t>
      </text>
    </comment>
    <comment ref="H6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I6" authorId="0" shapeId="0">
      <text>
        <t>Tanım: Tutar | Neden önemli: Covenant erken uyarı kararını etkiler | Doğru kullanım: Kuyruk tutarı | Örnek: demo satırına bakın | Yanlışsa: Covenant sapma ve karar bozulur | Kaynak: Kredi sözleşmesi / TTK</t>
      </text>
    </comment>
    <comment ref="J6" authorId="0" shapeId="0">
      <text>
        <t>Tanım: Açıklama | Neden önemli: Covenant erken uyarı kararını etkiler | Doğru kullanım: Kısa açıklama | Örnek: demo satırına bakın | Yanlışsa: Covenant sapma ve karar bozulur | Kaynak: Kredi sözleşmesi / TTK</t>
      </text>
    </comment>
    <comment ref="A7" authorId="0" shapeId="0">
      <text>
        <t>Tanım: İşlem | Neden önemli: Covenant erken uyarı kararını etkiler | Doğru kullanım: COV-##### | Örnek: demo satırına bakın | Yanlışsa: Covenant sapma ve karar bozulur | Kaynak: Kredi sözleşmesi / TTK</t>
      </text>
    </comment>
    <comment ref="B7" authorId="0" shapeId="0">
      <text>
        <t>Tanım: Kaynak Kart | Neden önemli: Covenant erken uyarı kararını etkiler | Doğru kullanım: KartId | Örnek: demo satırına bakın | Yanlışsa: Covenant sapma ve karar bozulur | Kaynak: Kredi sözleşmesi / TTK</t>
      </text>
    </comment>
    <comment ref="C7" authorId="0" shapeId="0">
      <text>
        <t>Tanım: Tarih | Neden önemli: Covenant erken uyarı kararını etkiler | Doğru kullanım: Olay tarihi | Örnek: demo satırına bakın | Yanlışsa: Covenant sapma ve karar bozulur | Kaynak: Kredi sözleşmesi / TTK</t>
      </text>
    </comment>
    <comment ref="D7" authorId="0" shapeId="0">
      <text>
        <t>Tanım: Önceki | Neden önemli: Covenant erken uyarı kararını etkiler | Doğru kullanım: Önceki durum | Örnek: demo satırına bakın | Yanlışsa: Covenant sapma ve karar bozulur | Kaynak: Kredi sözleşmesi / TTK</t>
      </text>
    </comment>
    <comment ref="E7" authorId="0" shapeId="0">
      <text>
        <t>Tanım: Durum | Neden önemli: Covenant erken uyarı kararını etkiler | Doğru kullanım: Durum haritası | Örnek: demo satırına bakın | Yanlışsa: Covenant sapma ve karar bozulur | Kaynak: Kredi sözleşmesi / TTK</t>
      </text>
    </comment>
    <comment ref="F7" authorId="0" shapeId="0">
      <text>
        <t>Tanım: Önceki Skor | Neden önemli: Covenant erken uyarı kararını etkiler | Doğru kullanım: Önceki skor | Örnek: demo satırına bakın | Yanlışsa: Covenant sapma ve karar bozulur | Kaynak: Kredi sözleşmesi / TTK</t>
      </text>
    </comment>
    <comment ref="G7" authorId="0" shapeId="0">
      <text>
        <t>Tanım: Yeni Skor | Neden önemli: Covenant erken uyarı kararını etkiler | Doğru kullanım: Yeni skor | Örnek: demo satırına bakın | Yanlışsa: Covenant sapma ve karar bozulur | Kaynak: Kredi sözleşmesi / TTK</t>
      </text>
    </comment>
    <comment ref="H7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I7" authorId="0" shapeId="0">
      <text>
        <t>Tanım: Tutar | Neden önemli: Covenant erken uyarı kararını etkiler | Doğru kullanım: Kuyruk tutarı | Örnek: demo satırına bakın | Yanlışsa: Covenant sapma ve karar bozulur | Kaynak: Kredi sözleşmesi / TTK</t>
      </text>
    </comment>
    <comment ref="J7" authorId="0" shapeId="0">
      <text>
        <t>Tanım: Açıklama | Neden önemli: Covenant erken uyarı kararını etkiler | Doğru kullanım: Kısa açıklama | Örnek: demo satırına bakın | Yanlışsa: Covenant sapma ve karar bozulur | Kaynak: Kredi sözleşmesi / TTK</t>
      </text>
    </comment>
    <comment ref="A8" authorId="0" shapeId="0">
      <text>
        <t>Tanım: İşlem | Neden önemli: Covenant erken uyarı kararını etkiler | Doğru kullanım: COV-##### | Örnek: demo satırına bakın | Yanlışsa: Covenant sapma ve karar bozulur | Kaynak: Kredi sözleşmesi / TTK</t>
      </text>
    </comment>
    <comment ref="B8" authorId="0" shapeId="0">
      <text>
        <t>Tanım: Kaynak Kart | Neden önemli: Covenant erken uyarı kararını etkiler | Doğru kullanım: KartId | Örnek: demo satırına bakın | Yanlışsa: Covenant sapma ve karar bozulur | Kaynak: Kredi sözleşmesi / TTK</t>
      </text>
    </comment>
    <comment ref="C8" authorId="0" shapeId="0">
      <text>
        <t>Tanım: Tarih | Neden önemli: Covenant erken uyarı kararını etkiler | Doğru kullanım: Olay tarihi | Örnek: demo satırına bakın | Yanlışsa: Covenant sapma ve karar bozulur | Kaynak: Kredi sözleşmesi / TTK</t>
      </text>
    </comment>
    <comment ref="D8" authorId="0" shapeId="0">
      <text>
        <t>Tanım: Önceki | Neden önemli: Covenant erken uyarı kararını etkiler | Doğru kullanım: Önceki durum | Örnek: demo satırına bakın | Yanlışsa: Covenant sapma ve karar bozulur | Kaynak: Kredi sözleşmesi / TTK</t>
      </text>
    </comment>
    <comment ref="E8" authorId="0" shapeId="0">
      <text>
        <t>Tanım: Durum | Neden önemli: Covenant erken uyarı kararını etkiler | Doğru kullanım: Durum haritası | Örnek: demo satırına bakın | Yanlışsa: Covenant sapma ve karar bozulur | Kaynak: Kredi sözleşmesi / TTK</t>
      </text>
    </comment>
    <comment ref="F8" authorId="0" shapeId="0">
      <text>
        <t>Tanım: Önceki Skor | Neden önemli: Covenant erken uyarı kararını etkiler | Doğru kullanım: Önceki skor | Örnek: demo satırına bakın | Yanlışsa: Covenant sapma ve karar bozulur | Kaynak: Kredi sözleşmesi / TTK</t>
      </text>
    </comment>
    <comment ref="G8" authorId="0" shapeId="0">
      <text>
        <t>Tanım: Yeni Skor | Neden önemli: Covenant erken uyarı kararını etkiler | Doğru kullanım: Yeni skor | Örnek: demo satırına bakın | Yanlışsa: Covenant sapma ve karar bozulur | Kaynak: Kredi sözleşmesi / TTK</t>
      </text>
    </comment>
    <comment ref="H8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I8" authorId="0" shapeId="0">
      <text>
        <t>Tanım: Tutar | Neden önemli: Covenant erken uyarı kararını etkiler | Doğru kullanım: Kuyruk tutarı | Örnek: demo satırına bakın | Yanlışsa: Covenant sapma ve karar bozulur | Kaynak: Kredi sözleşmesi / TTK</t>
      </text>
    </comment>
    <comment ref="J8" authorId="0" shapeId="0">
      <text>
        <t>Tanım: Açıklama | Neden önemli: Covenant erken uyarı kararını etkiler | Doğru kullanım: Kısa açıklama | Örnek: demo satırına bakın | Yanlışsa: Covenant sapma ve karar bozulur | Kaynak: Kredi sözleşmesi / TTK</t>
      </text>
    </comment>
    <comment ref="A9" authorId="0" shapeId="0">
      <text>
        <t>Tanım: İşlem | Neden önemli: Covenant erken uyarı kararını etkiler | Doğru kullanım: COV-##### | Örnek: demo satırına bakın | Yanlışsa: Covenant sapma ve karar bozulur | Kaynak: Kredi sözleşmesi / TTK</t>
      </text>
    </comment>
    <comment ref="B9" authorId="0" shapeId="0">
      <text>
        <t>Tanım: Kaynak Kart | Neden önemli: Covenant erken uyarı kararını etkiler | Doğru kullanım: KartId | Örnek: demo satırına bakın | Yanlışsa: Covenant sapma ve karar bozulur | Kaynak: Kredi sözleşmesi / TTK</t>
      </text>
    </comment>
    <comment ref="C9" authorId="0" shapeId="0">
      <text>
        <t>Tanım: Tarih | Neden önemli: Covenant erken uyarı kararını etkiler | Doğru kullanım: Olay tarihi | Örnek: demo satırına bakın | Yanlışsa: Covenant sapma ve karar bozulur | Kaynak: Kredi sözleşmesi / TTK</t>
      </text>
    </comment>
    <comment ref="D9" authorId="0" shapeId="0">
      <text>
        <t>Tanım: Önceki | Neden önemli: Covenant erken uyarı kararını etkiler | Doğru kullanım: Önceki durum | Örnek: demo satırına bakın | Yanlışsa: Covenant sapma ve karar bozulur | Kaynak: Kredi sözleşmesi / TTK</t>
      </text>
    </comment>
    <comment ref="E9" authorId="0" shapeId="0">
      <text>
        <t>Tanım: Durum | Neden önemli: Covenant erken uyarı kararını etkiler | Doğru kullanım: Durum haritası | Örnek: demo satırına bakın | Yanlışsa: Covenant sapma ve karar bozulur | Kaynak: Kredi sözleşmesi / TTK</t>
      </text>
    </comment>
    <comment ref="F9" authorId="0" shapeId="0">
      <text>
        <t>Tanım: Önceki Skor | Neden önemli: Covenant erken uyarı kararını etkiler | Doğru kullanım: Önceki skor | Örnek: demo satırına bakın | Yanlışsa: Covenant sapma ve karar bozulur | Kaynak: Kredi sözleşmesi / TTK</t>
      </text>
    </comment>
    <comment ref="G9" authorId="0" shapeId="0">
      <text>
        <t>Tanım: Yeni Skor | Neden önemli: Covenant erken uyarı kararını etkiler | Doğru kullanım: Yeni skor | Örnek: demo satırına bakın | Yanlışsa: Covenant sapma ve karar bozulur | Kaynak: Kredi sözleşmesi / TTK</t>
      </text>
    </comment>
    <comment ref="H9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I9" authorId="0" shapeId="0">
      <text>
        <t>Tanım: Tutar | Neden önemli: Covenant erken uyarı kararını etkiler | Doğru kullanım: Kuyruk tutarı | Örnek: demo satırına bakın | Yanlışsa: Covenant sapma ve karar bozulur | Kaynak: Kredi sözleşmesi / TTK</t>
      </text>
    </comment>
    <comment ref="J9" authorId="0" shapeId="0">
      <text>
        <t>Tanım: Açıklama | Neden önemli: Covenant erken uyarı kararını etkiler | Doğru kullanım: Kısa açıklama | Örnek: demo satırına bakın | Yanlışsa: Covenant sapma ve karar bozulur | Kaynak: Kredi sözleşmesi / TTK</t>
      </text>
    </comment>
    <comment ref="A10" authorId="0" shapeId="0">
      <text>
        <t>Tanım: İşlem | Neden önemli: Covenant erken uyarı kararını etkiler | Doğru kullanım: COV-##### | Örnek: demo satırına bakın | Yanlışsa: Covenant sapma ve karar bozulur | Kaynak: Kredi sözleşmesi / TTK</t>
      </text>
    </comment>
    <comment ref="B10" authorId="0" shapeId="0">
      <text>
        <t>Tanım: Kaynak Kart | Neden önemli: Covenant erken uyarı kararını etkiler | Doğru kullanım: KartId | Örnek: demo satırına bakın | Yanlışsa: Covenant sapma ve karar bozulur | Kaynak: Kredi sözleşmesi / TTK</t>
      </text>
    </comment>
    <comment ref="C10" authorId="0" shapeId="0">
      <text>
        <t>Tanım: Tarih | Neden önemli: Covenant erken uyarı kararını etkiler | Doğru kullanım: Olay tarihi | Örnek: demo satırına bakın | Yanlışsa: Covenant sapma ve karar bozulur | Kaynak: Kredi sözleşmesi / TTK</t>
      </text>
    </comment>
    <comment ref="D10" authorId="0" shapeId="0">
      <text>
        <t>Tanım: Önceki | Neden önemli: Covenant erken uyarı kararını etkiler | Doğru kullanım: Önceki durum | Örnek: demo satırına bakın | Yanlışsa: Covenant sapma ve karar bozulur | Kaynak: Kredi sözleşmesi / TTK</t>
      </text>
    </comment>
    <comment ref="E10" authorId="0" shapeId="0">
      <text>
        <t>Tanım: Durum | Neden önemli: Covenant erken uyarı kararını etkiler | Doğru kullanım: Durum haritası | Örnek: demo satırına bakın | Yanlışsa: Covenant sapma ve karar bozulur | Kaynak: Kredi sözleşmesi / TTK</t>
      </text>
    </comment>
    <comment ref="F10" authorId="0" shapeId="0">
      <text>
        <t>Tanım: Önceki Skor | Neden önemli: Covenant erken uyarı kararını etkiler | Doğru kullanım: Önceki skor | Örnek: demo satırına bakın | Yanlışsa: Covenant sapma ve karar bozulur | Kaynak: Kredi sözleşmesi / TTK</t>
      </text>
    </comment>
    <comment ref="G10" authorId="0" shapeId="0">
      <text>
        <t>Tanım: Yeni Skor | Neden önemli: Covenant erken uyarı kararını etkiler | Doğru kullanım: Yeni skor | Örnek: demo satırına bakın | Yanlışsa: Covenant sapma ve karar bozulur | Kaynak: Kredi sözleşmesi / TTK</t>
      </text>
    </comment>
    <comment ref="H10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I10" authorId="0" shapeId="0">
      <text>
        <t>Tanım: Tutar | Neden önemli: Covenant erken uyarı kararını etkiler | Doğru kullanım: Kuyruk tutarı | Örnek: demo satırına bakın | Yanlışsa: Covenant sapma ve karar bozulur | Kaynak: Kredi sözleşmesi / TTK</t>
      </text>
    </comment>
    <comment ref="J10" authorId="0" shapeId="0">
      <text>
        <t>Tanım: Açıklama | Neden önemli: Covenant erken uyarı kararını etkiler | Doğru kullanım: Kısa açıklama | Örnek: demo satırına bakın | Yanlışsa: Covenant sapma ve karar bozulur | Kaynak: Kredi sözleşmesi / TTK</t>
      </text>
    </comment>
    <comment ref="A11" authorId="0" shapeId="0">
      <text>
        <t>Tanım: İşlem | Neden önemli: Covenant erken uyarı kararını etkiler | Doğru kullanım: COV-##### | Örnek: demo satırına bakın | Yanlışsa: Covenant sapma ve karar bozulur | Kaynak: Kredi sözleşmesi / TTK</t>
      </text>
    </comment>
    <comment ref="B11" authorId="0" shapeId="0">
      <text>
        <t>Tanım: Kaynak Kart | Neden önemli: Covenant erken uyarı kararını etkiler | Doğru kullanım: KartId | Örnek: demo satırına bakın | Yanlışsa: Covenant sapma ve karar bozulur | Kaynak: Kredi sözleşmesi / TTK</t>
      </text>
    </comment>
    <comment ref="C11" authorId="0" shapeId="0">
      <text>
        <t>Tanım: Tarih | Neden önemli: Covenant erken uyarı kararını etkiler | Doğru kullanım: Olay tarihi | Örnek: demo satırına bakın | Yanlışsa: Covenant sapma ve karar bozulur | Kaynak: Kredi sözleşmesi / TTK</t>
      </text>
    </comment>
    <comment ref="D11" authorId="0" shapeId="0">
      <text>
        <t>Tanım: Önceki | Neden önemli: Covenant erken uyarı kararını etkiler | Doğru kullanım: Önceki durum | Örnek: demo satırına bakın | Yanlışsa: Covenant sapma ve karar bozulur | Kaynak: Kredi sözleşmesi / TTK</t>
      </text>
    </comment>
    <comment ref="E11" authorId="0" shapeId="0">
      <text>
        <t>Tanım: Durum | Neden önemli: Covenant erken uyarı kararını etkiler | Doğru kullanım: Durum haritası | Örnek: demo satırına bakın | Yanlışsa: Covenant sapma ve karar bozulur | Kaynak: Kredi sözleşmesi / TTK</t>
      </text>
    </comment>
    <comment ref="F11" authorId="0" shapeId="0">
      <text>
        <t>Tanım: Önceki Skor | Neden önemli: Covenant erken uyarı kararını etkiler | Doğru kullanım: Önceki skor | Örnek: demo satırına bakın | Yanlışsa: Covenant sapma ve karar bozulur | Kaynak: Kredi sözleşmesi / TTK</t>
      </text>
    </comment>
    <comment ref="G11" authorId="0" shapeId="0">
      <text>
        <t>Tanım: Yeni Skor | Neden önemli: Covenant erken uyarı kararını etkiler | Doğru kullanım: Yeni skor | Örnek: demo satırına bakın | Yanlışsa: Covenant sapma ve karar bozulur | Kaynak: Kredi sözleşmesi / TTK</t>
      </text>
    </comment>
    <comment ref="H11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I11" authorId="0" shapeId="0">
      <text>
        <t>Tanım: Tutar | Neden önemli: Covenant erken uyarı kararını etkiler | Doğru kullanım: Kuyruk tutarı | Örnek: demo satırına bakın | Yanlışsa: Covenant sapma ve karar bozulur | Kaynak: Kredi sözleşmesi / TTK</t>
      </text>
    </comment>
    <comment ref="J11" authorId="0" shapeId="0">
      <text>
        <t>Tanım: Açıklama | Neden önemli: Covenant erken uyarı kararını etkiler | Doğru kullanım: Kısa açıklama | Örnek: demo satırına bakın | Yanlışsa: Covenant sapma ve karar bozulur | Kaynak: Kredi sözleşmesi / TTK</t>
      </text>
    </comment>
    <comment ref="A12" authorId="0" shapeId="0">
      <text>
        <t>Tanım: İşlem | Neden önemli: Covenant erken uyarı kararını etkiler | Doğru kullanım: COV-##### | Örnek: demo satırına bakın | Yanlışsa: Covenant sapma ve karar bozulur | Kaynak: Kredi sözleşmesi / TTK</t>
      </text>
    </comment>
    <comment ref="B12" authorId="0" shapeId="0">
      <text>
        <t>Tanım: Kaynak Kart | Neden önemli: Covenant erken uyarı kararını etkiler | Doğru kullanım: KartId | Örnek: demo satırına bakın | Yanlışsa: Covenant sapma ve karar bozulur | Kaynak: Kredi sözleşmesi / TTK</t>
      </text>
    </comment>
    <comment ref="C12" authorId="0" shapeId="0">
      <text>
        <t>Tanım: Tarih | Neden önemli: Covenant erken uyarı kararını etkiler | Doğru kullanım: Olay tarihi | Örnek: demo satırına bakın | Yanlışsa: Covenant sapma ve karar bozulur | Kaynak: Kredi sözleşmesi / TTK</t>
      </text>
    </comment>
    <comment ref="D12" authorId="0" shapeId="0">
      <text>
        <t>Tanım: Önceki | Neden önemli: Covenant erken uyarı kararını etkiler | Doğru kullanım: Önceki durum | Örnek: demo satırına bakın | Yanlışsa: Covenant sapma ve karar bozulur | Kaynak: Kredi sözleşmesi / TTK</t>
      </text>
    </comment>
    <comment ref="E12" authorId="0" shapeId="0">
      <text>
        <t>Tanım: Durum | Neden önemli: Covenant erken uyarı kararını etkiler | Doğru kullanım: Durum haritası | Örnek: demo satırına bakın | Yanlışsa: Covenant sapma ve karar bozulur | Kaynak: Kredi sözleşmesi / TTK</t>
      </text>
    </comment>
    <comment ref="F12" authorId="0" shapeId="0">
      <text>
        <t>Tanım: Önceki Skor | Neden önemli: Covenant erken uyarı kararını etkiler | Doğru kullanım: Önceki skor | Örnek: demo satırına bakın | Yanlışsa: Covenant sapma ve karar bozulur | Kaynak: Kredi sözleşmesi / TTK</t>
      </text>
    </comment>
    <comment ref="G12" authorId="0" shapeId="0">
      <text>
        <t>Tanım: Yeni Skor | Neden önemli: Covenant erken uyarı kararını etkiler | Doğru kullanım: Yeni skor | Örnek: demo satırına bakın | Yanlışsa: Covenant sapma ve karar bozulur | Kaynak: Kredi sözleşmesi / TTK</t>
      </text>
    </comment>
    <comment ref="H12" authorId="0" shapeId="0">
      <text>
        <t>Tanım: Limit | Neden önemli: Covenant erken uyarı kararını etkiler | Doğru kullanım: Limit TL | Örnek: demo satırına bakın | Yanlışsa: Covenant sapma ve karar bozulur | Kaynak: Kredi sözleşmesi / TTK</t>
      </text>
    </comment>
    <comment ref="I12" authorId="0" shapeId="0">
      <text>
        <t>Tanım: Tutar | Neden önemli: Covenant erken uyarı kararını etkiler | Doğru kullanım: Kuyruk tutarı | Örnek: demo satırına bakın | Yanlışsa: Covenant sapma ve karar bozulur | Kaynak: Kredi sözleşmesi / TTK</t>
      </text>
    </comment>
    <comment ref="J12" authorId="0" shapeId="0">
      <text>
        <t>Tanım: Açıklama | Neden önemli: Covenant erken uyarı kararını etkiler | Doğru kullanım: Kısa açıklama | Örnek: demo satırına bakın | Yanlışsa: Covenant sapma ve karar bozulur | Kaynak: Kredi sözleşmesi / TTK</t>
      </text>
    </comment>
    <comment ref="A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2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2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2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2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2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2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2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2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2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2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3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3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3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3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3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3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3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3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3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3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4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4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4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4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4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4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4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4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4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4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5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5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5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5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5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5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5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5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5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5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6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6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6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6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6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6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6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6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6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6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7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7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7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7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7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7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7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7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7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7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8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8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8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8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8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8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8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8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8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8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0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0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0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0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0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0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0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0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0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0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1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1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1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1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1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1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1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1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1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1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2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2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2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2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2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2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2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2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2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2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3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3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3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3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3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3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3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3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3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3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4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4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4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4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4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4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4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4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4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4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5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5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5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5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5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5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5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5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5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5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6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6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6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6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6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6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6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6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6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6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7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7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7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7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7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7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7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7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7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7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8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8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8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8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8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8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8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8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8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8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6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6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6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6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6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6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6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6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6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6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7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7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7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7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7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7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7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7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7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7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8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8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8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8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8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8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8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8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8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8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999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999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999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999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999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999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999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999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999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999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00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00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00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00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00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00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00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00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00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00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01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01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01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01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01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01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01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01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01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01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02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02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02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02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02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02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02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02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02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02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03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03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03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03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03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03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03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03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03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03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04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04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04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04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04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04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04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04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04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04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  <comment ref="A1005" authorId="0" shapeId="0">
      <text>
        <t>Tanım: IslemId | Neden önemli: Covenant erken uyarı kararını etkiler | Doğru kullanım: Manuel giriş | Örnek: demo satırına bakın | Yanlışsa: Covenant sapma ve karar bozulur | Kaynak: Kredi sözleşmesi / TTK</t>
      </text>
    </comment>
    <comment ref="B1005" authorId="0" shapeId="0">
      <text>
        <t>Tanım: KaynakKartId | Neden önemli: Covenant erken uyarı kararını etkiler | Doğru kullanım: Manuel giriş | Örnek: demo satırına bakın | Yanlışsa: Covenant sapma ve karar bozulur | Kaynak: Kredi sözleşmesi / TTK</t>
      </text>
    </comment>
    <comment ref="C1005" authorId="0" shapeId="0">
      <text>
        <t>Tanım: Tarih | Neden önemli: Covenant erken uyarı kararını etkiler | Doğru kullanım: Manuel giriş | Örnek: demo satırına bakın | Yanlışsa: Covenant sapma ve karar bozulur | Kaynak: Kredi sözleşmesi / TTK</t>
      </text>
    </comment>
    <comment ref="D1005" authorId="0" shapeId="0">
      <text>
        <t>Tanım: OncekiDurum | Neden önemli: Covenant erken uyarı kararını etkiler | Doğru kullanım: Manuel giriş | Örnek: demo satırına bakın | Yanlışsa: Covenant sapma ve karar bozulur | Kaynak: Kredi sözleşmesi / TTK</t>
      </text>
    </comment>
    <comment ref="E1005" authorId="0" shapeId="0">
      <text>
        <t>Tanım: Durum | Neden önemli: Covenant erken uyarı kararını etkiler | Doğru kullanım: Manuel giriş | Örnek: demo satırına bakın | Yanlışsa: Covenant sapma ve karar bozulur | Kaynak: Kredi sözleşmesi / TTK</t>
      </text>
    </comment>
    <comment ref="F1005" authorId="0" shapeId="0">
      <text>
        <t>Tanım: OncekiSkor | Neden önemli: Covenant erken uyarı kararını etkiler | Doğru kullanım: Manuel giriş | Örnek: demo satırına bakın | Yanlışsa: Covenant sapma ve karar bozulur | Kaynak: Kredi sözleşmesi / TTK</t>
      </text>
    </comment>
    <comment ref="G1005" authorId="0" shapeId="0">
      <text>
        <t>Tanım: YeniSkor | Neden önemli: Covenant erken uyarı kararını etkiler | Doğru kullanım: Manuel giriş | Örnek: demo satırına bakın | Yanlışsa: Covenant sapma ve karar bozulur | Kaynak: Kredi sözleşmesi / TTK</t>
      </text>
    </comment>
    <comment ref="H1005" authorId="0" shapeId="0">
      <text>
        <t>Tanım: LimitTl | Neden önemli: Covenant erken uyarı kararını etkiler | Doğru kullanım: Manuel giriş | Örnek: demo satırına bakın | Yanlışsa: Covenant sapma ve karar bozulur | Kaynak: Kredi sözleşmesi / TTK</t>
      </text>
    </comment>
    <comment ref="I1005" authorId="0" shapeId="0">
      <text>
        <t>Tanım: Tutar | Neden önemli: Covenant erken uyarı kararını etkiler | Doğru kullanım: Manuel giriş | Örnek: demo satırına bakın | Yanlışsa: Covenant sapma ve karar bozulur | Kaynak: Kredi sözleşmesi / TTK</t>
      </text>
    </comment>
    <comment ref="J1005" authorId="0" shapeId="0">
      <text>
        <t>Tanım: Aciklama | Neden önemli: Covenant erken uyarı kararını etkiler | Doğru kullanım: Manuel giriş | Örnek: demo satırına bakın | Yanlışsa: Covenant sapma ve karar bozulur | Kaynak: Kredi sözleşmesi / TTK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27" authorId="0" shapeId="0">
      <text>
        <t>Tanım: Hazırlayan | Neden önemli: Covenant erken uyarı kararını etkiler | Doğru kullanım: İmza için ad soyad yazın. | Örnek: demo satırına bakın | Yanlışsa: Covenant sapma ve karar bozulur | Kaynak: Kredi sözleşmesi / TTK</t>
      </text>
    </comment>
    <comment ref="B28" authorId="0" shapeId="0">
      <text>
        <t>Tanım: Onaylayan | Neden önemli: Covenant erken uyarı kararını etkiler | Doğru kullanım: Onay imzası için ad yazın. | Örnek: demo satırına bakın | Yanlışsa: Covenant sapma ve karar bozulur | Kaynak: Kredi sözleşmesi / TTK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Covenant erken uyarı kararını etkiler | Doğru kullanım: Örnek veri satırı | Örnek: demo satırına bakın | Yanlışsa: Covenant sapma ve karar bozulur | Kaynak: Kredi sözleşmesi / TTK</t>
      </text>
    </comment>
    <comment ref="B6" authorId="0" shapeId="0">
      <text>
        <t>Tanım: KrediBakiye | Neden önemli: Covenant erken uyarı kararını etkiler | Doğru kullanım: Örnek veri satırı | Örnek: demo satırına bakın | Yanlışsa: Covenant sapma ve karar bozulur | Kaynak: Kredi sözleşmesi / TTK</t>
      </text>
    </comment>
    <comment ref="C6" authorId="0" shapeId="0">
      <text>
        <t>Tanım: FaizOran | Neden önemli: Covenant erken uyarı kararını etkiler | Doğru kullanım: Örnek veri satırı | Örnek: demo satırına bakın | Yanlışsa: Covenant sapma ve karar bozulur | Kaynak: Kredi sözleşmesi / TTK</t>
      </text>
    </comment>
    <comment ref="D6" authorId="0" shapeId="0">
      <text>
        <t>Tanım: VadeAy | Neden önemli: Covenant erken uyarı kararını etkiler | Doğru kullanım: Örnek veri satırı | Örnek: demo satırına bakın | Yanlışsa: Covenant sapma ve karar bozulur | Kaynak: Kredi sözleşmesi / TTK</t>
      </text>
    </comment>
    <comment ref="E6" authorId="0" shapeId="0">
      <text>
        <t>Tanım: Favok | Neden önemli: Covenant erken uyarı kararını etkiler | Doğru kullanım: Örnek veri satırı | Örnek: demo satırına bakın | Yanlışsa: Covenant sapma ve karar bozulur | Kaynak: Kredi sözleşmesi / TTK</t>
      </text>
    </comment>
    <comment ref="F6" authorId="0" shapeId="0">
      <text>
        <t>Tanım: NetBorc | Neden önemli: Covenant erken uyarı kararını etkiler | Doğru kullanım: Örnek veri satırı | Örnek: demo satırına bakın | Yanlışsa: Covenant sapma ve karar bozulur | Kaynak: Kredi sözleşmesi / TTK</t>
      </text>
    </comment>
    <comment ref="G6" authorId="0" shapeId="0">
      <text>
        <t>Tanım: CariOran | Neden önemli: Covenant erken uyarı kararını etkiler | Doğru kullanım: Örnek veri satırı | Örnek: demo satırına bakın | Yanlışsa: Covenant sapma ve karar bozulur | Kaynak: Kredi sözleşmesi / TTK</t>
      </text>
    </comment>
    <comment ref="H6" authorId="0" shapeId="0">
      <text>
        <t>Tanım: Dscr | Neden önemli: Covenant erken uyarı kararını etkiler | Doğru kullanım: Örnek veri satırı | Örnek: demo satırına bakın | Yanlışsa: Covenant sapma ve karar bozulur | Kaynak: Kredi sözleşmesi / TTK</t>
      </text>
    </comment>
    <comment ref="I6" authorId="0" shapeId="0">
      <text>
        <t>Tanım: Yil | Neden önemli: Covenant erken uyarı kararını etkiler | Doğru kullanım: Örnek veri satırı | Örnek: demo satırına bakın | Yanlışsa: Covenant sapma ve karar bozulur | Kaynak: Kredi sözleşmesi / TTK</t>
      </text>
    </comment>
    <comment ref="A7" authorId="0" shapeId="0">
      <text>
        <t>Tanım: Senaryo | Neden önemli: Covenant erken uyarı kararını etkiler | Doğru kullanım: Örnek veri satırı | Örnek: demo satırına bakın | Yanlışsa: Covenant sapma ve karar bozulur | Kaynak: Kredi sözleşmesi / TTK</t>
      </text>
    </comment>
    <comment ref="B7" authorId="0" shapeId="0">
      <text>
        <t>Tanım: KrediBakiye | Neden önemli: Covenant erken uyarı kararını etkiler | Doğru kullanım: Örnek veri satırı | Örnek: demo satırına bakın | Yanlışsa: Covenant sapma ve karar bozulur | Kaynak: Kredi sözleşmesi / TTK</t>
      </text>
    </comment>
    <comment ref="C7" authorId="0" shapeId="0">
      <text>
        <t>Tanım: FaizOran | Neden önemli: Covenant erken uyarı kararını etkiler | Doğru kullanım: Örnek veri satırı | Örnek: demo satırına bakın | Yanlışsa: Covenant sapma ve karar bozulur | Kaynak: Kredi sözleşmesi / TTK</t>
      </text>
    </comment>
    <comment ref="D7" authorId="0" shapeId="0">
      <text>
        <t>Tanım: VadeAy | Neden önemli: Covenant erken uyarı kararını etkiler | Doğru kullanım: Örnek veri satırı | Örnek: demo satırına bakın | Yanlışsa: Covenant sapma ve karar bozulur | Kaynak: Kredi sözleşmesi / TTK</t>
      </text>
    </comment>
    <comment ref="E7" authorId="0" shapeId="0">
      <text>
        <t>Tanım: Favok | Neden önemli: Covenant erken uyarı kararını etkiler | Doğru kullanım: Örnek veri satırı | Örnek: demo satırına bakın | Yanlışsa: Covenant sapma ve karar bozulur | Kaynak: Kredi sözleşmesi / TTK</t>
      </text>
    </comment>
    <comment ref="F7" authorId="0" shapeId="0">
      <text>
        <t>Tanım: NetBorc | Neden önemli: Covenant erken uyarı kararını etkiler | Doğru kullanım: Örnek veri satırı | Örnek: demo satırına bakın | Yanlışsa: Covenant sapma ve karar bozulur | Kaynak: Kredi sözleşmesi / TTK</t>
      </text>
    </comment>
    <comment ref="G7" authorId="0" shapeId="0">
      <text>
        <t>Tanım: CariOran | Neden önemli: Covenant erken uyarı kararını etkiler | Doğru kullanım: Örnek veri satırı | Örnek: demo satırına bakın | Yanlışsa: Covenant sapma ve karar bozulur | Kaynak: Kredi sözleşmesi / TTK</t>
      </text>
    </comment>
    <comment ref="H7" authorId="0" shapeId="0">
      <text>
        <t>Tanım: Dscr | Neden önemli: Covenant erken uyarı kararını etkiler | Doğru kullanım: Örnek veri satırı | Örnek: demo satırına bakın | Yanlışsa: Covenant sapma ve karar bozulur | Kaynak: Kredi sözleşmesi / TTK</t>
      </text>
    </comment>
    <comment ref="I7" authorId="0" shapeId="0">
      <text>
        <t>Tanım: Yil | Neden önemli: Covenant erken uyarı kararını etkiler | Doğru kullanım: Örnek veri satırı | Örnek: demo satırına bakın | Yanlışsa: Covenant sapma ve karar bozulur | Kaynak: Kredi sözleşmesi / TTK</t>
      </text>
    </comment>
    <comment ref="A8" authorId="0" shapeId="0">
      <text>
        <t>Tanım: Senaryo | Neden önemli: Covenant erken uyarı kararını etkiler | Doğru kullanım: Örnek veri satırı | Örnek: demo satırına bakın | Yanlışsa: Covenant sapma ve karar bozulur | Kaynak: Kredi sözleşmesi / TTK</t>
      </text>
    </comment>
    <comment ref="B8" authorId="0" shapeId="0">
      <text>
        <t>Tanım: KrediBakiye | Neden önemli: Covenant erken uyarı kararını etkiler | Doğru kullanım: Örnek veri satırı | Örnek: demo satırına bakın | Yanlışsa: Covenant sapma ve karar bozulur | Kaynak: Kredi sözleşmesi / TTK</t>
      </text>
    </comment>
    <comment ref="C8" authorId="0" shapeId="0">
      <text>
        <t>Tanım: FaizOran | Neden önemli: Covenant erken uyarı kararını etkiler | Doğru kullanım: Örnek veri satırı | Örnek: demo satırına bakın | Yanlışsa: Covenant sapma ve karar bozulur | Kaynak: Kredi sözleşmesi / TTK</t>
      </text>
    </comment>
    <comment ref="D8" authorId="0" shapeId="0">
      <text>
        <t>Tanım: VadeAy | Neden önemli: Covenant erken uyarı kararını etkiler | Doğru kullanım: Örnek veri satırı | Örnek: demo satırına bakın | Yanlışsa: Covenant sapma ve karar bozulur | Kaynak: Kredi sözleşmesi / TTK</t>
      </text>
    </comment>
    <comment ref="E8" authorId="0" shapeId="0">
      <text>
        <t>Tanım: Favok | Neden önemli: Covenant erken uyarı kararını etkiler | Doğru kullanım: Örnek veri satırı | Örnek: demo satırına bakın | Yanlışsa: Covenant sapma ve karar bozulur | Kaynak: Kredi sözleşmesi / TTK</t>
      </text>
    </comment>
    <comment ref="F8" authorId="0" shapeId="0">
      <text>
        <t>Tanım: NetBorc | Neden önemli: Covenant erken uyarı kararını etkiler | Doğru kullanım: Örnek veri satırı | Örnek: demo satırına bakın | Yanlışsa: Covenant sapma ve karar bozulur | Kaynak: Kredi sözleşmesi / TTK</t>
      </text>
    </comment>
    <comment ref="G8" authorId="0" shapeId="0">
      <text>
        <t>Tanım: CariOran | Neden önemli: Covenant erken uyarı kararını etkiler | Doğru kullanım: Örnek veri satırı | Örnek: demo satırına bakın | Yanlışsa: Covenant sapma ve karar bozulur | Kaynak: Kredi sözleşmesi / TTK</t>
      </text>
    </comment>
    <comment ref="H8" authorId="0" shapeId="0">
      <text>
        <t>Tanım: Dscr | Neden önemli: Covenant erken uyarı kararını etkiler | Doğru kullanım: Örnek veri satırı | Örnek: demo satırına bakın | Yanlışsa: Covenant sapma ve karar bozulur | Kaynak: Kredi sözleşmesi / TTK</t>
      </text>
    </comment>
    <comment ref="I8" authorId="0" shapeId="0">
      <text>
        <t>Tanım: Yil | Neden önemli: Covenant erken uyarı kararını etkiler | Doğru kullanım: Örnek veri satırı | Örnek: demo satırına bakın | Yanlışsa: Covenant sapma ve karar bozulur | Kaynak: Kredi sözleşmesi / TTK</t>
      </text>
    </comment>
    <comment ref="A9" authorId="0" shapeId="0">
      <text>
        <t>Tanım: Senaryo | Neden önemli: Covenant erken uyarı kararını etkiler | Doğru kullanım: Örnek veri satırı | Örnek: demo satırına bakın | Yanlışsa: Covenant sapma ve karar bozulur | Kaynak: Kredi sözleşmesi / TTK</t>
      </text>
    </comment>
    <comment ref="B9" authorId="0" shapeId="0">
      <text>
        <t>Tanım: KrediBakiye | Neden önemli: Covenant erken uyarı kararını etkiler | Doğru kullanım: Örnek veri satırı | Örnek: demo satırına bakın | Yanlışsa: Covenant sapma ve karar bozulur | Kaynak: Kredi sözleşmesi / TTK</t>
      </text>
    </comment>
    <comment ref="C9" authorId="0" shapeId="0">
      <text>
        <t>Tanım: FaizOran | Neden önemli: Covenant erken uyarı kararını etkiler | Doğru kullanım: Örnek veri satırı | Örnek: demo satırına bakın | Yanlışsa: Covenant sapma ve karar bozulur | Kaynak: Kredi sözleşmesi / TTK</t>
      </text>
    </comment>
    <comment ref="D9" authorId="0" shapeId="0">
      <text>
        <t>Tanım: VadeAy | Neden önemli: Covenant erken uyarı kararını etkiler | Doğru kullanım: Örnek veri satırı | Örnek: demo satırına bakın | Yanlışsa: Covenant sapma ve karar bozulur | Kaynak: Kredi sözleşmesi / TTK</t>
      </text>
    </comment>
    <comment ref="E9" authorId="0" shapeId="0">
      <text>
        <t>Tanım: Favok | Neden önemli: Covenant erken uyarı kararını etkiler | Doğru kullanım: Örnek veri satırı | Örnek: demo satırına bakın | Yanlışsa: Covenant sapma ve karar bozulur | Kaynak: Kredi sözleşmesi / TTK</t>
      </text>
    </comment>
    <comment ref="F9" authorId="0" shapeId="0">
      <text>
        <t>Tanım: NetBorc | Neden önemli: Covenant erken uyarı kararını etkiler | Doğru kullanım: Örnek veri satırı | Örnek: demo satırına bakın | Yanlışsa: Covenant sapma ve karar bozulur | Kaynak: Kredi sözleşmesi / TTK</t>
      </text>
    </comment>
    <comment ref="G9" authorId="0" shapeId="0">
      <text>
        <t>Tanım: CariOran | Neden önemli: Covenant erken uyarı kararını etkiler | Doğru kullanım: Örnek veri satırı | Örnek: demo satırına bakın | Yanlışsa: Covenant sapma ve karar bozulur | Kaynak: Kredi sözleşmesi / TTK</t>
      </text>
    </comment>
    <comment ref="H9" authorId="0" shapeId="0">
      <text>
        <t>Tanım: Dscr | Neden önemli: Covenant erken uyarı kararını etkiler | Doğru kullanım: Örnek veri satırı | Örnek: demo satırına bakın | Yanlışsa: Covenant sapma ve karar bozulur | Kaynak: Kredi sözleşmesi / TTK</t>
      </text>
    </comment>
    <comment ref="I9" authorId="0" shapeId="0">
      <text>
        <t>Tanım: Yil | Neden önemli: Covenant erken uyarı kararını etkiler | Doğru kullanım: Örnek veri satırı | Örnek: demo satırına bakın | Yanlışsa: Covenant sapma ve karar bozulur | Kaynak: Kredi sözleşmesi / TTK</t>
      </text>
    </comment>
    <comment ref="A10" authorId="0" shapeId="0">
      <text>
        <t>Tanım: Senaryo | Neden önemli: Covenant erken uyarı kararını etkiler | Doğru kullanım: Örnek veri satırı | Örnek: demo satırına bakın | Yanlışsa: Covenant sapma ve karar bozulur | Kaynak: Kredi sözleşmesi / TTK</t>
      </text>
    </comment>
    <comment ref="B10" authorId="0" shapeId="0">
      <text>
        <t>Tanım: KrediBakiye | Neden önemli: Covenant erken uyarı kararını etkiler | Doğru kullanım: Örnek veri satırı | Örnek: demo satırına bakın | Yanlışsa: Covenant sapma ve karar bozulur | Kaynak: Kredi sözleşmesi / TTK</t>
      </text>
    </comment>
    <comment ref="C10" authorId="0" shapeId="0">
      <text>
        <t>Tanım: FaizOran | Neden önemli: Covenant erken uyarı kararını etkiler | Doğru kullanım: Örnek veri satırı | Örnek: demo satırına bakın | Yanlışsa: Covenant sapma ve karar bozulur | Kaynak: Kredi sözleşmesi / TTK</t>
      </text>
    </comment>
    <comment ref="D10" authorId="0" shapeId="0">
      <text>
        <t>Tanım: VadeAy | Neden önemli: Covenant erken uyarı kararını etkiler | Doğru kullanım: Örnek veri satırı | Örnek: demo satırına bakın | Yanlışsa: Covenant sapma ve karar bozulur | Kaynak: Kredi sözleşmesi / TTK</t>
      </text>
    </comment>
    <comment ref="E10" authorId="0" shapeId="0">
      <text>
        <t>Tanım: Favok | Neden önemli: Covenant erken uyarı kararını etkiler | Doğru kullanım: Örnek veri satırı | Örnek: demo satırına bakın | Yanlışsa: Covenant sapma ve karar bozulur | Kaynak: Kredi sözleşmesi / TTK</t>
      </text>
    </comment>
    <comment ref="F10" authorId="0" shapeId="0">
      <text>
        <t>Tanım: NetBorc | Neden önemli: Covenant erken uyarı kararını etkiler | Doğru kullanım: Örnek veri satırı | Örnek: demo satırına bakın | Yanlışsa: Covenant sapma ve karar bozulur | Kaynak: Kredi sözleşmesi / TTK</t>
      </text>
    </comment>
    <comment ref="G10" authorId="0" shapeId="0">
      <text>
        <t>Tanım: CariOran | Neden önemli: Covenant erken uyarı kararını etkiler | Doğru kullanım: Örnek veri satırı | Örnek: demo satırına bakın | Yanlışsa: Covenant sapma ve karar bozulur | Kaynak: Kredi sözleşmesi / TTK</t>
      </text>
    </comment>
    <comment ref="H10" authorId="0" shapeId="0">
      <text>
        <t>Tanım: Dscr | Neden önemli: Covenant erken uyarı kararını etkiler | Doğru kullanım: Örnek veri satırı | Örnek: demo satırına bakın | Yanlışsa: Covenant sapma ve karar bozulur | Kaynak: Kredi sözleşmesi / TTK</t>
      </text>
    </comment>
    <comment ref="I10" authorId="0" shapeId="0">
      <text>
        <t>Tanım: Yil | Neden önemli: Covenant erken uyarı kararını etkiler | Doğru kullanım: Örnek veri satırı | Örnek: demo satırına bakın | Yanlışsa: Covenant sapma ve karar bozulur | Kaynak: Kredi sözleşmesi / TTK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Covenant erken uyarı kararını etkiler | Doğru kullanım: Hesap yılı listesi | Örnek: demo satırına bakın | Yanlışsa: Covenant sapma ve karar bozulur | Kaynak: Kredi sözleşmesi / TTK</t>
      </text>
    </comment>
    <comment ref="C6" authorId="0" shapeId="0">
      <text>
        <t>Tanım: Yorum | Neden önemli: Covenant erken uyarı kararını etkiler | Doğru kullanım: A veya B | Örnek: demo satırına bakın | Yanlışsa: Covenant sapma ve karar bozulur | Kaynak: Kredi sözleşmesi / TTK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6" authorId="0" shapeId="0">
      <text>
        <t>Tanım: Kredi Türü | Neden önemli: Covenant erken uyarı kararını etkiler | Doğru kullanım: ISLETME veya YATIRIM | Örnek: demo satırına bakın | Yanlışsa: Covenant sapma ve karar bozulur | Kaynak: Kredi sözleşmesi / TTK</t>
      </text>
    </comment>
    <comment ref="I6" authorId="0" shapeId="0">
      <text>
        <t>Tanım: Durum | Neden önemli: Covenant erken uyarı kararını etkiler | Doğru kullanım: Durum kimliği | Örnek: demo satırına bakın | Yanlışsa: Covenant sapma ve karar bozulur | Kaynak: Kredi sözleşmesi / TTK</t>
      </text>
    </comment>
    <comment ref="K6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A7" authorId="0" shapeId="0">
      <text>
        <t>Tanım: Yıl | Neden önemli: Covenant erken uyarı kararını etkiler | Doğru kullanım: Hesap yılı listesi | Örnek: demo satırına bakın | Yanlışsa: Covenant sapma ve karar bozulur | Kaynak: Kredi sözleşmesi / TTK</t>
      </text>
    </comment>
    <comment ref="C7" authorId="0" shapeId="0">
      <text>
        <t>Tanım: Yorum | Neden önemli: Covenant erken uyarı kararını etkiler | Doğru kullanım: A veya B | Örnek: demo satırına bakın | Yanlışsa: Covenant sapma ve karar bozulur | Kaynak: Kredi sözleşmesi / TTK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G7" authorId="0" shapeId="0">
      <text>
        <t>Tanım: Kredi Türü | Neden önemli: Covenant erken uyarı kararını etkiler | Doğru kullanım: ISLETME veya YATIRIM | Örnek: demo satırına bakın | Yanlışsa: Covenant sapma ve karar bozulur | Kaynak: Kredi sözleşmesi / TTK</t>
      </text>
    </comment>
    <comment ref="I7" authorId="0" shapeId="0">
      <text>
        <t>Tanım: Durum | Neden önemli: Covenant erken uyarı kararını etkiler | Doğru kullanım: Durum kimliği | Örnek: demo satırına bakın | Yanlışsa: Covenant sapma ve karar bozulur | Kaynak: Kredi sözleşmesi / TTK</t>
      </text>
    </comment>
    <comment ref="K7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A8" authorId="0" shapeId="0">
      <text>
        <t>Tanım: Yıl | Neden önemli: Covenant erken uyarı kararını etkiler | Doğru kullanım: Hesap yılı listesi | Örnek: demo satırına bakın | Yanlışsa: Covenant sapma ve karar bozulur | Kaynak: Kredi sözleşmesi / TTK</t>
      </text>
    </comment>
    <comment ref="I8" authorId="0" shapeId="0">
      <text>
        <t>Tanım: Durum | Neden önemli: Covenant erken uyarı kararını etkiler | Doğru kullanım: Durum kimliği | Örnek: demo satırına bakın | Yanlışsa: Covenant sapma ve karar bozulur | Kaynak: Kredi sözleşmesi / TTK</t>
      </text>
    </comment>
    <comment ref="K8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I9" authorId="0" shapeId="0">
      <text>
        <t>Tanım: Durum | Neden önemli: Covenant erken uyarı kararını etkiler | Doğru kullanım: Durum kimliği | Örnek: demo satırına bakın | Yanlışsa: Covenant sapma ve karar bozulur | Kaynak: Kredi sözleşmesi / TTK</t>
      </text>
    </comment>
    <comment ref="K9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I10" authorId="0" shapeId="0">
      <text>
        <t>Tanım: Durum | Neden önemli: Covenant erken uyarı kararını etkiler | Doğru kullanım: Durum kimliği | Örnek: demo satırına bakın | Yanlışsa: Covenant sapma ve karar bozulur | Kaynak: Kredi sözleşmesi / TTK</t>
      </text>
    </comment>
    <comment ref="K10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K11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K12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K13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K14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  <comment ref="K15" authorId="0" shapeId="0">
      <text>
        <t>Tanım: Geçiş | Neden önemli: Covenant erken uyarı kararını etkiler | Doğru kullanım: eski|yeni | Örnek: demo satırına bakın | Yanlışsa: Covenant sapma ve karar bozulur | Kaynak: Kredi sözleşmesi / TTK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Covenant erken uyarı kararını etkiler | Doğru kullanım: Aktif hesap yılı | Örnek: demo satırına bakın | Yanlışsa: Covenant sapma ve karar bozulur | Kaynak: Kredi sözleşmesi / TTK</t>
      </text>
    </comment>
    <comment ref="B7" authorId="0" shapeId="0">
      <text>
        <t>Tanım: raporTarihi | Neden önemli: Covenant erken uyarı kararını etkiler | Doğru kullanım: Rapor tarihi (sabit) | Örnek: demo satırına bakın | Yanlışsa: Covenant sapma ve karar bozulur | Kaynak: Kredi sözleşmesi / TTK</t>
      </text>
    </comment>
    <comment ref="B8" authorId="0" shapeId="0">
      <text>
        <t>Tanım: bke_tolerans | Neden önemli: Covenant erken uyarı kararını etkiler | Doğru kullanım: Vaka tutarlılık toleransı | Örnek: demo satırına bakın | Yanlışsa: Covenant sapma ve karar bozulur | Kaynak: Kredi sözleşmesi / TTK</t>
      </text>
    </comment>
    <comment ref="B9" authorId="0" shapeId="0">
      <text>
        <t>Tanım: bke_kacirilanEsik | Neden önemli: Covenant erken uyarı kararını etkiler | Doğru kullanım: PANO uyarı skor eşiği | Örnek: demo satırına bakın | Yanlışsa: Covenant sapma ve karar bozulur | Kaynak: Kredi sözleşmesi / TTK</t>
      </text>
    </comment>
    <comment ref="B10" authorId="0" shapeId="0">
      <text>
        <t>Tanım: bke_senaryoIyi | Neden önemli: Covenant erken uyarı kararını etkiler | Doğru kullanım: İyimser skor iyileştirme | Örnek: demo satırına bakın | Yanlışsa: Covenant sapma ve karar bozulur | Kaynak: Kredi sözleşmesi / TTK</t>
      </text>
    </comment>
    <comment ref="B11" authorId="0" shapeId="0">
      <text>
        <t>Tanım: bke_senaryoKotu | Neden önemli: Covenant erken uyarı kararını etkiler | Doğru kullanım: Kötümser skor bozulma | Örnek: demo satırına bakın | Yanlışsa: Covenant sapma ve karar bozulur | Kaynak: Kredi sözleşmesi / TTK</t>
      </text>
    </comment>
    <comment ref="B12" authorId="0" shapeId="0">
      <text>
        <t>Tanım: bke_esikArtis | Neden önemli: Covenant erken uyarı kararını etkiler | Doğru kullanım: M-SEN / Yorum B DSCR +0,05 | Örnek: demo satırına bakın | Yanlışsa: Covenant sapma ve karar bozulur | Kaynak: Kredi sözleşmesi / TTK</t>
      </text>
    </comment>
    <comment ref="B13" authorId="0" shapeId="0">
      <text>
        <t>Tanım: bke_tahminAlt | Neden önemli: Covenant erken uyarı kararını etkiler | Doğru kullanım: Tahmin alt bant | Örnek: demo satırına bakın | Yanlışsa: Covenant sapma ve karar bozulur | Kaynak: Kredi sözleşmesi / TTK</t>
      </text>
    </comment>
    <comment ref="B14" authorId="0" shapeId="0">
      <text>
        <t>Tanım: bke_tahminUst | Neden önemli: Covenant erken uyarı kararını etkiler | Doğru kullanım: Tahmin üst bant | Örnek: demo satırına bakın | Yanlışsa: Covenant sapma ve karar bozulur | Kaynak: Kredi sözleşmesi / TTK</t>
      </text>
    </comment>
    <comment ref="B15" authorId="0" shapeId="0">
      <text>
        <t>Tanım: bke_tornadoDscr | Neden önemli: Covenant erken uyarı kararını etkiler | Doğru kullanım: Tornado DSCR şoku | Örnek: demo satırına bakın | Yanlışsa: Covenant sapma ve karar bozulur | Kaynak: Kredi sözleşmesi / TTK</t>
      </text>
    </comment>
    <comment ref="B16" authorId="0" shapeId="0">
      <text>
        <t>Tanım: bke_tornadoFavok | Neden önemli: Covenant erken uyarı kararını etkiler | Doğru kullanım: Tornado FAVÖK şoku | Örnek: demo satırına bakın | Yanlışsa: Covenant sapma ve karar bozulur | Kaynak: Kredi sözleşmesi / TTK</t>
      </text>
    </comment>
    <comment ref="B17" authorId="0" shapeId="0">
      <text>
        <t>Tanım: bke_tornadoFaiz | Neden önemli: Covenant erken uyarı kararını etkiler | Doğru kullanım: Tornado faiz şoku | Örnek: demo satırına bakın | Yanlışsa: Covenant sapma ve karar bozulur | Kaynak: Kredi sözleşmesi / TTK</t>
      </text>
    </comment>
    <comment ref="B18" authorId="0" shapeId="0">
      <text>
        <t>Tanım: bke_dscrIyi | Neden önemli: Covenant erken uyarı kararını etkiler | Doğru kullanım: İyimser DSCR çarpanı | Örnek: demo satırına bakın | Yanlışsa: Covenant sapma ve karar bozulur | Kaynak: Kredi sözleşmesi / TTK</t>
      </text>
    </comment>
    <comment ref="B19" authorId="0" shapeId="0">
      <text>
        <t>Tanım: bke_dscrKotu | Neden önemli: Covenant erken uyarı kararını etkiler | Doğru kullanım: Kötümser DSCR çarpanı | Örnek: demo satırına bakın | Yanlışsa: Covenant sapma ve karar bozulur | Kaynak: Kredi sözleşmesi / TTK</t>
      </text>
    </comment>
    <comment ref="B20" authorId="0" shapeId="0">
      <text>
        <t>Tanım: bke_yuzdelikOran | Neden önemli: Covenant erken uyarı kararını etkiler | Doğru kullanım: Yüzdelik P90 | Örnek: demo satırına bakın | Yanlışsa: Covenant sapma ve karar bozulur | Kaynak: Kredi sözleşmesi / TTK</t>
      </text>
    </comment>
    <comment ref="B21" authorId="0" shapeId="0">
      <text>
        <t>Tanım: bke_parmakIzi | Neden önemli: Covenant erken uyarı kararını etkiler | Doğru kullanım: Dosya parmak izi etiketi | Örnek: demo satırına bakın | Yanlışsa: Covenant sapma ve karar bozulur | Kaynak: Kredi sözleşmesi / TTK</t>
      </text>
    </comment>
    <comment ref="B22" authorId="0" shapeId="0">
      <text>
        <t>Tanım: dosya_surumu | Neden önemli: Covenant erken uyarı kararını etkiler | Doğru kullanım: Ürün sürümü | Örnek: demo satırına bakın | Yanlışsa: Covenant sapma ve karar bozulur | Kaynak: Kredi sözleşmesi / TTK</t>
      </text>
    </comment>
    <comment ref="B23" authorId="0" shapeId="0">
      <text>
        <t>Tanım: bke_girisBeklenen | Neden önemli: Covenant erken uyarı kararını etkiler | Doğru kullanım: Zorunlu giriş alanı sayısı | Örnek: demo satırına bakın | Yanlışsa: Covenant sapma ve karar bozulur | Kaynak: Kredi sözleşmesi / TTK</t>
      </text>
    </comment>
    <comment ref="B24" authorId="0" shapeId="0">
      <text>
        <t>Tanım: bke_riskDusuk | Neden önemli: Covenant erken uyarı kararını etkiler | Doğru kullanım: UYGUN risk skoru | Örnek: demo satırına bakın | Yanlışsa: Covenant sapma ve karar bozulur | Kaynak: Kredi sözleşmesi / TTK</t>
      </text>
    </comment>
    <comment ref="B25" authorId="0" shapeId="0">
      <text>
        <t>Tanım: bke_riskOrta | Neden önemli: Covenant erken uyarı kararını etkiler | Doğru kullanım: UYARI risk skoru | Örnek: demo satırına bakın | Yanlışsa: Covenant sapma ve karar bozulur | Kaynak: Kredi sözleşmesi / TTK</t>
      </text>
    </comment>
    <comment ref="B26" authorId="0" shapeId="0">
      <text>
        <t>Tanım: bke_riskYuksek | Neden önemli: Covenant erken uyarı kararını etkiler | Doğru kullanım: İHLAL risk skoru | Örnek: demo satırına bakın | Yanlışsa: Covenant sapma ve karar bozulur | Kaynak: Kredi sözleşmesi / TTK</t>
      </text>
    </comment>
    <comment ref="B27" authorId="0" shapeId="0">
      <text>
        <t>Tanım: bke_riskEsikOran | Neden önemli: Covenant erken uyarı kararını etkiler | Doğru kullanım: Yedek risk oranı | Örnek: demo satırına bakın | Yanlışsa: Covenant sapma ve karar bozulur | Kaynak: Kredi sözleşmesi / TTK</t>
      </text>
    </comment>
    <comment ref="B28" authorId="0" shapeId="0">
      <text>
        <t>Tanım: bke_yilTaban | Neden önemli: Covenant erken uyarı kararını etkiler | Doğru kullanım: CHOOSE yıl tabanı | Örnek: demo satırına bakın | Yanlışsa: Covenant sapma ve karar bozulur | Kaynak: Kredi sözleşmesi / TTK</t>
      </text>
    </comment>
    <comment ref="B29" authorId="0" shapeId="0">
      <text>
        <t>Tanım: bke_yuvarMax | Neden önemli: Covenant erken uyarı kararını etkiler | Doğru kullanım: ROUND basamak tavanı | Örnek: demo satırına bakın | Yanlışsa: Covenant sapma ve karar bozulur | Kaynak: Kredi sözleşmesi / TTK</t>
      </text>
    </comment>
    <comment ref="B30" authorId="0" shapeId="0">
      <text>
        <t>Tanım: bke_dayanakCarpan | Neden önemli: Covenant erken uyarı kararını etkiler | Doğru kullanım: Yedek çarpan | Örnek: demo satırına bakın | Yanlışsa: Covenant sapma ve karar bozulur | Kaynak: Kredi sözleşmesi / TTK</t>
      </text>
    </comment>
    <comment ref="B31" authorId="0" shapeId="0">
      <text>
        <t>Tanım: bke_bazCarpan | Neden önemli: Covenant erken uyarı kararını etkiler | Doğru kullanım: Baz senaryo çarpanı | Örnek: demo satırına bakın | Yanlışsa: Covenant sapma ve karar bozulur | Kaynak: Kredi sözleşmesi / TTK</t>
      </text>
    </comment>
    <comment ref="B32" authorId="0" shapeId="0">
      <text>
        <t>Tanım: bke_sifirCarpan | Neden önemli: Covenant erken uyarı kararını etkiler | Doğru kullanım: Nötr çarpan | Örnek: demo satırına bakın | Yanlışsa: Covenant sapma ve karar bozulur | Kaynak: Kredi sözleşmesi / TTK</t>
      </text>
    </comment>
    <comment ref="B33" authorId="0" shapeId="0">
      <text>
        <t>Tanım: bke_siraBir | Neden önemli: Covenant erken uyarı kararını etkiler | Doğru kullanım: Tornado sıra 1 | Örnek: demo satırına bakın | Yanlışsa: Covenant sapma ve karar bozulur | Kaynak: Kredi sözleşmesi / TTK</t>
      </text>
    </comment>
    <comment ref="B34" authorId="0" shapeId="0">
      <text>
        <t>Tanım: bke_siraIki | Neden önemli: Covenant erken uyarı kararını etkiler | Doğru kullanım: Tornado sıra 2 | Örnek: demo satırına bakın | Yanlışsa: Covenant sapma ve karar bozulur | Kaynak: Kredi sözleşmesi / TTK</t>
      </text>
    </comment>
    <comment ref="B35" authorId="0" shapeId="0">
      <text>
        <t>Tanım: bke_siraUc | Neden önemli: Covenant erken uyarı kararını etkiler | Doğru kullanım: Tornado sıra 3 | Örnek: demo satırına bakın | Yanlışsa: Covenant sapma ve karar bozulur | Kaynak: Kredi sözleşmesi / TTK</t>
      </text>
    </comment>
    <comment ref="B36" authorId="0" shapeId="0">
      <text>
        <t>Tanım: bke_tahminX | Neden önemli: Covenant erken uyarı kararını etkiler | Doğru kullanım: FORECAST X noktası | Örnek: demo satırına bakın | Yanlışsa: Covenant sapma ve karar bozulur | Kaynak: Kredi sözleşmesi / TTK</t>
      </text>
    </comment>
    <comment ref="B37" authorId="0" shapeId="0">
      <text>
        <t>Tanım: bke_skorTavan | Neden önemli: Covenant erken uyarı kararını etkiler | Doğru kullanım: Erken uyarı skor tavanı | Örnek: demo satırına bakın | Yanlışsa: Covenant sapma ve karar bozulur | Kaynak: Kredi sözleşmesi / TTK</t>
      </text>
    </comment>
    <comment ref="B38" authorId="0" shapeId="0">
      <text>
        <t>Tanım: bke_skorIhlal | Neden önemli: Covenant erken uyarı kararını etkiler | Doğru kullanım: İhlal skor seviyesi | Örnek: demo satırına bakın | Yanlışsa: Covenant sapma ve karar bozulur | Kaynak: Kredi sözleşmesi / TTK</t>
      </text>
    </comment>
    <comment ref="B39" authorId="0" shapeId="0">
      <text>
        <t>Tanım: bke_skorUyari | Neden önemli: Covenant erken uyarı kararını etkiler | Doğru kullanım: Uyarı skor seviyesi | Örnek: demo satırına bakın | Yanlışsa: Covenant sapma ve karar bozulur | Kaynak: Kredi sözleşmesi / TTK</t>
      </text>
    </comment>
    <comment ref="B40" authorId="0" shapeId="0">
      <text>
        <t>Tanım: bke_skorTaban | Neden önemli: Covenant erken uyarı kararını etkiler | Doğru kullanım: Uygun taban skor | Örnek: demo satırına bakın | Yanlışsa: Covenant sapma ve karar bozulur | Kaynak: Kredi sözleşmesi / TTK</t>
      </text>
    </comment>
    <comment ref="B41" authorId="0" shapeId="0">
      <text>
        <t>Tanım: bke_paydaMin | Neden önemli: Covenant erken uyarı kararını etkiler | Doğru kullanım: Bölme paydası alt sınırı | Örnek: demo satırına bakın | Yanlışsa: Covenant sapma ve karar bozulur | Kaynak: Kredi sözleşmesi / TTK</t>
      </text>
    </comment>
    <comment ref="B42" authorId="0" shapeId="0">
      <text>
        <t>Tanım: bke_agirlikDscr | Neden önemli: Covenant erken uyarı kararını etkiler | Doğru kullanım: Skor DSCR ağırlığı | Örnek: demo satırına bakın | Yanlışsa: Covenant sapma ve karar bozulur | Kaynak: Kredi sözleşmesi / TTK</t>
      </text>
    </comment>
    <comment ref="B43" authorId="0" shapeId="0">
      <text>
        <t>Tanım: bke_agirlikKaldirac | Neden önemli: Covenant erken uyarı kararını etkiler | Doğru kullanım: Skor kaldıraç ağırlığı | Örnek: demo satırına bakın | Yanlışsa: Covenant sapma ve karar bozulur | Kaynak: Kredi sözleşmesi / TTK</t>
      </text>
    </comment>
    <comment ref="B44" authorId="0" shapeId="0">
      <text>
        <t>Tanım: bke_agirlikCari | Neden önemli: Covenant erken uyarı kararını etkiler | Doğru kullanım: Skor cari ağırlığı | Örnek: demo satırına bakın | Yanlışsa: Covenant sapma ve karar bozulur | Kaynak: Kredi sözleşmesi / TTK</t>
      </text>
    </comment>
    <comment ref="B45" authorId="0" shapeId="0">
      <text>
        <t>Tanım: zincirTolerans | Neden önemli: Covenant erken uyarı kararını etkiler | Doğru kullanım: ZİNCİR KIRIK eşiği (skor) | Örnek: demo satırına bakın | Yanlışsa: Covenant sapma ve karar bozulur | Kaynak: Kredi sözleşmesi / TTK</t>
      </text>
    </comment>
    <comment ref="B46" authorId="0" shapeId="0">
      <text>
        <t>Tanım: bke_durumHaritasi | Neden önemli: Covenant erken uyarı kararını etkiler | Doğru kullanım: SPEC akis.durum_haritasi | Örnek: demo satırına bakın | Yanlışsa: Covenant sapma ve karar bozulur | Kaynak: Kredi sözleşmesi / TTK</t>
      </text>
    </comment>
    <comment ref="B47" authorId="0" shapeId="0">
      <text>
        <t>Tanım: bke_kapaliDusum | Neden önemli: Covenant erken uyarı kararını etkiler | Doğru kullanım: A06 kapali | Örnek: demo satırına bakın | Yanlışsa: Covenant sapma ve karar bozulur | Kaynak: Kredi sözleşmesi / TTK</t>
      </text>
    </comment>
    <comment ref="B48" authorId="0" shapeId="0">
      <text>
        <t>Tanım: bke_olcekHedef | Neden önemli: Covenant erken uyarı kararını etkiler | Doğru kullanım: Ölçek hedefi | Örnek: demo satırına bakın | Yanlışsa: Covenant sapma ve karar bozulur | Kaynak: Kredi sözleşmesi / TTK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4:F1023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Row],[kural_id]]="","",IFERROR(CHOOSE(MAX(1,MIN(3,IF(OR(hesapYili="",hesapYili=0),1,hesapYili-bke_yilTaban))),tblKurallar[[#This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Kartlar" displayName="tblKartlar" ref="A5:I1005" headerRowCount="1">
  <tableColumns count="9">
    <tableColumn id="1" name="KartId"/>
    <tableColumn id="2" name="Unvan"/>
    <tableColumn id="3" name="Donem"/>
    <tableColumn id="4" name="KrediTur"/>
    <tableColumn id="5" name="LimitTl"/>
    <tableColumn id="6" name="RiskNotu"/>
    <tableColumn id="7" name="Aktif"/>
    <tableColumn id="8" name="ToplamHacim">
      <calculatedColumnFormula>IF(tblKartlar[[#This Row],[KartId]]="","",SUMIF(tblAkis[KaynakKartId],tblKartlar[[#This Row],[KartId]],tblAkis[Tutar]))</calculatedColumnFormula>
    </tableColumn>
    <tableColumn id="9" name="OrtYas">
      <calculatedColumnFormula>IF(tblKartlar[[#This Row],[KartId]]="","",IFERROR(AVERAGEIF(tblAkis[KaynakKartId],tblKartlar[[#This Row],[KartId]],tblAkis[YasGun]),0))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kis" displayName="tblAkis" ref="A5:P1005" headerRowCount="1">
  <tableColumns count="16">
    <tableColumn id="1" name="IslemId"/>
    <tableColumn id="2" name="KaynakKartId"/>
    <tableColumn id="3" name="Tarih"/>
    <tableColumn id="4" name="OncekiDurum"/>
    <tableColumn id="5" name="Durum"/>
    <tableColumn id="6" name="OncekiSkor"/>
    <tableColumn id="7" name="YeniSkor"/>
    <tableColumn id="8" name="LimitTl"/>
    <tableColumn id="9" name="Tutar"/>
    <tableColumn id="10" name="Aciklama"/>
    <tableColumn id="11" name="YasGun">
      <calculatedColumnFormula>IF(tblAkis[[#This Row],[IslemId]]="","",IF(tblAkis[[#This Row],[Tarih]]="","",raporTarihi-tblAkis[[#This Row],[Tarih]]))</calculatedColumnFormula>
    </tableColumn>
    <tableColumn id="12" name="YasKova">
      <calculatedColumnFormula>IF(tblAkis[[#This Row],[IslemId]]="","",IF(tblAkis[[#This Row],[YasGun]]="","",IF(tblAkis[[#This Row],[YasGun]]&lt;=7,"0-7",IF(tblAkis[[#This Row],[YasGun]]&lt;=30,"8-30",IF(tblAkis[[#This Row],[YasGun]]&lt;=60,"31-60","60+")))))</calculatedColumnFormula>
    </tableColumn>
    <tableColumn id="13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4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5" name="ZincirBayrak">
      <calculatedColumnFormula>IF(tblAkis[[#This Row],[IslemId]]="","",IF(OR(tblAkis[[#This Row],[OncekiSkor]]="",tblAkis[[#This Row],[YeniSkor]]=""),"",IF(ABS(tblAkis[[#This Row],[YeniSkor]]-tblAkis[[#This Row],[OncekiSkor]])&gt;zincirTolerans,"ZİNCİR KIRIK","OK")))</calculatedColumnFormula>
    </tableColumn>
    <tableColumn id="16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Row],[fark]])&lt;=bke_tolerans,"TUTARLI","KIRIK"),"KIRIK"))</calculatedColumnFormula>
    </tableColumn>
    <tableColumn id="8" name="kaynak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Ornek" displayName="tblOrnek" ref="A5:J20" headerRowCount="1">
  <tableColumns count="10">
    <tableColumn id="1" name="Senaryo"/>
    <tableColumn id="2" name="KrediBakiye"/>
    <tableColumn id="3" name="FaizOran"/>
    <tableColumn id="4" name="VadeAy"/>
    <tableColumn id="5" name="Favok"/>
    <tableColumn id="6" name="NetBorc"/>
    <tableColumn id="7" name="CariOran"/>
    <tableColumn id="8" name="Dscr"/>
    <tableColumn id="9" name="Yil"/>
    <tableColumn id="10" name="Kontrol">
      <calculatedColumnFormula>=IF(tblOrnek[[#This Row],[Senaryo]]="","",IF(OR(tblOrnek[[#This Row],[KrediBakiye]]="",tblOrnek[[#This Row],[Yil]]=""),"EKSİK","TAM"))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DurumHaritasi" displayName="tblDurumHaritasi" ref="J7:N12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5" t="inlineStr">
        <is>
          <t>EXCELARŞİV KARAR SİSTEMİ v15.1 — ÜRETİM REFERANSI</t>
        </is>
      </c>
    </row>
    <row r="3" ht="24" customHeight="1">
      <c r="A3" s="176" t="inlineStr">
        <is>
          <t>Konu</t>
        </is>
      </c>
      <c r="B3" s="176" t="inlineStr">
        <is>
          <t>Bağlayıcı Standart</t>
        </is>
      </c>
    </row>
    <row r="4">
      <c r="A4" s="177" t="inlineStr">
        <is>
          <t>Amaç</t>
        </is>
      </c>
      <c r="B4" s="178" t="inlineStr">
        <is>
          <t>Kanıta dayalı, hatada kapalı çalışan Excel üretim ve denetim sistemi</t>
        </is>
      </c>
    </row>
    <row r="5">
      <c r="A5" s="177" t="inlineStr">
        <is>
          <t>Öncelik</t>
        </is>
      </c>
      <c r="B5" s="178" t="inlineStr">
        <is>
          <t>Kullanıcının açık iş talebi ve gerçek kullanım senaryosu</t>
        </is>
      </c>
    </row>
    <row r="6">
      <c r="A6" s="177" t="inlineStr">
        <is>
          <t>Ana akış</t>
        </is>
      </c>
      <c r="B6" s="178" t="inlineStr">
        <is>
          <t>Uygunluk → Yönetişim → Sözleşmeler → Üretim → Test → Kanıt → Kullanıcı Kabulü → Yayın</t>
        </is>
      </c>
    </row>
    <row r="7">
      <c r="A7" s="177" t="inlineStr">
        <is>
          <t>Yayın ilkesi</t>
        </is>
      </c>
      <c r="B7" s="178" t="inlineStr">
        <is>
          <t>Üst aşamada hata varsa alt aşama GEÇTİ üretilemez</t>
        </is>
      </c>
    </row>
    <row r="8">
      <c r="A8" s="177" t="inlineStr">
        <is>
          <t>Kullanıcı kabulü</t>
        </is>
      </c>
      <c r="B8" s="178" t="inlineStr">
        <is>
          <t>Excel masaüstü görünümü test edilmediyse DIŞ_KABUL_GEREKLİ</t>
        </is>
      </c>
    </row>
    <row r="9">
      <c r="A9" s="177" t="inlineStr">
        <is>
          <t>Nihai yayın</t>
        </is>
      </c>
      <c r="B9" s="178" t="inlineStr">
        <is>
          <t>Yalnız uygulanabilir modüller GEÇTİ veya gerekçeli UYGULANMAZ</t>
        </is>
      </c>
    </row>
    <row r="10">
      <c r="A10" s="177" t="inlineStr">
        <is>
          <t>Ticari ayrım</t>
        </is>
      </c>
      <c r="B10" s="178" t="inlineStr">
        <is>
          <t>Ekonomik olarak savunulabilir fiyat, gerçek pazar kabulü ile aynı değildir</t>
        </is>
      </c>
    </row>
    <row r="11">
      <c r="A11" s="177" t="inlineStr">
        <is>
          <t>Karmaşıklık</t>
        </is>
      </c>
      <c r="B11" s="178" t="inlineStr">
        <is>
          <t>Karar değeri, eklenen karmaşıklığın maliyetinden büyük olmalıdır</t>
        </is>
      </c>
    </row>
    <row r="12">
      <c r="A12" s="177" t="inlineStr">
        <is>
          <t>Excel sınırı</t>
        </is>
      </c>
      <c r="B12" s="178" t="inlineStr">
        <is>
          <t>Veritabanı, kurumsal yetkilendirme, değiştirilemez kayıt sistemi veya gerçek zamanlı olay platformu değildir</t>
        </is>
      </c>
    </row>
    <row r="13">
      <c r="A13" s="177" t="inlineStr">
        <is>
          <t>Dil standardı</t>
        </is>
      </c>
      <c r="B13" s="178" t="inlineStr">
        <is>
          <t>Kullanıcıya görünen tüm sayfa, tablo, başlık, açıklama, uyarı ve karar metinleri saf Türkçe olmalıdır</t>
        </is>
      </c>
    </row>
    <row r="14">
      <c r="A14" s="177" t="inlineStr">
        <is>
          <t>Muhasebe standardı</t>
        </is>
      </c>
      <c r="B14" s="178" t="inlineStr">
        <is>
          <t>Finansal ürünlerde Türkiye Tekdüzen Hesap Planı ve Türk muhasebe kullanım alışkanlıkları esas alınır</t>
        </is>
      </c>
    </row>
    <row r="15">
      <c r="A15" s="177" t="inlineStr">
        <is>
          <t>Görsel standart</t>
        </is>
      </c>
      <c r="B15" s="178" t="inlineStr">
        <is>
          <t>Her sayfa başlıklı, renk kodlu, sıkı kolon düzenli ve premium kurumsal görünümde olmalıdır</t>
        </is>
      </c>
    </row>
    <row r="16">
      <c r="A16" s="177" t="inlineStr">
        <is>
          <t>Grafik standardı</t>
        </is>
      </c>
      <c r="B16" s="178" t="inlineStr">
        <is>
          <t>Grafikler karar üretmeli; dekoratif, 3B, anlamsız renkli veya varsayılan Excel grafiği kullanılamaz</t>
        </is>
      </c>
    </row>
    <row r="17">
      <c r="A17" s="177" t="inlineStr">
        <is>
          <t>Hata standardı</t>
        </is>
      </c>
      <c r="B17" s="178" t="inlineStr">
        <is>
          <t>#AD? / #BAŞV! / #DEĞER! / #SAYI/0! / #YOK gibi hatalar GEÇTİ sonucuyla birlikte bulunamaz</t>
        </is>
      </c>
    </row>
    <row r="18">
      <c r="A18" s="177" t="inlineStr">
        <is>
          <t>Karar standardı</t>
        </is>
      </c>
      <c r="B18" s="178" t="inlineStr">
        <is>
          <t>Her kritik çıktı: ne oldu, neden oldu, parasal etki, ne yapılmalı, ne zamana kadar sorularını cevaplar</t>
        </is>
      </c>
    </row>
    <row r="19">
      <c r="A19" s="177" t="inlineStr">
        <is>
          <t>Satış standardı</t>
        </is>
      </c>
      <c r="B19" s="178" t="inlineStr">
        <is>
          <t>Ürün 5 saniyede anlaşılmalı; pahalı problemi, ekonomik sonucu, kanıtı ve satın alma gerekçesini göstermelidir</t>
        </is>
      </c>
    </row>
    <row r="20">
      <c r="A20" s="177" t="inlineStr">
        <is>
          <t>Güven standardı</t>
        </is>
      </c>
      <c r="B20" s="178" t="inlineStr">
        <is>
          <t>Kanıtsız 'premium', 'kusursuz', 'sıfır hata' veya yüksek fiyat iddiası kullanılamaz</t>
        </is>
      </c>
    </row>
    <row r="21">
      <c r="A21" s="177" t="inlineStr">
        <is>
          <t>Kaynak</t>
        </is>
      </c>
      <c r="B21" s="178" t="inlineStr">
        <is>
          <t>Teknik Python çekirdeği 99_TEKNIK_KAYNAK sayfasında saklanır; kullanıcı arayüzü değildir</t>
        </is>
      </c>
    </row>
    <row r="22">
      <c r="A22" s="177" t="inlineStr">
        <is>
          <t>Bağlayıcı standart</t>
        </is>
      </c>
      <c r="B22" s="178" t="inlineStr">
        <is>
          <t>Teknik kaynak içindeki üretim sözleşmesi + bu çalışma kitabındaki Türkçe operasyon standartları</t>
        </is>
      </c>
    </row>
    <row r="23">
      <c r="A23" s="177" t="inlineStr">
        <is>
          <t>Çıktı disiplini</t>
        </is>
      </c>
      <c r="B23" s="178" t="inlineStr">
        <is>
          <t>Kanıtsız GEÇTİ / NİHAİ / TİCARİ / PAZAR_DOĞRULANDI statüsü yasaktır</t>
        </is>
      </c>
    </row>
    <row r="24">
      <c r="A24" s="177" t="inlineStr">
        <is>
          <t>Uyarlanabilirlik</t>
        </is>
      </c>
      <c r="B24" s="178" t="inlineStr">
        <is>
          <t>Gereksiz modül yalnız prestij amacıyla eklenmez</t>
        </is>
      </c>
    </row>
    <row r="26" ht="16" customHeight="1">
      <c r="A26" s="179" t="inlineStr">
        <is>
          <t>TEK KAYNAK MİMARİSİ</t>
        </is>
      </c>
      <c r="B26" s="179" t="inlineStr">
        <is>
          <t>İKİ DOSYALI / TEK SİSTEM</t>
        </is>
      </c>
    </row>
    <row r="27" ht="28" customHeight="1">
      <c r="A27" s="178" t="inlineStr">
        <is>
          <t>MASTER Excel</t>
        </is>
      </c>
      <c r="B27" s="17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8" t="inlineStr">
        <is>
          <t>Runtime Python</t>
        </is>
      </c>
      <c r="B28" s="178" t="inlineStr">
        <is>
          <t>EXCELARSIV_DECISION_OS_V15_1_RUNTIME_KERNEL.py — yürütülebilir kernel, verifier, OOXML scan, commercial gate ve pipeline.</t>
        </is>
      </c>
    </row>
    <row r="29">
      <c r="A29" s="178" t="inlineStr">
        <is>
          <t>Python SHA-256</t>
        </is>
      </c>
      <c r="B29" s="178" t="inlineStr">
        <is>
          <t>babe066ab599199123e53d01944bcd9d75648a579ade69ab9303dd675962f481</t>
        </is>
      </c>
    </row>
    <row r="30">
      <c r="A30" s="178" t="inlineStr">
        <is>
          <t>Sürüm Eşleşmesi</t>
        </is>
      </c>
      <c r="B30" s="178" t="inlineStr">
        <is>
          <t>Her iki dosya v15.1 sistemine aittir. Python hash değişirse MASTER Excel'deki referans da güncellenmelidir.</t>
        </is>
      </c>
    </row>
    <row r="31" ht="28" customHeight="1">
      <c r="A31" s="178" t="inlineStr">
        <is>
          <t>Sahte PASS Yasağı</t>
        </is>
      </c>
      <c r="B31" s="178" t="inlineStr">
        <is>
          <t>Kanıt yoksa PASS yok; hata=FAIL, ölçülemiyorsa=BLOCKED, Excel GUI gerekiyorsa=HARİCİ KABUL GEREKLİ.</t>
        </is>
      </c>
    </row>
    <row r="32">
      <c r="A32" s="178" t="inlineStr">
        <is>
          <t>Dil</t>
        </is>
      </c>
      <c r="B32" s="178" t="inlineStr">
        <is>
          <t>Kullanıcı yüzeyi safkan Türkçe; teknik kavramların Türkçe karşılığı ana terimdir.</t>
        </is>
      </c>
    </row>
    <row r="33">
      <c r="A33" s="178" t="inlineStr">
        <is>
          <t>Muhasebe</t>
        </is>
      </c>
      <c r="B33" s="178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82" t="inlineStr">
        <is>
          <t>☰ PANO</t>
        </is>
      </c>
    </row>
    <row r="2">
      <c r="B2" s="98" t="inlineStr">
        <is>
          <t>BANKA KREDI COVENANT ERKEN UYARI — BORÇ VE LİKİDİTE SİSTEMİ</t>
        </is>
      </c>
      <c r="L2" s="99" t="inlineStr">
        <is>
          <t>Dönem: 2026 / Tam ▼</t>
        </is>
      </c>
      <c r="M2" s="100" t="inlineStr">
        <is>
          <t>★ DOĞRULANMIŞ</t>
        </is>
      </c>
    </row>
    <row r="3">
      <c r="B3" s="101" t="inlineStr">
        <is>
          <t>Yönetici Karar Kokpiti, Otomatik Doğrulama ve Dinamik Hesaplama Sistemi · 2026</t>
        </is>
      </c>
    </row>
    <row r="5">
      <c r="B5" s="102" t="inlineStr">
        <is>
          <t>TOPLAM KREDİ PORTFÖYÜ</t>
        </is>
      </c>
      <c r="C5" s="103" t="n"/>
      <c r="D5" s="104" t="inlineStr">
        <is>
          <t>6 BANKA</t>
        </is>
      </c>
      <c r="E5" s="105" t="inlineStr">
        <is>
          <t>BU AY ÖDENECEK TAKSİT</t>
        </is>
      </c>
      <c r="F5" s="103" t="n"/>
      <c r="G5" s="106" t="inlineStr">
        <is>
          <t>VADE: 7 GÜN</t>
        </is>
      </c>
      <c r="H5" s="102" t="inlineStr">
        <is>
          <t>KULLANILABİLİR KREDİ LİMİTİ</t>
        </is>
      </c>
      <c r="I5" s="103" t="n"/>
      <c r="J5" s="107" t="inlineStr">
        <is>
          <t>GÜVENLİ</t>
        </is>
      </c>
      <c r="K5" s="108" t="inlineStr">
        <is>
          <t>BORÇ SERVİS ORANI (DSCR)</t>
        </is>
      </c>
      <c r="L5" s="103" t="n"/>
      <c r="M5" s="104" t="inlineStr">
        <is>
          <t>EŞİK: 1.25x</t>
        </is>
      </c>
    </row>
    <row r="6">
      <c r="B6" s="109" t="n"/>
      <c r="C6" s="103" t="n"/>
      <c r="D6" s="103" t="n"/>
      <c r="E6" s="110" t="n"/>
      <c r="F6" s="103" t="n"/>
      <c r="G6" s="103" t="n"/>
      <c r="H6" s="109" t="n"/>
      <c r="I6" s="103" t="n"/>
      <c r="J6" s="103" t="n"/>
      <c r="K6" s="111" t="n"/>
      <c r="L6" s="103" t="n"/>
      <c r="M6" s="103" t="n"/>
    </row>
    <row r="7">
      <c r="B7" s="112" t="inlineStr">
        <is>
          <t>₺18.640.000</t>
        </is>
      </c>
      <c r="C7" s="103" t="n"/>
      <c r="D7" s="103" t="n"/>
      <c r="E7" s="113" t="inlineStr">
        <is>
          <t>₺1.120.000</t>
        </is>
      </c>
      <c r="F7" s="103" t="n"/>
      <c r="G7" s="103" t="n"/>
      <c r="H7" s="112" t="inlineStr">
        <is>
          <t>₺9.500.000</t>
        </is>
      </c>
      <c r="I7" s="103" t="n"/>
      <c r="J7" s="103" t="n"/>
      <c r="K7" s="114" t="inlineStr">
        <is>
          <t>1.95x</t>
        </is>
      </c>
      <c r="L7" s="103" t="n"/>
      <c r="M7" s="103" t="n"/>
    </row>
    <row r="8">
      <c r="B8" s="109" t="n"/>
      <c r="C8" s="103" t="n"/>
      <c r="D8" s="103" t="n"/>
      <c r="E8" s="110" t="n"/>
      <c r="F8" s="103" t="n"/>
      <c r="G8" s="103" t="n"/>
      <c r="H8" s="109" t="n"/>
      <c r="I8" s="103" t="n"/>
      <c r="J8" s="103" t="n"/>
      <c r="K8" s="111" t="n"/>
      <c r="L8" s="103" t="n"/>
      <c r="M8" s="103" t="n"/>
    </row>
    <row r="9">
      <c r="B9" s="115" t="inlineStr">
        <is>
          <t>↑ Ağırlıklı Ortalama Vade: 28 Ay</t>
        </is>
      </c>
      <c r="C9" s="103" t="n"/>
      <c r="D9" s="103" t="n"/>
      <c r="E9" s="116" t="inlineStr">
        <is>
          <t>● Anapara + Faiz Karşılığı Ayrıldı</t>
        </is>
      </c>
      <c r="F9" s="103" t="n"/>
      <c r="G9" s="103" t="n"/>
      <c r="H9" s="115" t="inlineStr">
        <is>
          <t>████████░░░░░░░ %42.0 REZERV</t>
        </is>
      </c>
      <c r="I9" s="103" t="n"/>
      <c r="J9" s="103" t="n"/>
      <c r="K9" s="117" t="inlineStr">
        <is>
          <t>✓ BANKA COVENANT UYUMLU</t>
        </is>
      </c>
      <c r="L9" s="103" t="n"/>
      <c r="M9" s="103" t="n"/>
    </row>
    <row r="11">
      <c r="B11" s="96" t="inlineStr">
        <is>
          <t>12 AYLIK NAKİT GİRİŞ / ÇIKIŞ &amp; LİKİDİTE BAŞARIMI</t>
        </is>
      </c>
      <c r="F11" s="118" t="inlineStr">
        <is>
          <t>+%32 Verim</t>
        </is>
      </c>
      <c r="H11" s="96" t="inlineStr">
        <is>
          <t>KONSOLİDE OPERASYON VE KARAR MATRİSİ</t>
        </is>
      </c>
    </row>
    <row r="12">
      <c r="B12" s="95" t="inlineStr">
        <is>
          <t>Kümülatif Tahsilat vs. Tedarikçi/Kredi Ödeme Projeksiyonu</t>
        </is>
      </c>
      <c r="H12" s="95" t="inlineStr">
        <is>
          <t>Anlık Hesaplama Sonuçları, Dinamik Formül Çıktıları ve Durum Puanlaması</t>
        </is>
      </c>
    </row>
    <row r="14">
      <c r="B14" s="119" t="inlineStr">
        <is>
          <t>Dönem</t>
        </is>
      </c>
      <c r="C14" s="119" t="inlineStr">
        <is>
          <t>Aktif Hacim</t>
        </is>
      </c>
      <c r="D14" s="119" t="inlineStr">
        <is>
          <t>Maliyet/Yük</t>
        </is>
      </c>
      <c r="E14" s="119" t="inlineStr">
        <is>
          <t>Hedef</t>
        </is>
      </c>
      <c r="H14" s="120" t="inlineStr">
        <is>
          <t>PARAMETRE / KALEM</t>
        </is>
      </c>
      <c r="I14" s="120" t="inlineStr">
        <is>
          <t>ANA TUTAR</t>
        </is>
      </c>
      <c r="J14" s="120" t="inlineStr">
        <is>
          <t>FARK / MARJ</t>
        </is>
      </c>
      <c r="K14" s="120" t="inlineStr">
        <is>
          <t>VADE</t>
        </is>
      </c>
      <c r="L14" s="120" t="inlineStr">
        <is>
          <t>KONTROL DURUMU</t>
        </is>
      </c>
    </row>
    <row r="15">
      <c r="B15" s="95" t="inlineStr">
        <is>
          <t>D1</t>
        </is>
      </c>
      <c r="C15" s="95" t="n">
        <v>65</v>
      </c>
      <c r="D15" s="95" t="n">
        <v>45</v>
      </c>
      <c r="E15" s="95" t="n">
        <v>60</v>
      </c>
      <c r="H15" s="121" t="inlineStr">
        <is>
          <t>13 haftalık kümülatif bakiye...</t>
        </is>
      </c>
      <c r="I15" s="121" t="inlineStr">
        <is>
          <t>₺8.450.000</t>
        </is>
      </c>
      <c r="J15" s="122" t="inlineStr">
        <is>
          <t>₺425.000</t>
        </is>
      </c>
      <c r="K15" s="123" t="inlineStr">
        <is>
          <t>12 Ay</t>
        </is>
      </c>
      <c r="L15" s="107" t="inlineStr">
        <is>
          <t>✓ DÜZENLİ</t>
        </is>
      </c>
    </row>
    <row r="16">
      <c r="B16" s="95" t="inlineStr">
        <is>
          <t>D2</t>
        </is>
      </c>
      <c r="C16" s="95" t="n">
        <v>78</v>
      </c>
      <c r="D16" s="95" t="n">
        <v>48</v>
      </c>
      <c r="E16" s="95" t="n">
        <v>70</v>
      </c>
      <c r="H16" s="121" t="inlineStr">
        <is>
          <t>Kritik (eksi) hafta uyarısı</t>
        </is>
      </c>
      <c r="I16" s="121" t="inlineStr">
        <is>
          <t>₺12.200.000</t>
        </is>
      </c>
      <c r="J16" s="122" t="inlineStr">
        <is>
          <t>₺580.400</t>
        </is>
      </c>
      <c r="K16" s="123" t="inlineStr">
        <is>
          <t>24 Ay</t>
        </is>
      </c>
      <c r="L16" s="104" t="inlineStr">
        <is>
          <t>★ AVANTAJ</t>
        </is>
      </c>
    </row>
    <row r="17">
      <c r="B17" s="95" t="inlineStr">
        <is>
          <t>D3</t>
        </is>
      </c>
      <c r="C17" s="95" t="n">
        <v>85</v>
      </c>
      <c r="D17" s="95" t="n">
        <v>55</v>
      </c>
      <c r="E17" s="95" t="n">
        <v>80</v>
      </c>
      <c r="H17" s="121" t="inlineStr">
        <is>
          <t>Dönem net nakit değişimi</t>
        </is>
      </c>
      <c r="I17" s="121" t="inlineStr">
        <is>
          <t>₺4.850.000</t>
        </is>
      </c>
      <c r="J17" s="122" t="inlineStr">
        <is>
          <t>₺235.200</t>
        </is>
      </c>
      <c r="K17" s="123" t="inlineStr">
        <is>
          <t>8 Ay</t>
        </is>
      </c>
      <c r="L17" s="124" t="inlineStr">
        <is>
          <t>● YAKLAŞAN</t>
        </is>
      </c>
    </row>
    <row r="18">
      <c r="B18" s="95" t="inlineStr">
        <is>
          <t>D4</t>
        </is>
      </c>
      <c r="C18" s="95" t="n">
        <v>75</v>
      </c>
      <c r="D18" s="95" t="n">
        <v>42</v>
      </c>
      <c r="E18" s="95" t="n">
        <v>75</v>
      </c>
      <c r="H18" s="121" t="inlineStr">
        <is>
          <t>13 haftalık kümülatif bakiye...</t>
        </is>
      </c>
      <c r="I18" s="121" t="inlineStr">
        <is>
          <t>₺2.140.000</t>
        </is>
      </c>
      <c r="J18" s="122" t="inlineStr">
        <is>
          <t>₺118.000</t>
        </is>
      </c>
      <c r="K18" s="123" t="inlineStr">
        <is>
          <t>16 Ay</t>
        </is>
      </c>
      <c r="L18" s="107" t="inlineStr">
        <is>
          <t>✓ TAM UYUM</t>
        </is>
      </c>
    </row>
    <row r="19">
      <c r="B19" s="95" t="inlineStr">
        <is>
          <t>D5</t>
        </is>
      </c>
      <c r="C19" s="95" t="n">
        <v>90</v>
      </c>
      <c r="D19" s="95" t="n">
        <v>40</v>
      </c>
      <c r="E19" s="95" t="n">
        <v>85</v>
      </c>
      <c r="H19" s="125" t="inlineStr">
        <is>
          <t>KONSOLİDE SİSTEM TOPLAMI</t>
        </is>
      </c>
      <c r="I19" s="126" t="inlineStr">
        <is>
          <t>₺42.850.000</t>
        </is>
      </c>
      <c r="J19" s="127" t="inlineStr">
        <is>
          <t>₺3.420.000</t>
        </is>
      </c>
      <c r="K19" s="128" t="inlineStr"/>
      <c r="L19" s="129" t="inlineStr">
        <is>
          <t>TAM DOĞRULANDI (0 HATA)</t>
        </is>
      </c>
    </row>
    <row r="20">
      <c r="B20" s="95" t="inlineStr">
        <is>
          <t>D6</t>
        </is>
      </c>
      <c r="C20" s="95" t="n">
        <v>96</v>
      </c>
      <c r="D20" s="95" t="n">
        <v>32</v>
      </c>
      <c r="E20" s="95" t="n">
        <v>92</v>
      </c>
    </row>
    <row r="22">
      <c r="B22" s="130" t="inlineStr">
        <is>
          <t>KONSOLİDE PAY VE AĞIRLIK</t>
        </is>
      </c>
      <c r="F22" s="130" t="inlineStr">
        <is>
          <t>LİKİDİTE RİSKİ &amp; ERKEN UYARI SİNYALLERİ</t>
        </is>
      </c>
      <c r="K22" s="131" t="inlineStr">
        <is>
          <t>KARAR MOTORU</t>
        </is>
      </c>
      <c r="L22" s="132" t="n"/>
      <c r="M22" s="132" t="n"/>
    </row>
    <row r="23">
      <c r="B23" s="80" t="inlineStr">
        <is>
          <t>■ Ana Segment (%42)</t>
        </is>
      </c>
      <c r="F23" s="95" t="inlineStr">
        <is>
          <t>Nakit Açığı Riski (30 Gün)</t>
        </is>
      </c>
      <c r="I23" s="133" t="inlineStr">
        <is>
          <t>0.00 TL (Sıfır Risk)</t>
        </is>
      </c>
      <c r="K23" s="134" t="inlineStr">
        <is>
          <t>FAİZ VE YENİDEN YAPILANDIRMA FIRSATI</t>
        </is>
      </c>
      <c r="L23" s="132" t="n"/>
      <c r="M23" s="132" t="n"/>
    </row>
    <row r="24">
      <c r="B24" s="81" t="inlineStr">
        <is>
          <t>■ İkincil Grup (%30)</t>
        </is>
      </c>
      <c r="F24" s="95" t="inlineStr">
        <is>
          <t>Tahsilat Gecikme Toleransı</t>
        </is>
      </c>
      <c r="I24" s="133" t="inlineStr">
        <is>
          <t>48 Gün Güvenli Eşik</t>
        </is>
      </c>
      <c r="K24" s="135" t="inlineStr">
        <is>
          <t>Yüksek faizli rotatif kredilerin uzun vadeli yatırıma dönüştürülmesi önerilmektedir.</t>
        </is>
      </c>
    </row>
    <row r="25">
      <c r="B25" s="136" t="inlineStr">
        <is>
          <t>■ Destek Birimi (%15)</t>
        </is>
      </c>
      <c r="F25" s="80" t="inlineStr">
        <is>
          <t>██████████████████████████████████████ Güvenli Bölge (%100)</t>
        </is>
      </c>
    </row>
    <row r="26">
      <c r="B26" s="137" t="inlineStr">
        <is>
          <t>■ Rezervler (%13)</t>
        </is>
      </c>
      <c r="F26" s="138" t="inlineStr">
        <is>
          <t>✓ 90 GÜNLÜK PROJEKSİYONDA NAKİT SIKIŞIKLIĞI TESPİT EDİLMEDİ</t>
        </is>
      </c>
      <c r="K26" s="139" t="inlineStr">
        <is>
          <t>YAPILANDIRMA ANALİZİNİ GÖR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82" t="inlineStr">
        <is>
          <t>☰ PANO</t>
        </is>
      </c>
    </row>
    <row r="3">
      <c r="B3" s="140" t="inlineStr">
        <is>
          <t>🔍  Kayıt veya hesap ara...</t>
        </is>
      </c>
      <c r="G3" s="141" t="inlineStr">
        <is>
          <t>TOPLAM: 1.450 KAYIT</t>
        </is>
      </c>
      <c r="I3" s="142" t="inlineStr">
        <is>
          <t>HATALI HÜCRE: 0 ADET</t>
        </is>
      </c>
    </row>
    <row r="5">
      <c r="B5" s="143" t="inlineStr">
        <is>
          <t>TARİH</t>
        </is>
      </c>
      <c r="C5" s="143" t="inlineStr">
        <is>
          <t>REFERANS NO</t>
        </is>
      </c>
      <c r="D5" s="143" t="inlineStr">
        <is>
          <t>İŞLEM AÇIKLAMASI VE DETAY</t>
        </is>
      </c>
      <c r="E5" s="143" t="inlineStr">
        <is>
          <t>BRÜT TUTAR (₺)</t>
        </is>
      </c>
      <c r="F5" s="143" t="inlineStr">
        <is>
          <t>KDV ORANI</t>
        </is>
      </c>
      <c r="G5" s="143" t="inlineStr">
        <is>
          <t>NET TUTAR (₺)</t>
        </is>
      </c>
      <c r="H5" s="143" t="inlineStr">
        <is>
          <t>HESAP / CARİ</t>
        </is>
      </c>
      <c r="I5" s="143" t="inlineStr">
        <is>
          <t>DURUM</t>
        </is>
      </c>
    </row>
    <row r="6">
      <c r="B6" s="144" t="inlineStr">
        <is>
          <t>12.10.2026</t>
        </is>
      </c>
      <c r="C6" s="145" t="inlineStr">
        <is>
          <t>TR-0428-A</t>
        </is>
      </c>
      <c r="D6" s="146" t="inlineStr">
        <is>
          <t>Haftalık operasyon tahmini</t>
        </is>
      </c>
      <c r="E6" s="147" t="n">
        <v>845200</v>
      </c>
      <c r="F6" s="148" t="n">
        <v>0.2</v>
      </c>
      <c r="G6" s="149">
        <f>E6/(1+F6)</f>
        <v/>
      </c>
      <c r="H6" s="146" t="inlineStr">
        <is>
          <t>Vadesiz Ticari</t>
        </is>
      </c>
      <c r="I6" s="150" t="inlineStr">
        <is>
          <t>ONAYLANDI</t>
        </is>
      </c>
    </row>
    <row r="7">
      <c r="B7" s="151" t="inlineStr">
        <is>
          <t>14.10.2026</t>
        </is>
      </c>
      <c r="C7" s="152" t="inlineStr">
        <is>
          <t>TR-0429-B</t>
        </is>
      </c>
      <c r="D7" s="153" t="inlineStr">
        <is>
          <t>Haftalık operasyon tahmini</t>
        </is>
      </c>
      <c r="E7" s="154" t="n">
        <v>1240000</v>
      </c>
      <c r="F7" s="155" t="n">
        <v>0.2</v>
      </c>
      <c r="G7" s="156">
        <f>E7/(1+F7)</f>
        <v/>
      </c>
      <c r="H7" s="153" t="inlineStr">
        <is>
          <t>Tedarikçi Havuzu</t>
        </is>
      </c>
      <c r="I7" s="157" t="inlineStr">
        <is>
          <t>BEKLEMEDE</t>
        </is>
      </c>
    </row>
    <row r="8">
      <c r="B8" s="144" t="inlineStr">
        <is>
          <t>18.10.2026</t>
        </is>
      </c>
      <c r="C8" s="145" t="inlineStr">
        <is>
          <t>TR-0430-C</t>
        </is>
      </c>
      <c r="D8" s="146" t="inlineStr">
        <is>
          <t>Ödeme takvimi notları</t>
        </is>
      </c>
      <c r="E8" s="147" t="n">
        <v>620500</v>
      </c>
      <c r="F8" s="148" t="n">
        <v>0.1</v>
      </c>
      <c r="G8" s="149">
        <f>E8/(1+F8)</f>
        <v/>
      </c>
      <c r="H8" s="146" t="inlineStr">
        <is>
          <t>Kısa Vade Tahakkuk</t>
        </is>
      </c>
      <c r="I8" s="150" t="inlineStr">
        <is>
          <t>ONAYLANDI</t>
        </is>
      </c>
    </row>
    <row r="9">
      <c r="B9" s="151" t="inlineStr">
        <is>
          <t>21.10.2026</t>
        </is>
      </c>
      <c r="C9" s="152" t="inlineStr">
        <is>
          <t>TR-0431-D</t>
        </is>
      </c>
      <c r="D9" s="153" t="inlineStr">
        <is>
          <t>Haftalık operasyon tahmini</t>
        </is>
      </c>
      <c r="E9" s="154" t="n">
        <v>415000</v>
      </c>
      <c r="F9" s="155" t="n">
        <v>0.2</v>
      </c>
      <c r="G9" s="156">
        <f>E9/(1+F9)</f>
        <v/>
      </c>
      <c r="H9" s="153" t="inlineStr">
        <is>
          <t>Müşteri Alacağı</t>
        </is>
      </c>
      <c r="I9" s="158" t="inlineStr">
        <is>
          <t>ONAYLANDI</t>
        </is>
      </c>
    </row>
    <row r="10">
      <c r="B10" s="144" t="inlineStr">
        <is>
          <t>25.10.2026</t>
        </is>
      </c>
      <c r="C10" s="145" t="inlineStr">
        <is>
          <t>TR-0432-E</t>
        </is>
      </c>
      <c r="D10" s="146" t="inlineStr">
        <is>
          <t>Haftalık operasyon tahmini</t>
        </is>
      </c>
      <c r="E10" s="147" t="n">
        <v>980400</v>
      </c>
      <c r="F10" s="148" t="n">
        <v>0.2</v>
      </c>
      <c r="G10" s="149">
        <f>E10/(1+F10)</f>
        <v/>
      </c>
      <c r="H10" s="146" t="inlineStr">
        <is>
          <t>Vadesiz Ticari</t>
        </is>
      </c>
      <c r="I10" s="150" t="inlineStr">
        <is>
          <t>ONAYLANDI</t>
        </is>
      </c>
    </row>
    <row r="11">
      <c r="B11" s="151" t="inlineStr">
        <is>
          <t>28.10.2026</t>
        </is>
      </c>
      <c r="C11" s="152" t="inlineStr">
        <is>
          <t>TR-0433-F</t>
        </is>
      </c>
      <c r="D11" s="153" t="inlineStr">
        <is>
          <t>Haftalık operasyon tahmini</t>
        </is>
      </c>
      <c r="E11" s="154" t="n">
        <v>1850000</v>
      </c>
      <c r="F11" s="155" t="n">
        <v>0.2</v>
      </c>
      <c r="G11" s="156">
        <f>E11/(1+F11)</f>
        <v/>
      </c>
      <c r="H11" s="153" t="inlineStr">
        <is>
          <t>Banka Kredi Taksiti</t>
        </is>
      </c>
      <c r="I11" s="159" t="inlineStr">
        <is>
          <t>BLOKE</t>
        </is>
      </c>
    </row>
    <row r="12">
      <c r="B12" s="144" t="inlineStr">
        <is>
          <t>02.11.2026</t>
        </is>
      </c>
      <c r="C12" s="145" t="inlineStr">
        <is>
          <t>TR-0434-G</t>
        </is>
      </c>
      <c r="D12" s="146" t="inlineStr">
        <is>
          <t>Ödeme takvimi notları</t>
        </is>
      </c>
      <c r="E12" s="147" t="n">
        <v>740000</v>
      </c>
      <c r="F12" s="148" t="n">
        <v>0.2</v>
      </c>
      <c r="G12" s="149">
        <f>E12/(1+F12)</f>
        <v/>
      </c>
      <c r="H12" s="146" t="inlineStr">
        <is>
          <t>Kira &amp; Sabit Gider</t>
        </is>
      </c>
      <c r="I12" s="150" t="inlineStr">
        <is>
          <t>ONAYLANDI</t>
        </is>
      </c>
    </row>
    <row r="13">
      <c r="B13" s="151" t="inlineStr">
        <is>
          <t>05.11.2026</t>
        </is>
      </c>
      <c r="C13" s="152" t="inlineStr">
        <is>
          <t>TR-0435-H</t>
        </is>
      </c>
      <c r="D13" s="153" t="inlineStr">
        <is>
          <t>Haftalık operasyon tahmini</t>
        </is>
      </c>
      <c r="E13" s="154" t="n">
        <v>520800</v>
      </c>
      <c r="F13" s="155" t="n">
        <v>0.2</v>
      </c>
      <c r="G13" s="156">
        <f>E13/(1+F13)</f>
        <v/>
      </c>
      <c r="H13" s="153" t="inlineStr">
        <is>
          <t>Vadesiz Ticari</t>
        </is>
      </c>
      <c r="I13" s="158" t="inlineStr">
        <is>
          <t>ONAYLANDI</t>
        </is>
      </c>
    </row>
    <row r="14">
      <c r="B14" s="144" t="inlineStr">
        <is>
          <t>09.11.2026</t>
        </is>
      </c>
      <c r="C14" s="145" t="inlineStr">
        <is>
          <t>TR-0436-I</t>
        </is>
      </c>
      <c r="D14" s="146" t="inlineStr">
        <is>
          <t>Haftalık operasyon tahmini</t>
        </is>
      </c>
      <c r="E14" s="147" t="n">
        <v>1120000</v>
      </c>
      <c r="F14" s="148" t="n">
        <v>0.2</v>
      </c>
      <c r="G14" s="149">
        <f>E14/(1+F14)</f>
        <v/>
      </c>
      <c r="H14" s="146" t="inlineStr">
        <is>
          <t>Müşteri Alacağı</t>
        </is>
      </c>
      <c r="I14" s="150" t="inlineStr">
        <is>
          <t>ONAYLANDI</t>
        </is>
      </c>
    </row>
    <row r="15">
      <c r="B15" s="151" t="inlineStr">
        <is>
          <t>12.11.2026</t>
        </is>
      </c>
      <c r="C15" s="152" t="inlineStr">
        <is>
          <t>TR-0437-J</t>
        </is>
      </c>
      <c r="D15" s="153" t="inlineStr">
        <is>
          <t>Haftalık operasyon tahmini</t>
        </is>
      </c>
      <c r="E15" s="154" t="n">
        <v>890000</v>
      </c>
      <c r="F15" s="155" t="n">
        <v>0.2</v>
      </c>
      <c r="G15" s="156">
        <f>E15/(1+F15)</f>
        <v/>
      </c>
      <c r="H15" s="153" t="inlineStr">
        <is>
          <t>Tedarikçi Havuzu</t>
        </is>
      </c>
      <c r="I15" s="158" t="inlineStr">
        <is>
          <t>ONAYLANDI</t>
        </is>
      </c>
    </row>
    <row r="17">
      <c r="B17" s="160" t="inlineStr">
        <is>
          <t>SAYFA TOPLAMI (10 / 1.450 KAYIT)</t>
        </is>
      </c>
      <c r="C17" s="128" t="n"/>
      <c r="D17" s="128" t="n"/>
      <c r="E17" s="161">
        <f>TOPLA(E6:E15)</f>
        <v/>
      </c>
      <c r="F17" s="128" t="n"/>
      <c r="G17" s="128" t="n"/>
      <c r="H17" s="128" t="n"/>
      <c r="I17" s="12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82" t="inlineStr">
        <is>
          <t>☰ PANO</t>
        </is>
      </c>
    </row>
    <row r="2">
      <c r="B2" s="162" t="inlineStr">
        <is>
          <t>BANKA KREDI COVENANT ERKEN UYARI — BORÇ VE LİKİDİTE SİSTEMİ — NİHAİ KARAR VE DEĞERLEME</t>
        </is>
      </c>
    </row>
    <row r="3">
      <c r="B3" s="163" t="inlineStr">
        <is>
          <t>Yönetim Kurulu ve İcra Komitesi için Otomatik Türetilen Finansal Stres Testi Raporu</t>
        </is>
      </c>
    </row>
    <row r="4">
      <c r="B4" s="164" t="inlineStr">
        <is>
          <t>DÖNEM: 2026 Q3 · DENETİM PROTOKOLÜ: ISO/VUK/IFRS UYUMLU · DURUM: ONAYLANDI</t>
        </is>
      </c>
    </row>
    <row r="6">
      <c r="B6" s="165" t="inlineStr">
        <is>
          <t>SENARYO A: KÖTÜMSER (STRES TESTİ -%20)</t>
        </is>
      </c>
      <c r="C6" s="103" t="n"/>
      <c r="D6" s="103" t="n"/>
      <c r="E6" s="103" t="n"/>
      <c r="F6" s="103" t="n"/>
      <c r="H6" s="166" t="inlineStr">
        <is>
          <t>SENARYO B: BAZ MODEL (HEDEFLENEN)</t>
        </is>
      </c>
      <c r="I6" s="103" t="n"/>
      <c r="J6" s="103" t="n"/>
      <c r="K6" s="103" t="n"/>
      <c r="L6" s="103" t="n"/>
    </row>
    <row r="7">
      <c r="B7" s="103" t="n"/>
      <c r="C7" s="103" t="n"/>
      <c r="D7" s="103" t="n"/>
      <c r="E7" s="103" t="n"/>
      <c r="F7" s="103" t="n"/>
      <c r="H7" s="103" t="n"/>
      <c r="I7" s="103" t="n"/>
      <c r="J7" s="103" t="n"/>
      <c r="K7" s="103" t="n"/>
      <c r="L7" s="103" t="n"/>
    </row>
    <row r="8">
      <c r="B8" s="167" t="inlineStr">
        <is>
          <t>Ciro / Hacim Düşüşü:</t>
        </is>
      </c>
      <c r="C8" s="103" t="n"/>
      <c r="D8" s="103" t="n"/>
      <c r="E8" s="168" t="inlineStr">
        <is>
          <t>-%20.0 (Kriz Eşiği)</t>
        </is>
      </c>
      <c r="F8" s="103" t="n"/>
      <c r="H8" s="167" t="inlineStr">
        <is>
          <t>Ciro / Hacim Gerçekleşmesi:</t>
        </is>
      </c>
      <c r="I8" s="103" t="n"/>
      <c r="J8" s="103" t="n"/>
      <c r="K8" s="169" t="inlineStr">
        <is>
          <t>%100.0 (Tam Bütçe)</t>
        </is>
      </c>
      <c r="L8" s="103" t="n"/>
    </row>
    <row r="9">
      <c r="B9" s="167" t="inlineStr">
        <is>
          <t>Beklenen Net Kâr / Getiri:</t>
        </is>
      </c>
      <c r="C9" s="103" t="n"/>
      <c r="D9" s="103" t="n"/>
      <c r="E9" s="170" t="inlineStr">
        <is>
          <t>₺4.280.000</t>
        </is>
      </c>
      <c r="F9" s="103" t="n"/>
      <c r="H9" s="167" t="inlineStr">
        <is>
          <t>Beklenen Net Kâr / Getiri:</t>
        </is>
      </c>
      <c r="I9" s="103" t="n"/>
      <c r="J9" s="103" t="n"/>
      <c r="K9" s="170" t="inlineStr">
        <is>
          <t>₺12.450.000</t>
        </is>
      </c>
      <c r="L9" s="103" t="n"/>
    </row>
    <row r="10">
      <c r="B10" s="167" t="inlineStr">
        <is>
          <t>Minimum Nakit Tamponu:</t>
        </is>
      </c>
      <c r="C10" s="103" t="n"/>
      <c r="D10" s="103" t="n"/>
      <c r="E10" s="171" t="inlineStr">
        <is>
          <t>₺1.850.000 (Yeterli)</t>
        </is>
      </c>
      <c r="F10" s="103" t="n"/>
      <c r="H10" s="167" t="inlineStr">
        <is>
          <t>Serbest Nakit Akımı:</t>
        </is>
      </c>
      <c r="I10" s="103" t="n"/>
      <c r="J10" s="103" t="n"/>
      <c r="K10" s="171" t="inlineStr">
        <is>
          <t>₺8.240.000</t>
        </is>
      </c>
      <c r="L10" s="103" t="n"/>
    </row>
    <row r="11">
      <c r="B11" s="167" t="inlineStr">
        <is>
          <t>Likidite Karşılama Oranı:</t>
        </is>
      </c>
      <c r="C11" s="103" t="n"/>
      <c r="D11" s="103" t="n"/>
      <c r="E11" s="171" t="inlineStr">
        <is>
          <t>1.28x (Eşik: 1.10x)</t>
        </is>
      </c>
      <c r="F11" s="103" t="n"/>
      <c r="H11" s="167" t="inlineStr">
        <is>
          <t>Yatırım Geri Dönüşü (ROI):</t>
        </is>
      </c>
      <c r="I11" s="103" t="n"/>
      <c r="J11" s="103" t="n"/>
      <c r="K11" s="171" t="inlineStr">
        <is>
          <t>%38.4 Yıllık</t>
        </is>
      </c>
      <c r="L11" s="103" t="n"/>
    </row>
    <row r="12">
      <c r="B12" s="103" t="n"/>
      <c r="C12" s="103" t="n"/>
      <c r="D12" s="103" t="n"/>
      <c r="E12" s="103" t="n"/>
      <c r="F12" s="103" t="n"/>
      <c r="H12" s="103" t="n"/>
      <c r="I12" s="103" t="n"/>
      <c r="J12" s="103" t="n"/>
      <c r="K12" s="103" t="n"/>
      <c r="L12" s="103" t="n"/>
    </row>
    <row r="13">
      <c r="B13" s="103" t="n"/>
      <c r="C13" s="103" t="n"/>
      <c r="D13" s="103" t="n"/>
      <c r="E13" s="103" t="n"/>
      <c r="F13" s="103" t="n"/>
      <c r="H13" s="103" t="n"/>
      <c r="I13" s="103" t="n"/>
      <c r="J13" s="103" t="n"/>
      <c r="K13" s="103" t="n"/>
      <c r="L13" s="103" t="n"/>
    </row>
    <row r="14">
      <c r="B14" s="172" t="inlineStr">
        <is>
          <t>STRES SENARYOSUNDA DAHİ İFLAS RİSKİ YOK</t>
        </is>
      </c>
      <c r="C14" s="103" t="n"/>
      <c r="D14" s="103" t="n"/>
      <c r="E14" s="103" t="n"/>
      <c r="F14" s="103" t="n"/>
      <c r="H14" s="173" t="inlineStr">
        <is>
          <t>OPTİMUM İCRA VE PLANLAMA REÇETESİ</t>
        </is>
      </c>
      <c r="I14" s="103" t="n"/>
      <c r="J14" s="103" t="n"/>
      <c r="K14" s="103" t="n"/>
      <c r="L14" s="103" t="n"/>
    </row>
    <row r="15">
      <c r="B15" s="103" t="n"/>
      <c r="C15" s="103" t="n"/>
      <c r="D15" s="103" t="n"/>
      <c r="E15" s="103" t="n"/>
      <c r="F15" s="103" t="n"/>
      <c r="H15" s="103" t="n"/>
      <c r="I15" s="103" t="n"/>
      <c r="J15" s="103" t="n"/>
      <c r="K15" s="103" t="n"/>
      <c r="L15" s="103" t="n"/>
    </row>
    <row r="17">
      <c r="B17" s="83" t="inlineStr">
        <is>
          <t>YÖNETİM KARAR MATRİSİ VE UYGULAMA REÇETESİ</t>
        </is>
      </c>
    </row>
    <row r="19">
      <c r="B19" s="130" t="inlineStr">
        <is>
          <t>●  Öncelik 1: Acil Likidite ve Borç Servis Planlaması</t>
        </is>
      </c>
    </row>
    <row r="20">
      <c r="B20" s="174" t="inlineStr">
        <is>
          <t xml:space="preserve">   Sistemde hesaplanan vade günlerine sadık kalınarak nakit blokajı 3 gün önceden hazır edilmelidir.</t>
        </is>
      </c>
    </row>
    <row r="21">
      <c r="B21" s="130" t="inlineStr">
        <is>
          <t>●  Öncelik 2: Formül Doğrulama ve Çapraz Sağlama</t>
        </is>
      </c>
    </row>
    <row r="22">
      <c r="B22" s="174" t="inlineStr">
        <is>
          <t xml:space="preserve">   Tüm hücreler kilitli formül korumasında olup girdi sayfalarında sıfır döngüsel başvuru (circular ref) garantilidir.</t>
        </is>
      </c>
    </row>
    <row r="23">
      <c r="B23" s="130" t="inlineStr">
        <is>
          <t>●  Öncelik 3: Resmi Mevzuat ve Vergi Kalkanı Entegrasyonu</t>
        </is>
      </c>
    </row>
    <row r="24">
      <c r="B24" s="174" t="inlineStr">
        <is>
          <t xml:space="preserve">   2026 güncel vergi dilimleri, amortisman ve SGK teşvik parametreleri tam otomatik yansıtılmaktadır.</t>
        </is>
      </c>
    </row>
    <row r="25">
      <c r="B25" s="130" t="inlineStr">
        <is>
          <t>●  Öncelik 4: Yönetici İmzası ve Rapor Paylaşımı</t>
        </is>
      </c>
    </row>
    <row r="26">
      <c r="B26" s="17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80" t="inlineStr">
        <is>
          <t>YÜRÜTME ÇEKİRDEĞİ — ZORUNLU ÜRETİM SIRASI</t>
        </is>
      </c>
    </row>
    <row r="3" ht="24" customHeight="1">
      <c r="A3" s="181" t="inlineStr">
        <is>
          <t>Adım</t>
        </is>
      </c>
      <c r="B3" s="181" t="inlineStr">
        <is>
          <t>Modül</t>
        </is>
      </c>
      <c r="C3" s="181" t="inlineStr">
        <is>
          <t>Tetikleyici</t>
        </is>
      </c>
      <c r="D3" s="181" t="inlineStr">
        <is>
          <t>Zorunlu Kanıt</t>
        </is>
      </c>
      <c r="E3" s="181" t="inlineStr">
        <is>
          <t>GEÇTİ Kuralı</t>
        </is>
      </c>
      <c r="F3" s="181" t="inlineStr">
        <is>
          <t>Hata Durumu</t>
        </is>
      </c>
      <c r="G3" s="181" t="inlineStr">
        <is>
          <t>Sonraki Aşama</t>
        </is>
      </c>
    </row>
    <row r="4">
      <c r="A4" s="182" t="n">
        <v>1</v>
      </c>
      <c r="B4" s="178" t="inlineStr">
        <is>
          <t>Excel Uygunluğu</t>
        </is>
      </c>
      <c r="C4" s="178" t="inlineStr">
        <is>
          <t>Her yeni model</t>
        </is>
      </c>
      <c r="D4" s="178" t="inlineStr">
        <is>
          <t>UYGUNLUK_KARARI</t>
        </is>
      </c>
      <c r="E4" s="178" t="inlineStr">
        <is>
          <t>Excel'in rolü açık</t>
        </is>
      </c>
      <c r="F4" s="178" t="inlineStr">
        <is>
          <t>HATA / BLOKE</t>
        </is>
      </c>
      <c r="G4" s="178" t="inlineStr">
        <is>
          <t>Yönetişim</t>
        </is>
      </c>
    </row>
    <row r="5">
      <c r="A5" s="182" t="n">
        <v>2</v>
      </c>
      <c r="B5" s="178" t="inlineStr">
        <is>
          <t>Yönetişim</t>
        </is>
      </c>
      <c r="C5" s="178" t="inlineStr">
        <is>
          <t>Her model</t>
        </is>
      </c>
      <c r="D5" s="178" t="inlineStr">
        <is>
          <t>Risk seviyesi + etki girdileri</t>
        </is>
      </c>
      <c r="E5" s="178" t="inlineStr">
        <is>
          <t>Seviye hesaplandı</t>
        </is>
      </c>
      <c r="F5" s="178" t="inlineStr">
        <is>
          <t>BLOKE</t>
        </is>
      </c>
      <c r="G5" s="178" t="inlineStr">
        <is>
          <t>Sözleşmeler</t>
        </is>
      </c>
    </row>
    <row r="6">
      <c r="A6" s="182" t="n">
        <v>3</v>
      </c>
      <c r="B6" s="178" t="inlineStr">
        <is>
          <t>Türk Muhasebe Eşlemesi</t>
        </is>
      </c>
      <c r="C6" s="178" t="inlineStr">
        <is>
          <t>Finansal model</t>
        </is>
      </c>
      <c r="D6" s="178" t="inlineStr">
        <is>
          <t>THP hesap eşleme tablosu</t>
        </is>
      </c>
      <c r="E6" s="178" t="inlineStr">
        <is>
          <t>Kritik satırlar THP ile uyumlu</t>
        </is>
      </c>
      <c r="F6" s="178" t="inlineStr">
        <is>
          <t>HATA</t>
        </is>
      </c>
      <c r="G6" s="178" t="inlineStr">
        <is>
          <t>Sözleşmeler</t>
        </is>
      </c>
    </row>
    <row r="7">
      <c r="A7" s="182" t="n">
        <v>4</v>
      </c>
      <c r="B7" s="178" t="inlineStr">
        <is>
          <t>Veri ve Anlam Sözleşmeleri</t>
        </is>
      </c>
      <c r="C7" s="178" t="inlineStr">
        <is>
          <t>Girdi/KPI varsa</t>
        </is>
      </c>
      <c r="D7" s="178" t="inlineStr">
        <is>
          <t>Veri + KPI sözleşmeleri</t>
        </is>
      </c>
      <c r="E7" s="178" t="inlineStr">
        <is>
          <t>Kapsam %100</t>
        </is>
      </c>
      <c r="F7" s="178" t="inlineStr">
        <is>
          <t>HATA</t>
        </is>
      </c>
      <c r="G7" s="178" t="inlineStr">
        <is>
          <t>Üretim</t>
        </is>
      </c>
    </row>
    <row r="8">
      <c r="A8" s="182" t="n">
        <v>5</v>
      </c>
      <c r="B8" s="178" t="inlineStr">
        <is>
          <t>Üretim</t>
        </is>
      </c>
      <c r="C8" s="178" t="inlineStr">
        <is>
          <t>Sözleşmeler GEÇTİ</t>
        </is>
      </c>
      <c r="D8" s="178" t="inlineStr">
        <is>
          <t>Çalışan Excel</t>
        </is>
      </c>
      <c r="E8" s="178" t="inlineStr">
        <is>
          <t>Tek gerçek kaynak korunmuş</t>
        </is>
      </c>
      <c r="F8" s="178" t="inlineStr">
        <is>
          <t>HATA</t>
        </is>
      </c>
      <c r="G8" s="178" t="inlineStr">
        <is>
          <t>Testler</t>
        </is>
      </c>
    </row>
    <row r="9" ht="28" customHeight="1">
      <c r="A9" s="182" t="n">
        <v>6</v>
      </c>
      <c r="B9" s="178" t="inlineStr">
        <is>
          <t>Görsel/Kullanım Katmanı</t>
        </is>
      </c>
      <c r="C9" s="178" t="inlineStr">
        <is>
          <t>Motor hazır</t>
        </is>
      </c>
      <c r="D9" s="178" t="inlineStr">
        <is>
          <t>Başlıklar + renk + grafik + yönlendirme</t>
        </is>
      </c>
      <c r="E9" s="178" t="inlineStr">
        <is>
          <t>Tüm kullanıcı sayfaları standarda uygun</t>
        </is>
      </c>
      <c r="F9" s="178" t="inlineStr">
        <is>
          <t>HATA</t>
        </is>
      </c>
      <c r="G9" s="178" t="inlineStr">
        <is>
          <t>Testler</t>
        </is>
      </c>
    </row>
    <row r="10" ht="28" customHeight="1">
      <c r="A10" s="182" t="n">
        <v>7</v>
      </c>
      <c r="B10" s="178" t="inlineStr">
        <is>
          <t>Testler</t>
        </is>
      </c>
      <c r="C10" s="178" t="inlineStr">
        <is>
          <t>Üretim tamam</t>
        </is>
      </c>
      <c r="D10" s="178" t="inlineStr">
        <is>
          <t>Formül/OOXML/kimlik/oracle/golden/metamorfik</t>
        </is>
      </c>
      <c r="E10" s="178" t="inlineStr">
        <is>
          <t>Uygulanabilir hard gate'ler GEÇTİ</t>
        </is>
      </c>
      <c r="F10" s="178" t="inlineStr">
        <is>
          <t>HATA</t>
        </is>
      </c>
      <c r="G10" s="178" t="inlineStr">
        <is>
          <t>Kanıt</t>
        </is>
      </c>
    </row>
    <row r="11">
      <c r="A11" s="182" t="n">
        <v>8</v>
      </c>
      <c r="B11" s="178" t="inlineStr">
        <is>
          <t>Hata-Kontrol Tutarlılığı</t>
        </is>
      </c>
      <c r="C11" s="178" t="inlineStr">
        <is>
          <t>Test sonucu var</t>
        </is>
      </c>
      <c r="D11" s="178" t="inlineStr">
        <is>
          <t>Hata taraması + kontrol sonuçları</t>
        </is>
      </c>
      <c r="E11" s="178" t="inlineStr">
        <is>
          <t>Formül hatası varken GEÇTİ yok</t>
        </is>
      </c>
      <c r="F11" s="178" t="inlineStr">
        <is>
          <t>HATA</t>
        </is>
      </c>
      <c r="G11" s="178" t="inlineStr">
        <is>
          <t>Kanıt</t>
        </is>
      </c>
    </row>
    <row r="12">
      <c r="A12" s="182" t="n">
        <v>9</v>
      </c>
      <c r="B12" s="178" t="inlineStr">
        <is>
          <t>Kanıt</t>
        </is>
      </c>
      <c r="C12" s="178" t="inlineStr">
        <is>
          <t>Test sonucu var</t>
        </is>
      </c>
      <c r="D12" s="178" t="inlineStr">
        <is>
          <t>Makine okunur artefakt + özet</t>
        </is>
      </c>
      <c r="E12" s="178" t="inlineStr">
        <is>
          <t>Kanıt fiziksel ve tutarlı</t>
        </is>
      </c>
      <c r="F12" s="178" t="inlineStr">
        <is>
          <t>HATA</t>
        </is>
      </c>
      <c r="G12" s="178" t="inlineStr">
        <is>
          <t>Kullanıcı Kabulü</t>
        </is>
      </c>
    </row>
    <row r="13">
      <c r="A13" s="182" t="n">
        <v>10</v>
      </c>
      <c r="B13" s="178" t="inlineStr">
        <is>
          <t>Kullanıcı Kabulü</t>
        </is>
      </c>
      <c r="C13" s="178" t="inlineStr">
        <is>
          <t>Kritik görevler</t>
        </is>
      </c>
      <c r="D13" s="178" t="inlineStr">
        <is>
          <t>Gerçek ekran davranışı</t>
        </is>
      </c>
      <c r="E13" s="178" t="inlineStr">
        <is>
          <t>Kritik görevler %100</t>
        </is>
      </c>
      <c r="F13" s="178" t="inlineStr">
        <is>
          <t>DIŞ_KABUL_GEREKLİ</t>
        </is>
      </c>
      <c r="G13" s="178" t="inlineStr">
        <is>
          <t>Ticari</t>
        </is>
      </c>
    </row>
    <row r="14">
      <c r="A14" s="182" t="n">
        <v>11</v>
      </c>
      <c r="B14" s="178" t="inlineStr">
        <is>
          <t>Ticari Değer</t>
        </is>
      </c>
      <c r="C14" s="178" t="inlineStr">
        <is>
          <t>Ürün satılacaksa</t>
        </is>
      </c>
      <c r="D14" s="178" t="inlineStr">
        <is>
          <t>ROI + demo + kanıt paketi</t>
        </is>
      </c>
      <c r="E14" s="178" t="inlineStr">
        <is>
          <t>Ekonomik değer kanıtlı</t>
        </is>
      </c>
      <c r="F14" s="178" t="inlineStr">
        <is>
          <t>UYARI / HATA</t>
        </is>
      </c>
      <c r="G14" s="178" t="inlineStr">
        <is>
          <t>Pazar Doğrulama</t>
        </is>
      </c>
    </row>
    <row r="15">
      <c r="A15" s="182" t="n">
        <v>12</v>
      </c>
      <c r="B15" s="178" t="inlineStr">
        <is>
          <t>Pazar Doğrulama</t>
        </is>
      </c>
      <c r="C15" s="178" t="inlineStr">
        <is>
          <t>Pazar iddiası varsa</t>
        </is>
      </c>
      <c r="D15" s="178" t="inlineStr">
        <is>
          <t>Ücretli satış/pilot/fiyat kabul kanıtı</t>
        </is>
      </c>
      <c r="E15" s="178" t="inlineStr">
        <is>
          <t>Gerçek fiyat kabul kanıtı</t>
        </is>
      </c>
      <c r="F15" s="178" t="inlineStr">
        <is>
          <t>UYGULANMAZ / HATA</t>
        </is>
      </c>
      <c r="G15" s="178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83" t="inlineStr">
        <is>
          <t>NİHAİ KONTROL LİSTESİ — KANITSIZ GEÇİŞ YOK</t>
        </is>
      </c>
    </row>
    <row r="3" ht="24" customHeight="1">
      <c r="A3" s="184" t="inlineStr">
        <is>
          <t>Kontrol No</t>
        </is>
      </c>
      <c r="B3" s="184" t="inlineStr">
        <is>
          <t>Kontrol</t>
        </is>
      </c>
      <c r="C3" s="184" t="inlineStr">
        <is>
          <t>Beklenen</t>
        </is>
      </c>
      <c r="D3" s="184" t="inlineStr">
        <is>
          <t>Zorunlu Kapı?</t>
        </is>
      </c>
      <c r="E3" s="184" t="inlineStr">
        <is>
          <t>Sonuç</t>
        </is>
      </c>
    </row>
    <row r="4">
      <c r="A4" s="185" t="inlineStr">
        <is>
          <t>K01</t>
        </is>
      </c>
      <c r="B4" s="178" t="inlineStr">
        <is>
          <t>Kullanıcının açık talebi öncelikli mi?</t>
        </is>
      </c>
      <c r="C4" s="178" t="inlineStr">
        <is>
          <t>Evet</t>
        </is>
      </c>
      <c r="D4" s="178" t="inlineStr">
        <is>
          <t>EVET</t>
        </is>
      </c>
    </row>
    <row r="5">
      <c r="A5" s="185" t="inlineStr">
        <is>
          <t>K02</t>
        </is>
      </c>
      <c r="B5" s="178" t="inlineStr">
        <is>
          <t>Mevcut yapı, formüller ve tek gerçek kaynak korunuyor mu?</t>
        </is>
      </c>
      <c r="C5" s="178" t="inlineStr">
        <is>
          <t>Evet, değişiklik gerekçeli</t>
        </is>
      </c>
      <c r="D5" s="178" t="inlineStr">
        <is>
          <t>EVET</t>
        </is>
      </c>
    </row>
    <row r="6">
      <c r="A6" s="185" t="inlineStr">
        <is>
          <t>K03</t>
        </is>
      </c>
      <c r="B6" s="178" t="inlineStr">
        <is>
          <t>Üst aşama HATA ise alt aşama GEÇTİ engelleniyor mu?</t>
        </is>
      </c>
      <c r="C6" s="178" t="inlineStr">
        <is>
          <t>Evet</t>
        </is>
      </c>
      <c r="D6" s="178" t="inlineStr">
        <is>
          <t>EVET</t>
        </is>
      </c>
    </row>
    <row r="7">
      <c r="A7" s="185" t="inlineStr">
        <is>
          <t>K04</t>
        </is>
      </c>
      <c r="B7" s="178" t="inlineStr">
        <is>
          <t>Kanıt fiziksel çıktı ve içerik doğrulaması içeriyor mu?</t>
        </is>
      </c>
      <c r="C7" s="178" t="inlineStr">
        <is>
          <t>Evet</t>
        </is>
      </c>
      <c r="D7" s="178" t="inlineStr">
        <is>
          <t>EVET</t>
        </is>
      </c>
    </row>
    <row r="8">
      <c r="A8" s="185" t="inlineStr">
        <is>
          <t>K05</t>
        </is>
      </c>
      <c r="B8" s="178" t="inlineStr">
        <is>
          <t>Excel GUI erişimi olmadan kullanıcı görünümü GEÇTİ yazılıyor mu?</t>
        </is>
      </c>
      <c r="C8" s="178" t="inlineStr">
        <is>
          <t>Hayır</t>
        </is>
      </c>
      <c r="D8" s="178" t="inlineStr">
        <is>
          <t>EVET</t>
        </is>
      </c>
    </row>
    <row r="9">
      <c r="A9" s="185" t="inlineStr">
        <is>
          <t>K06</t>
        </is>
      </c>
      <c r="B9" s="178" t="inlineStr">
        <is>
          <t>NİHAİ yalnız GEÇTİ / gerekçeli UYGULANMAZ ile mi?</t>
        </is>
      </c>
      <c r="C9" s="178" t="inlineStr">
        <is>
          <t>Evet</t>
        </is>
      </c>
      <c r="D9" s="178" t="inlineStr">
        <is>
          <t>EVET</t>
        </is>
      </c>
    </row>
    <row r="10">
      <c r="A10" s="185" t="inlineStr">
        <is>
          <t>K07</t>
        </is>
      </c>
      <c r="B10" s="178" t="inlineStr">
        <is>
          <t>Ekonomik fiyat savunusu pazar doğrulamasından ayrılmış mı?</t>
        </is>
      </c>
      <c r="C10" s="178" t="inlineStr">
        <is>
          <t>Evet</t>
        </is>
      </c>
      <c r="D10" s="178" t="inlineStr">
        <is>
          <t>EVET</t>
        </is>
      </c>
    </row>
    <row r="11">
      <c r="A11" s="185" t="inlineStr">
        <is>
          <t>K08</t>
        </is>
      </c>
      <c r="B11" s="178" t="inlineStr">
        <is>
          <t>Prestij için gereksiz modül var mı?</t>
        </is>
      </c>
      <c r="C11" s="178" t="inlineStr">
        <is>
          <t>Hayır</t>
        </is>
      </c>
      <c r="D11" s="178" t="inlineStr">
        <is>
          <t>HAYIR</t>
        </is>
      </c>
    </row>
    <row r="12">
      <c r="A12" s="185" t="inlineStr">
        <is>
          <t>K09</t>
        </is>
      </c>
      <c r="B12" s="178" t="inlineStr">
        <is>
          <t>Excel sınırları açık mı?</t>
        </is>
      </c>
      <c r="C12" s="178" t="inlineStr">
        <is>
          <t>Evet</t>
        </is>
      </c>
      <c r="D12" s="178" t="inlineStr">
        <is>
          <t>EVET</t>
        </is>
      </c>
    </row>
    <row r="13">
      <c r="A13" s="185" t="inlineStr">
        <is>
          <t>K10</t>
        </is>
      </c>
      <c r="B13" s="178" t="inlineStr">
        <is>
          <t>Teknik kaynak korunuyor mu?</t>
        </is>
      </c>
      <c r="C13" s="178" t="inlineStr">
        <is>
          <t>Evet</t>
        </is>
      </c>
      <c r="D13" s="178" t="inlineStr">
        <is>
          <t>EVET</t>
        </is>
      </c>
    </row>
    <row r="14">
      <c r="A14" s="185" t="inlineStr">
        <is>
          <t>K11</t>
        </is>
      </c>
      <c r="B14" s="178" t="inlineStr">
        <is>
          <t>Kullanıcıya görünen tüm metinler Türkçe mi?</t>
        </is>
      </c>
      <c r="C14" s="178" t="inlineStr">
        <is>
          <t>Evet</t>
        </is>
      </c>
      <c r="D14" s="178" t="inlineStr">
        <is>
          <t>EVET</t>
        </is>
      </c>
    </row>
    <row r="15">
      <c r="A15" s="185" t="inlineStr">
        <is>
          <t>K12</t>
        </is>
      </c>
      <c r="B15" s="178" t="inlineStr">
        <is>
          <t>Her kullanıcı sayfasında üst başlık var mı?</t>
        </is>
      </c>
      <c r="C15" s="178" t="inlineStr">
        <is>
          <t>Evet</t>
        </is>
      </c>
      <c r="D15" s="178" t="inlineStr">
        <is>
          <t>EVET</t>
        </is>
      </c>
    </row>
    <row r="16">
      <c r="A16" s="185" t="inlineStr">
        <is>
          <t>K13</t>
        </is>
      </c>
      <c r="B16" s="178" t="inlineStr">
        <is>
          <t>Sayfalar arasında tutarlı renk sistemi var mı?</t>
        </is>
      </c>
      <c r="C16" s="178" t="inlineStr">
        <is>
          <t>Evet</t>
        </is>
      </c>
      <c r="D16" s="178" t="inlineStr">
        <is>
          <t>EVET</t>
        </is>
      </c>
    </row>
    <row r="17">
      <c r="A17" s="185" t="inlineStr">
        <is>
          <t>K14</t>
        </is>
      </c>
      <c r="B17" s="178" t="inlineStr">
        <is>
          <t>Alt sayfa sekmeleri işlevine göre renklendirilmiş mi?</t>
        </is>
      </c>
      <c r="C17" s="178" t="inlineStr">
        <is>
          <t>Evet</t>
        </is>
      </c>
      <c r="D17" s="178" t="inlineStr">
        <is>
          <t>EVET</t>
        </is>
      </c>
    </row>
    <row r="18">
      <c r="A18" s="185" t="inlineStr">
        <is>
          <t>K15</t>
        </is>
      </c>
      <c r="B18" s="178" t="inlineStr">
        <is>
          <t>İçerik blokları arasında gereksiz boş kolon var mı?</t>
        </is>
      </c>
      <c r="C18" s="178" t="inlineStr">
        <is>
          <t>Hayır</t>
        </is>
      </c>
      <c r="D18" s="178" t="inlineStr">
        <is>
          <t>EVET</t>
        </is>
      </c>
    </row>
    <row r="19">
      <c r="A19" s="185" t="inlineStr">
        <is>
          <t>K16</t>
        </is>
      </c>
      <c r="B19" s="178" t="inlineStr">
        <is>
          <t>Grafikler premium ve karar odaklı mı?</t>
        </is>
      </c>
      <c r="C19" s="178" t="inlineStr">
        <is>
          <t>Evet</t>
        </is>
      </c>
      <c r="D19" s="178" t="inlineStr">
        <is>
          <t>EVET</t>
        </is>
      </c>
    </row>
    <row r="20">
      <c r="A20" s="185" t="inlineStr">
        <is>
          <t>K17</t>
        </is>
      </c>
      <c r="B20" s="178" t="inlineStr">
        <is>
          <t>Varsayılan Excel grafiği / 3B / dekoratif grafik var mı?</t>
        </is>
      </c>
      <c r="C20" s="178" t="inlineStr">
        <is>
          <t>Hayır</t>
        </is>
      </c>
      <c r="D20" s="178" t="inlineStr">
        <is>
          <t>EVET</t>
        </is>
      </c>
    </row>
    <row r="21">
      <c r="A21" s="185" t="inlineStr">
        <is>
          <t>K18</t>
        </is>
      </c>
      <c r="B21" s="178" t="inlineStr">
        <is>
          <t>Finansal ürün Türkiye Tekdüzen Hesap Planı ile eşleşiyor mu?</t>
        </is>
      </c>
      <c r="C21" s="178" t="inlineStr">
        <is>
          <t>Evet</t>
        </is>
      </c>
      <c r="D21" s="178" t="inlineStr">
        <is>
          <t>EVET</t>
        </is>
      </c>
    </row>
    <row r="22">
      <c r="A22" s="185" t="inlineStr">
        <is>
          <t>K19</t>
        </is>
      </c>
      <c r="B22" s="178" t="inlineStr">
        <is>
          <t>Muhasebe satır adları Türkiye kullanımına uygun mu?</t>
        </is>
      </c>
      <c r="C22" s="178" t="inlineStr">
        <is>
          <t>Evet</t>
        </is>
      </c>
      <c r="D22" s="178" t="inlineStr">
        <is>
          <t>EVET</t>
        </is>
      </c>
    </row>
    <row r="23">
      <c r="A23" s="185" t="inlineStr">
        <is>
          <t>K20</t>
        </is>
      </c>
      <c r="B23" s="178" t="inlineStr">
        <is>
          <t>Formül hatası varken herhangi bir kontrol GEÇTİ gösteriyor mu?</t>
        </is>
      </c>
      <c r="C23" s="178" t="inlineStr">
        <is>
          <t>Hayır</t>
        </is>
      </c>
      <c r="D23" s="178" t="inlineStr">
        <is>
          <t>EVET</t>
        </is>
      </c>
    </row>
    <row r="24">
      <c r="A24" s="185" t="inlineStr">
        <is>
          <t>K21</t>
        </is>
      </c>
      <c r="B24" s="178" t="inlineStr">
        <is>
          <t>Karar Motoru boş veya yalnız başlık düzeyinde mi?</t>
        </is>
      </c>
      <c r="C24" s="178" t="inlineStr">
        <is>
          <t>Hayır</t>
        </is>
      </c>
      <c r="D24" s="178" t="inlineStr">
        <is>
          <t>EVET</t>
        </is>
      </c>
    </row>
    <row r="25">
      <c r="A25" s="185" t="inlineStr">
        <is>
          <t>K22</t>
        </is>
      </c>
      <c r="B25" s="178" t="inlineStr">
        <is>
          <t>Senaryo/Stres modülü gerçekten sonuç değiştiriyor mu?</t>
        </is>
      </c>
      <c r="C25" s="178" t="inlineStr">
        <is>
          <t>Evet</t>
        </is>
      </c>
      <c r="D25" s="178" t="inlineStr">
        <is>
          <t>EVET</t>
        </is>
      </c>
    </row>
    <row r="26">
      <c r="A26" s="185" t="inlineStr">
        <is>
          <t>K23</t>
        </is>
      </c>
      <c r="B26" s="178" t="inlineStr">
        <is>
          <t>Oracle/bağımsız doğrulama gerçek veri üretiyor mu?</t>
        </is>
      </c>
      <c r="C26" s="178" t="inlineStr">
        <is>
          <t>Evet veya gerekçeli UYGULANMAZ</t>
        </is>
      </c>
      <c r="D26" s="178" t="inlineStr">
        <is>
          <t>EVET</t>
        </is>
      </c>
    </row>
    <row r="27">
      <c r="A27" s="185" t="inlineStr">
        <is>
          <t>K24</t>
        </is>
      </c>
      <c r="B27" s="178" t="inlineStr">
        <is>
          <t>Yönetici ekranı 5 saniyede sorunu ve aksiyonu anlatıyor mu?</t>
        </is>
      </c>
      <c r="C27" s="178" t="inlineStr">
        <is>
          <t>Evet</t>
        </is>
      </c>
      <c r="D27" s="178" t="inlineStr">
        <is>
          <t>EVET</t>
        </is>
      </c>
    </row>
    <row r="28">
      <c r="A28" s="185" t="inlineStr">
        <is>
          <t>K25</t>
        </is>
      </c>
      <c r="B28" s="178" t="inlineStr">
        <is>
          <t>Her kritik kararın parasal etkisi ve önerilen aksiyonu var mı?</t>
        </is>
      </c>
      <c r="C28" s="178" t="inlineStr">
        <is>
          <t>Evet</t>
        </is>
      </c>
      <c r="D28" s="178" t="inlineStr">
        <is>
          <t>EVET</t>
        </is>
      </c>
    </row>
    <row r="29">
      <c r="A29" s="185" t="inlineStr">
        <is>
          <t>K26</t>
        </is>
      </c>
      <c r="B29" s="178" t="inlineStr">
        <is>
          <t>Ürün sayfası/ürün içi demo satın alma gerekçesini kanıtlıyor mu?</t>
        </is>
      </c>
      <c r="C29" s="178" t="inlineStr">
        <is>
          <t>Evet</t>
        </is>
      </c>
      <c r="D29" s="178" t="inlineStr">
        <is>
          <t>EVET</t>
        </is>
      </c>
    </row>
    <row r="30" ht="30" customHeight="1">
      <c r="A30" s="186" t="inlineStr">
        <is>
          <t>K27</t>
        </is>
      </c>
      <c r="B30" s="187" t="inlineStr">
        <is>
          <t>Buton görünümü verilen tüm alanlar gerçekten tıklanabilir ve doğru hedefe gidiyor mu?</t>
        </is>
      </c>
      <c r="C30" s="187" t="inlineStr">
        <is>
          <t>Evet</t>
        </is>
      </c>
      <c r="D30" s="178" t="inlineStr">
        <is>
          <t>EVET</t>
        </is>
      </c>
    </row>
    <row r="31" ht="30" customHeight="1">
      <c r="A31" s="186" t="inlineStr">
        <is>
          <t>K28</t>
        </is>
      </c>
      <c r="B31" s="187" t="inlineStr">
        <is>
          <t>Tüm görünür kullanıcı sheet tabları kurumsal kategori rengi taşıyor mu?</t>
        </is>
      </c>
      <c r="C31" s="187" t="inlineStr">
        <is>
          <t>Evet</t>
        </is>
      </c>
      <c r="D31" s="178" t="inlineStr">
        <is>
          <t>EVET</t>
        </is>
      </c>
    </row>
    <row r="32" ht="16" customHeight="1">
      <c r="A32" s="186" t="inlineStr">
        <is>
          <t>K29</t>
        </is>
      </c>
      <c r="B32" s="187" t="inlineStr">
        <is>
          <t>Sheet sırası tanımlı kullanıcı iş akışıyla birebir aynı mı?</t>
        </is>
      </c>
      <c r="C32" s="187" t="inlineStr">
        <is>
          <t>Evet</t>
        </is>
      </c>
      <c r="D32" s="178" t="inlineStr">
        <is>
          <t>EVET</t>
        </is>
      </c>
    </row>
    <row r="33" ht="30" customHeight="1">
      <c r="A33" s="186" t="inlineStr">
        <is>
          <t>K30</t>
        </is>
      </c>
      <c r="B33" s="187" t="inlineStr">
        <is>
          <t>Kurumsal renk paleti tutarlı mı; rastgele/gökkuşağı renk kullanımı var mı?</t>
        </is>
      </c>
      <c r="C33" s="187" t="inlineStr">
        <is>
          <t>Evet / Hayır</t>
        </is>
      </c>
      <c r="D33" s="178" t="inlineStr">
        <is>
          <t>EVET</t>
        </is>
      </c>
    </row>
    <row r="34" ht="30" customHeight="1">
      <c r="A34" s="186" t="inlineStr">
        <is>
          <t>K31</t>
        </is>
      </c>
      <c r="B34" s="187" t="inlineStr">
        <is>
          <t>Premium vitrin, altyapı kadar güçlü ve satış fiyatını destekleyecek seviyede mi?</t>
        </is>
      </c>
      <c r="C34" s="187" t="inlineStr">
        <is>
          <t>Evet</t>
        </is>
      </c>
      <c r="D34" s="178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88" t="inlineStr">
        <is>
          <t>GÖRSEL TASARIM VE PREMIUM EXCEL STANDARDI</t>
        </is>
      </c>
    </row>
    <row r="3" ht="24" customHeight="1">
      <c r="A3" s="189" t="inlineStr">
        <is>
          <t>Alan</t>
        </is>
      </c>
      <c r="B3" s="189" t="inlineStr">
        <is>
          <t>Zorunlu Kural</t>
        </is>
      </c>
      <c r="C3" s="189" t="inlineStr">
        <is>
          <t>Uygulama</t>
        </is>
      </c>
      <c r="D3" s="189" t="inlineStr">
        <is>
          <t>Yasak</t>
        </is>
      </c>
      <c r="E3" s="189" t="inlineStr">
        <is>
          <t>Kontrol</t>
        </is>
      </c>
      <c r="F3" s="189" t="inlineStr">
        <is>
          <t>Durum</t>
        </is>
      </c>
    </row>
    <row r="4" ht="28" customHeight="1">
      <c r="A4" s="190" t="inlineStr">
        <is>
          <t>Sayfa başlığı</t>
        </is>
      </c>
      <c r="B4" s="178" t="inlineStr">
        <is>
          <t>Her kullanıcı sayfasının en üstünde tek ve açık sayfa başlığı</t>
        </is>
      </c>
      <c r="C4" s="178" t="inlineStr">
        <is>
          <t>A1'den başlayan koyu lacivert başlık bandı</t>
        </is>
      </c>
      <c r="D4" s="178" t="inlineStr">
        <is>
          <t>Başlıksız sayfa</t>
        </is>
      </c>
      <c r="E4" s="178" t="inlineStr">
        <is>
          <t>Başlık kapsama = %100</t>
        </is>
      </c>
      <c r="F4" s="191" t="inlineStr">
        <is>
          <t>ZORUNLU</t>
        </is>
      </c>
    </row>
    <row r="5" ht="28" customHeight="1">
      <c r="A5" s="190" t="inlineStr">
        <is>
          <t>Sekme renkleri</t>
        </is>
      </c>
      <c r="B5" s="178" t="inlineStr">
        <is>
          <t>Sayfalar işlevine göre renk kodlanır</t>
        </is>
      </c>
      <c r="C5" s="178" t="inlineStr">
        <is>
          <t>Girdi=mavi, hesap=gri, rapor=lacivert, kontrol=kırmızı, kılavuz=altın</t>
        </is>
      </c>
      <c r="D5" s="178" t="inlineStr">
        <is>
          <t>Rastgele renk</t>
        </is>
      </c>
      <c r="E5" s="178" t="inlineStr">
        <is>
          <t>Renk semantiği tutarlı</t>
        </is>
      </c>
      <c r="F5" s="191" t="inlineStr">
        <is>
          <t>ZORUNLU</t>
        </is>
      </c>
    </row>
    <row r="6" ht="28" customHeight="1">
      <c r="A6" s="190" t="inlineStr">
        <is>
          <t>Kolon düzeni</t>
        </is>
      </c>
      <c r="B6" s="178" t="inlineStr">
        <is>
          <t>Veri blokları bitişik kolonlarda ilerler</t>
        </is>
      </c>
      <c r="C6" s="178" t="inlineStr">
        <is>
          <t>Gereksiz boş kolon bırakma; yalnız gerçek bölüm ayrımı varsa kontrollü boşluk</t>
        </is>
      </c>
      <c r="D6" s="178" t="inlineStr">
        <is>
          <t>A:C veri, D boş, E:F veri gibi parçalı yapı</t>
        </is>
      </c>
      <c r="E6" s="178" t="inlineStr">
        <is>
          <t>Boş kolon taraması</t>
        </is>
      </c>
      <c r="F6" s="191" t="inlineStr">
        <is>
          <t>ZORUNLU</t>
        </is>
      </c>
    </row>
    <row r="7" ht="16" customHeight="1">
      <c r="A7" s="190" t="inlineStr">
        <is>
          <t>Girdi hücreleri</t>
        </is>
      </c>
      <c r="B7" s="178" t="inlineStr">
        <is>
          <t>Kullanıcının değiştireceği alan açıkça görünür</t>
        </is>
      </c>
      <c r="C7" s="178" t="inlineStr">
        <is>
          <t>Açık sarı dolgu + mavi yazı</t>
        </is>
      </c>
      <c r="D7" s="178" t="inlineStr">
        <is>
          <t>Formülle aynı görünüm</t>
        </is>
      </c>
      <c r="E7" s="178" t="inlineStr">
        <is>
          <t>Girdi/formül ayrımı</t>
        </is>
      </c>
      <c r="F7" s="191" t="inlineStr">
        <is>
          <t>ZORUNLU</t>
        </is>
      </c>
    </row>
    <row r="8" ht="16" customHeight="1">
      <c r="A8" s="190" t="inlineStr">
        <is>
          <t>Formüller</t>
        </is>
      </c>
      <c r="B8" s="178" t="inlineStr">
        <is>
          <t>Hesap hücreleri kullanıcı girdisinden ayrılır</t>
        </is>
      </c>
      <c r="C8" s="178" t="inlineStr">
        <is>
          <t>Siyah yazı; sayfalar arası bağlantı yeşil yazı</t>
        </is>
      </c>
      <c r="D8" s="178" t="inlineStr">
        <is>
          <t>Hard-code gizleme</t>
        </is>
      </c>
      <c r="E8" s="178" t="inlineStr">
        <is>
          <t>Formül sınıfı kontrolü</t>
        </is>
      </c>
      <c r="F8" s="191" t="inlineStr">
        <is>
          <t>ZORUNLU</t>
        </is>
      </c>
    </row>
    <row r="9" ht="16" customHeight="1">
      <c r="A9" s="190" t="inlineStr">
        <is>
          <t>Grafik sayısı</t>
        </is>
      </c>
      <c r="B9" s="178" t="inlineStr">
        <is>
          <t>Yönetici ekranında en fazla 3 ana karar grafiği</t>
        </is>
      </c>
      <c r="C9" s="178" t="inlineStr">
        <is>
          <t>Trend, karşılaştırma, köprü/dağılım; iş kararına bağlı</t>
        </is>
      </c>
      <c r="D9" s="178" t="inlineStr">
        <is>
          <t>Grafik kalabalığı</t>
        </is>
      </c>
      <c r="E9" s="178" t="inlineStr">
        <is>
          <t>Grafik başına karar sorusu</t>
        </is>
      </c>
      <c r="F9" s="191" t="inlineStr">
        <is>
          <t>ZORUNLU</t>
        </is>
      </c>
    </row>
    <row r="10" ht="16" customHeight="1">
      <c r="A10" s="190" t="inlineStr">
        <is>
          <t>Grafik stili</t>
        </is>
      </c>
      <c r="B10" s="178" t="inlineStr">
        <is>
          <t>Kurumsal ve yüksek okunabilirlik</t>
        </is>
      </c>
      <c r="C10" s="178" t="inlineStr">
        <is>
          <t>Beyaz zemin, ince gridline, tek vurgu rengi, açık birim/başlık</t>
        </is>
      </c>
      <c r="D10" s="178" t="inlineStr">
        <is>
          <t>3B, gölge, neon, gökkuşağı renkleri</t>
        </is>
      </c>
      <c r="E10" s="178" t="inlineStr">
        <is>
          <t>Görsel inceleme</t>
        </is>
      </c>
      <c r="F10" s="191" t="inlineStr">
        <is>
          <t>ZORUNLU</t>
        </is>
      </c>
    </row>
    <row r="11" ht="16" customHeight="1">
      <c r="A11" s="190" t="inlineStr">
        <is>
          <t>Grafik başlığı</t>
        </is>
      </c>
      <c r="B11" s="178" t="inlineStr">
        <is>
          <t>Grafik 'neyi' değil 'ne anlama geldiğini' söyler</t>
        </is>
      </c>
      <c r="C11" s="178" t="inlineStr">
        <is>
          <t>Örn: 'Nakit 2028'de kritik eşiğin altına iniyor'</t>
        </is>
      </c>
      <c r="D11" s="178" t="inlineStr">
        <is>
          <t>'Nakit Grafiği' gibi anlamsız başlık</t>
        </is>
      </c>
      <c r="E11" s="178" t="inlineStr">
        <is>
          <t>Başlık karar testi</t>
        </is>
      </c>
      <c r="F11" s="191" t="inlineStr">
        <is>
          <t>ZORUNLU</t>
        </is>
      </c>
    </row>
    <row r="12" ht="16" customHeight="1">
      <c r="A12" s="190" t="inlineStr">
        <is>
          <t>Birimler</t>
        </is>
      </c>
      <c r="B12" s="178" t="inlineStr">
        <is>
          <t>Tüm finansal görsellerde birim açık</t>
        </is>
      </c>
      <c r="C12" s="178" t="inlineStr">
        <is>
          <t>TL, bin TL, milyon TL, %, gün, x</t>
        </is>
      </c>
      <c r="D12" s="178" t="inlineStr">
        <is>
          <t>Birim belirsizliği</t>
        </is>
      </c>
      <c r="E12" s="178" t="inlineStr">
        <is>
          <t>Birim kapsama %100</t>
        </is>
      </c>
      <c r="F12" s="191" t="inlineStr">
        <is>
          <t>ZORUNLU</t>
        </is>
      </c>
    </row>
    <row r="13" ht="16" customHeight="1">
      <c r="A13" s="190" t="inlineStr">
        <is>
          <t>Sıfır/negatif</t>
        </is>
      </c>
      <c r="B13" s="178" t="inlineStr">
        <is>
          <t>Finansal format standardı</t>
        </is>
      </c>
      <c r="C13" s="178" t="inlineStr">
        <is>
          <t>Sıfır='-', negatif kırmızı parantez</t>
        </is>
      </c>
      <c r="D13" s="178" t="inlineStr">
        <is>
          <t>-500 veya 0,00 kalabalığı</t>
        </is>
      </c>
      <c r="E13" s="178" t="inlineStr">
        <is>
          <t>Format kontrolü</t>
        </is>
      </c>
      <c r="F13" s="191" t="inlineStr">
        <is>
          <t>ZORUNLU</t>
        </is>
      </c>
    </row>
    <row r="14" ht="16" customHeight="1">
      <c r="A14" s="190" t="inlineStr">
        <is>
          <t>Yazı tipi</t>
        </is>
      </c>
      <c r="B14" s="178" t="inlineStr">
        <is>
          <t>Tek aile</t>
        </is>
      </c>
      <c r="C14" s="178" t="inlineStr">
        <is>
          <t>Aptos veya Segoe UI</t>
        </is>
      </c>
      <c r="D14" s="178" t="inlineStr">
        <is>
          <t>Karışık font</t>
        </is>
      </c>
      <c r="E14" s="178" t="inlineStr">
        <is>
          <t>Tek font kontrolü</t>
        </is>
      </c>
      <c r="F14" s="191" t="inlineStr">
        <is>
          <t>ZORUNLU</t>
        </is>
      </c>
    </row>
    <row r="15" ht="16" customHeight="1">
      <c r="A15" s="190" t="inlineStr">
        <is>
          <t>Izgara</t>
        </is>
      </c>
      <c r="B15" s="178" t="inlineStr">
        <is>
          <t>Kullanıcı sayfalarında kapalı</t>
        </is>
      </c>
      <c r="C15" s="178" t="inlineStr">
        <is>
          <t>Bölüm çizgileri ve kart sınırlarıyla düzen</t>
        </is>
      </c>
      <c r="D15" s="178" t="inlineStr">
        <is>
          <t>Excel varsayılan gridline</t>
        </is>
      </c>
      <c r="E15" s="178" t="inlineStr">
        <is>
          <t>Gridline kontrolü</t>
        </is>
      </c>
      <c r="F15" s="191" t="inlineStr">
        <is>
          <t>ZORUNLU</t>
        </is>
      </c>
    </row>
    <row r="16" ht="16" customHeight="1">
      <c r="A16" s="190" t="inlineStr">
        <is>
          <t>Boş durum</t>
        </is>
      </c>
      <c r="B16" s="178" t="inlineStr">
        <is>
          <t>Veri yokken temiz ve anlaşılır</t>
        </is>
      </c>
      <c r="C16" s="178" t="inlineStr">
        <is>
          <t>'Henüz veri yok' / 'Girdi bekleniyor'</t>
        </is>
      </c>
      <c r="D16" s="178" t="inlineStr">
        <is>
          <t>0 yığını / hata kodu</t>
        </is>
      </c>
      <c r="E16" s="178" t="inlineStr">
        <is>
          <t>Boş veri testi</t>
        </is>
      </c>
      <c r="F16" s="191" t="inlineStr">
        <is>
          <t>ZORUNLU</t>
        </is>
      </c>
    </row>
    <row r="17" ht="28" customHeight="1">
      <c r="A17" s="190" t="inlineStr">
        <is>
          <t>Başlangıç deneyimi</t>
        </is>
      </c>
      <c r="B17" s="178" t="inlineStr">
        <is>
          <t>İlk 5 saniyede ne gireceği ve neye bakacağı anlaşılır</t>
        </is>
      </c>
      <c r="C17" s="178" t="inlineStr">
        <is>
          <t>Girdi → durum → aksiyon akışı</t>
        </is>
      </c>
      <c r="D17" s="178" t="inlineStr">
        <is>
          <t>Kılavuz aramaya zorlama</t>
        </is>
      </c>
      <c r="E17" s="178" t="inlineStr">
        <is>
          <t>5 saniye testi</t>
        </is>
      </c>
      <c r="F17" s="191" t="inlineStr">
        <is>
          <t>ZORUNLU</t>
        </is>
      </c>
    </row>
    <row r="18" ht="30" customHeight="1">
      <c r="A18" s="186" t="inlineStr">
        <is>
          <t>Buton standardı</t>
        </is>
      </c>
      <c r="B18" s="187" t="inlineStr">
        <is>
          <t>Buton görünümü verilen her alan gerçek işlev taşır</t>
        </is>
      </c>
      <c r="C18" s="187" t="inlineStr">
        <is>
          <t>Sayfa içi HYPERLINK / gerçek aksiyon; tıklanınca hedefe gider</t>
        </is>
      </c>
      <c r="D18" s="187" t="inlineStr">
        <is>
          <t>İşlevsiz dekoratif buton / sahte navigasyon</t>
        </is>
      </c>
      <c r="E18" s="187" t="inlineStr">
        <is>
          <t>Butonların %100'ü tıklanabilir ve hedefi doğru</t>
        </is>
      </c>
      <c r="F18" s="191" t="inlineStr">
        <is>
          <t>ZORUNLU</t>
        </is>
      </c>
    </row>
    <row r="19" ht="32" customHeight="1">
      <c r="A19" s="186" t="inlineStr">
        <is>
          <t>Native sayfa sekmesi rengi</t>
        </is>
      </c>
      <c r="B19" s="187" t="inlineStr">
        <is>
          <t>Excel alt sheet tabları kurumsal paletle renklendirilir</t>
        </is>
      </c>
      <c r="C19" s="187" t="inlineStr">
        <is>
          <t>Başlangıç/özet=lacivert; girdiler=mavi; hesap/finans=teal; karar/kontrol=burgundy; doküman=gri</t>
        </is>
      </c>
      <c r="D19" s="187" t="inlineStr">
        <is>
          <t>Renksiz sekmeler veya rastgele/gökkuşağı renkleri</t>
        </is>
      </c>
      <c r="E19" s="187" t="inlineStr">
        <is>
          <t>Tüm görünür kullanıcı sheet tabları renkli</t>
        </is>
      </c>
      <c r="F19" s="191" t="inlineStr">
        <is>
          <t>ZORUNLU</t>
        </is>
      </c>
    </row>
    <row r="20" ht="60" customHeight="1">
      <c r="A20" s="186" t="inlineStr">
        <is>
          <t>İş akışı sıralaması</t>
        </is>
      </c>
      <c r="B20" s="187" t="inlineStr">
        <is>
          <t>Sayfalar kullanıcının çalışma sırasına göre fiziksel olarak dizilir</t>
        </is>
      </c>
      <c r="C20" s="18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7" t="inlineStr">
        <is>
          <t>Teknik oluşturma sırasına göre dağınık sheet dizilimi</t>
        </is>
      </c>
      <c r="E20" s="187" t="inlineStr">
        <is>
          <t>Sheet order = tanımlı workflow</t>
        </is>
      </c>
      <c r="F20" s="191" t="inlineStr">
        <is>
          <t>ZORUNLU</t>
        </is>
      </c>
    </row>
    <row r="21" ht="30" customHeight="1">
      <c r="A21" s="186" t="inlineStr">
        <is>
          <t>Kurumsal renk paleti</t>
        </is>
      </c>
      <c r="B21" s="187" t="inlineStr">
        <is>
          <t>Sekme, başlık, buton ve vurgu renkleri tek kurumsal paletten gelir</t>
        </is>
      </c>
      <c r="C21" s="187" t="inlineStr">
        <is>
          <t>Lacivert + mavi + teal + kontrollü burgundy/gri; kategori semantiği sabit</t>
        </is>
      </c>
      <c r="D21" s="187" t="inlineStr">
        <is>
          <t>Neon, rastgele yüksek doygunluk, her sayfada farklı bağımsız renk</t>
        </is>
      </c>
      <c r="E21" s="187" t="inlineStr">
        <is>
          <t>Palette token kontrolü</t>
        </is>
      </c>
      <c r="F21" s="191" t="inlineStr">
        <is>
          <t>ZORUNLU</t>
        </is>
      </c>
    </row>
    <row r="22" ht="45" customHeight="1">
      <c r="A22" s="186" t="inlineStr">
        <is>
          <t>Premium vitrin</t>
        </is>
      </c>
      <c r="B22" s="187" t="inlineStr">
        <is>
          <t>Görsel kalite ürün değerinin zorunlu parçasıdır</t>
        </is>
      </c>
      <c r="C22" s="187" t="inlineStr">
        <is>
          <t>Kaliteli grafik, gerçek KPI kartı, finansal hiyerarşi, tab rengi, fonksiyonel navigasyon</t>
        </is>
      </c>
      <c r="D22" s="187" t="inlineStr">
        <is>
          <t>Sadece doğru hesap yapıp çıplak/varsayılan Excel görünümü bırakmak</t>
        </is>
      </c>
      <c r="E22" s="187" t="inlineStr">
        <is>
          <t>Görsel release incelemesi</t>
        </is>
      </c>
      <c r="F22" s="191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92" t="inlineStr">
        <is>
          <t>TÜRKİYE MUHASEBE VE TEKDÜZEN HESAP PLANI STANDARDI</t>
        </is>
      </c>
    </row>
    <row r="3" ht="24" customHeight="1">
      <c r="A3" s="193" t="inlineStr">
        <is>
          <t>Konu</t>
        </is>
      </c>
      <c r="B3" s="193" t="inlineStr">
        <is>
          <t>Zorunlu Standart</t>
        </is>
      </c>
      <c r="C3" s="193" t="inlineStr">
        <is>
          <t>Örnek Türkçe Ad</t>
        </is>
      </c>
      <c r="D3" s="193" t="inlineStr">
        <is>
          <t>THP / Mantık</t>
        </is>
      </c>
      <c r="E3" s="193" t="inlineStr">
        <is>
          <t>Hata Riski</t>
        </is>
      </c>
      <c r="F3" s="193" t="inlineStr">
        <is>
          <t>Kontrol</t>
        </is>
      </c>
    </row>
    <row r="4">
      <c r="A4" s="194" t="inlineStr">
        <is>
          <t>Dil</t>
        </is>
      </c>
      <c r="B4" s="178" t="inlineStr">
        <is>
          <t>Kullanıcıya görünen finansal terimler Türkçe</t>
        </is>
      </c>
      <c r="C4" s="178" t="inlineStr">
        <is>
          <t>Hasılat, Satışların Maliyeti, Brüt Kâr, Faaliyet Giderleri</t>
        </is>
      </c>
      <c r="D4" s="178" t="inlineStr">
        <is>
          <t>Türk işletme kullanımına uygun</t>
        </is>
      </c>
      <c r="E4" s="178" t="inlineStr">
        <is>
          <t>İngilizce jargon</t>
        </is>
      </c>
      <c r="F4" s="178" t="inlineStr">
        <is>
          <t>Terminoloji taraması</t>
        </is>
      </c>
    </row>
    <row r="5" ht="28" customHeight="1">
      <c r="A5" s="194" t="inlineStr">
        <is>
          <t>Gelir Tablosu</t>
        </is>
      </c>
      <c r="B5" s="178" t="inlineStr">
        <is>
          <t>Türk sunum sırası kullanılır</t>
        </is>
      </c>
      <c r="C5" s="178" t="inlineStr">
        <is>
          <t>Net Satışlar → Satışların Maliyeti → Brüt Kâr → Faaliyet Giderleri → Faaliyet Kârı</t>
        </is>
      </c>
      <c r="D5" s="178" t="inlineStr">
        <is>
          <t>600/610/611; 620-623; 63x</t>
        </is>
      </c>
      <c r="E5" s="178" t="inlineStr">
        <is>
          <t>Yanlış sınıflama</t>
        </is>
      </c>
      <c r="F5" s="178" t="inlineStr">
        <is>
          <t>Hesap eşleme</t>
        </is>
      </c>
    </row>
    <row r="6" ht="28" customHeight="1">
      <c r="A6" s="194" t="inlineStr">
        <is>
          <t>Bilanço</t>
        </is>
      </c>
      <c r="B6" s="178" t="inlineStr">
        <is>
          <t>Dönen/Duran Varlık ve Kısa/Uzun Vadeli Yükümlülük ayrımı</t>
        </is>
      </c>
      <c r="C6" s="178" t="inlineStr">
        <is>
          <t>Hazır Değerler, Ticari Alacaklar, Stoklar, Mali Borçlar</t>
        </is>
      </c>
      <c r="D6" s="178" t="inlineStr">
        <is>
          <t>1xx / 2xx / 3xx / 4xx / 5xx</t>
        </is>
      </c>
      <c r="E6" s="178" t="inlineStr">
        <is>
          <t>Vade sınıfı hatası</t>
        </is>
      </c>
      <c r="F6" s="178" t="inlineStr">
        <is>
          <t>Bilanço eşitliği</t>
        </is>
      </c>
    </row>
    <row r="7">
      <c r="A7" s="194" t="inlineStr">
        <is>
          <t>Nakit Akışı</t>
        </is>
      </c>
      <c r="B7" s="178" t="inlineStr">
        <is>
          <t>İşletme/Yatırım/Finansman nakit akışları ayrılır</t>
        </is>
      </c>
      <c r="C7" s="178" t="inlineStr">
        <is>
          <t>Faaliyetlerden Nakit, Yatırım Harcamaları, Finansman Nakit Akışı</t>
        </is>
      </c>
      <c r="D7" s="178" t="inlineStr">
        <is>
          <t>Dolaylı/doğrudan yöntem açık seçilir</t>
        </is>
      </c>
      <c r="E7" s="178" t="inlineStr">
        <is>
          <t>Kâr = nakit sanılması</t>
        </is>
      </c>
      <c r="F7" s="178" t="inlineStr">
        <is>
          <t>Nakit devri</t>
        </is>
      </c>
    </row>
    <row r="8">
      <c r="A8" s="194" t="inlineStr">
        <is>
          <t>Ticari Alacaklar</t>
        </is>
      </c>
      <c r="B8" s="178" t="inlineStr">
        <is>
          <t>Cari ve vade mantığı korunur</t>
        </is>
      </c>
      <c r="C8" s="178" t="inlineStr">
        <is>
          <t>120 Alıcılar</t>
        </is>
      </c>
      <c r="D8" s="178" t="inlineStr">
        <is>
          <t>120</t>
        </is>
      </c>
      <c r="E8" s="178" t="inlineStr">
        <is>
          <t>Tahakkuk/nakit karışması</t>
        </is>
      </c>
      <c r="F8" s="178" t="inlineStr">
        <is>
          <t>Alacak devir kontrolü</t>
        </is>
      </c>
    </row>
    <row r="9">
      <c r="A9" s="194" t="inlineStr">
        <is>
          <t>Ticari Borçlar</t>
        </is>
      </c>
      <c r="B9" s="178" t="inlineStr">
        <is>
          <t>Tedarikçi borcu ayrı izlenir</t>
        </is>
      </c>
      <c r="C9" s="178" t="inlineStr">
        <is>
          <t>320 Satıcılar</t>
        </is>
      </c>
      <c r="D9" s="178" t="inlineStr">
        <is>
          <t>320</t>
        </is>
      </c>
      <c r="E9" s="178" t="inlineStr">
        <is>
          <t>Gider/ödeme karışması</t>
        </is>
      </c>
      <c r="F9" s="178" t="inlineStr">
        <is>
          <t>Borç devir kontrolü</t>
        </is>
      </c>
    </row>
    <row r="10">
      <c r="A10" s="194" t="inlineStr">
        <is>
          <t>Kasa/Banka</t>
        </is>
      </c>
      <c r="B10" s="178" t="inlineStr">
        <is>
          <t>Hazır değerler ayrı izlenir</t>
        </is>
      </c>
      <c r="C10" s="178" t="inlineStr">
        <is>
          <t>100 Kasa, 102 Bankalar</t>
        </is>
      </c>
      <c r="D10" s="178" t="inlineStr">
        <is>
          <t>100 / 102</t>
        </is>
      </c>
      <c r="E10" s="178" t="inlineStr">
        <is>
          <t>Virmanla toplam nakdin değişmesi</t>
        </is>
      </c>
      <c r="F10" s="178" t="inlineStr">
        <is>
          <t>Virman değişmezi</t>
        </is>
      </c>
    </row>
    <row r="11">
      <c r="A11" s="194" t="inlineStr">
        <is>
          <t>Stok</t>
        </is>
      </c>
      <c r="B11" s="178" t="inlineStr">
        <is>
          <t>Dikeye uygun stok türü</t>
        </is>
      </c>
      <c r="C11" s="178" t="inlineStr">
        <is>
          <t>150 İlk Madde ve Malzeme, 153 Ticari Mallar</t>
        </is>
      </c>
      <c r="D11" s="178" t="inlineStr">
        <is>
          <t>15x</t>
        </is>
      </c>
      <c r="E11" s="178" t="inlineStr">
        <is>
          <t>Maliyet ve stok hareketinin kopması</t>
        </is>
      </c>
      <c r="F11" s="178" t="inlineStr">
        <is>
          <t>Stok devri</t>
        </is>
      </c>
    </row>
    <row r="12" ht="28" customHeight="1">
      <c r="A12" s="194" t="inlineStr">
        <is>
          <t>Maddi Duran Varlık</t>
        </is>
      </c>
      <c r="B12" s="178" t="inlineStr">
        <is>
          <t>Yatırım harcaması ve amortisman bağlantılı</t>
        </is>
      </c>
      <c r="C12" s="178" t="inlineStr">
        <is>
          <t>253 Tesis Makine Cihazlar, 255 Demirbaşlar, 257 Birikmiş Amortismanlar</t>
        </is>
      </c>
      <c r="D12" s="178" t="inlineStr">
        <is>
          <t>25x</t>
        </is>
      </c>
      <c r="E12" s="178" t="inlineStr">
        <is>
          <t>Yatırım/gider karışması</t>
        </is>
      </c>
      <c r="F12" s="178" t="inlineStr">
        <is>
          <t>Net defter değeri devri</t>
        </is>
      </c>
    </row>
    <row r="13">
      <c r="A13" s="194" t="inlineStr">
        <is>
          <t>Mali Borçlar</t>
        </is>
      </c>
      <c r="B13" s="178" t="inlineStr">
        <is>
          <t>Kısa/uzun vadeli borç ayrımı</t>
        </is>
      </c>
      <c r="C13" s="178" t="inlineStr">
        <is>
          <t>300 Banka Kredileri / 400 Banka Kredileri</t>
        </is>
      </c>
      <c r="D13" s="178" t="inlineStr">
        <is>
          <t>300 / 400</t>
        </is>
      </c>
      <c r="E13" s="178" t="inlineStr">
        <is>
          <t>Vade sınıfı yanlış</t>
        </is>
      </c>
      <c r="F13" s="178" t="inlineStr">
        <is>
          <t>Borç devri</t>
        </is>
      </c>
    </row>
    <row r="14">
      <c r="A14" s="194" t="inlineStr">
        <is>
          <t>Özkaynak</t>
        </is>
      </c>
      <c r="B14" s="178" t="inlineStr">
        <is>
          <t>Sermaye ve geçmiş yıl kârları ayrı</t>
        </is>
      </c>
      <c r="C14" s="178" t="inlineStr">
        <is>
          <t>500 Sermaye, 570 Geçmiş Yıllar Kârları, 590 Dönem Net Kârı</t>
        </is>
      </c>
      <c r="D14" s="178" t="inlineStr">
        <is>
          <t>5xx</t>
        </is>
      </c>
      <c r="E14" s="178" t="inlineStr">
        <is>
          <t>Net kâr bağının kopması</t>
        </is>
      </c>
      <c r="F14" s="178" t="inlineStr">
        <is>
          <t>Özkaynak devri</t>
        </is>
      </c>
    </row>
    <row r="15">
      <c r="A15" s="194" t="inlineStr">
        <is>
          <t>Vergi</t>
        </is>
      </c>
      <c r="B15" s="178" t="inlineStr">
        <is>
          <t>Vergi satırları Türkiye mantığına uygun</t>
        </is>
      </c>
      <c r="C15" s="178" t="inlineStr">
        <is>
          <t>Dönem Vergi ve Diğer Yasal Yükümlülük Karşılıkları</t>
        </is>
      </c>
      <c r="D15" s="178" t="inlineStr">
        <is>
          <t>37x / ilgili vergi hesapları</t>
        </is>
      </c>
      <c r="E15" s="178" t="inlineStr">
        <is>
          <t>Vergi etkisinin yanlış dönemlenmesi</t>
        </is>
      </c>
      <c r="F15" s="178" t="inlineStr">
        <is>
          <t>Vergi sözleşmesi</t>
        </is>
      </c>
    </row>
    <row r="16">
      <c r="A16" s="194" t="inlineStr">
        <is>
          <t>İsim standardı</t>
        </is>
      </c>
      <c r="B16" s="178" t="inlineStr">
        <is>
          <t>Tablo ve sayfa adları Türkçe ve işlevsel</t>
        </is>
      </c>
      <c r="C16" s="178" t="inlineStr">
        <is>
          <t>GELİR_TABLOSU, BİLANÇO, NAKİT_AKISI, BORC_PLANI</t>
        </is>
      </c>
      <c r="D16" s="178" t="inlineStr">
        <is>
          <t>Tekrarlanabilir standart</t>
        </is>
      </c>
      <c r="E16" s="178" t="inlineStr">
        <is>
          <t>İngilizce/karma isim</t>
        </is>
      </c>
      <c r="F16" s="178" t="inlineStr">
        <is>
          <t>Sayfa ve tablo taraması</t>
        </is>
      </c>
    </row>
    <row r="17">
      <c r="A17" s="194" t="inlineStr">
        <is>
          <t>THP eşleme tablosu</t>
        </is>
      </c>
      <c r="B17" s="178" t="inlineStr">
        <is>
          <t>Her kritik satır en az bir THP hesabına bağlanır</t>
        </is>
      </c>
      <c r="C17" s="178" t="inlineStr">
        <is>
          <t>RaporSatırı → HesapKodu → HesapAdı → İşaret → Dönem</t>
        </is>
      </c>
      <c r="D17" s="178" t="inlineStr">
        <is>
          <t>Kaynak izlenebilirliği</t>
        </is>
      </c>
      <c r="E17" s="178" t="inlineStr">
        <is>
          <t>Rapordan rapora kaynak</t>
        </is>
      </c>
      <c r="F17" s="178" t="inlineStr">
        <is>
          <t>Eşleme kapsama %100</t>
        </is>
      </c>
    </row>
    <row r="18">
      <c r="A18" s="194" t="inlineStr">
        <is>
          <t>İstisna</t>
        </is>
      </c>
      <c r="B18" s="178" t="inlineStr">
        <is>
          <t>TFRS özel ürün varsa fark açık yazılır</t>
        </is>
      </c>
      <c r="C18" s="178" t="inlineStr">
        <is>
          <t>Tekdüzen raporlama ≠ TFRS finansal tablo sunumu</t>
        </is>
      </c>
      <c r="D18" s="178" t="inlineStr">
        <is>
          <t>Amaç belirtilir</t>
        </is>
      </c>
      <c r="E18" s="178" t="inlineStr">
        <is>
          <t>Standartları karıştırma</t>
        </is>
      </c>
      <c r="F18" s="178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5" t="inlineStr">
        <is>
          <t>KARAR, GÜVEN VE SATIŞA HAZIRLIK STANDARDI</t>
        </is>
      </c>
    </row>
    <row r="3" ht="24" customHeight="1">
      <c r="A3" s="196" t="inlineStr">
        <is>
          <t>Alan</t>
        </is>
      </c>
      <c r="B3" s="196" t="inlineStr">
        <is>
          <t>Müşteri Sorusu</t>
        </is>
      </c>
      <c r="C3" s="196" t="inlineStr">
        <is>
          <t>Zorunlu Ürün Davranışı</t>
        </is>
      </c>
      <c r="D3" s="196" t="inlineStr">
        <is>
          <t>Kanıt</t>
        </is>
      </c>
      <c r="E3" s="196" t="inlineStr">
        <is>
          <t>Başarısızlık Durumu</t>
        </is>
      </c>
      <c r="F3" s="196" t="inlineStr">
        <is>
          <t>Kapı</t>
        </is>
      </c>
    </row>
    <row r="4">
      <c r="A4" s="197" t="inlineStr">
        <is>
          <t>5 saniye</t>
        </is>
      </c>
      <c r="B4" s="178" t="inlineStr">
        <is>
          <t>Bu ürün neyi çözüyor?</t>
        </is>
      </c>
      <c r="C4" s="178" t="inlineStr">
        <is>
          <t>İlk ekranda hedef kullanıcı + pahalı problem + sonuç görünür</t>
        </is>
      </c>
      <c r="D4" s="178" t="inlineStr">
        <is>
          <t>Başlık + alt mesaj + gerçek ekran</t>
        </is>
      </c>
      <c r="E4" s="178" t="inlineStr">
        <is>
          <t>Ürün yalnız teknik isim</t>
        </is>
      </c>
      <c r="F4" s="198" t="inlineStr">
        <is>
          <t>HATA</t>
        </is>
      </c>
    </row>
    <row r="5">
      <c r="A5" s="197" t="inlineStr">
        <is>
          <t>Acı</t>
        </is>
      </c>
      <c r="B5" s="178" t="inlineStr">
        <is>
          <t>Sorun bana neye mal oluyor?</t>
        </is>
      </c>
      <c r="C5" s="178" t="inlineStr">
        <is>
          <t>Mümkünse müşterinin kendi verisiyle parasal/zaman etkisi hesaplanır</t>
        </is>
      </c>
      <c r="D5" s="178" t="inlineStr">
        <is>
          <t>ROI/acı hesaplama yöntemi</t>
        </is>
      </c>
      <c r="E5" s="178" t="inlineStr">
        <is>
          <t>Uydurma tasarruf</t>
        </is>
      </c>
      <c r="F5" s="198" t="inlineStr">
        <is>
          <t>HATA</t>
        </is>
      </c>
    </row>
    <row r="6">
      <c r="A6" s="197" t="inlineStr">
        <is>
          <t>Karar</t>
        </is>
      </c>
      <c r="B6" s="178" t="inlineStr">
        <is>
          <t>Bu bilgiyle ne yapacağım?</t>
        </is>
      </c>
      <c r="C6" s="178" t="inlineStr">
        <is>
          <t>Her kritik KPI aksiyona bağlanır</t>
        </is>
      </c>
      <c r="D6" s="178" t="inlineStr">
        <is>
          <t>KARAR_KUYRUGU</t>
        </is>
      </c>
      <c r="E6" s="178" t="inlineStr">
        <is>
          <t>Sadece rapor</t>
        </is>
      </c>
      <c r="F6" s="198" t="inlineStr">
        <is>
          <t>HATA</t>
        </is>
      </c>
    </row>
    <row r="7">
      <c r="A7" s="197" t="inlineStr">
        <is>
          <t>Güven</t>
        </is>
      </c>
      <c r="B7" s="178" t="inlineStr">
        <is>
          <t>Bu sayıya neden inanayım?</t>
        </is>
      </c>
      <c r="C7" s="178" t="inlineStr">
        <is>
          <t>Kaynak, formül mantığı, kontrol ve son doğrulama görünür</t>
        </is>
      </c>
      <c r="D7" s="178" t="inlineStr">
        <is>
          <t>Kontroller + kaynak izi + sürüm</t>
        </is>
      </c>
      <c r="E7" s="178" t="inlineStr">
        <is>
          <t>Prestij kelimesi</t>
        </is>
      </c>
      <c r="F7" s="198" t="inlineStr">
        <is>
          <t>HATA</t>
        </is>
      </c>
    </row>
    <row r="8">
      <c r="A8" s="197" t="inlineStr">
        <is>
          <t>Referans</t>
        </is>
      </c>
      <c r="B8" s="178" t="inlineStr">
        <is>
          <t>Müşteri yorumu yoksa ne göstereceğim?</t>
        </is>
      </c>
      <c r="C8" s="178" t="inlineStr">
        <is>
          <t>Önce/Sonra + Karar Vakası + Hata Önleme Vakası üretilir</t>
        </is>
      </c>
      <c r="D8" s="178" t="inlineStr">
        <is>
          <t>Demo/örnek çıktı</t>
        </is>
      </c>
      <c r="E8" s="178" t="inlineStr">
        <is>
          <t>Kanıtsız iddia</t>
        </is>
      </c>
      <c r="F8" s="198" t="inlineStr">
        <is>
          <t>HATA</t>
        </is>
      </c>
    </row>
    <row r="9">
      <c r="A9" s="197" t="inlineStr">
        <is>
          <t>Senaryo</t>
        </is>
      </c>
      <c r="B9" s="178" t="inlineStr">
        <is>
          <t>Ne olursa işler bozulur?</t>
        </is>
      </c>
      <c r="C9" s="178" t="inlineStr">
        <is>
          <t>Baz/Aşağı/Yukarı veya uygun stres senaryosu</t>
        </is>
      </c>
      <c r="D9" s="178" t="inlineStr">
        <is>
          <t>Senaryo karşılaştırma</t>
        </is>
      </c>
      <c r="E9" s="178" t="inlineStr">
        <is>
          <t>Dekoratif senaryo</t>
        </is>
      </c>
      <c r="F9" s="198" t="inlineStr">
        <is>
          <t>HATA</t>
        </is>
      </c>
    </row>
    <row r="10">
      <c r="A10" s="197" t="inlineStr">
        <is>
          <t>Ters stres</t>
        </is>
      </c>
      <c r="B10" s="178" t="inlineStr">
        <is>
          <t>Hangi eşikte karar kırılır?</t>
        </is>
      </c>
      <c r="C10" s="178" t="inlineStr">
        <is>
          <t>En az bir kritik sürücü için kırılma eşiği</t>
        </is>
      </c>
      <c r="D10" s="178" t="inlineStr">
        <is>
          <t>Kırılma eşiği tablosu</t>
        </is>
      </c>
      <c r="E10" s="178" t="inlineStr">
        <is>
          <t>Sadece +/- %10</t>
        </is>
      </c>
      <c r="F10" s="198" t="inlineStr">
        <is>
          <t>UYARI/HATA</t>
        </is>
      </c>
    </row>
    <row r="11">
      <c r="A11" s="197" t="inlineStr">
        <is>
          <t>Hata tutarlılığı</t>
        </is>
      </c>
      <c r="B11" s="178" t="inlineStr">
        <is>
          <t>Formül hata verirse ne olur?</t>
        </is>
      </c>
      <c r="C11" s="178" t="inlineStr">
        <is>
          <t>Kontrol GEÇTİ veremez; BLOKE/HATA üretir</t>
        </is>
      </c>
      <c r="D11" s="178" t="inlineStr">
        <is>
          <t>Hata taraması</t>
        </is>
      </c>
      <c r="E11" s="178" t="inlineStr">
        <is>
          <t>Hata + GEÇTİ birlikte</t>
        </is>
      </c>
      <c r="F11" s="198" t="inlineStr">
        <is>
          <t>HATA</t>
        </is>
      </c>
    </row>
    <row r="12">
      <c r="A12" s="197" t="inlineStr">
        <is>
          <t>Karar motoru</t>
        </is>
      </c>
      <c r="B12" s="178" t="inlineStr">
        <is>
          <t>Ne oldu, neden oldu?</t>
        </is>
      </c>
      <c r="C12" s="178" t="inlineStr">
        <is>
          <t>Sorun + neden + parasal etki + aksiyon + son tarih</t>
        </is>
      </c>
      <c r="D12" s="178" t="inlineStr">
        <is>
          <t>Karar tablosu</t>
        </is>
      </c>
      <c r="E12" s="178" t="inlineStr">
        <is>
          <t>Boş sayfa / isim düzeyi modül</t>
        </is>
      </c>
      <c r="F12" s="198" t="inlineStr">
        <is>
          <t>HATA</t>
        </is>
      </c>
    </row>
    <row r="13">
      <c r="A13" s="197" t="inlineStr">
        <is>
          <t>Yönetici özeti</t>
        </is>
      </c>
      <c r="B13" s="178" t="inlineStr">
        <is>
          <t>5 saniyede ne görmeliyim?</t>
        </is>
      </c>
      <c r="C13" s="178" t="inlineStr">
        <is>
          <t>Bugün / ne değişti / ne bozulacak / neden / ne yapmalıyım / güven</t>
        </is>
      </c>
      <c r="D13" s="178" t="inlineStr">
        <is>
          <t>Yönetici özeti ekranı</t>
        </is>
      </c>
      <c r="E13" s="178" t="inlineStr">
        <is>
          <t>KPI kutusu yığını</t>
        </is>
      </c>
      <c r="F13" s="198" t="inlineStr">
        <is>
          <t>HATA</t>
        </is>
      </c>
    </row>
    <row r="14">
      <c r="A14" s="197" t="inlineStr">
        <is>
          <t>Teklif</t>
        </is>
      </c>
      <c r="B14" s="178" t="inlineStr">
        <is>
          <t>Neden satın almalıyım?</t>
        </is>
      </c>
      <c r="C14" s="178" t="inlineStr">
        <is>
          <t>Dosya özellikleri yerine sonuç ve kaçınılan maliyet sunulur</t>
        </is>
      </c>
      <c r="D14" s="178" t="inlineStr">
        <is>
          <t>Ürün sayfası kanıt eşlemesi</t>
        </is>
      </c>
      <c r="E14" s="178" t="inlineStr">
        <is>
          <t>Özellik listesiyle satış</t>
        </is>
      </c>
      <c r="F14" s="198" t="inlineStr">
        <is>
          <t>HATA</t>
        </is>
      </c>
    </row>
    <row r="15">
      <c r="A15" s="197" t="inlineStr">
        <is>
          <t>Dağıtım</t>
        </is>
      </c>
      <c r="B15" s="178" t="inlineStr">
        <is>
          <t>Beni nasıl bulacaklar?</t>
        </is>
      </c>
      <c r="C15" s="178" t="inlineStr">
        <is>
          <t>Sorun niyetine göre SEO sayfaları, iç bağlantı, temiz yapı, taranabilir metin</t>
        </is>
      </c>
      <c r="D15" s="178" t="inlineStr">
        <is>
          <t>Arama niyeti haritası</t>
        </is>
      </c>
      <c r="E15" s="178" t="inlineStr">
        <is>
          <t>Tek ürün sayfasına bağımlılık</t>
        </is>
      </c>
      <c r="F15" s="198" t="inlineStr">
        <is>
          <t>UYARI</t>
        </is>
      </c>
    </row>
    <row r="16" ht="28" customHeight="1">
      <c r="A16" s="197" t="inlineStr">
        <is>
          <t>LLM görünürlüğü</t>
        </is>
      </c>
      <c r="B16" s="178" t="inlineStr">
        <is>
          <t>AI ürünümü anlayabiliyor mu?</t>
        </is>
      </c>
      <c r="C16" s="178" t="inlineStr">
        <is>
          <t>Ürün tanımı, hedef kullanıcı, girdi/çıktı, metodoloji, sınırlar, SSS açık metindir</t>
        </is>
      </c>
      <c r="D16" s="178" t="inlineStr">
        <is>
          <t>Taranabilir ürün içeriği</t>
        </is>
      </c>
      <c r="E16" s="178" t="inlineStr">
        <is>
          <t>'AI SEO' iddiası</t>
        </is>
      </c>
      <c r="F16" s="198" t="inlineStr">
        <is>
          <t>UYARI</t>
        </is>
      </c>
    </row>
    <row r="17">
      <c r="A17" s="197" t="inlineStr">
        <is>
          <t>Satış kanalı</t>
        </is>
      </c>
      <c r="B17" s="178" t="inlineStr">
        <is>
          <t>Nerede satılmalı?</t>
        </is>
      </c>
      <c r="C17" s="178" t="inlineStr">
        <is>
          <t>Arama, LinkedIn, uzman/partner, demo/video; ürüne göre kanal seçilir</t>
        </is>
      </c>
      <c r="D17" s="178" t="inlineStr">
        <is>
          <t>Kanal matrisi</t>
        </is>
      </c>
      <c r="E17" s="178" t="inlineStr">
        <is>
          <t>Her ürüne aynı kanal</t>
        </is>
      </c>
      <c r="F17" s="198" t="inlineStr">
        <is>
          <t>UYARI</t>
        </is>
      </c>
    </row>
    <row r="18">
      <c r="A18" s="197" t="inlineStr">
        <is>
          <t>Fiyat</t>
        </is>
      </c>
      <c r="B18" s="178" t="inlineStr">
        <is>
          <t>Bu fiyat neden mantıklı?</t>
        </is>
      </c>
      <c r="C18" s="178" t="inlineStr">
        <is>
          <t>Fiyat, ekonomik karar değerine ve kanıtlanmış ürün derinliğine bağlanır</t>
        </is>
      </c>
      <c r="D18" s="178" t="inlineStr">
        <is>
          <t>Değer haritası + demo</t>
        </is>
      </c>
      <c r="E18" s="178" t="inlineStr">
        <is>
          <t>Sırf sayfa/formül sayısı</t>
        </is>
      </c>
      <c r="F18" s="198" t="inlineStr">
        <is>
          <t>HATA</t>
        </is>
      </c>
    </row>
    <row r="19">
      <c r="A19" s="197" t="inlineStr">
        <is>
          <t>Pazar kanıtı</t>
        </is>
      </c>
      <c r="B19" s="178" t="inlineStr">
        <is>
          <t>Piyasa gerçekten ödüyor mu?</t>
        </is>
      </c>
      <c r="C19" s="178" t="inlineStr">
        <is>
          <t>Satış/pilot/LOI/fiyat kabulü olmadan pazar doğrulandı yazılmaz</t>
        </is>
      </c>
      <c r="D19" s="178" t="inlineStr">
        <is>
          <t>Gerçek işlem kanıtı</t>
        </is>
      </c>
      <c r="E19" s="178" t="inlineStr">
        <is>
          <t>Tahmini talep = satış kabulü</t>
        </is>
      </c>
      <c r="F19" s="198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Banka Kredi + Covenant Erken Uyarı</t>
        </is>
      </c>
    </row>
    <row r="3" ht="30" customHeight="1">
      <c r="A3" s="3" t="inlineStr">
        <is>
          <t>Banka Kredi + Covenant Erken Uyarı</t>
        </is>
      </c>
    </row>
    <row r="4">
      <c r="A4" s="4" t="inlineStr">
        <is>
          <t>Kredi bakiyesi, faiz, FAVÖK, net borç, cari oran ve DSCR girdilerini girin; covenant sapması, erken uyarı skoru ve UYGUN / UYARI / İHLAL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DSCR, borç/FAVÖK, cari eşikleri</t>
        </is>
      </c>
    </row>
    <row r="8">
      <c r="A8" s="6" t="inlineStr">
        <is>
          <t>• Covenant sapma, erken uyarı skoru ve faiz yükü yan yana</t>
        </is>
      </c>
    </row>
    <row r="9">
      <c r="A9" s="6" t="inlineStr">
        <is>
          <t>• İZLEME→UYARI→İHLAL→İYİLEŞTİRME/KAPALI durum makinesi (A3)</t>
        </is>
      </c>
    </row>
    <row r="10">
      <c r="A10" s="6" t="inlineStr">
        <is>
          <t>• Baz / iyimser / kötümser + M-SEN (DSCR eşiği +0,05) senaryoları</t>
        </is>
      </c>
    </row>
    <row r="11">
      <c r="A11" s="6" t="inlineStr">
        <is>
          <t>• Altın vakalar ve KANIT_RAPORU (A4 imza) + belirsizlik: covenant eşik yorumu A/B</t>
        </is>
      </c>
    </row>
    <row r="13">
      <c r="A13" s="5" t="inlineStr">
        <is>
          <t>Kimler için?</t>
        </is>
      </c>
    </row>
    <row r="14">
      <c r="A14" s="7" t="inlineStr">
        <is>
          <t>• Hazine — DSCR ve borç/FAVÖK sapmasını bankaya raporlamak</t>
        </is>
      </c>
    </row>
    <row r="15">
      <c r="A15" s="7" t="inlineStr">
        <is>
          <t>• CFO — UYGUN / UYARI / İHLAL kararını kredi komitesine yazmak</t>
        </is>
      </c>
    </row>
    <row r="16">
      <c r="A16" s="7" t="inlineStr">
        <is>
          <t>• Banka / denetçi — imzalı kanıt ve durum zincirini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AKIS süreç → 5) KANIT_RAPORU.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HIZLI BASLANGIC — Banka Kredi + Covenant Erken Uyarı</t>
        </is>
      </c>
    </row>
    <row r="3">
      <c r="A3" s="9" t="inlineStr">
        <is>
          <t>Üç adımda sonuç</t>
        </is>
      </c>
    </row>
    <row r="10">
      <c r="A10" s="10" t="inlineStr">
        <is>
          <t>Adım 1 — Girdiler</t>
        </is>
      </c>
    </row>
    <row r="11">
      <c r="A11" s="6" t="inlineStr">
        <is>
          <t>GIRDI'de kredi bakiyesi, faiz, FAVÖK, net borç, cari, DSCR ve yorum A/B girin.</t>
        </is>
      </c>
    </row>
    <row r="12">
      <c r="A12" s="10" t="inlineStr">
        <is>
          <t>Adım 2 — Karar</t>
        </is>
      </c>
    </row>
    <row r="13">
      <c r="A13" s="6" t="inlineStr">
        <is>
          <t>PANO'da sapma, erken uyarı skoru ve UYGUN / UYARI / İHLAL rozetini izleyin.</t>
        </is>
      </c>
    </row>
    <row r="14">
      <c r="A14" s="11" t="inlineStr">
        <is>
          <t>Sık yapılan hatalar</t>
        </is>
      </c>
    </row>
    <row r="15">
      <c r="A15" s="6" t="inlineStr">
        <is>
          <t>• FAVÖK'ü sıfır veya negatif bırakmak (borç/FAVÖK ve faiz yükü bozulur)</t>
        </is>
      </c>
    </row>
    <row r="16">
      <c r="A16" s="6" t="inlineStr">
        <is>
          <t>• DSCR'yi yüzde yerine oran yazmamak (1,45 = 1,45x)</t>
        </is>
      </c>
    </row>
    <row r="17">
      <c r="A17" s="6" t="inlineStr">
        <is>
          <t>• Cari oranı yüzde olarak 125 yazmak (doğrusu 1,25)</t>
        </is>
      </c>
    </row>
    <row r="18">
      <c r="A18" s="6" t="inlineStr">
        <is>
          <t>• AKIS'te kaynak kart kimliğini boş bırakmak (YETİM riski)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5:T15"/>
    <mergeCell ref="A13:T13"/>
    <mergeCell ref="A11:T11"/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Banka Kredi + Covenant Erken Uyarı</t>
        </is>
      </c>
    </row>
    <row r="3">
      <c r="A3" s="9" t="inlineStr">
        <is>
          <t>Şirket ve covenant girdileri</t>
        </is>
      </c>
    </row>
    <row r="4">
      <c r="A4" s="4" t="inlineStr">
        <is>
          <t>Sarı hücreler manuel giriştir. Eşikler KURALLAR'dan; sapma ve karar formülle üretilir.</t>
        </is>
      </c>
    </row>
    <row r="5">
      <c r="A5" s="28" t="inlineStr">
        <is>
          <t>Alan</t>
        </is>
      </c>
      <c r="B5" s="28" t="inlineStr">
        <is>
          <t>Değer</t>
        </is>
      </c>
      <c r="C5" s="28" t="inlineStr">
        <is>
          <t>Birim</t>
        </is>
      </c>
    </row>
    <row r="6">
      <c r="A6" s="7" t="inlineStr">
        <is>
          <t>Şirket Adı</t>
        </is>
      </c>
      <c r="B6" s="29" t="inlineStr">
        <is>
          <t>Örnek Sanayi A.Ş.</t>
        </is>
      </c>
      <c r="C6" s="26" t="inlineStr">
        <is>
          <t>metin</t>
        </is>
      </c>
    </row>
    <row r="7">
      <c r="A7" s="7" t="inlineStr">
        <is>
          <t>Dönem</t>
        </is>
      </c>
      <c r="B7" s="29" t="inlineStr">
        <is>
          <t>2026-Q2</t>
        </is>
      </c>
      <c r="C7" s="26" t="inlineStr">
        <is>
          <t>metin</t>
        </is>
      </c>
    </row>
    <row r="8">
      <c r="A8" s="7" t="inlineStr">
        <is>
          <t>Hesap Yılı</t>
        </is>
      </c>
      <c r="B8" s="30" t="n">
        <v>2026</v>
      </c>
      <c r="C8" s="26" t="inlineStr">
        <is>
          <t>yıl</t>
        </is>
      </c>
    </row>
    <row r="9">
      <c r="A9" s="7" t="inlineStr">
        <is>
          <t>Kredi Bakiyesi [₺]</t>
        </is>
      </c>
      <c r="B9" s="31" t="n">
        <v>10000000</v>
      </c>
      <c r="C9" s="26" t="inlineStr">
        <is>
          <t>₺</t>
        </is>
      </c>
    </row>
    <row r="10">
      <c r="A10" s="7" t="inlineStr">
        <is>
          <t>Faiz Oranı</t>
        </is>
      </c>
      <c r="B10" s="32" t="n">
        <v>0.28</v>
      </c>
      <c r="C10" s="26" t="inlineStr">
        <is>
          <t>%</t>
        </is>
      </c>
    </row>
    <row r="11">
      <c r="A11" s="7" t="inlineStr">
        <is>
          <t>Vade [ay]</t>
        </is>
      </c>
      <c r="B11" s="30" t="n">
        <v>36</v>
      </c>
      <c r="C11" s="26" t="inlineStr">
        <is>
          <t>ay</t>
        </is>
      </c>
    </row>
    <row r="12">
      <c r="A12" s="7" t="inlineStr">
        <is>
          <t>FAVÖK [₺]</t>
        </is>
      </c>
      <c r="B12" s="31" t="n">
        <v>8000000</v>
      </c>
      <c r="C12" s="26" t="inlineStr">
        <is>
          <t>₺</t>
        </is>
      </c>
    </row>
    <row r="13">
      <c r="A13" s="7" t="inlineStr">
        <is>
          <t>Net Borç [₺]</t>
        </is>
      </c>
      <c r="B13" s="31" t="n">
        <v>15000000</v>
      </c>
      <c r="C13" s="26" t="inlineStr">
        <is>
          <t>₺</t>
        </is>
      </c>
    </row>
    <row r="14">
      <c r="A14" s="7" t="inlineStr">
        <is>
          <t>Cari Oran</t>
        </is>
      </c>
      <c r="B14" s="30" t="n">
        <v>1.25</v>
      </c>
      <c r="C14" s="26" t="inlineStr">
        <is>
          <t>oran</t>
        </is>
      </c>
    </row>
    <row r="15">
      <c r="A15" s="7" t="inlineStr">
        <is>
          <t>DSCR Gerçekleşen</t>
        </is>
      </c>
      <c r="B15" s="30" t="n">
        <v>1.45</v>
      </c>
      <c r="C15" s="26" t="inlineStr">
        <is>
          <t>oran</t>
        </is>
      </c>
    </row>
    <row r="16">
      <c r="A16" s="7" t="inlineStr">
        <is>
          <t>Yorum Modu (A/B)</t>
        </is>
      </c>
      <c r="B16" s="29" t="inlineStr">
        <is>
          <t>A</t>
        </is>
      </c>
      <c r="C16" s="26" t="inlineStr">
        <is>
          <t>metin</t>
        </is>
      </c>
    </row>
    <row r="18">
      <c r="A18" s="10" t="inlineStr">
        <is>
          <t>DSCR min (ayna)</t>
        </is>
      </c>
      <c r="B18" s="33">
        <f>IFERROR(INDEX(CHOOSE(MAX(1,MIN(3,IF(OR(hesapYili="",hesapYili=0),1,hesapYili-bke_yilTaban))),tblKurallar[deger_2025],tblKurallar[deger_2026],tblKurallar[deger_2027]),MATCH("BKE-001",tblKurallar[kural_id],0)),0)</f>
        <v/>
      </c>
    </row>
    <row r="19">
      <c r="A19" s="10" t="inlineStr">
        <is>
          <t>Borç/FAVÖK max (ayna)</t>
        </is>
      </c>
      <c r="B19" s="33">
        <f>IFERROR(INDEX(CHOOSE(MAX(1,MIN(3,IF(OR(hesapYili="",hesapYili=0),1,hesapYili-bke_yilTaban))),tblKurallar[deger_2025],tblKurallar[deger_2026],tblKurallar[deger_2027]),MATCH("BKE-002",tblKurallar[kural_id],0)),0)</f>
        <v/>
      </c>
    </row>
    <row r="20">
      <c r="A20" s="10" t="inlineStr">
        <is>
          <t>Erken uyarı skoru (ayna)</t>
        </is>
      </c>
      <c r="B20" s="33">
        <f>IFERROR(bke_erkenUyariSkor,0)</f>
        <v/>
      </c>
    </row>
    <row r="21">
      <c r="A21" s="10" t="inlineStr">
        <is>
          <t>Giriş doluluk (kalite)</t>
        </is>
      </c>
      <c r="B21" s="19">
        <f>IFERROR(IF(OR(COUNTA(B6:B16)=0,bke_girisBeklenen=0),0,ROUND(COUNTA(B6:B16)/bke_girisBeklenen*100,0)),0)</f>
        <v/>
      </c>
    </row>
    <row r="23">
      <c r="A23" s="10" t="inlineStr">
        <is>
          <t>Giriş tablosu (otomasyon / boş-mod)</t>
        </is>
      </c>
    </row>
    <row r="24" ht="30" customHeight="1">
      <c r="A24" s="21" t="inlineStr">
        <is>
          <t>Alan Anahtarı</t>
        </is>
      </c>
      <c r="B24" s="21" t="inlineStr">
        <is>
          <t>Değer</t>
        </is>
      </c>
      <c r="C24" s="21" t="inlineStr">
        <is>
          <t>Birim</t>
        </is>
      </c>
      <c r="D24" s="21" t="inlineStr">
        <is>
          <t>Zorunlu</t>
        </is>
      </c>
      <c r="E24" s="21" t="inlineStr">
        <is>
          <t>Kaynak</t>
        </is>
      </c>
      <c r="F24" s="21" t="inlineStr">
        <is>
          <t>Kontrol</t>
        </is>
      </c>
    </row>
    <row r="25">
      <c r="A25" s="34" t="inlineStr">
        <is>
          <t>sirket_adi</t>
        </is>
      </c>
      <c r="B25" s="34" t="inlineStr">
        <is>
          <t>Örnek Sanayi A.Ş.</t>
        </is>
      </c>
      <c r="C25" s="34" t="inlineStr">
        <is>
          <t>metin</t>
        </is>
      </c>
      <c r="D25" s="34" t="inlineStr">
        <is>
          <t>Evet</t>
        </is>
      </c>
      <c r="E25" s="34" t="inlineStr">
        <is>
          <t>GIRDI</t>
        </is>
      </c>
      <c r="F25" s="35">
        <f>IF($A25="","",IF($B25="","EKSİK","TAM"))</f>
        <v/>
      </c>
    </row>
    <row r="26">
      <c r="A26" s="34" t="inlineStr">
        <is>
          <t>donem</t>
        </is>
      </c>
      <c r="B26" s="34" t="inlineStr">
        <is>
          <t>2026-Q2</t>
        </is>
      </c>
      <c r="C26" s="34" t="inlineStr">
        <is>
          <t>metin</t>
        </is>
      </c>
      <c r="D26" s="34" t="inlineStr">
        <is>
          <t>Evet</t>
        </is>
      </c>
      <c r="E26" s="34" t="inlineStr">
        <is>
          <t>GIRDI</t>
        </is>
      </c>
      <c r="F26" s="35">
        <f>IF($A26="","",IF($B26="","EKSİK","TAM"))</f>
        <v/>
      </c>
    </row>
    <row r="27">
      <c r="A27" s="34" t="inlineStr">
        <is>
          <t>hesapYili</t>
        </is>
      </c>
      <c r="B27" s="36" t="n">
        <v>2026</v>
      </c>
      <c r="C27" s="34" t="inlineStr">
        <is>
          <t>yıl</t>
        </is>
      </c>
      <c r="D27" s="34" t="inlineStr">
        <is>
          <t>Evet</t>
        </is>
      </c>
      <c r="E27" s="34" t="inlineStr">
        <is>
          <t>GIRDI</t>
        </is>
      </c>
      <c r="F27" s="35">
        <f>IF($A27="","",IF($B27="","EKSİK","TAM"))</f>
        <v/>
      </c>
    </row>
    <row r="28">
      <c r="A28" s="34" t="inlineStr">
        <is>
          <t>kredi_bakiyesi</t>
        </is>
      </c>
      <c r="B28" s="37" t="n">
        <v>10000000</v>
      </c>
      <c r="C28" s="34" t="inlineStr">
        <is>
          <t>TL</t>
        </is>
      </c>
      <c r="D28" s="34" t="inlineStr">
        <is>
          <t>Evet</t>
        </is>
      </c>
      <c r="E28" s="34" t="inlineStr">
        <is>
          <t>GIRDI</t>
        </is>
      </c>
      <c r="F28" s="35">
        <f>IF($A28="","",IF($B28="","EKSİK","TAM"))</f>
        <v/>
      </c>
    </row>
    <row r="29">
      <c r="A29" s="34" t="inlineStr">
        <is>
          <t>faiz_orani</t>
        </is>
      </c>
      <c r="B29" s="38" t="n">
        <v>0.28</v>
      </c>
      <c r="C29" s="34" t="inlineStr">
        <is>
          <t>oran</t>
        </is>
      </c>
      <c r="D29" s="34" t="inlineStr">
        <is>
          <t>Evet</t>
        </is>
      </c>
      <c r="E29" s="34" t="inlineStr">
        <is>
          <t>GIRDI</t>
        </is>
      </c>
      <c r="F29" s="35">
        <f>IF($A29="","",IF($B29="","EKSİK","TAM"))</f>
        <v/>
      </c>
    </row>
    <row r="30">
      <c r="A30" s="34" t="inlineStr">
        <is>
          <t>vade_ay</t>
        </is>
      </c>
      <c r="B30" s="36" t="n">
        <v>36</v>
      </c>
      <c r="C30" s="34" t="inlineStr">
        <is>
          <t>ay</t>
        </is>
      </c>
      <c r="D30" s="34" t="inlineStr">
        <is>
          <t>Evet</t>
        </is>
      </c>
      <c r="E30" s="34" t="inlineStr">
        <is>
          <t>GIRDI</t>
        </is>
      </c>
      <c r="F30" s="35">
        <f>IF($A30="","",IF($B30="","EKSİK","TAM"))</f>
        <v/>
      </c>
    </row>
    <row r="31">
      <c r="A31" s="34" t="inlineStr">
        <is>
          <t>favok</t>
        </is>
      </c>
      <c r="B31" s="37" t="n">
        <v>8000000</v>
      </c>
      <c r="C31" s="34" t="inlineStr">
        <is>
          <t>TL</t>
        </is>
      </c>
      <c r="D31" s="34" t="inlineStr">
        <is>
          <t>Evet</t>
        </is>
      </c>
      <c r="E31" s="34" t="inlineStr">
        <is>
          <t>GIRDI</t>
        </is>
      </c>
      <c r="F31" s="35">
        <f>IF($A31="","",IF($B31="","EKSİK","TAM"))</f>
        <v/>
      </c>
    </row>
    <row r="32">
      <c r="A32" s="34" t="inlineStr">
        <is>
          <t>net_borc</t>
        </is>
      </c>
      <c r="B32" s="37" t="n">
        <v>15000000</v>
      </c>
      <c r="C32" s="34" t="inlineStr">
        <is>
          <t>TL</t>
        </is>
      </c>
      <c r="D32" s="34" t="inlineStr">
        <is>
          <t>Evet</t>
        </is>
      </c>
      <c r="E32" s="34" t="inlineStr">
        <is>
          <t>GIRDI</t>
        </is>
      </c>
      <c r="F32" s="35">
        <f>IF($A32="","",IF($B32="","EKSİK","TAM"))</f>
        <v/>
      </c>
    </row>
    <row r="33">
      <c r="A33" s="34" t="inlineStr">
        <is>
          <t>cari_oran</t>
        </is>
      </c>
      <c r="B33" s="36" t="n">
        <v>1.25</v>
      </c>
      <c r="C33" s="34" t="inlineStr">
        <is>
          <t>oran</t>
        </is>
      </c>
      <c r="D33" s="34" t="inlineStr">
        <is>
          <t>Evet</t>
        </is>
      </c>
      <c r="E33" s="34" t="inlineStr">
        <is>
          <t>GIRDI</t>
        </is>
      </c>
      <c r="F33" s="35">
        <f>IF($A33="","",IF($B33="","EKSİK","TAM"))</f>
        <v/>
      </c>
    </row>
    <row r="34">
      <c r="A34" s="34" t="inlineStr">
        <is>
          <t>dscr_gerceklesen</t>
        </is>
      </c>
      <c r="B34" s="36" t="n">
        <v>1.45</v>
      </c>
      <c r="C34" s="34" t="inlineStr">
        <is>
          <t>oran</t>
        </is>
      </c>
      <c r="D34" s="34" t="inlineStr">
        <is>
          <t>Evet</t>
        </is>
      </c>
      <c r="E34" s="34" t="inlineStr">
        <is>
          <t>GIRDI</t>
        </is>
      </c>
      <c r="F34" s="35">
        <f>IF($A34="","",IF($B34="","EKSİK","TAM"))</f>
        <v/>
      </c>
    </row>
    <row r="35">
      <c r="A35" s="34" t="inlineStr">
        <is>
          <t>yorum_modu</t>
        </is>
      </c>
      <c r="B35" s="34" t="inlineStr">
        <is>
          <t>A</t>
        </is>
      </c>
      <c r="C35" s="34" t="inlineStr">
        <is>
          <t>A/B</t>
        </is>
      </c>
      <c r="D35" s="34" t="inlineStr">
        <is>
          <t>Evet</t>
        </is>
      </c>
      <c r="E35" s="34" t="inlineStr">
        <is>
          <t>GIRDI</t>
        </is>
      </c>
      <c r="F35" s="35">
        <f>IF($A35="","",IF($B35="","EKSİK","TAM"))</f>
        <v/>
      </c>
    </row>
    <row r="36">
      <c r="F36" s="35">
        <f>IF($A36="","",IF($B36="","EKSİK","TAM"))</f>
        <v/>
      </c>
    </row>
    <row r="37">
      <c r="F37" s="35">
        <f>IF($A37="","",IF($B37="","EKSİK","TAM"))</f>
        <v/>
      </c>
    </row>
    <row r="38">
      <c r="F38" s="35">
        <f>IF($A38="","",IF($B38="","EKSİK","TAM"))</f>
        <v/>
      </c>
    </row>
    <row r="39">
      <c r="F39" s="35">
        <f>IF($A39="","",IF($B39="","EKSİK","TAM"))</f>
        <v/>
      </c>
    </row>
    <row r="40">
      <c r="F40" s="35">
        <f>IF($A40="","",IF($B40="","EKSİK","TAM"))</f>
        <v/>
      </c>
    </row>
    <row r="41">
      <c r="F41" s="35">
        <f>IF($A41="","",IF($B41="","EKSİK","TAM"))</f>
        <v/>
      </c>
    </row>
    <row r="42">
      <c r="F42" s="35">
        <f>IF($A42="","",IF($B42="","EKSİK","TAM"))</f>
        <v/>
      </c>
    </row>
    <row r="43">
      <c r="F43" s="35">
        <f>IF($A43="","",IF($B43="","EKSİK","TAM"))</f>
        <v/>
      </c>
    </row>
    <row r="44">
      <c r="F44" s="35">
        <f>IF($A44="","",IF($B44="","EKSİK","TAM"))</f>
        <v/>
      </c>
    </row>
    <row r="45">
      <c r="F45" s="35">
        <f>IF($A45="","",IF($B45="","EKSİK","TAM"))</f>
        <v/>
      </c>
    </row>
    <row r="46">
      <c r="F46" s="35">
        <f>IF($A46="","",IF($B46="","EKSİK","TAM"))</f>
        <v/>
      </c>
    </row>
    <row r="47">
      <c r="F47" s="35">
        <f>IF($A47="","",IF($B47="","EKSİK","TAM"))</f>
        <v/>
      </c>
    </row>
    <row r="48">
      <c r="F48" s="35">
        <f>IF($A48="","",IF($B48="","EKSİK","TAM"))</f>
        <v/>
      </c>
    </row>
    <row r="49">
      <c r="F49" s="35">
        <f>IF($A49="","",IF($B49="","EKSİK","TAM"))</f>
        <v/>
      </c>
    </row>
    <row r="50">
      <c r="F50" s="35">
        <f>IF($A50="","",IF($B50="","EKSİK","TAM"))</f>
        <v/>
      </c>
    </row>
    <row r="51">
      <c r="F51" s="35">
        <f>IF($A51="","",IF($B51="","EKSİK","TAM"))</f>
        <v/>
      </c>
    </row>
    <row r="52">
      <c r="F52" s="35">
        <f>IF($A52="","",IF($B52="","EKSİK","TAM"))</f>
        <v/>
      </c>
    </row>
    <row r="53">
      <c r="F53" s="35">
        <f>IF($A53="","",IF($B53="","EKSİK","TAM"))</f>
        <v/>
      </c>
    </row>
    <row r="54">
      <c r="F54" s="35">
        <f>IF($A54="","",IF($B54="","EKSİK","TAM"))</f>
        <v/>
      </c>
    </row>
    <row r="55">
      <c r="F55" s="35">
        <f>IF($A55="","",IF($B55="","EKSİK","TAM"))</f>
        <v/>
      </c>
    </row>
    <row r="56">
      <c r="F56" s="35">
        <f>IF($A56="","",IF($B56="","EKSİK","TAM"))</f>
        <v/>
      </c>
    </row>
    <row r="57">
      <c r="F57" s="35">
        <f>IF($A57="","",IF($B57="","EKSİK","TAM"))</f>
        <v/>
      </c>
    </row>
    <row r="58">
      <c r="F58" s="35">
        <f>IF($A58="","",IF($B58="","EKSİK","TAM"))</f>
        <v/>
      </c>
    </row>
    <row r="59">
      <c r="F59" s="35">
        <f>IF($A59="","",IF($B59="","EKSİK","TAM"))</f>
        <v/>
      </c>
    </row>
    <row r="60">
      <c r="F60" s="35">
        <f>IF($A60="","",IF($B60="","EKSİK","TAM"))</f>
        <v/>
      </c>
    </row>
    <row r="61">
      <c r="F61" s="35">
        <f>IF($A61="","",IF($B61="","EKSİK","TAM"))</f>
        <v/>
      </c>
    </row>
    <row r="62">
      <c r="F62" s="35">
        <f>IF($A62="","",IF($B62="","EKSİK","TAM"))</f>
        <v/>
      </c>
    </row>
    <row r="63">
      <c r="F63" s="35">
        <f>IF($A63="","",IF($B63="","EKSİK","TAM"))</f>
        <v/>
      </c>
    </row>
    <row r="64">
      <c r="F64" s="35">
        <f>IF($A64="","",IF($B64="","EKSİK","TAM"))</f>
        <v/>
      </c>
    </row>
    <row r="65">
      <c r="F65" s="35">
        <f>IF($A65="","",IF($B65="","EKSİK","TAM"))</f>
        <v/>
      </c>
    </row>
    <row r="66">
      <c r="F66" s="35">
        <f>IF($A66="","",IF($B66="","EKSİK","TAM"))</f>
        <v/>
      </c>
    </row>
    <row r="67">
      <c r="F67" s="35">
        <f>IF($A67="","",IF($B67="","EKSİK","TAM"))</f>
        <v/>
      </c>
    </row>
    <row r="68">
      <c r="F68" s="35">
        <f>IF($A68="","",IF($B68="","EKSİK","TAM"))</f>
        <v/>
      </c>
    </row>
    <row r="69">
      <c r="F69" s="35">
        <f>IF($A69="","",IF($B69="","EKSİK","TAM"))</f>
        <v/>
      </c>
    </row>
    <row r="70">
      <c r="F70" s="35">
        <f>IF($A70="","",IF($B70="","EKSİK","TAM"))</f>
        <v/>
      </c>
    </row>
    <row r="71">
      <c r="F71" s="35">
        <f>IF($A71="","",IF($B71="","EKSİK","TAM"))</f>
        <v/>
      </c>
    </row>
    <row r="72">
      <c r="F72" s="35">
        <f>IF($A72="","",IF($B72="","EKSİK","TAM"))</f>
        <v/>
      </c>
    </row>
    <row r="73">
      <c r="F73" s="35">
        <f>IF($A73="","",IF($B73="","EKSİK","TAM"))</f>
        <v/>
      </c>
    </row>
    <row r="74">
      <c r="F74" s="35">
        <f>IF($A74="","",IF($B74="","EKSİK","TAM"))</f>
        <v/>
      </c>
    </row>
    <row r="75">
      <c r="F75" s="35">
        <f>IF($A75="","",IF($B75="","EKSİK","TAM"))</f>
        <v/>
      </c>
    </row>
    <row r="76">
      <c r="F76" s="35">
        <f>IF($A76="","",IF($B76="","EKSİK","TAM"))</f>
        <v/>
      </c>
    </row>
    <row r="77">
      <c r="F77" s="35">
        <f>IF($A77="","",IF($B77="","EKSİK","TAM"))</f>
        <v/>
      </c>
    </row>
    <row r="78">
      <c r="F78" s="35">
        <f>IF($A78="","",IF($B78="","EKSİK","TAM"))</f>
        <v/>
      </c>
    </row>
    <row r="79">
      <c r="F79" s="35">
        <f>IF($A79="","",IF($B79="","EKSİK","TAM"))</f>
        <v/>
      </c>
    </row>
    <row r="80">
      <c r="F80" s="35">
        <f>IF($A80="","",IF($B80="","EKSİK","TAM"))</f>
        <v/>
      </c>
    </row>
    <row r="81">
      <c r="F81" s="35">
        <f>IF($A81="","",IF($B81="","EKSİK","TAM"))</f>
        <v/>
      </c>
    </row>
    <row r="82">
      <c r="F82" s="35">
        <f>IF($A82="","",IF($B82="","EKSİK","TAM"))</f>
        <v/>
      </c>
    </row>
    <row r="83">
      <c r="F83" s="35">
        <f>IF($A83="","",IF($B83="","EKSİK","TAM"))</f>
        <v/>
      </c>
    </row>
    <row r="84">
      <c r="F84" s="35">
        <f>IF($A84="","",IF($B84="","EKSİK","TAM"))</f>
        <v/>
      </c>
    </row>
    <row r="85">
      <c r="F85" s="35">
        <f>IF($A85="","",IF($B85="","EKSİK","TAM"))</f>
        <v/>
      </c>
    </row>
    <row r="86">
      <c r="F86" s="35">
        <f>IF($A86="","",IF($B86="","EKSİK","TAM"))</f>
        <v/>
      </c>
    </row>
    <row r="87">
      <c r="F87" s="35">
        <f>IF($A87="","",IF($B87="","EKSİK","TAM"))</f>
        <v/>
      </c>
    </row>
    <row r="88">
      <c r="F88" s="35">
        <f>IF($A88="","",IF($B88="","EKSİK","TAM"))</f>
        <v/>
      </c>
    </row>
    <row r="89">
      <c r="F89" s="35">
        <f>IF($A89="","",IF($B89="","EKSİK","TAM"))</f>
        <v/>
      </c>
    </row>
    <row r="90">
      <c r="F90" s="35">
        <f>IF($A90="","",IF($B90="","EKSİK","TAM"))</f>
        <v/>
      </c>
    </row>
    <row r="91">
      <c r="F91" s="35">
        <f>IF($A91="","",IF($B91="","EKSİK","TAM"))</f>
        <v/>
      </c>
    </row>
    <row r="92">
      <c r="F92" s="35">
        <f>IF($A92="","",IF($B92="","EKSİK","TAM"))</f>
        <v/>
      </c>
    </row>
    <row r="93">
      <c r="F93" s="35">
        <f>IF($A93="","",IF($B93="","EKSİK","TAM"))</f>
        <v/>
      </c>
    </row>
    <row r="94">
      <c r="F94" s="35">
        <f>IF($A94="","",IF($B94="","EKSİK","TAM"))</f>
        <v/>
      </c>
    </row>
    <row r="95">
      <c r="F95" s="35">
        <f>IF($A95="","",IF($B95="","EKSİK","TAM"))</f>
        <v/>
      </c>
    </row>
    <row r="96">
      <c r="F96" s="35">
        <f>IF($A96="","",IF($B96="","EKSİK","TAM"))</f>
        <v/>
      </c>
    </row>
    <row r="97">
      <c r="F97" s="35">
        <f>IF($A97="","",IF($B97="","EKSİK","TAM"))</f>
        <v/>
      </c>
    </row>
    <row r="98">
      <c r="F98" s="35">
        <f>IF($A98="","",IF($B98="","EKSİK","TAM"))</f>
        <v/>
      </c>
    </row>
    <row r="99">
      <c r="F99" s="35">
        <f>IF($A99="","",IF($B99="","EKSİK","TAM"))</f>
        <v/>
      </c>
    </row>
    <row r="100">
      <c r="F100" s="35">
        <f>IF($A100="","",IF($B100="","EKSİK","TAM"))</f>
        <v/>
      </c>
    </row>
    <row r="101">
      <c r="F101" s="35">
        <f>IF($A101="","",IF($B101="","EKSİK","TAM"))</f>
        <v/>
      </c>
    </row>
    <row r="102">
      <c r="F102" s="35">
        <f>IF($A102="","",IF($B102="","EKSİK","TAM"))</f>
        <v/>
      </c>
    </row>
    <row r="103">
      <c r="F103" s="35">
        <f>IF($A103="","",IF($B103="","EKSİK","TAM"))</f>
        <v/>
      </c>
    </row>
    <row r="104">
      <c r="F104" s="35">
        <f>IF($A104="","",IF($B104="","EKSİK","TAM"))</f>
        <v/>
      </c>
    </row>
    <row r="105">
      <c r="F105" s="35">
        <f>IF($A105="","",IF($B105="","EKSİK","TAM"))</f>
        <v/>
      </c>
    </row>
    <row r="106">
      <c r="F106" s="35">
        <f>IF($A106="","",IF($B106="","EKSİK","TAM"))</f>
        <v/>
      </c>
    </row>
    <row r="107">
      <c r="F107" s="35">
        <f>IF($A107="","",IF($B107="","EKSİK","TAM"))</f>
        <v/>
      </c>
    </row>
    <row r="108">
      <c r="F108" s="35">
        <f>IF($A108="","",IF($B108="","EKSİK","TAM"))</f>
        <v/>
      </c>
    </row>
    <row r="109">
      <c r="F109" s="35">
        <f>IF($A109="","",IF($B109="","EKSİK","TAM"))</f>
        <v/>
      </c>
    </row>
    <row r="110">
      <c r="F110" s="35">
        <f>IF($A110="","",IF($B110="","EKSİK","TAM"))</f>
        <v/>
      </c>
    </row>
    <row r="111">
      <c r="F111" s="35">
        <f>IF($A111="","",IF($B111="","EKSİK","TAM"))</f>
        <v/>
      </c>
    </row>
    <row r="112">
      <c r="F112" s="35">
        <f>IF($A112="","",IF($B112="","EKSİK","TAM"))</f>
        <v/>
      </c>
    </row>
    <row r="113">
      <c r="F113" s="35">
        <f>IF($A113="","",IF($B113="","EKSİK","TAM"))</f>
        <v/>
      </c>
    </row>
    <row r="114">
      <c r="F114" s="35">
        <f>IF($A114="","",IF($B114="","EKSİK","TAM"))</f>
        <v/>
      </c>
    </row>
    <row r="115">
      <c r="F115" s="35">
        <f>IF($A115="","",IF($B115="","EKSİK","TAM"))</f>
        <v/>
      </c>
    </row>
    <row r="116">
      <c r="F116" s="35">
        <f>IF($A116="","",IF($B116="","EKSİK","TAM"))</f>
        <v/>
      </c>
    </row>
    <row r="117">
      <c r="F117" s="35">
        <f>IF($A117="","",IF($B117="","EKSİK","TAM"))</f>
        <v/>
      </c>
    </row>
    <row r="118">
      <c r="F118" s="35">
        <f>IF($A118="","",IF($B118="","EKSİK","TAM"))</f>
        <v/>
      </c>
    </row>
    <row r="119">
      <c r="F119" s="35">
        <f>IF($A119="","",IF($B119="","EKSİK","TAM"))</f>
        <v/>
      </c>
    </row>
    <row r="120">
      <c r="F120" s="35">
        <f>IF($A120="","",IF($B120="","EKSİK","TAM"))</f>
        <v/>
      </c>
    </row>
    <row r="121">
      <c r="F121" s="35">
        <f>IF($A121="","",IF($B121="","EKSİK","TAM"))</f>
        <v/>
      </c>
    </row>
    <row r="122">
      <c r="F122" s="35">
        <f>IF($A122="","",IF($B122="","EKSİK","TAM"))</f>
        <v/>
      </c>
    </row>
    <row r="123">
      <c r="F123" s="35">
        <f>IF($A123="","",IF($B123="","EKSİK","TAM"))</f>
        <v/>
      </c>
    </row>
    <row r="124">
      <c r="F124" s="35">
        <f>IF($A124="","",IF($B124="","EKSİK","TAM"))</f>
        <v/>
      </c>
    </row>
    <row r="125">
      <c r="F125" s="35">
        <f>IF($A125="","",IF($B125="","EKSİK","TAM"))</f>
        <v/>
      </c>
    </row>
    <row r="126">
      <c r="F126" s="35">
        <f>IF($A126="","",IF($B126="","EKSİK","TAM"))</f>
        <v/>
      </c>
    </row>
    <row r="127">
      <c r="F127" s="35">
        <f>IF($A127="","",IF($B127="","EKSİK","TAM"))</f>
        <v/>
      </c>
    </row>
    <row r="128">
      <c r="F128" s="35">
        <f>IF($A128="","",IF($B128="","EKSİK","TAM"))</f>
        <v/>
      </c>
    </row>
    <row r="129">
      <c r="F129" s="35">
        <f>IF($A129="","",IF($B129="","EKSİK","TAM"))</f>
        <v/>
      </c>
    </row>
    <row r="130">
      <c r="F130" s="35">
        <f>IF($A130="","",IF($B130="","EKSİK","TAM"))</f>
        <v/>
      </c>
    </row>
    <row r="131">
      <c r="F131" s="35">
        <f>IF($A131="","",IF($B131="","EKSİK","TAM"))</f>
        <v/>
      </c>
    </row>
    <row r="132">
      <c r="F132" s="35">
        <f>IF($A132="","",IF($B132="","EKSİK","TAM"))</f>
        <v/>
      </c>
    </row>
    <row r="133">
      <c r="F133" s="35">
        <f>IF($A133="","",IF($B133="","EKSİK","TAM"))</f>
        <v/>
      </c>
    </row>
    <row r="134">
      <c r="F134" s="35">
        <f>IF($A134="","",IF($B134="","EKSİK","TAM"))</f>
        <v/>
      </c>
    </row>
    <row r="135">
      <c r="F135" s="35">
        <f>IF($A135="","",IF($B135="","EKSİK","TAM"))</f>
        <v/>
      </c>
    </row>
    <row r="136">
      <c r="F136" s="35">
        <f>IF($A136="","",IF($B136="","EKSİK","TAM"))</f>
        <v/>
      </c>
    </row>
    <row r="137">
      <c r="F137" s="35">
        <f>IF($A137="","",IF($B137="","EKSİK","TAM"))</f>
        <v/>
      </c>
    </row>
    <row r="138">
      <c r="F138" s="35">
        <f>IF($A138="","",IF($B138="","EKSİK","TAM"))</f>
        <v/>
      </c>
    </row>
    <row r="139">
      <c r="F139" s="35">
        <f>IF($A139="","",IF($B139="","EKSİK","TAM"))</f>
        <v/>
      </c>
    </row>
    <row r="140">
      <c r="F140" s="35">
        <f>IF($A140="","",IF($B140="","EKSİK","TAM"))</f>
        <v/>
      </c>
    </row>
    <row r="141">
      <c r="F141" s="35">
        <f>IF($A141="","",IF($B141="","EKSİK","TAM"))</f>
        <v/>
      </c>
    </row>
    <row r="142">
      <c r="F142" s="35">
        <f>IF($A142="","",IF($B142="","EKSİK","TAM"))</f>
        <v/>
      </c>
    </row>
    <row r="143">
      <c r="F143" s="35">
        <f>IF($A143="","",IF($B143="","EKSİK","TAM"))</f>
        <v/>
      </c>
    </row>
    <row r="144">
      <c r="F144" s="35">
        <f>IF($A144="","",IF($B144="","EKSİK","TAM"))</f>
        <v/>
      </c>
    </row>
    <row r="145">
      <c r="F145" s="35">
        <f>IF($A145="","",IF($B145="","EKSİK","TAM"))</f>
        <v/>
      </c>
    </row>
    <row r="146">
      <c r="F146" s="35">
        <f>IF($A146="","",IF($B146="","EKSİK","TAM"))</f>
        <v/>
      </c>
    </row>
    <row r="147">
      <c r="F147" s="35">
        <f>IF($A147="","",IF($B147="","EKSİK","TAM"))</f>
        <v/>
      </c>
    </row>
    <row r="148">
      <c r="F148" s="35">
        <f>IF($A148="","",IF($B148="","EKSİK","TAM"))</f>
        <v/>
      </c>
    </row>
    <row r="149">
      <c r="F149" s="35">
        <f>IF($A149="","",IF($B149="","EKSİK","TAM"))</f>
        <v/>
      </c>
    </row>
    <row r="150">
      <c r="F150" s="35">
        <f>IF($A150="","",IF($B150="","EKSİK","TAM"))</f>
        <v/>
      </c>
    </row>
    <row r="151">
      <c r="F151" s="35">
        <f>IF($A151="","",IF($B151="","EKSİK","TAM"))</f>
        <v/>
      </c>
    </row>
    <row r="152">
      <c r="F152" s="35">
        <f>IF($A152="","",IF($B152="","EKSİK","TAM"))</f>
        <v/>
      </c>
    </row>
    <row r="153">
      <c r="F153" s="35">
        <f>IF($A153="","",IF($B153="","EKSİK","TAM"))</f>
        <v/>
      </c>
    </row>
    <row r="154">
      <c r="F154" s="35">
        <f>IF($A154="","",IF($B154="","EKSİK","TAM"))</f>
        <v/>
      </c>
    </row>
    <row r="155">
      <c r="F155" s="35">
        <f>IF($A155="","",IF($B155="","EKSİK","TAM"))</f>
        <v/>
      </c>
    </row>
    <row r="156">
      <c r="F156" s="35">
        <f>IF($A156="","",IF($B156="","EKSİK","TAM"))</f>
        <v/>
      </c>
    </row>
    <row r="157">
      <c r="F157" s="35">
        <f>IF($A157="","",IF($B157="","EKSİK","TAM"))</f>
        <v/>
      </c>
    </row>
    <row r="158">
      <c r="F158" s="35">
        <f>IF($A158="","",IF($B158="","EKSİK","TAM"))</f>
        <v/>
      </c>
    </row>
    <row r="159">
      <c r="F159" s="35">
        <f>IF($A159="","",IF($B159="","EKSİK","TAM"))</f>
        <v/>
      </c>
    </row>
    <row r="160">
      <c r="F160" s="35">
        <f>IF($A160="","",IF($B160="","EKSİK","TAM"))</f>
        <v/>
      </c>
    </row>
    <row r="161">
      <c r="F161" s="35">
        <f>IF($A161="","",IF($B161="","EKSİK","TAM"))</f>
        <v/>
      </c>
    </row>
    <row r="162">
      <c r="F162" s="35">
        <f>IF($A162="","",IF($B162="","EKSİK","TAM"))</f>
        <v/>
      </c>
    </row>
    <row r="163">
      <c r="F163" s="35">
        <f>IF($A163="","",IF($B163="","EKSİK","TAM"))</f>
        <v/>
      </c>
    </row>
    <row r="164">
      <c r="F164" s="35">
        <f>IF($A164="","",IF($B164="","EKSİK","TAM"))</f>
        <v/>
      </c>
    </row>
    <row r="165">
      <c r="F165" s="35">
        <f>IF($A165="","",IF($B165="","EKSİK","TAM"))</f>
        <v/>
      </c>
    </row>
    <row r="166">
      <c r="F166" s="35">
        <f>IF($A166="","",IF($B166="","EKSİK","TAM"))</f>
        <v/>
      </c>
    </row>
    <row r="167">
      <c r="F167" s="35">
        <f>IF($A167="","",IF($B167="","EKSİK","TAM"))</f>
        <v/>
      </c>
    </row>
    <row r="168">
      <c r="F168" s="35">
        <f>IF($A168="","",IF($B168="","EKSİK","TAM"))</f>
        <v/>
      </c>
    </row>
    <row r="169">
      <c r="F169" s="35">
        <f>IF($A169="","",IF($B169="","EKSİK","TAM"))</f>
        <v/>
      </c>
    </row>
    <row r="170">
      <c r="F170" s="35">
        <f>IF($A170="","",IF($B170="","EKSİK","TAM"))</f>
        <v/>
      </c>
    </row>
    <row r="171">
      <c r="F171" s="35">
        <f>IF($A171="","",IF($B171="","EKSİK","TAM"))</f>
        <v/>
      </c>
    </row>
    <row r="172">
      <c r="F172" s="35">
        <f>IF($A172="","",IF($B172="","EKSİK","TAM"))</f>
        <v/>
      </c>
    </row>
    <row r="173">
      <c r="F173" s="35">
        <f>IF($A173="","",IF($B173="","EKSİK","TAM"))</f>
        <v/>
      </c>
    </row>
    <row r="174">
      <c r="F174" s="35">
        <f>IF($A174="","",IF($B174="","EKSİK","TAM"))</f>
        <v/>
      </c>
    </row>
    <row r="175">
      <c r="F175" s="35">
        <f>IF($A175="","",IF($B175="","EKSİK","TAM"))</f>
        <v/>
      </c>
    </row>
    <row r="176">
      <c r="F176" s="35">
        <f>IF($A176="","",IF($B176="","EKSİK","TAM"))</f>
        <v/>
      </c>
    </row>
    <row r="177">
      <c r="F177" s="35">
        <f>IF($A177="","",IF($B177="","EKSİK","TAM"))</f>
        <v/>
      </c>
    </row>
    <row r="178">
      <c r="F178" s="35">
        <f>IF($A178="","",IF($B178="","EKSİK","TAM"))</f>
        <v/>
      </c>
    </row>
    <row r="179">
      <c r="F179" s="35">
        <f>IF($A179="","",IF($B179="","EKSİK","TAM"))</f>
        <v/>
      </c>
    </row>
    <row r="180">
      <c r="F180" s="35">
        <f>IF($A180="","",IF($B180="","EKSİK","TAM"))</f>
        <v/>
      </c>
    </row>
    <row r="181">
      <c r="F181" s="35">
        <f>IF($A181="","",IF($B181="","EKSİK","TAM"))</f>
        <v/>
      </c>
    </row>
    <row r="182">
      <c r="F182" s="35">
        <f>IF($A182="","",IF($B182="","EKSİK","TAM"))</f>
        <v/>
      </c>
    </row>
    <row r="183">
      <c r="F183" s="35">
        <f>IF($A183="","",IF($B183="","EKSİK","TAM"))</f>
        <v/>
      </c>
    </row>
    <row r="184">
      <c r="F184" s="35">
        <f>IF($A184="","",IF($B184="","EKSİK","TAM"))</f>
        <v/>
      </c>
    </row>
    <row r="185">
      <c r="F185" s="35">
        <f>IF($A185="","",IF($B185="","EKSİK","TAM"))</f>
        <v/>
      </c>
    </row>
    <row r="186">
      <c r="F186" s="35">
        <f>IF($A186="","",IF($B186="","EKSİK","TAM"))</f>
        <v/>
      </c>
    </row>
    <row r="187">
      <c r="F187" s="35">
        <f>IF($A187="","",IF($B187="","EKSİK","TAM"))</f>
        <v/>
      </c>
    </row>
    <row r="188">
      <c r="F188" s="35">
        <f>IF($A188="","",IF($B188="","EKSİK","TAM"))</f>
        <v/>
      </c>
    </row>
    <row r="189">
      <c r="F189" s="35">
        <f>IF($A189="","",IF($B189="","EKSİK","TAM"))</f>
        <v/>
      </c>
    </row>
    <row r="190">
      <c r="F190" s="35">
        <f>IF($A190="","",IF($B190="","EKSİK","TAM"))</f>
        <v/>
      </c>
    </row>
    <row r="191">
      <c r="F191" s="35">
        <f>IF($A191="","",IF($B191="","EKSİK","TAM"))</f>
        <v/>
      </c>
    </row>
    <row r="192">
      <c r="F192" s="35">
        <f>IF($A192="","",IF($B192="","EKSİK","TAM"))</f>
        <v/>
      </c>
    </row>
    <row r="193">
      <c r="F193" s="35">
        <f>IF($A193="","",IF($B193="","EKSİK","TAM"))</f>
        <v/>
      </c>
    </row>
    <row r="194">
      <c r="F194" s="35">
        <f>IF($A194="","",IF($B194="","EKSİK","TAM"))</f>
        <v/>
      </c>
    </row>
    <row r="195">
      <c r="F195" s="35">
        <f>IF($A195="","",IF($B195="","EKSİK","TAM"))</f>
        <v/>
      </c>
    </row>
    <row r="196">
      <c r="F196" s="35">
        <f>IF($A196="","",IF($B196="","EKSİK","TAM"))</f>
        <v/>
      </c>
    </row>
    <row r="197">
      <c r="F197" s="35">
        <f>IF($A197="","",IF($B197="","EKSİK","TAM"))</f>
        <v/>
      </c>
    </row>
    <row r="198">
      <c r="F198" s="35">
        <f>IF($A198="","",IF($B198="","EKSİK","TAM"))</f>
        <v/>
      </c>
    </row>
    <row r="199">
      <c r="F199" s="35">
        <f>IF($A199="","",IF($B199="","EKSİK","TAM"))</f>
        <v/>
      </c>
    </row>
    <row r="200">
      <c r="F200" s="35">
        <f>IF($A200="","",IF($B200="","EKSİK","TAM"))</f>
        <v/>
      </c>
    </row>
    <row r="201">
      <c r="F201" s="35">
        <f>IF($A201="","",IF($B201="","EKSİK","TAM"))</f>
        <v/>
      </c>
    </row>
    <row r="202">
      <c r="F202" s="35">
        <f>IF($A202="","",IF($B202="","EKSİK","TAM"))</f>
        <v/>
      </c>
    </row>
    <row r="203">
      <c r="F203" s="35">
        <f>IF($A203="","",IF($B203="","EKSİK","TAM"))</f>
        <v/>
      </c>
    </row>
    <row r="204">
      <c r="F204" s="35">
        <f>IF($A204="","",IF($B204="","EKSİK","TAM"))</f>
        <v/>
      </c>
    </row>
    <row r="205">
      <c r="F205" s="35">
        <f>IF($A205="","",IF($B205="","EKSİK","TAM"))</f>
        <v/>
      </c>
    </row>
    <row r="206">
      <c r="F206" s="35">
        <f>IF($A206="","",IF($B206="","EKSİK","TAM"))</f>
        <v/>
      </c>
    </row>
    <row r="207">
      <c r="F207" s="35">
        <f>IF($A207="","",IF($B207="","EKSİK","TAM"))</f>
        <v/>
      </c>
    </row>
    <row r="208">
      <c r="F208" s="35">
        <f>IF($A208="","",IF($B208="","EKSİK","TAM"))</f>
        <v/>
      </c>
    </row>
    <row r="209">
      <c r="F209" s="35">
        <f>IF($A209="","",IF($B209="","EKSİK","TAM"))</f>
        <v/>
      </c>
    </row>
    <row r="210">
      <c r="F210" s="35">
        <f>IF($A210="","",IF($B210="","EKSİK","TAM"))</f>
        <v/>
      </c>
    </row>
    <row r="211">
      <c r="F211" s="35">
        <f>IF($A211="","",IF($B211="","EKSİK","TAM"))</f>
        <v/>
      </c>
    </row>
    <row r="212">
      <c r="F212" s="35">
        <f>IF($A212="","",IF($B212="","EKSİK","TAM"))</f>
        <v/>
      </c>
    </row>
    <row r="213">
      <c r="F213" s="35">
        <f>IF($A213="","",IF($B213="","EKSİK","TAM"))</f>
        <v/>
      </c>
    </row>
    <row r="214">
      <c r="F214" s="35">
        <f>IF($A214="","",IF($B214="","EKSİK","TAM"))</f>
        <v/>
      </c>
    </row>
    <row r="215">
      <c r="F215" s="35">
        <f>IF($A215="","",IF($B215="","EKSİK","TAM"))</f>
        <v/>
      </c>
    </row>
    <row r="216">
      <c r="F216" s="35">
        <f>IF($A216="","",IF($B216="","EKSİK","TAM"))</f>
        <v/>
      </c>
    </row>
    <row r="217">
      <c r="F217" s="35">
        <f>IF($A217="","",IF($B217="","EKSİK","TAM"))</f>
        <v/>
      </c>
    </row>
    <row r="218">
      <c r="F218" s="35">
        <f>IF($A218="","",IF($B218="","EKSİK","TAM"))</f>
        <v/>
      </c>
    </row>
    <row r="219">
      <c r="F219" s="35">
        <f>IF($A219="","",IF($B219="","EKSİK","TAM"))</f>
        <v/>
      </c>
    </row>
    <row r="220">
      <c r="F220" s="35">
        <f>IF($A220="","",IF($B220="","EKSİK","TAM"))</f>
        <v/>
      </c>
    </row>
    <row r="221">
      <c r="F221" s="35">
        <f>IF($A221="","",IF($B221="","EKSİK","TAM"))</f>
        <v/>
      </c>
    </row>
    <row r="222">
      <c r="F222" s="35">
        <f>IF($A222="","",IF($B222="","EKSİK","TAM"))</f>
        <v/>
      </c>
    </row>
    <row r="223">
      <c r="F223" s="35">
        <f>IF($A223="","",IF($B223="","EKSİK","TAM"))</f>
        <v/>
      </c>
    </row>
    <row r="224">
      <c r="F224" s="35">
        <f>IF($A224="","",IF($B224="","EKSİK","TAM"))</f>
        <v/>
      </c>
    </row>
    <row r="225">
      <c r="F225" s="35">
        <f>IF($A225="","",IF($B225="","EKSİK","TAM"))</f>
        <v/>
      </c>
    </row>
    <row r="226">
      <c r="F226" s="35">
        <f>IF($A226="","",IF($B226="","EKSİK","TAM"))</f>
        <v/>
      </c>
    </row>
    <row r="227">
      <c r="F227" s="35">
        <f>IF($A227="","",IF($B227="","EKSİK","TAM"))</f>
        <v/>
      </c>
    </row>
    <row r="228">
      <c r="F228" s="35">
        <f>IF($A228="","",IF($B228="","EKSİK","TAM"))</f>
        <v/>
      </c>
    </row>
    <row r="229">
      <c r="F229" s="35">
        <f>IF($A229="","",IF($B229="","EKSİK","TAM"))</f>
        <v/>
      </c>
    </row>
    <row r="230">
      <c r="F230" s="35">
        <f>IF($A230="","",IF($B230="","EKSİK","TAM"))</f>
        <v/>
      </c>
    </row>
    <row r="231">
      <c r="F231" s="35">
        <f>IF($A231="","",IF($B231="","EKSİK","TAM"))</f>
        <v/>
      </c>
    </row>
    <row r="232">
      <c r="F232" s="35">
        <f>IF($A232="","",IF($B232="","EKSİK","TAM"))</f>
        <v/>
      </c>
    </row>
    <row r="233">
      <c r="F233" s="35">
        <f>IF($A233="","",IF($B233="","EKSİK","TAM"))</f>
        <v/>
      </c>
    </row>
    <row r="234">
      <c r="F234" s="35">
        <f>IF($A234="","",IF($B234="","EKSİK","TAM"))</f>
        <v/>
      </c>
    </row>
    <row r="235">
      <c r="F235" s="35">
        <f>IF($A235="","",IF($B235="","EKSİK","TAM"))</f>
        <v/>
      </c>
    </row>
    <row r="236">
      <c r="F236" s="35">
        <f>IF($A236="","",IF($B236="","EKSİK","TAM"))</f>
        <v/>
      </c>
    </row>
    <row r="237">
      <c r="F237" s="35">
        <f>IF($A237="","",IF($B237="","EKSİK","TAM"))</f>
        <v/>
      </c>
    </row>
    <row r="238">
      <c r="F238" s="35">
        <f>IF($A238="","",IF($B238="","EKSİK","TAM"))</f>
        <v/>
      </c>
    </row>
    <row r="239">
      <c r="F239" s="35">
        <f>IF($A239="","",IF($B239="","EKSİK","TAM"))</f>
        <v/>
      </c>
    </row>
    <row r="240">
      <c r="F240" s="35">
        <f>IF($A240="","",IF($B240="","EKSİK","TAM"))</f>
        <v/>
      </c>
    </row>
    <row r="241">
      <c r="F241" s="35">
        <f>IF($A241="","",IF($B241="","EKSİK","TAM"))</f>
        <v/>
      </c>
    </row>
    <row r="242">
      <c r="F242" s="35">
        <f>IF($A242="","",IF($B242="","EKSİK","TAM"))</f>
        <v/>
      </c>
    </row>
    <row r="243">
      <c r="F243" s="35">
        <f>IF($A243="","",IF($B243="","EKSİK","TAM"))</f>
        <v/>
      </c>
    </row>
    <row r="244">
      <c r="F244" s="35">
        <f>IF($A244="","",IF($B244="","EKSİK","TAM"))</f>
        <v/>
      </c>
    </row>
    <row r="245">
      <c r="F245" s="35">
        <f>IF($A245="","",IF($B245="","EKSİK","TAM"))</f>
        <v/>
      </c>
    </row>
    <row r="246">
      <c r="F246" s="35">
        <f>IF($A246="","",IF($B246="","EKSİK","TAM"))</f>
        <v/>
      </c>
    </row>
    <row r="247">
      <c r="F247" s="35">
        <f>IF($A247="","",IF($B247="","EKSİK","TAM"))</f>
        <v/>
      </c>
    </row>
    <row r="248">
      <c r="F248" s="35">
        <f>IF($A248="","",IF($B248="","EKSİK","TAM"))</f>
        <v/>
      </c>
    </row>
    <row r="249">
      <c r="F249" s="35">
        <f>IF($A249="","",IF($B249="","EKSİK","TAM"))</f>
        <v/>
      </c>
    </row>
    <row r="250">
      <c r="F250" s="35">
        <f>IF($A250="","",IF($B250="","EKSİK","TAM"))</f>
        <v/>
      </c>
    </row>
    <row r="251">
      <c r="F251" s="35">
        <f>IF($A251="","",IF($B251="","EKSİK","TAM"))</f>
        <v/>
      </c>
    </row>
    <row r="252">
      <c r="F252" s="35">
        <f>IF($A252="","",IF($B252="","EKSİK","TAM"))</f>
        <v/>
      </c>
    </row>
    <row r="253">
      <c r="F253" s="35">
        <f>IF($A253="","",IF($B253="","EKSİK","TAM"))</f>
        <v/>
      </c>
    </row>
    <row r="254">
      <c r="F254" s="35">
        <f>IF($A254="","",IF($B254="","EKSİK","TAM"))</f>
        <v/>
      </c>
    </row>
    <row r="255">
      <c r="F255" s="35">
        <f>IF($A255="","",IF($B255="","EKSİK","TAM"))</f>
        <v/>
      </c>
    </row>
    <row r="256">
      <c r="F256" s="35">
        <f>IF($A256="","",IF($B256="","EKSİK","TAM"))</f>
        <v/>
      </c>
    </row>
    <row r="257">
      <c r="F257" s="35">
        <f>IF($A257="","",IF($B257="","EKSİK","TAM"))</f>
        <v/>
      </c>
    </row>
    <row r="258">
      <c r="F258" s="35">
        <f>IF($A258="","",IF($B258="","EKSİK","TAM"))</f>
        <v/>
      </c>
    </row>
    <row r="259">
      <c r="F259" s="35">
        <f>IF($A259="","",IF($B259="","EKSİK","TAM"))</f>
        <v/>
      </c>
    </row>
    <row r="260">
      <c r="F260" s="35">
        <f>IF($A260="","",IF($B260="","EKSİK","TAM"))</f>
        <v/>
      </c>
    </row>
    <row r="261">
      <c r="F261" s="35">
        <f>IF($A261="","",IF($B261="","EKSİK","TAM"))</f>
        <v/>
      </c>
    </row>
    <row r="262">
      <c r="F262" s="35">
        <f>IF($A262="","",IF($B262="","EKSİK","TAM"))</f>
        <v/>
      </c>
    </row>
    <row r="263">
      <c r="F263" s="35">
        <f>IF($A263="","",IF($B263="","EKSİK","TAM"))</f>
        <v/>
      </c>
    </row>
    <row r="264">
      <c r="F264" s="35">
        <f>IF($A264="","",IF($B264="","EKSİK","TAM"))</f>
        <v/>
      </c>
    </row>
    <row r="265">
      <c r="F265" s="35">
        <f>IF($A265="","",IF($B265="","EKSİK","TAM"))</f>
        <v/>
      </c>
    </row>
    <row r="266">
      <c r="F266" s="35">
        <f>IF($A266="","",IF($B266="","EKSİK","TAM"))</f>
        <v/>
      </c>
    </row>
    <row r="267">
      <c r="F267" s="35">
        <f>IF($A267="","",IF($B267="","EKSİK","TAM"))</f>
        <v/>
      </c>
    </row>
    <row r="268">
      <c r="F268" s="35">
        <f>IF($A268="","",IF($B268="","EKSİK","TAM"))</f>
        <v/>
      </c>
    </row>
    <row r="269">
      <c r="F269" s="35">
        <f>IF($A269="","",IF($B269="","EKSİK","TAM"))</f>
        <v/>
      </c>
    </row>
    <row r="270">
      <c r="F270" s="35">
        <f>IF($A270="","",IF($B270="","EKSİK","TAM"))</f>
        <v/>
      </c>
    </row>
    <row r="271">
      <c r="F271" s="35">
        <f>IF($A271="","",IF($B271="","EKSİK","TAM"))</f>
        <v/>
      </c>
    </row>
    <row r="272">
      <c r="F272" s="35">
        <f>IF($A272="","",IF($B272="","EKSİK","TAM"))</f>
        <v/>
      </c>
    </row>
    <row r="273">
      <c r="F273" s="35">
        <f>IF($A273="","",IF($B273="","EKSİK","TAM"))</f>
        <v/>
      </c>
    </row>
    <row r="274">
      <c r="F274" s="35">
        <f>IF($A274="","",IF($B274="","EKSİK","TAM"))</f>
        <v/>
      </c>
    </row>
    <row r="275">
      <c r="F275" s="35">
        <f>IF($A275="","",IF($B275="","EKSİK","TAM"))</f>
        <v/>
      </c>
    </row>
    <row r="276">
      <c r="F276" s="35">
        <f>IF($A276="","",IF($B276="","EKSİK","TAM"))</f>
        <v/>
      </c>
    </row>
    <row r="277">
      <c r="F277" s="35">
        <f>IF($A277="","",IF($B277="","EKSİK","TAM"))</f>
        <v/>
      </c>
    </row>
    <row r="278">
      <c r="F278" s="35">
        <f>IF($A278="","",IF($B278="","EKSİK","TAM"))</f>
        <v/>
      </c>
    </row>
    <row r="279">
      <c r="F279" s="35">
        <f>IF($A279="","",IF($B279="","EKSİK","TAM"))</f>
        <v/>
      </c>
    </row>
    <row r="280">
      <c r="F280" s="35">
        <f>IF($A280="","",IF($B280="","EKSİK","TAM"))</f>
        <v/>
      </c>
    </row>
    <row r="281">
      <c r="F281" s="35">
        <f>IF($A281="","",IF($B281="","EKSİK","TAM"))</f>
        <v/>
      </c>
    </row>
    <row r="282">
      <c r="F282" s="35">
        <f>IF($A282="","",IF($B282="","EKSİK","TAM"))</f>
        <v/>
      </c>
    </row>
    <row r="283">
      <c r="F283" s="35">
        <f>IF($A283="","",IF($B283="","EKSİK","TAM"))</f>
        <v/>
      </c>
    </row>
    <row r="284">
      <c r="F284" s="35">
        <f>IF($A284="","",IF($B284="","EKSİK","TAM"))</f>
        <v/>
      </c>
    </row>
    <row r="285">
      <c r="F285" s="35">
        <f>IF($A285="","",IF($B285="","EKSİK","TAM"))</f>
        <v/>
      </c>
    </row>
    <row r="286">
      <c r="F286" s="35">
        <f>IF($A286="","",IF($B286="","EKSİK","TAM"))</f>
        <v/>
      </c>
    </row>
    <row r="287">
      <c r="F287" s="35">
        <f>IF($A287="","",IF($B287="","EKSİK","TAM"))</f>
        <v/>
      </c>
    </row>
    <row r="288">
      <c r="F288" s="35">
        <f>IF($A288="","",IF($B288="","EKSİK","TAM"))</f>
        <v/>
      </c>
    </row>
    <row r="289">
      <c r="F289" s="35">
        <f>IF($A289="","",IF($B289="","EKSİK","TAM"))</f>
        <v/>
      </c>
    </row>
    <row r="290">
      <c r="F290" s="35">
        <f>IF($A290="","",IF($B290="","EKSİK","TAM"))</f>
        <v/>
      </c>
    </row>
    <row r="291">
      <c r="F291" s="35">
        <f>IF($A291="","",IF($B291="","EKSİK","TAM"))</f>
        <v/>
      </c>
    </row>
    <row r="292">
      <c r="F292" s="35">
        <f>IF($A292="","",IF($B292="","EKSİK","TAM"))</f>
        <v/>
      </c>
    </row>
    <row r="293">
      <c r="F293" s="35">
        <f>IF($A293="","",IF($B293="","EKSİK","TAM"))</f>
        <v/>
      </c>
    </row>
    <row r="294">
      <c r="F294" s="35">
        <f>IF($A294="","",IF($B294="","EKSİK","TAM"))</f>
        <v/>
      </c>
    </row>
    <row r="295">
      <c r="F295" s="35">
        <f>IF($A295="","",IF($B295="","EKSİK","TAM"))</f>
        <v/>
      </c>
    </row>
    <row r="296">
      <c r="F296" s="35">
        <f>IF($A296="","",IF($B296="","EKSİK","TAM"))</f>
        <v/>
      </c>
    </row>
    <row r="297">
      <c r="F297" s="35">
        <f>IF($A297="","",IF($B297="","EKSİK","TAM"))</f>
        <v/>
      </c>
    </row>
    <row r="298">
      <c r="F298" s="35">
        <f>IF($A298="","",IF($B298="","EKSİK","TAM"))</f>
        <v/>
      </c>
    </row>
    <row r="299">
      <c r="F299" s="35">
        <f>IF($A299="","",IF($B299="","EKSİK","TAM"))</f>
        <v/>
      </c>
    </row>
    <row r="300">
      <c r="F300" s="35">
        <f>IF($A300="","",IF($B300="","EKSİK","TAM"))</f>
        <v/>
      </c>
    </row>
    <row r="301">
      <c r="F301" s="35">
        <f>IF($A301="","",IF($B301="","EKSİK","TAM"))</f>
        <v/>
      </c>
    </row>
    <row r="302">
      <c r="F302" s="35">
        <f>IF($A302="","",IF($B302="","EKSİK","TAM"))</f>
        <v/>
      </c>
    </row>
    <row r="303">
      <c r="F303" s="35">
        <f>IF($A303="","",IF($B303="","EKSİK","TAM"))</f>
        <v/>
      </c>
    </row>
    <row r="304">
      <c r="F304" s="35">
        <f>IF($A304="","",IF($B304="","EKSİK","TAM"))</f>
        <v/>
      </c>
    </row>
    <row r="305">
      <c r="F305" s="35">
        <f>IF($A305="","",IF($B305="","EKSİK","TAM"))</f>
        <v/>
      </c>
    </row>
    <row r="306">
      <c r="F306" s="35">
        <f>IF($A306="","",IF($B306="","EKSİK","TAM"))</f>
        <v/>
      </c>
    </row>
    <row r="307">
      <c r="F307" s="35">
        <f>IF($A307="","",IF($B307="","EKSİK","TAM"))</f>
        <v/>
      </c>
    </row>
    <row r="308">
      <c r="F308" s="35">
        <f>IF($A308="","",IF($B308="","EKSİK","TAM"))</f>
        <v/>
      </c>
    </row>
    <row r="309">
      <c r="F309" s="35">
        <f>IF($A309="","",IF($B309="","EKSİK","TAM"))</f>
        <v/>
      </c>
    </row>
    <row r="310">
      <c r="F310" s="35">
        <f>IF($A310="","",IF($B310="","EKSİK","TAM"))</f>
        <v/>
      </c>
    </row>
    <row r="311">
      <c r="F311" s="35">
        <f>IF($A311="","",IF($B311="","EKSİK","TAM"))</f>
        <v/>
      </c>
    </row>
    <row r="312">
      <c r="F312" s="35">
        <f>IF($A312="","",IF($B312="","EKSİK","TAM"))</f>
        <v/>
      </c>
    </row>
    <row r="313">
      <c r="F313" s="35">
        <f>IF($A313="","",IF($B313="","EKSİK","TAM"))</f>
        <v/>
      </c>
    </row>
    <row r="314">
      <c r="F314" s="35">
        <f>IF($A314="","",IF($B314="","EKSİK","TAM"))</f>
        <v/>
      </c>
    </row>
    <row r="315">
      <c r="F315" s="35">
        <f>IF($A315="","",IF($B315="","EKSİK","TAM"))</f>
        <v/>
      </c>
    </row>
    <row r="316">
      <c r="F316" s="35">
        <f>IF($A316="","",IF($B316="","EKSİK","TAM"))</f>
        <v/>
      </c>
    </row>
    <row r="317">
      <c r="F317" s="35">
        <f>IF($A317="","",IF($B317="","EKSİK","TAM"))</f>
        <v/>
      </c>
    </row>
    <row r="318">
      <c r="F318" s="35">
        <f>IF($A318="","",IF($B318="","EKSİK","TAM"))</f>
        <v/>
      </c>
    </row>
    <row r="319">
      <c r="F319" s="35">
        <f>IF($A319="","",IF($B319="","EKSİK","TAM"))</f>
        <v/>
      </c>
    </row>
    <row r="320">
      <c r="F320" s="35">
        <f>IF($A320="","",IF($B320="","EKSİK","TAM"))</f>
        <v/>
      </c>
    </row>
    <row r="321">
      <c r="F321" s="35">
        <f>IF($A321="","",IF($B321="","EKSİK","TAM"))</f>
        <v/>
      </c>
    </row>
    <row r="322">
      <c r="F322" s="35">
        <f>IF($A322="","",IF($B322="","EKSİK","TAM"))</f>
        <v/>
      </c>
    </row>
    <row r="323">
      <c r="F323" s="35">
        <f>IF($A323="","",IF($B323="","EKSİK","TAM"))</f>
        <v/>
      </c>
    </row>
    <row r="324">
      <c r="F324" s="35">
        <f>IF($A324="","",IF($B324="","EKSİK","TAM"))</f>
        <v/>
      </c>
    </row>
    <row r="325">
      <c r="F325" s="35">
        <f>IF($A325="","",IF($B325="","EKSİK","TAM"))</f>
        <v/>
      </c>
    </row>
    <row r="326">
      <c r="F326" s="35">
        <f>IF($A326="","",IF($B326="","EKSİK","TAM"))</f>
        <v/>
      </c>
    </row>
    <row r="327">
      <c r="F327" s="35">
        <f>IF($A327="","",IF($B327="","EKSİK","TAM"))</f>
        <v/>
      </c>
    </row>
    <row r="328">
      <c r="F328" s="35">
        <f>IF($A328="","",IF($B328="","EKSİK","TAM"))</f>
        <v/>
      </c>
    </row>
    <row r="329">
      <c r="F329" s="35">
        <f>IF($A329="","",IF($B329="","EKSİK","TAM"))</f>
        <v/>
      </c>
    </row>
    <row r="330">
      <c r="F330" s="35">
        <f>IF($A330="","",IF($B330="","EKSİK","TAM"))</f>
        <v/>
      </c>
    </row>
    <row r="331">
      <c r="F331" s="35">
        <f>IF($A331="","",IF($B331="","EKSİK","TAM"))</f>
        <v/>
      </c>
    </row>
    <row r="332">
      <c r="F332" s="35">
        <f>IF($A332="","",IF($B332="","EKSİK","TAM"))</f>
        <v/>
      </c>
    </row>
    <row r="333">
      <c r="F333" s="35">
        <f>IF($A333="","",IF($B333="","EKSİK","TAM"))</f>
        <v/>
      </c>
    </row>
    <row r="334">
      <c r="F334" s="35">
        <f>IF($A334="","",IF($B334="","EKSİK","TAM"))</f>
        <v/>
      </c>
    </row>
    <row r="335">
      <c r="F335" s="35">
        <f>IF($A335="","",IF($B335="","EKSİK","TAM"))</f>
        <v/>
      </c>
    </row>
    <row r="336">
      <c r="F336" s="35">
        <f>IF($A336="","",IF($B336="","EKSİK","TAM"))</f>
        <v/>
      </c>
    </row>
    <row r="337">
      <c r="F337" s="35">
        <f>IF($A337="","",IF($B337="","EKSİK","TAM"))</f>
        <v/>
      </c>
    </row>
    <row r="338">
      <c r="F338" s="35">
        <f>IF($A338="","",IF($B338="","EKSİK","TAM"))</f>
        <v/>
      </c>
    </row>
    <row r="339">
      <c r="F339" s="35">
        <f>IF($A339="","",IF($B339="","EKSİK","TAM"))</f>
        <v/>
      </c>
    </row>
    <row r="340">
      <c r="F340" s="35">
        <f>IF($A340="","",IF($B340="","EKSİK","TAM"))</f>
        <v/>
      </c>
    </row>
    <row r="341">
      <c r="F341" s="35">
        <f>IF($A341="","",IF($B341="","EKSİK","TAM"))</f>
        <v/>
      </c>
    </row>
    <row r="342">
      <c r="F342" s="35">
        <f>IF($A342="","",IF($B342="","EKSİK","TAM"))</f>
        <v/>
      </c>
    </row>
    <row r="343">
      <c r="F343" s="35">
        <f>IF($A343="","",IF($B343="","EKSİK","TAM"))</f>
        <v/>
      </c>
    </row>
    <row r="344">
      <c r="F344" s="35">
        <f>IF($A344="","",IF($B344="","EKSİK","TAM"))</f>
        <v/>
      </c>
    </row>
    <row r="345">
      <c r="F345" s="35">
        <f>IF($A345="","",IF($B345="","EKSİK","TAM"))</f>
        <v/>
      </c>
    </row>
    <row r="346">
      <c r="F346" s="35">
        <f>IF($A346="","",IF($B346="","EKSİK","TAM"))</f>
        <v/>
      </c>
    </row>
    <row r="347">
      <c r="F347" s="35">
        <f>IF($A347="","",IF($B347="","EKSİK","TAM"))</f>
        <v/>
      </c>
    </row>
    <row r="348">
      <c r="F348" s="35">
        <f>IF($A348="","",IF($B348="","EKSİK","TAM"))</f>
        <v/>
      </c>
    </row>
    <row r="349">
      <c r="F349" s="35">
        <f>IF($A349="","",IF($B349="","EKSİK","TAM"))</f>
        <v/>
      </c>
    </row>
    <row r="350">
      <c r="F350" s="35">
        <f>IF($A350="","",IF($B350="","EKSİK","TAM"))</f>
        <v/>
      </c>
    </row>
    <row r="351">
      <c r="F351" s="35">
        <f>IF($A351="","",IF($B351="","EKSİK","TAM"))</f>
        <v/>
      </c>
    </row>
    <row r="352">
      <c r="F352" s="35">
        <f>IF($A352="","",IF($B352="","EKSİK","TAM"))</f>
        <v/>
      </c>
    </row>
    <row r="353">
      <c r="F353" s="35">
        <f>IF($A353="","",IF($B353="","EKSİK","TAM"))</f>
        <v/>
      </c>
    </row>
    <row r="354">
      <c r="F354" s="35">
        <f>IF($A354="","",IF($B354="","EKSİK","TAM"))</f>
        <v/>
      </c>
    </row>
    <row r="355">
      <c r="F355" s="35">
        <f>IF($A355="","",IF($B355="","EKSİK","TAM"))</f>
        <v/>
      </c>
    </row>
    <row r="356">
      <c r="F356" s="35">
        <f>IF($A356="","",IF($B356="","EKSİK","TAM"))</f>
        <v/>
      </c>
    </row>
    <row r="357">
      <c r="F357" s="35">
        <f>IF($A357="","",IF($B357="","EKSİK","TAM"))</f>
        <v/>
      </c>
    </row>
    <row r="358">
      <c r="F358" s="35">
        <f>IF($A358="","",IF($B358="","EKSİK","TAM"))</f>
        <v/>
      </c>
    </row>
    <row r="359">
      <c r="F359" s="35">
        <f>IF($A359="","",IF($B359="","EKSİK","TAM"))</f>
        <v/>
      </c>
    </row>
    <row r="360">
      <c r="F360" s="35">
        <f>IF($A360="","",IF($B360="","EKSİK","TAM"))</f>
        <v/>
      </c>
    </row>
    <row r="361">
      <c r="F361" s="35">
        <f>IF($A361="","",IF($B361="","EKSİK","TAM"))</f>
        <v/>
      </c>
    </row>
    <row r="362">
      <c r="F362" s="35">
        <f>IF($A362="","",IF($B362="","EKSİK","TAM"))</f>
        <v/>
      </c>
    </row>
    <row r="363">
      <c r="F363" s="35">
        <f>IF($A363="","",IF($B363="","EKSİK","TAM"))</f>
        <v/>
      </c>
    </row>
    <row r="364">
      <c r="F364" s="35">
        <f>IF($A364="","",IF($B364="","EKSİK","TAM"))</f>
        <v/>
      </c>
    </row>
    <row r="365">
      <c r="F365" s="35">
        <f>IF($A365="","",IF($B365="","EKSİK","TAM"))</f>
        <v/>
      </c>
    </row>
    <row r="366">
      <c r="F366" s="35">
        <f>IF($A366="","",IF($B366="","EKSİK","TAM"))</f>
        <v/>
      </c>
    </row>
    <row r="367">
      <c r="F367" s="35">
        <f>IF($A367="","",IF($B367="","EKSİK","TAM"))</f>
        <v/>
      </c>
    </row>
    <row r="368">
      <c r="F368" s="35">
        <f>IF($A368="","",IF($B368="","EKSİK","TAM"))</f>
        <v/>
      </c>
    </row>
    <row r="369">
      <c r="F369" s="35">
        <f>IF($A369="","",IF($B369="","EKSİK","TAM"))</f>
        <v/>
      </c>
    </row>
    <row r="370">
      <c r="F370" s="35">
        <f>IF($A370="","",IF($B370="","EKSİK","TAM"))</f>
        <v/>
      </c>
    </row>
    <row r="371">
      <c r="F371" s="35">
        <f>IF($A371="","",IF($B371="","EKSİK","TAM"))</f>
        <v/>
      </c>
    </row>
    <row r="372">
      <c r="F372" s="35">
        <f>IF($A372="","",IF($B372="","EKSİK","TAM"))</f>
        <v/>
      </c>
    </row>
    <row r="373">
      <c r="F373" s="35">
        <f>IF($A373="","",IF($B373="","EKSİK","TAM"))</f>
        <v/>
      </c>
    </row>
    <row r="374">
      <c r="F374" s="35">
        <f>IF($A374="","",IF($B374="","EKSİK","TAM"))</f>
        <v/>
      </c>
    </row>
    <row r="375">
      <c r="F375" s="35">
        <f>IF($A375="","",IF($B375="","EKSİK","TAM"))</f>
        <v/>
      </c>
    </row>
    <row r="376">
      <c r="F376" s="35">
        <f>IF($A376="","",IF($B376="","EKSİK","TAM"))</f>
        <v/>
      </c>
    </row>
    <row r="377">
      <c r="F377" s="35">
        <f>IF($A377="","",IF($B377="","EKSİK","TAM"))</f>
        <v/>
      </c>
    </row>
    <row r="378">
      <c r="F378" s="35">
        <f>IF($A378="","",IF($B378="","EKSİK","TAM"))</f>
        <v/>
      </c>
    </row>
    <row r="379">
      <c r="F379" s="35">
        <f>IF($A379="","",IF($B379="","EKSİK","TAM"))</f>
        <v/>
      </c>
    </row>
    <row r="380">
      <c r="F380" s="35">
        <f>IF($A380="","",IF($B380="","EKSİK","TAM"))</f>
        <v/>
      </c>
    </row>
    <row r="381">
      <c r="F381" s="35">
        <f>IF($A381="","",IF($B381="","EKSİK","TAM"))</f>
        <v/>
      </c>
    </row>
    <row r="382">
      <c r="F382" s="35">
        <f>IF($A382="","",IF($B382="","EKSİK","TAM"))</f>
        <v/>
      </c>
    </row>
    <row r="383">
      <c r="F383" s="35">
        <f>IF($A383="","",IF($B383="","EKSİK","TAM"))</f>
        <v/>
      </c>
    </row>
    <row r="384">
      <c r="F384" s="35">
        <f>IF($A384="","",IF($B384="","EKSİK","TAM"))</f>
        <v/>
      </c>
    </row>
    <row r="385">
      <c r="F385" s="35">
        <f>IF($A385="","",IF($B385="","EKSİK","TAM"))</f>
        <v/>
      </c>
    </row>
    <row r="386">
      <c r="F386" s="35">
        <f>IF($A386="","",IF($B386="","EKSİK","TAM"))</f>
        <v/>
      </c>
    </row>
    <row r="387">
      <c r="F387" s="35">
        <f>IF($A387="","",IF($B387="","EKSİK","TAM"))</f>
        <v/>
      </c>
    </row>
    <row r="388">
      <c r="F388" s="35">
        <f>IF($A388="","",IF($B388="","EKSİK","TAM"))</f>
        <v/>
      </c>
    </row>
    <row r="389">
      <c r="F389" s="35">
        <f>IF($A389="","",IF($B389="","EKSİK","TAM"))</f>
        <v/>
      </c>
    </row>
    <row r="390">
      <c r="F390" s="35">
        <f>IF($A390="","",IF($B390="","EKSİK","TAM"))</f>
        <v/>
      </c>
    </row>
    <row r="391">
      <c r="F391" s="35">
        <f>IF($A391="","",IF($B391="","EKSİK","TAM"))</f>
        <v/>
      </c>
    </row>
    <row r="392">
      <c r="F392" s="35">
        <f>IF($A392="","",IF($B392="","EKSİK","TAM"))</f>
        <v/>
      </c>
    </row>
    <row r="393">
      <c r="F393" s="35">
        <f>IF($A393="","",IF($B393="","EKSİK","TAM"))</f>
        <v/>
      </c>
    </row>
    <row r="394">
      <c r="F394" s="35">
        <f>IF($A394="","",IF($B394="","EKSİK","TAM"))</f>
        <v/>
      </c>
    </row>
    <row r="395">
      <c r="F395" s="35">
        <f>IF($A395="","",IF($B395="","EKSİK","TAM"))</f>
        <v/>
      </c>
    </row>
    <row r="396">
      <c r="F396" s="35">
        <f>IF($A396="","",IF($B396="","EKSİK","TAM"))</f>
        <v/>
      </c>
    </row>
    <row r="397">
      <c r="F397" s="35">
        <f>IF($A397="","",IF($B397="","EKSİK","TAM"))</f>
        <v/>
      </c>
    </row>
    <row r="398">
      <c r="F398" s="35">
        <f>IF($A398="","",IF($B398="","EKSİK","TAM"))</f>
        <v/>
      </c>
    </row>
    <row r="399">
      <c r="F399" s="35">
        <f>IF($A399="","",IF($B399="","EKSİK","TAM"))</f>
        <v/>
      </c>
    </row>
    <row r="400">
      <c r="F400" s="35">
        <f>IF($A400="","",IF($B400="","EKSİK","TAM"))</f>
        <v/>
      </c>
    </row>
    <row r="401">
      <c r="F401" s="35">
        <f>IF($A401="","",IF($B401="","EKSİK","TAM"))</f>
        <v/>
      </c>
    </row>
    <row r="402">
      <c r="F402" s="35">
        <f>IF($A402="","",IF($B402="","EKSİK","TAM"))</f>
        <v/>
      </c>
    </row>
    <row r="403">
      <c r="F403" s="35">
        <f>IF($A403="","",IF($B403="","EKSİK","TAM"))</f>
        <v/>
      </c>
    </row>
    <row r="404">
      <c r="F404" s="35">
        <f>IF($A404="","",IF($B404="","EKSİK","TAM"))</f>
        <v/>
      </c>
    </row>
    <row r="405">
      <c r="F405" s="35">
        <f>IF($A405="","",IF($B405="","EKSİK","TAM"))</f>
        <v/>
      </c>
    </row>
    <row r="406">
      <c r="F406" s="35">
        <f>IF($A406="","",IF($B406="","EKSİK","TAM"))</f>
        <v/>
      </c>
    </row>
    <row r="407">
      <c r="F407" s="35">
        <f>IF($A407="","",IF($B407="","EKSİK","TAM"))</f>
        <v/>
      </c>
    </row>
    <row r="408">
      <c r="F408" s="35">
        <f>IF($A408="","",IF($B408="","EKSİK","TAM"))</f>
        <v/>
      </c>
    </row>
    <row r="409">
      <c r="F409" s="35">
        <f>IF($A409="","",IF($B409="","EKSİK","TAM"))</f>
        <v/>
      </c>
    </row>
    <row r="410">
      <c r="F410" s="35">
        <f>IF($A410="","",IF($B410="","EKSİK","TAM"))</f>
        <v/>
      </c>
    </row>
    <row r="411">
      <c r="F411" s="35">
        <f>IF($A411="","",IF($B411="","EKSİK","TAM"))</f>
        <v/>
      </c>
    </row>
    <row r="412">
      <c r="F412" s="35">
        <f>IF($A412="","",IF($B412="","EKSİK","TAM"))</f>
        <v/>
      </c>
    </row>
    <row r="413">
      <c r="F413" s="35">
        <f>IF($A413="","",IF($B413="","EKSİK","TAM"))</f>
        <v/>
      </c>
    </row>
    <row r="414">
      <c r="F414" s="35">
        <f>IF($A414="","",IF($B414="","EKSİK","TAM"))</f>
        <v/>
      </c>
    </row>
    <row r="415">
      <c r="F415" s="35">
        <f>IF($A415="","",IF($B415="","EKSİK","TAM"))</f>
        <v/>
      </c>
    </row>
    <row r="416">
      <c r="F416" s="35">
        <f>IF($A416="","",IF($B416="","EKSİK","TAM"))</f>
        <v/>
      </c>
    </row>
    <row r="417">
      <c r="F417" s="35">
        <f>IF($A417="","",IF($B417="","EKSİK","TAM"))</f>
        <v/>
      </c>
    </row>
    <row r="418">
      <c r="F418" s="35">
        <f>IF($A418="","",IF($B418="","EKSİK","TAM"))</f>
        <v/>
      </c>
    </row>
    <row r="419">
      <c r="F419" s="35">
        <f>IF($A419="","",IF($B419="","EKSİK","TAM"))</f>
        <v/>
      </c>
    </row>
    <row r="420">
      <c r="F420" s="35">
        <f>IF($A420="","",IF($B420="","EKSİK","TAM"))</f>
        <v/>
      </c>
    </row>
    <row r="421">
      <c r="F421" s="35">
        <f>IF($A421="","",IF($B421="","EKSİK","TAM"))</f>
        <v/>
      </c>
    </row>
    <row r="422">
      <c r="F422" s="35">
        <f>IF($A422="","",IF($B422="","EKSİK","TAM"))</f>
        <v/>
      </c>
    </row>
    <row r="423">
      <c r="F423" s="35">
        <f>IF($A423="","",IF($B423="","EKSİK","TAM"))</f>
        <v/>
      </c>
    </row>
    <row r="424">
      <c r="F424" s="35">
        <f>IF($A424="","",IF($B424="","EKSİK","TAM"))</f>
        <v/>
      </c>
    </row>
    <row r="425">
      <c r="F425" s="35">
        <f>IF($A425="","",IF($B425="","EKSİK","TAM"))</f>
        <v/>
      </c>
    </row>
    <row r="426">
      <c r="F426" s="35">
        <f>IF($A426="","",IF($B426="","EKSİK","TAM"))</f>
        <v/>
      </c>
    </row>
    <row r="427">
      <c r="F427" s="35">
        <f>IF($A427="","",IF($B427="","EKSİK","TAM"))</f>
        <v/>
      </c>
    </row>
    <row r="428">
      <c r="F428" s="35">
        <f>IF($A428="","",IF($B428="","EKSİK","TAM"))</f>
        <v/>
      </c>
    </row>
    <row r="429">
      <c r="F429" s="35">
        <f>IF($A429="","",IF($B429="","EKSİK","TAM"))</f>
        <v/>
      </c>
    </row>
    <row r="430">
      <c r="F430" s="35">
        <f>IF($A430="","",IF($B430="","EKSİK","TAM"))</f>
        <v/>
      </c>
    </row>
    <row r="431">
      <c r="F431" s="35">
        <f>IF($A431="","",IF($B431="","EKSİK","TAM"))</f>
        <v/>
      </c>
    </row>
    <row r="432">
      <c r="F432" s="35">
        <f>IF($A432="","",IF($B432="","EKSİK","TAM"))</f>
        <v/>
      </c>
    </row>
    <row r="433">
      <c r="F433" s="35">
        <f>IF($A433="","",IF($B433="","EKSİK","TAM"))</f>
        <v/>
      </c>
    </row>
    <row r="434">
      <c r="F434" s="35">
        <f>IF($A434="","",IF($B434="","EKSİK","TAM"))</f>
        <v/>
      </c>
    </row>
    <row r="435">
      <c r="F435" s="35">
        <f>IF($A435="","",IF($B435="","EKSİK","TAM"))</f>
        <v/>
      </c>
    </row>
    <row r="436">
      <c r="F436" s="35">
        <f>IF($A436="","",IF($B436="","EKSİK","TAM"))</f>
        <v/>
      </c>
    </row>
    <row r="437">
      <c r="F437" s="35">
        <f>IF($A437="","",IF($B437="","EKSİK","TAM"))</f>
        <v/>
      </c>
    </row>
    <row r="438">
      <c r="F438" s="35">
        <f>IF($A438="","",IF($B438="","EKSİK","TAM"))</f>
        <v/>
      </c>
    </row>
    <row r="439">
      <c r="F439" s="35">
        <f>IF($A439="","",IF($B439="","EKSİK","TAM"))</f>
        <v/>
      </c>
    </row>
    <row r="440">
      <c r="F440" s="35">
        <f>IF($A440="","",IF($B440="","EKSİK","TAM"))</f>
        <v/>
      </c>
    </row>
    <row r="441">
      <c r="F441" s="35">
        <f>IF($A441="","",IF($B441="","EKSİK","TAM"))</f>
        <v/>
      </c>
    </row>
    <row r="442">
      <c r="F442" s="35">
        <f>IF($A442="","",IF($B442="","EKSİK","TAM"))</f>
        <v/>
      </c>
    </row>
    <row r="443">
      <c r="F443" s="35">
        <f>IF($A443="","",IF($B443="","EKSİK","TAM"))</f>
        <v/>
      </c>
    </row>
    <row r="444">
      <c r="F444" s="35">
        <f>IF($A444="","",IF($B444="","EKSİK","TAM"))</f>
        <v/>
      </c>
    </row>
    <row r="445">
      <c r="F445" s="35">
        <f>IF($A445="","",IF($B445="","EKSİK","TAM"))</f>
        <v/>
      </c>
    </row>
    <row r="446">
      <c r="F446" s="35">
        <f>IF($A446="","",IF($B446="","EKSİK","TAM"))</f>
        <v/>
      </c>
    </row>
    <row r="447">
      <c r="F447" s="35">
        <f>IF($A447="","",IF($B447="","EKSİK","TAM"))</f>
        <v/>
      </c>
    </row>
    <row r="448">
      <c r="F448" s="35">
        <f>IF($A448="","",IF($B448="","EKSİK","TAM"))</f>
        <v/>
      </c>
    </row>
    <row r="449">
      <c r="F449" s="35">
        <f>IF($A449="","",IF($B449="","EKSİK","TAM"))</f>
        <v/>
      </c>
    </row>
    <row r="450">
      <c r="F450" s="35">
        <f>IF($A450="","",IF($B450="","EKSİK","TAM"))</f>
        <v/>
      </c>
    </row>
    <row r="451">
      <c r="F451" s="35">
        <f>IF($A451="","",IF($B451="","EKSİK","TAM"))</f>
        <v/>
      </c>
    </row>
    <row r="452">
      <c r="F452" s="35">
        <f>IF($A452="","",IF($B452="","EKSİK","TAM"))</f>
        <v/>
      </c>
    </row>
    <row r="453">
      <c r="F453" s="35">
        <f>IF($A453="","",IF($B453="","EKSİK","TAM"))</f>
        <v/>
      </c>
    </row>
    <row r="454">
      <c r="F454" s="35">
        <f>IF($A454="","",IF($B454="","EKSİK","TAM"))</f>
        <v/>
      </c>
    </row>
    <row r="455">
      <c r="F455" s="35">
        <f>IF($A455="","",IF($B455="","EKSİK","TAM"))</f>
        <v/>
      </c>
    </row>
    <row r="456">
      <c r="F456" s="35">
        <f>IF($A456="","",IF($B456="","EKSİK","TAM"))</f>
        <v/>
      </c>
    </row>
    <row r="457">
      <c r="F457" s="35">
        <f>IF($A457="","",IF($B457="","EKSİK","TAM"))</f>
        <v/>
      </c>
    </row>
    <row r="458">
      <c r="F458" s="35">
        <f>IF($A458="","",IF($B458="","EKSİK","TAM"))</f>
        <v/>
      </c>
    </row>
    <row r="459">
      <c r="F459" s="35">
        <f>IF($A459="","",IF($B459="","EKSİK","TAM"))</f>
        <v/>
      </c>
    </row>
    <row r="460">
      <c r="F460" s="35">
        <f>IF($A460="","",IF($B460="","EKSİK","TAM"))</f>
        <v/>
      </c>
    </row>
    <row r="461">
      <c r="F461" s="35">
        <f>IF($A461="","",IF($B461="","EKSİK","TAM"))</f>
        <v/>
      </c>
    </row>
    <row r="462">
      <c r="F462" s="35">
        <f>IF($A462="","",IF($B462="","EKSİK","TAM"))</f>
        <v/>
      </c>
    </row>
    <row r="463">
      <c r="F463" s="35">
        <f>IF($A463="","",IF($B463="","EKSİK","TAM"))</f>
        <v/>
      </c>
    </row>
    <row r="464">
      <c r="F464" s="35">
        <f>IF($A464="","",IF($B464="","EKSİK","TAM"))</f>
        <v/>
      </c>
    </row>
    <row r="465">
      <c r="F465" s="35">
        <f>IF($A465="","",IF($B465="","EKSİK","TAM"))</f>
        <v/>
      </c>
    </row>
    <row r="466">
      <c r="F466" s="35">
        <f>IF($A466="","",IF($B466="","EKSİK","TAM"))</f>
        <v/>
      </c>
    </row>
    <row r="467">
      <c r="F467" s="35">
        <f>IF($A467="","",IF($B467="","EKSİK","TAM"))</f>
        <v/>
      </c>
    </row>
    <row r="468">
      <c r="F468" s="35">
        <f>IF($A468="","",IF($B468="","EKSİK","TAM"))</f>
        <v/>
      </c>
    </row>
    <row r="469">
      <c r="F469" s="35">
        <f>IF($A469="","",IF($B469="","EKSİK","TAM"))</f>
        <v/>
      </c>
    </row>
    <row r="470">
      <c r="F470" s="35">
        <f>IF($A470="","",IF($B470="","EKSİK","TAM"))</f>
        <v/>
      </c>
    </row>
    <row r="471">
      <c r="F471" s="35">
        <f>IF($A471="","",IF($B471="","EKSİK","TAM"))</f>
        <v/>
      </c>
    </row>
    <row r="472">
      <c r="F472" s="35">
        <f>IF($A472="","",IF($B472="","EKSİK","TAM"))</f>
        <v/>
      </c>
    </row>
    <row r="473">
      <c r="F473" s="35">
        <f>IF($A473="","",IF($B473="","EKSİK","TAM"))</f>
        <v/>
      </c>
    </row>
    <row r="474">
      <c r="F474" s="35">
        <f>IF($A474="","",IF($B474="","EKSİK","TAM"))</f>
        <v/>
      </c>
    </row>
    <row r="475">
      <c r="F475" s="35">
        <f>IF($A475="","",IF($B475="","EKSİK","TAM"))</f>
        <v/>
      </c>
    </row>
    <row r="476">
      <c r="F476" s="35">
        <f>IF($A476="","",IF($B476="","EKSİK","TAM"))</f>
        <v/>
      </c>
    </row>
    <row r="477">
      <c r="F477" s="35">
        <f>IF($A477="","",IF($B477="","EKSİK","TAM"))</f>
        <v/>
      </c>
    </row>
    <row r="478">
      <c r="F478" s="35">
        <f>IF($A478="","",IF($B478="","EKSİK","TAM"))</f>
        <v/>
      </c>
    </row>
    <row r="479">
      <c r="F479" s="35">
        <f>IF($A479="","",IF($B479="","EKSİK","TAM"))</f>
        <v/>
      </c>
    </row>
    <row r="480">
      <c r="F480" s="35">
        <f>IF($A480="","",IF($B480="","EKSİK","TAM"))</f>
        <v/>
      </c>
    </row>
    <row r="481">
      <c r="F481" s="35">
        <f>IF($A481="","",IF($B481="","EKSİK","TAM"))</f>
        <v/>
      </c>
    </row>
    <row r="482">
      <c r="F482" s="35">
        <f>IF($A482="","",IF($B482="","EKSİK","TAM"))</f>
        <v/>
      </c>
    </row>
    <row r="483">
      <c r="F483" s="35">
        <f>IF($A483="","",IF($B483="","EKSİK","TAM"))</f>
        <v/>
      </c>
    </row>
    <row r="484">
      <c r="F484" s="35">
        <f>IF($A484="","",IF($B484="","EKSİK","TAM"))</f>
        <v/>
      </c>
    </row>
    <row r="485">
      <c r="F485" s="35">
        <f>IF($A485="","",IF($B485="","EKSİK","TAM"))</f>
        <v/>
      </c>
    </row>
    <row r="486">
      <c r="F486" s="35">
        <f>IF($A486="","",IF($B486="","EKSİK","TAM"))</f>
        <v/>
      </c>
    </row>
    <row r="487">
      <c r="F487" s="35">
        <f>IF($A487="","",IF($B487="","EKSİK","TAM"))</f>
        <v/>
      </c>
    </row>
    <row r="488">
      <c r="F488" s="35">
        <f>IF($A488="","",IF($B488="","EKSİK","TAM"))</f>
        <v/>
      </c>
    </row>
    <row r="489">
      <c r="F489" s="35">
        <f>IF($A489="","",IF($B489="","EKSİK","TAM"))</f>
        <v/>
      </c>
    </row>
    <row r="490">
      <c r="F490" s="35">
        <f>IF($A490="","",IF($B490="","EKSİK","TAM"))</f>
        <v/>
      </c>
    </row>
    <row r="491">
      <c r="F491" s="35">
        <f>IF($A491="","",IF($B491="","EKSİK","TAM"))</f>
        <v/>
      </c>
    </row>
    <row r="492">
      <c r="F492" s="35">
        <f>IF($A492="","",IF($B492="","EKSİK","TAM"))</f>
        <v/>
      </c>
    </row>
    <row r="493">
      <c r="F493" s="35">
        <f>IF($A493="","",IF($B493="","EKSİK","TAM"))</f>
        <v/>
      </c>
    </row>
    <row r="494">
      <c r="F494" s="35">
        <f>IF($A494="","",IF($B494="","EKSİK","TAM"))</f>
        <v/>
      </c>
    </row>
    <row r="495">
      <c r="F495" s="35">
        <f>IF($A495="","",IF($B495="","EKSİK","TAM"))</f>
        <v/>
      </c>
    </row>
    <row r="496">
      <c r="F496" s="35">
        <f>IF($A496="","",IF($B496="","EKSİK","TAM"))</f>
        <v/>
      </c>
    </row>
    <row r="497">
      <c r="F497" s="35">
        <f>IF($A497="","",IF($B497="","EKSİK","TAM"))</f>
        <v/>
      </c>
    </row>
    <row r="498">
      <c r="F498" s="35">
        <f>IF($A498="","",IF($B498="","EKSİK","TAM"))</f>
        <v/>
      </c>
    </row>
    <row r="499">
      <c r="F499" s="35">
        <f>IF($A499="","",IF($B499="","EKSİK","TAM"))</f>
        <v/>
      </c>
    </row>
    <row r="500">
      <c r="F500" s="35">
        <f>IF($A500="","",IF($B500="","EKSİK","TAM"))</f>
        <v/>
      </c>
    </row>
    <row r="501">
      <c r="F501" s="35">
        <f>IF($A501="","",IF($B501="","EKSİK","TAM"))</f>
        <v/>
      </c>
    </row>
    <row r="502">
      <c r="F502" s="35">
        <f>IF($A502="","",IF($B502="","EKSİK","TAM"))</f>
        <v/>
      </c>
    </row>
    <row r="503">
      <c r="F503" s="35">
        <f>IF($A503="","",IF($B503="","EKSİK","TAM"))</f>
        <v/>
      </c>
    </row>
    <row r="504">
      <c r="F504" s="35">
        <f>IF($A504="","",IF($B504="","EKSİK","TAM"))</f>
        <v/>
      </c>
    </row>
    <row r="505">
      <c r="F505" s="35">
        <f>IF($A505="","",IF($B505="","EKSİK","TAM"))</f>
        <v/>
      </c>
    </row>
    <row r="506">
      <c r="F506" s="35">
        <f>IF($A506="","",IF($B506="","EKSİK","TAM"))</f>
        <v/>
      </c>
    </row>
    <row r="507">
      <c r="F507" s="35">
        <f>IF($A507="","",IF($B507="","EKSİK","TAM"))</f>
        <v/>
      </c>
    </row>
    <row r="508">
      <c r="F508" s="35">
        <f>IF($A508="","",IF($B508="","EKSİK","TAM"))</f>
        <v/>
      </c>
    </row>
    <row r="509">
      <c r="F509" s="35">
        <f>IF($A509="","",IF($B509="","EKSİK","TAM"))</f>
        <v/>
      </c>
    </row>
    <row r="510">
      <c r="F510" s="35">
        <f>IF($A510="","",IF($B510="","EKSİK","TAM"))</f>
        <v/>
      </c>
    </row>
    <row r="511">
      <c r="F511" s="35">
        <f>IF($A511="","",IF($B511="","EKSİK","TAM"))</f>
        <v/>
      </c>
    </row>
    <row r="512">
      <c r="F512" s="35">
        <f>IF($A512="","",IF($B512="","EKSİK","TAM"))</f>
        <v/>
      </c>
    </row>
    <row r="513">
      <c r="F513" s="35">
        <f>IF($A513="","",IF($B513="","EKSİK","TAM"))</f>
        <v/>
      </c>
    </row>
    <row r="514">
      <c r="F514" s="35">
        <f>IF($A514="","",IF($B514="","EKSİK","TAM"))</f>
        <v/>
      </c>
    </row>
    <row r="515">
      <c r="F515" s="35">
        <f>IF($A515="","",IF($B515="","EKSİK","TAM"))</f>
        <v/>
      </c>
    </row>
    <row r="516">
      <c r="F516" s="35">
        <f>IF($A516="","",IF($B516="","EKSİK","TAM"))</f>
        <v/>
      </c>
    </row>
    <row r="517">
      <c r="F517" s="35">
        <f>IF($A517="","",IF($B517="","EKSİK","TAM"))</f>
        <v/>
      </c>
    </row>
    <row r="518">
      <c r="F518" s="35">
        <f>IF($A518="","",IF($B518="","EKSİK","TAM"))</f>
        <v/>
      </c>
    </row>
    <row r="519">
      <c r="F519" s="35">
        <f>IF($A519="","",IF($B519="","EKSİK","TAM"))</f>
        <v/>
      </c>
    </row>
    <row r="520">
      <c r="F520" s="35">
        <f>IF($A520="","",IF($B520="","EKSİK","TAM"))</f>
        <v/>
      </c>
    </row>
    <row r="521">
      <c r="F521" s="35">
        <f>IF($A521="","",IF($B521="","EKSİK","TAM"))</f>
        <v/>
      </c>
    </row>
    <row r="522">
      <c r="F522" s="35">
        <f>IF($A522="","",IF($B522="","EKSİK","TAM"))</f>
        <v/>
      </c>
    </row>
    <row r="523">
      <c r="F523" s="35">
        <f>IF($A523="","",IF($B523="","EKSİK","TAM"))</f>
        <v/>
      </c>
    </row>
    <row r="524">
      <c r="F524" s="35">
        <f>IF($A524="","",IF($B524="","EKSİK","TAM"))</f>
        <v/>
      </c>
    </row>
    <row r="525">
      <c r="F525" s="35">
        <f>IF($A525="","",IF($B525="","EKSİK","TAM"))</f>
        <v/>
      </c>
    </row>
    <row r="526">
      <c r="F526" s="35">
        <f>IF($A526="","",IF($B526="","EKSİK","TAM"))</f>
        <v/>
      </c>
    </row>
    <row r="527">
      <c r="F527" s="35">
        <f>IF($A527="","",IF($B527="","EKSİK","TAM"))</f>
        <v/>
      </c>
    </row>
    <row r="528">
      <c r="F528" s="35">
        <f>IF($A528="","",IF($B528="","EKSİK","TAM"))</f>
        <v/>
      </c>
    </row>
    <row r="529">
      <c r="F529" s="35">
        <f>IF($A529="","",IF($B529="","EKSİK","TAM"))</f>
        <v/>
      </c>
    </row>
    <row r="530">
      <c r="F530" s="35">
        <f>IF($A530="","",IF($B530="","EKSİK","TAM"))</f>
        <v/>
      </c>
    </row>
    <row r="531">
      <c r="F531" s="35">
        <f>IF($A531="","",IF($B531="","EKSİK","TAM"))</f>
        <v/>
      </c>
    </row>
    <row r="532">
      <c r="F532" s="35">
        <f>IF($A532="","",IF($B532="","EKSİK","TAM"))</f>
        <v/>
      </c>
    </row>
    <row r="533">
      <c r="F533" s="35">
        <f>IF($A533="","",IF($B533="","EKSİK","TAM"))</f>
        <v/>
      </c>
    </row>
    <row r="534">
      <c r="F534" s="35">
        <f>IF($A534="","",IF($B534="","EKSİK","TAM"))</f>
        <v/>
      </c>
    </row>
    <row r="535">
      <c r="F535" s="35">
        <f>IF($A535="","",IF($B535="","EKSİK","TAM"))</f>
        <v/>
      </c>
    </row>
    <row r="536">
      <c r="F536" s="35">
        <f>IF($A536="","",IF($B536="","EKSİK","TAM"))</f>
        <v/>
      </c>
    </row>
    <row r="537">
      <c r="F537" s="35">
        <f>IF($A537="","",IF($B537="","EKSİK","TAM"))</f>
        <v/>
      </c>
    </row>
    <row r="538">
      <c r="F538" s="35">
        <f>IF($A538="","",IF($B538="","EKSİK","TAM"))</f>
        <v/>
      </c>
    </row>
    <row r="539">
      <c r="F539" s="35">
        <f>IF($A539="","",IF($B539="","EKSİK","TAM"))</f>
        <v/>
      </c>
    </row>
    <row r="540">
      <c r="F540" s="35">
        <f>IF($A540="","",IF($B540="","EKSİK","TAM"))</f>
        <v/>
      </c>
    </row>
    <row r="541">
      <c r="F541" s="35">
        <f>IF($A541="","",IF($B541="","EKSİK","TAM"))</f>
        <v/>
      </c>
    </row>
    <row r="542">
      <c r="F542" s="35">
        <f>IF($A542="","",IF($B542="","EKSİK","TAM"))</f>
        <v/>
      </c>
    </row>
    <row r="543">
      <c r="F543" s="35">
        <f>IF($A543="","",IF($B543="","EKSİK","TAM"))</f>
        <v/>
      </c>
    </row>
    <row r="544">
      <c r="F544" s="35">
        <f>IF($A544="","",IF($B544="","EKSİK","TAM"))</f>
        <v/>
      </c>
    </row>
    <row r="545">
      <c r="F545" s="35">
        <f>IF($A545="","",IF($B545="","EKSİK","TAM"))</f>
        <v/>
      </c>
    </row>
    <row r="546">
      <c r="F546" s="35">
        <f>IF($A546="","",IF($B546="","EKSİK","TAM"))</f>
        <v/>
      </c>
    </row>
    <row r="547">
      <c r="F547" s="35">
        <f>IF($A547="","",IF($B547="","EKSİK","TAM"))</f>
        <v/>
      </c>
    </row>
    <row r="548">
      <c r="F548" s="35">
        <f>IF($A548="","",IF($B548="","EKSİK","TAM"))</f>
        <v/>
      </c>
    </row>
    <row r="549">
      <c r="F549" s="35">
        <f>IF($A549="","",IF($B549="","EKSİK","TAM"))</f>
        <v/>
      </c>
    </row>
    <row r="550">
      <c r="F550" s="35">
        <f>IF($A550="","",IF($B550="","EKSİK","TAM"))</f>
        <v/>
      </c>
    </row>
    <row r="551">
      <c r="F551" s="35">
        <f>IF($A551="","",IF($B551="","EKSİK","TAM"))</f>
        <v/>
      </c>
    </row>
    <row r="552">
      <c r="F552" s="35">
        <f>IF($A552="","",IF($B552="","EKSİK","TAM"))</f>
        <v/>
      </c>
    </row>
    <row r="553">
      <c r="F553" s="35">
        <f>IF($A553="","",IF($B553="","EKSİK","TAM"))</f>
        <v/>
      </c>
    </row>
    <row r="554">
      <c r="F554" s="35">
        <f>IF($A554="","",IF($B554="","EKSİK","TAM"))</f>
        <v/>
      </c>
    </row>
    <row r="555">
      <c r="F555" s="35">
        <f>IF($A555="","",IF($B555="","EKSİK","TAM"))</f>
        <v/>
      </c>
    </row>
    <row r="556">
      <c r="F556" s="35">
        <f>IF($A556="","",IF($B556="","EKSİK","TAM"))</f>
        <v/>
      </c>
    </row>
    <row r="557">
      <c r="F557" s="35">
        <f>IF($A557="","",IF($B557="","EKSİK","TAM"))</f>
        <v/>
      </c>
    </row>
    <row r="558">
      <c r="F558" s="35">
        <f>IF($A558="","",IF($B558="","EKSİK","TAM"))</f>
        <v/>
      </c>
    </row>
    <row r="559">
      <c r="F559" s="35">
        <f>IF($A559="","",IF($B559="","EKSİK","TAM"))</f>
        <v/>
      </c>
    </row>
    <row r="560">
      <c r="F560" s="35">
        <f>IF($A560="","",IF($B560="","EKSİK","TAM"))</f>
        <v/>
      </c>
    </row>
    <row r="561">
      <c r="F561" s="35">
        <f>IF($A561="","",IF($B561="","EKSİK","TAM"))</f>
        <v/>
      </c>
    </row>
    <row r="562">
      <c r="F562" s="35">
        <f>IF($A562="","",IF($B562="","EKSİK","TAM"))</f>
        <v/>
      </c>
    </row>
    <row r="563">
      <c r="F563" s="35">
        <f>IF($A563="","",IF($B563="","EKSİK","TAM"))</f>
        <v/>
      </c>
    </row>
    <row r="564">
      <c r="F564" s="35">
        <f>IF($A564="","",IF($B564="","EKSİK","TAM"))</f>
        <v/>
      </c>
    </row>
    <row r="565">
      <c r="F565" s="35">
        <f>IF($A565="","",IF($B565="","EKSİK","TAM"))</f>
        <v/>
      </c>
    </row>
    <row r="566">
      <c r="F566" s="35">
        <f>IF($A566="","",IF($B566="","EKSİK","TAM"))</f>
        <v/>
      </c>
    </row>
    <row r="567">
      <c r="F567" s="35">
        <f>IF($A567="","",IF($B567="","EKSİK","TAM"))</f>
        <v/>
      </c>
    </row>
    <row r="568">
      <c r="F568" s="35">
        <f>IF($A568="","",IF($B568="","EKSİK","TAM"))</f>
        <v/>
      </c>
    </row>
    <row r="569">
      <c r="F569" s="35">
        <f>IF($A569="","",IF($B569="","EKSİK","TAM"))</f>
        <v/>
      </c>
    </row>
    <row r="570">
      <c r="F570" s="35">
        <f>IF($A570="","",IF($B570="","EKSİK","TAM"))</f>
        <v/>
      </c>
    </row>
    <row r="571">
      <c r="F571" s="35">
        <f>IF($A571="","",IF($B571="","EKSİK","TAM"))</f>
        <v/>
      </c>
    </row>
    <row r="572">
      <c r="F572" s="35">
        <f>IF($A572="","",IF($B572="","EKSİK","TAM"))</f>
        <v/>
      </c>
    </row>
    <row r="573">
      <c r="F573" s="35">
        <f>IF($A573="","",IF($B573="","EKSİK","TAM"))</f>
        <v/>
      </c>
    </row>
    <row r="574">
      <c r="F574" s="35">
        <f>IF($A574="","",IF($B574="","EKSİK","TAM"))</f>
        <v/>
      </c>
    </row>
    <row r="575">
      <c r="F575" s="35">
        <f>IF($A575="","",IF($B575="","EKSİK","TAM"))</f>
        <v/>
      </c>
    </row>
    <row r="576">
      <c r="F576" s="35">
        <f>IF($A576="","",IF($B576="","EKSİK","TAM"))</f>
        <v/>
      </c>
    </row>
    <row r="577">
      <c r="F577" s="35">
        <f>IF($A577="","",IF($B577="","EKSİK","TAM"))</f>
        <v/>
      </c>
    </row>
    <row r="578">
      <c r="F578" s="35">
        <f>IF($A578="","",IF($B578="","EKSİK","TAM"))</f>
        <v/>
      </c>
    </row>
    <row r="579">
      <c r="F579" s="35">
        <f>IF($A579="","",IF($B579="","EKSİK","TAM"))</f>
        <v/>
      </c>
    </row>
    <row r="580">
      <c r="F580" s="35">
        <f>IF($A580="","",IF($B580="","EKSİK","TAM"))</f>
        <v/>
      </c>
    </row>
    <row r="581">
      <c r="F581" s="35">
        <f>IF($A581="","",IF($B581="","EKSİK","TAM"))</f>
        <v/>
      </c>
    </row>
    <row r="582">
      <c r="F582" s="35">
        <f>IF($A582="","",IF($B582="","EKSİK","TAM"))</f>
        <v/>
      </c>
    </row>
    <row r="583">
      <c r="F583" s="35">
        <f>IF($A583="","",IF($B583="","EKSİK","TAM"))</f>
        <v/>
      </c>
    </row>
    <row r="584">
      <c r="F584" s="35">
        <f>IF($A584="","",IF($B584="","EKSİK","TAM"))</f>
        <v/>
      </c>
    </row>
    <row r="585">
      <c r="F585" s="35">
        <f>IF($A585="","",IF($B585="","EKSİK","TAM"))</f>
        <v/>
      </c>
    </row>
    <row r="586">
      <c r="F586" s="35">
        <f>IF($A586="","",IF($B586="","EKSİK","TAM"))</f>
        <v/>
      </c>
    </row>
    <row r="587">
      <c r="F587" s="35">
        <f>IF($A587="","",IF($B587="","EKSİK","TAM"))</f>
        <v/>
      </c>
    </row>
    <row r="588">
      <c r="F588" s="35">
        <f>IF($A588="","",IF($B588="","EKSİK","TAM"))</f>
        <v/>
      </c>
    </row>
    <row r="589">
      <c r="F589" s="35">
        <f>IF($A589="","",IF($B589="","EKSİK","TAM"))</f>
        <v/>
      </c>
    </row>
    <row r="590">
      <c r="F590" s="35">
        <f>IF($A590="","",IF($B590="","EKSİK","TAM"))</f>
        <v/>
      </c>
    </row>
    <row r="591">
      <c r="F591" s="35">
        <f>IF($A591="","",IF($B591="","EKSİK","TAM"))</f>
        <v/>
      </c>
    </row>
    <row r="592">
      <c r="F592" s="35">
        <f>IF($A592="","",IF($B592="","EKSİK","TAM"))</f>
        <v/>
      </c>
    </row>
    <row r="593">
      <c r="F593" s="35">
        <f>IF($A593="","",IF($B593="","EKSİK","TAM"))</f>
        <v/>
      </c>
    </row>
    <row r="594">
      <c r="F594" s="35">
        <f>IF($A594="","",IF($B594="","EKSİK","TAM"))</f>
        <v/>
      </c>
    </row>
    <row r="595">
      <c r="F595" s="35">
        <f>IF($A595="","",IF($B595="","EKSİK","TAM"))</f>
        <v/>
      </c>
    </row>
    <row r="596">
      <c r="F596" s="35">
        <f>IF($A596="","",IF($B596="","EKSİK","TAM"))</f>
        <v/>
      </c>
    </row>
    <row r="597">
      <c r="F597" s="35">
        <f>IF($A597="","",IF($B597="","EKSİK","TAM"))</f>
        <v/>
      </c>
    </row>
    <row r="598">
      <c r="F598" s="35">
        <f>IF($A598="","",IF($B598="","EKSİK","TAM"))</f>
        <v/>
      </c>
    </row>
    <row r="599">
      <c r="F599" s="35">
        <f>IF($A599="","",IF($B599="","EKSİK","TAM"))</f>
        <v/>
      </c>
    </row>
    <row r="600">
      <c r="F600" s="35">
        <f>IF($A600="","",IF($B600="","EKSİK","TAM"))</f>
        <v/>
      </c>
    </row>
    <row r="601">
      <c r="F601" s="35">
        <f>IF($A601="","",IF($B601="","EKSİK","TAM"))</f>
        <v/>
      </c>
    </row>
    <row r="602">
      <c r="F602" s="35">
        <f>IF($A602="","",IF($B602="","EKSİK","TAM"))</f>
        <v/>
      </c>
    </row>
    <row r="603">
      <c r="F603" s="35">
        <f>IF($A603="","",IF($B603="","EKSİK","TAM"))</f>
        <v/>
      </c>
    </row>
    <row r="604">
      <c r="F604" s="35">
        <f>IF($A604="","",IF($B604="","EKSİK","TAM"))</f>
        <v/>
      </c>
    </row>
    <row r="605">
      <c r="F605" s="35">
        <f>IF($A605="","",IF($B605="","EKSİK","TAM"))</f>
        <v/>
      </c>
    </row>
    <row r="606">
      <c r="F606" s="35">
        <f>IF($A606="","",IF($B606="","EKSİK","TAM"))</f>
        <v/>
      </c>
    </row>
    <row r="607">
      <c r="F607" s="35">
        <f>IF($A607="","",IF($B607="","EKSİK","TAM"))</f>
        <v/>
      </c>
    </row>
    <row r="608">
      <c r="F608" s="35">
        <f>IF($A608="","",IF($B608="","EKSİK","TAM"))</f>
        <v/>
      </c>
    </row>
    <row r="609">
      <c r="F609" s="35">
        <f>IF($A609="","",IF($B609="","EKSİK","TAM"))</f>
        <v/>
      </c>
    </row>
    <row r="610">
      <c r="F610" s="35">
        <f>IF($A610="","",IF($B610="","EKSİK","TAM"))</f>
        <v/>
      </c>
    </row>
    <row r="611">
      <c r="F611" s="35">
        <f>IF($A611="","",IF($B611="","EKSİK","TAM"))</f>
        <v/>
      </c>
    </row>
    <row r="612">
      <c r="F612" s="35">
        <f>IF($A612="","",IF($B612="","EKSİK","TAM"))</f>
        <v/>
      </c>
    </row>
    <row r="613">
      <c r="F613" s="35">
        <f>IF($A613="","",IF($B613="","EKSİK","TAM"))</f>
        <v/>
      </c>
    </row>
    <row r="614">
      <c r="F614" s="35">
        <f>IF($A614="","",IF($B614="","EKSİK","TAM"))</f>
        <v/>
      </c>
    </row>
    <row r="615">
      <c r="F615" s="35">
        <f>IF($A615="","",IF($B615="","EKSİK","TAM"))</f>
        <v/>
      </c>
    </row>
    <row r="616">
      <c r="F616" s="35">
        <f>IF($A616="","",IF($B616="","EKSİK","TAM"))</f>
        <v/>
      </c>
    </row>
    <row r="617">
      <c r="F617" s="35">
        <f>IF($A617="","",IF($B617="","EKSİK","TAM"))</f>
        <v/>
      </c>
    </row>
    <row r="618">
      <c r="F618" s="35">
        <f>IF($A618="","",IF($B618="","EKSİK","TAM"))</f>
        <v/>
      </c>
    </row>
    <row r="619">
      <c r="F619" s="35">
        <f>IF($A619="","",IF($B619="","EKSİK","TAM"))</f>
        <v/>
      </c>
    </row>
    <row r="620">
      <c r="F620" s="35">
        <f>IF($A620="","",IF($B620="","EKSİK","TAM"))</f>
        <v/>
      </c>
    </row>
    <row r="621">
      <c r="F621" s="35">
        <f>IF($A621="","",IF($B621="","EKSİK","TAM"))</f>
        <v/>
      </c>
    </row>
    <row r="622">
      <c r="F622" s="35">
        <f>IF($A622="","",IF($B622="","EKSİK","TAM"))</f>
        <v/>
      </c>
    </row>
    <row r="623">
      <c r="F623" s="35">
        <f>IF($A623="","",IF($B623="","EKSİK","TAM"))</f>
        <v/>
      </c>
    </row>
    <row r="624">
      <c r="F624" s="35">
        <f>IF($A624="","",IF($B624="","EKSİK","TAM"))</f>
        <v/>
      </c>
    </row>
    <row r="625">
      <c r="F625" s="35">
        <f>IF($A625="","",IF($B625="","EKSİK","TAM"))</f>
        <v/>
      </c>
    </row>
    <row r="626">
      <c r="F626" s="35">
        <f>IF($A626="","",IF($B626="","EKSİK","TAM"))</f>
        <v/>
      </c>
    </row>
    <row r="627">
      <c r="F627" s="35">
        <f>IF($A627="","",IF($B627="","EKSİK","TAM"))</f>
        <v/>
      </c>
    </row>
    <row r="628">
      <c r="F628" s="35">
        <f>IF($A628="","",IF($B628="","EKSİK","TAM"))</f>
        <v/>
      </c>
    </row>
    <row r="629">
      <c r="F629" s="35">
        <f>IF($A629="","",IF($B629="","EKSİK","TAM"))</f>
        <v/>
      </c>
    </row>
    <row r="630">
      <c r="F630" s="35">
        <f>IF($A630="","",IF($B630="","EKSİK","TAM"))</f>
        <v/>
      </c>
    </row>
    <row r="631">
      <c r="F631" s="35">
        <f>IF($A631="","",IF($B631="","EKSİK","TAM"))</f>
        <v/>
      </c>
    </row>
    <row r="632">
      <c r="F632" s="35">
        <f>IF($A632="","",IF($B632="","EKSİK","TAM"))</f>
        <v/>
      </c>
    </row>
    <row r="633">
      <c r="F633" s="35">
        <f>IF($A633="","",IF($B633="","EKSİK","TAM"))</f>
        <v/>
      </c>
    </row>
    <row r="634">
      <c r="F634" s="35">
        <f>IF($A634="","",IF($B634="","EKSİK","TAM"))</f>
        <v/>
      </c>
    </row>
    <row r="635">
      <c r="F635" s="35">
        <f>IF($A635="","",IF($B635="","EKSİK","TAM"))</f>
        <v/>
      </c>
    </row>
    <row r="636">
      <c r="F636" s="35">
        <f>IF($A636="","",IF($B636="","EKSİK","TAM"))</f>
        <v/>
      </c>
    </row>
    <row r="637">
      <c r="F637" s="35">
        <f>IF($A637="","",IF($B637="","EKSİK","TAM"))</f>
        <v/>
      </c>
    </row>
    <row r="638">
      <c r="F638" s="35">
        <f>IF($A638="","",IF($B638="","EKSİK","TAM"))</f>
        <v/>
      </c>
    </row>
    <row r="639">
      <c r="F639" s="35">
        <f>IF($A639="","",IF($B639="","EKSİK","TAM"))</f>
        <v/>
      </c>
    </row>
    <row r="640">
      <c r="F640" s="35">
        <f>IF($A640="","",IF($B640="","EKSİK","TAM"))</f>
        <v/>
      </c>
    </row>
    <row r="641">
      <c r="F641" s="35">
        <f>IF($A641="","",IF($B641="","EKSİK","TAM"))</f>
        <v/>
      </c>
    </row>
    <row r="642">
      <c r="F642" s="35">
        <f>IF($A642="","",IF($B642="","EKSİK","TAM"))</f>
        <v/>
      </c>
    </row>
    <row r="643">
      <c r="F643" s="35">
        <f>IF($A643="","",IF($B643="","EKSİK","TAM"))</f>
        <v/>
      </c>
    </row>
    <row r="644">
      <c r="F644" s="35">
        <f>IF($A644="","",IF($B644="","EKSİK","TAM"))</f>
        <v/>
      </c>
    </row>
    <row r="645">
      <c r="F645" s="35">
        <f>IF($A645="","",IF($B645="","EKSİK","TAM"))</f>
        <v/>
      </c>
    </row>
    <row r="646">
      <c r="F646" s="35">
        <f>IF($A646="","",IF($B646="","EKSİK","TAM"))</f>
        <v/>
      </c>
    </row>
    <row r="647">
      <c r="F647" s="35">
        <f>IF($A647="","",IF($B647="","EKSİK","TAM"))</f>
        <v/>
      </c>
    </row>
    <row r="648">
      <c r="F648" s="35">
        <f>IF($A648="","",IF($B648="","EKSİK","TAM"))</f>
        <v/>
      </c>
    </row>
    <row r="649">
      <c r="F649" s="35">
        <f>IF($A649="","",IF($B649="","EKSİK","TAM"))</f>
        <v/>
      </c>
    </row>
    <row r="650">
      <c r="F650" s="35">
        <f>IF($A650="","",IF($B650="","EKSİK","TAM"))</f>
        <v/>
      </c>
    </row>
    <row r="651">
      <c r="F651" s="35">
        <f>IF($A651="","",IF($B651="","EKSİK","TAM"))</f>
        <v/>
      </c>
    </row>
    <row r="652">
      <c r="F652" s="35">
        <f>IF($A652="","",IF($B652="","EKSİK","TAM"))</f>
        <v/>
      </c>
    </row>
    <row r="653">
      <c r="F653" s="35">
        <f>IF($A653="","",IF($B653="","EKSİK","TAM"))</f>
        <v/>
      </c>
    </row>
    <row r="654">
      <c r="F654" s="35">
        <f>IF($A654="","",IF($B654="","EKSİK","TAM"))</f>
        <v/>
      </c>
    </row>
    <row r="655">
      <c r="F655" s="35">
        <f>IF($A655="","",IF($B655="","EKSİK","TAM"))</f>
        <v/>
      </c>
    </row>
    <row r="656">
      <c r="F656" s="35">
        <f>IF($A656="","",IF($B656="","EKSİK","TAM"))</f>
        <v/>
      </c>
    </row>
    <row r="657">
      <c r="F657" s="35">
        <f>IF($A657="","",IF($B657="","EKSİK","TAM"))</f>
        <v/>
      </c>
    </row>
    <row r="658">
      <c r="F658" s="35">
        <f>IF($A658="","",IF($B658="","EKSİK","TAM"))</f>
        <v/>
      </c>
    </row>
    <row r="659">
      <c r="F659" s="35">
        <f>IF($A659="","",IF($B659="","EKSİK","TAM"))</f>
        <v/>
      </c>
    </row>
    <row r="660">
      <c r="F660" s="35">
        <f>IF($A660="","",IF($B660="","EKSİK","TAM"))</f>
        <v/>
      </c>
    </row>
    <row r="661">
      <c r="F661" s="35">
        <f>IF($A661="","",IF($B661="","EKSİK","TAM"))</f>
        <v/>
      </c>
    </row>
    <row r="662">
      <c r="F662" s="35">
        <f>IF($A662="","",IF($B662="","EKSİK","TAM"))</f>
        <v/>
      </c>
    </row>
    <row r="663">
      <c r="F663" s="35">
        <f>IF($A663="","",IF($B663="","EKSİK","TAM"))</f>
        <v/>
      </c>
    </row>
    <row r="664">
      <c r="F664" s="35">
        <f>IF($A664="","",IF($B664="","EKSİK","TAM"))</f>
        <v/>
      </c>
    </row>
    <row r="665">
      <c r="F665" s="35">
        <f>IF($A665="","",IF($B665="","EKSİK","TAM"))</f>
        <v/>
      </c>
    </row>
    <row r="666">
      <c r="F666" s="35">
        <f>IF($A666="","",IF($B666="","EKSİK","TAM"))</f>
        <v/>
      </c>
    </row>
    <row r="667">
      <c r="F667" s="35">
        <f>IF($A667="","",IF($B667="","EKSİK","TAM"))</f>
        <v/>
      </c>
    </row>
    <row r="668">
      <c r="F668" s="35">
        <f>IF($A668="","",IF($B668="","EKSİK","TAM"))</f>
        <v/>
      </c>
    </row>
    <row r="669">
      <c r="F669" s="35">
        <f>IF($A669="","",IF($B669="","EKSİK","TAM"))</f>
        <v/>
      </c>
    </row>
    <row r="670">
      <c r="F670" s="35">
        <f>IF($A670="","",IF($B670="","EKSİK","TAM"))</f>
        <v/>
      </c>
    </row>
    <row r="671">
      <c r="F671" s="35">
        <f>IF($A671="","",IF($B671="","EKSİK","TAM"))</f>
        <v/>
      </c>
    </row>
    <row r="672">
      <c r="F672" s="35">
        <f>IF($A672="","",IF($B672="","EKSİK","TAM"))</f>
        <v/>
      </c>
    </row>
    <row r="673">
      <c r="F673" s="35">
        <f>IF($A673="","",IF($B673="","EKSİK","TAM"))</f>
        <v/>
      </c>
    </row>
    <row r="674">
      <c r="F674" s="35">
        <f>IF($A674="","",IF($B674="","EKSİK","TAM"))</f>
        <v/>
      </c>
    </row>
    <row r="675">
      <c r="F675" s="35">
        <f>IF($A675="","",IF($B675="","EKSİK","TAM"))</f>
        <v/>
      </c>
    </row>
    <row r="676">
      <c r="F676" s="35">
        <f>IF($A676="","",IF($B676="","EKSİK","TAM"))</f>
        <v/>
      </c>
    </row>
    <row r="677">
      <c r="F677" s="35">
        <f>IF($A677="","",IF($B677="","EKSİK","TAM"))</f>
        <v/>
      </c>
    </row>
    <row r="678">
      <c r="F678" s="35">
        <f>IF($A678="","",IF($B678="","EKSİK","TAM"))</f>
        <v/>
      </c>
    </row>
    <row r="679">
      <c r="F679" s="35">
        <f>IF($A679="","",IF($B679="","EKSİK","TAM"))</f>
        <v/>
      </c>
    </row>
    <row r="680">
      <c r="F680" s="35">
        <f>IF($A680="","",IF($B680="","EKSİK","TAM"))</f>
        <v/>
      </c>
    </row>
    <row r="681">
      <c r="F681" s="35">
        <f>IF($A681="","",IF($B681="","EKSİK","TAM"))</f>
        <v/>
      </c>
    </row>
    <row r="682">
      <c r="F682" s="35">
        <f>IF($A682="","",IF($B682="","EKSİK","TAM"))</f>
        <v/>
      </c>
    </row>
    <row r="683">
      <c r="F683" s="35">
        <f>IF($A683="","",IF($B683="","EKSİK","TAM"))</f>
        <v/>
      </c>
    </row>
    <row r="684">
      <c r="F684" s="35">
        <f>IF($A684="","",IF($B684="","EKSİK","TAM"))</f>
        <v/>
      </c>
    </row>
    <row r="685">
      <c r="F685" s="35">
        <f>IF($A685="","",IF($B685="","EKSİK","TAM"))</f>
        <v/>
      </c>
    </row>
    <row r="686">
      <c r="F686" s="35">
        <f>IF($A686="","",IF($B686="","EKSİK","TAM"))</f>
        <v/>
      </c>
    </row>
    <row r="687">
      <c r="F687" s="35">
        <f>IF($A687="","",IF($B687="","EKSİK","TAM"))</f>
        <v/>
      </c>
    </row>
    <row r="688">
      <c r="F688" s="35">
        <f>IF($A688="","",IF($B688="","EKSİK","TAM"))</f>
        <v/>
      </c>
    </row>
    <row r="689">
      <c r="F689" s="35">
        <f>IF($A689="","",IF($B689="","EKSİK","TAM"))</f>
        <v/>
      </c>
    </row>
    <row r="690">
      <c r="F690" s="35">
        <f>IF($A690="","",IF($B690="","EKSİK","TAM"))</f>
        <v/>
      </c>
    </row>
    <row r="691">
      <c r="F691" s="35">
        <f>IF($A691="","",IF($B691="","EKSİK","TAM"))</f>
        <v/>
      </c>
    </row>
    <row r="692">
      <c r="F692" s="35">
        <f>IF($A692="","",IF($B692="","EKSİK","TAM"))</f>
        <v/>
      </c>
    </row>
    <row r="693">
      <c r="F693" s="35">
        <f>IF($A693="","",IF($B693="","EKSİK","TAM"))</f>
        <v/>
      </c>
    </row>
    <row r="694">
      <c r="F694" s="35">
        <f>IF($A694="","",IF($B694="","EKSİK","TAM"))</f>
        <v/>
      </c>
    </row>
    <row r="695">
      <c r="F695" s="35">
        <f>IF($A695="","",IF($B695="","EKSİK","TAM"))</f>
        <v/>
      </c>
    </row>
    <row r="696">
      <c r="F696" s="35">
        <f>IF($A696="","",IF($B696="","EKSİK","TAM"))</f>
        <v/>
      </c>
    </row>
    <row r="697">
      <c r="F697" s="35">
        <f>IF($A697="","",IF($B697="","EKSİK","TAM"))</f>
        <v/>
      </c>
    </row>
    <row r="698">
      <c r="F698" s="35">
        <f>IF($A698="","",IF($B698="","EKSİK","TAM"))</f>
        <v/>
      </c>
    </row>
    <row r="699">
      <c r="F699" s="35">
        <f>IF($A699="","",IF($B699="","EKSİK","TAM"))</f>
        <v/>
      </c>
    </row>
    <row r="700">
      <c r="F700" s="35">
        <f>IF($A700="","",IF($B700="","EKSİK","TAM"))</f>
        <v/>
      </c>
    </row>
    <row r="701">
      <c r="F701" s="35">
        <f>IF($A701="","",IF($B701="","EKSİK","TAM"))</f>
        <v/>
      </c>
    </row>
    <row r="702">
      <c r="F702" s="35">
        <f>IF($A702="","",IF($B702="","EKSİK","TAM"))</f>
        <v/>
      </c>
    </row>
    <row r="703">
      <c r="F703" s="35">
        <f>IF($A703="","",IF($B703="","EKSİK","TAM"))</f>
        <v/>
      </c>
    </row>
    <row r="704">
      <c r="F704" s="35">
        <f>IF($A704="","",IF($B704="","EKSİK","TAM"))</f>
        <v/>
      </c>
    </row>
    <row r="705">
      <c r="F705" s="35">
        <f>IF($A705="","",IF($B705="","EKSİK","TAM"))</f>
        <v/>
      </c>
    </row>
    <row r="706">
      <c r="F706" s="35">
        <f>IF($A706="","",IF($B706="","EKSİK","TAM"))</f>
        <v/>
      </c>
    </row>
    <row r="707">
      <c r="F707" s="35">
        <f>IF($A707="","",IF($B707="","EKSİK","TAM"))</f>
        <v/>
      </c>
    </row>
    <row r="708">
      <c r="F708" s="35">
        <f>IF($A708="","",IF($B708="","EKSİK","TAM"))</f>
        <v/>
      </c>
    </row>
    <row r="709">
      <c r="F709" s="35">
        <f>IF($A709="","",IF($B709="","EKSİK","TAM"))</f>
        <v/>
      </c>
    </row>
    <row r="710">
      <c r="F710" s="35">
        <f>IF($A710="","",IF($B710="","EKSİK","TAM"))</f>
        <v/>
      </c>
    </row>
    <row r="711">
      <c r="F711" s="35">
        <f>IF($A711="","",IF($B711="","EKSİK","TAM"))</f>
        <v/>
      </c>
    </row>
    <row r="712">
      <c r="F712" s="35">
        <f>IF($A712="","",IF($B712="","EKSİK","TAM"))</f>
        <v/>
      </c>
    </row>
    <row r="713">
      <c r="F713" s="35">
        <f>IF($A713="","",IF($B713="","EKSİK","TAM"))</f>
        <v/>
      </c>
    </row>
    <row r="714">
      <c r="F714" s="35">
        <f>IF($A714="","",IF($B714="","EKSİK","TAM"))</f>
        <v/>
      </c>
    </row>
    <row r="715">
      <c r="F715" s="35">
        <f>IF($A715="","",IF($B715="","EKSİK","TAM"))</f>
        <v/>
      </c>
    </row>
    <row r="716">
      <c r="F716" s="35">
        <f>IF($A716="","",IF($B716="","EKSİK","TAM"))</f>
        <v/>
      </c>
    </row>
    <row r="717">
      <c r="F717" s="35">
        <f>IF($A717="","",IF($B717="","EKSİK","TAM"))</f>
        <v/>
      </c>
    </row>
    <row r="718">
      <c r="F718" s="35">
        <f>IF($A718="","",IF($B718="","EKSİK","TAM"))</f>
        <v/>
      </c>
    </row>
    <row r="719">
      <c r="F719" s="35">
        <f>IF($A719="","",IF($B719="","EKSİK","TAM"))</f>
        <v/>
      </c>
    </row>
    <row r="720">
      <c r="F720" s="35">
        <f>IF($A720="","",IF($B720="","EKSİK","TAM"))</f>
        <v/>
      </c>
    </row>
    <row r="721">
      <c r="F721" s="35">
        <f>IF($A721="","",IF($B721="","EKSİK","TAM"))</f>
        <v/>
      </c>
    </row>
    <row r="722">
      <c r="F722" s="35">
        <f>IF($A722="","",IF($B722="","EKSİK","TAM"))</f>
        <v/>
      </c>
    </row>
    <row r="723">
      <c r="F723" s="35">
        <f>IF($A723="","",IF($B723="","EKSİK","TAM"))</f>
        <v/>
      </c>
    </row>
    <row r="724">
      <c r="F724" s="35">
        <f>IF($A724="","",IF($B724="","EKSİK","TAM"))</f>
        <v/>
      </c>
    </row>
    <row r="725">
      <c r="F725" s="35">
        <f>IF($A725="","",IF($B725="","EKSİK","TAM"))</f>
        <v/>
      </c>
    </row>
    <row r="726">
      <c r="F726" s="35">
        <f>IF($A726="","",IF($B726="","EKSİK","TAM"))</f>
        <v/>
      </c>
    </row>
    <row r="727">
      <c r="F727" s="35">
        <f>IF($A727="","",IF($B727="","EKSİK","TAM"))</f>
        <v/>
      </c>
    </row>
    <row r="728">
      <c r="F728" s="35">
        <f>IF($A728="","",IF($B728="","EKSİK","TAM"))</f>
        <v/>
      </c>
    </row>
    <row r="729">
      <c r="F729" s="35">
        <f>IF($A729="","",IF($B729="","EKSİK","TAM"))</f>
        <v/>
      </c>
    </row>
    <row r="730">
      <c r="F730" s="35">
        <f>IF($A730="","",IF($B730="","EKSİK","TAM"))</f>
        <v/>
      </c>
    </row>
    <row r="731">
      <c r="F731" s="35">
        <f>IF($A731="","",IF($B731="","EKSİK","TAM"))</f>
        <v/>
      </c>
    </row>
    <row r="732">
      <c r="F732" s="35">
        <f>IF($A732="","",IF($B732="","EKSİK","TAM"))</f>
        <v/>
      </c>
    </row>
    <row r="733">
      <c r="F733" s="35">
        <f>IF($A733="","",IF($B733="","EKSİK","TAM"))</f>
        <v/>
      </c>
    </row>
    <row r="734">
      <c r="F734" s="35">
        <f>IF($A734="","",IF($B734="","EKSİK","TAM"))</f>
        <v/>
      </c>
    </row>
    <row r="735">
      <c r="F735" s="35">
        <f>IF($A735="","",IF($B735="","EKSİK","TAM"))</f>
        <v/>
      </c>
    </row>
    <row r="736">
      <c r="F736" s="35">
        <f>IF($A736="","",IF($B736="","EKSİK","TAM"))</f>
        <v/>
      </c>
    </row>
    <row r="737">
      <c r="F737" s="35">
        <f>IF($A737="","",IF($B737="","EKSİK","TAM"))</f>
        <v/>
      </c>
    </row>
    <row r="738">
      <c r="F738" s="35">
        <f>IF($A738="","",IF($B738="","EKSİK","TAM"))</f>
        <v/>
      </c>
    </row>
    <row r="739">
      <c r="F739" s="35">
        <f>IF($A739="","",IF($B739="","EKSİK","TAM"))</f>
        <v/>
      </c>
    </row>
    <row r="740">
      <c r="F740" s="35">
        <f>IF($A740="","",IF($B740="","EKSİK","TAM"))</f>
        <v/>
      </c>
    </row>
    <row r="741">
      <c r="F741" s="35">
        <f>IF($A741="","",IF($B741="","EKSİK","TAM"))</f>
        <v/>
      </c>
    </row>
    <row r="742">
      <c r="F742" s="35">
        <f>IF($A742="","",IF($B742="","EKSİK","TAM"))</f>
        <v/>
      </c>
    </row>
    <row r="743">
      <c r="F743" s="35">
        <f>IF($A743="","",IF($B743="","EKSİK","TAM"))</f>
        <v/>
      </c>
    </row>
    <row r="744">
      <c r="F744" s="35">
        <f>IF($A744="","",IF($B744="","EKSİK","TAM"))</f>
        <v/>
      </c>
    </row>
    <row r="745">
      <c r="F745" s="35">
        <f>IF($A745="","",IF($B745="","EKSİK","TAM"))</f>
        <v/>
      </c>
    </row>
    <row r="746">
      <c r="F746" s="35">
        <f>IF($A746="","",IF($B746="","EKSİK","TAM"))</f>
        <v/>
      </c>
    </row>
    <row r="747">
      <c r="F747" s="35">
        <f>IF($A747="","",IF($B747="","EKSİK","TAM"))</f>
        <v/>
      </c>
    </row>
    <row r="748">
      <c r="F748" s="35">
        <f>IF($A748="","",IF($B748="","EKSİK","TAM"))</f>
        <v/>
      </c>
    </row>
    <row r="749">
      <c r="F749" s="35">
        <f>IF($A749="","",IF($B749="","EKSİK","TAM"))</f>
        <v/>
      </c>
    </row>
    <row r="750">
      <c r="F750" s="35">
        <f>IF($A750="","",IF($B750="","EKSİK","TAM"))</f>
        <v/>
      </c>
    </row>
    <row r="751">
      <c r="F751" s="35">
        <f>IF($A751="","",IF($B751="","EKSİK","TAM"))</f>
        <v/>
      </c>
    </row>
    <row r="752">
      <c r="F752" s="35">
        <f>IF($A752="","",IF($B752="","EKSİK","TAM"))</f>
        <v/>
      </c>
    </row>
    <row r="753">
      <c r="F753" s="35">
        <f>IF($A753="","",IF($B753="","EKSİK","TAM"))</f>
        <v/>
      </c>
    </row>
    <row r="754">
      <c r="F754" s="35">
        <f>IF($A754="","",IF($B754="","EKSİK","TAM"))</f>
        <v/>
      </c>
    </row>
    <row r="755">
      <c r="F755" s="35">
        <f>IF($A755="","",IF($B755="","EKSİK","TAM"))</f>
        <v/>
      </c>
    </row>
    <row r="756">
      <c r="F756" s="35">
        <f>IF($A756="","",IF($B756="","EKSİK","TAM"))</f>
        <v/>
      </c>
    </row>
    <row r="757">
      <c r="F757" s="35">
        <f>IF($A757="","",IF($B757="","EKSİK","TAM"))</f>
        <v/>
      </c>
    </row>
    <row r="758">
      <c r="F758" s="35">
        <f>IF($A758="","",IF($B758="","EKSİK","TAM"))</f>
        <v/>
      </c>
    </row>
    <row r="759">
      <c r="F759" s="35">
        <f>IF($A759="","",IF($B759="","EKSİK","TAM"))</f>
        <v/>
      </c>
    </row>
    <row r="760">
      <c r="F760" s="35">
        <f>IF($A760="","",IF($B760="","EKSİK","TAM"))</f>
        <v/>
      </c>
    </row>
    <row r="761">
      <c r="F761" s="35">
        <f>IF($A761="","",IF($B761="","EKSİK","TAM"))</f>
        <v/>
      </c>
    </row>
    <row r="762">
      <c r="F762" s="35">
        <f>IF($A762="","",IF($B762="","EKSİK","TAM"))</f>
        <v/>
      </c>
    </row>
    <row r="763">
      <c r="F763" s="35">
        <f>IF($A763="","",IF($B763="","EKSİK","TAM"))</f>
        <v/>
      </c>
    </row>
    <row r="764">
      <c r="F764" s="35">
        <f>IF($A764="","",IF($B764="","EKSİK","TAM"))</f>
        <v/>
      </c>
    </row>
    <row r="765">
      <c r="F765" s="35">
        <f>IF($A765="","",IF($B765="","EKSİK","TAM"))</f>
        <v/>
      </c>
    </row>
    <row r="766">
      <c r="F766" s="35">
        <f>IF($A766="","",IF($B766="","EKSİK","TAM"))</f>
        <v/>
      </c>
    </row>
    <row r="767">
      <c r="F767" s="35">
        <f>IF($A767="","",IF($B767="","EKSİK","TAM"))</f>
        <v/>
      </c>
    </row>
    <row r="768">
      <c r="F768" s="35">
        <f>IF($A768="","",IF($B768="","EKSİK","TAM"))</f>
        <v/>
      </c>
    </row>
    <row r="769">
      <c r="F769" s="35">
        <f>IF($A769="","",IF($B769="","EKSİK","TAM"))</f>
        <v/>
      </c>
    </row>
    <row r="770">
      <c r="F770" s="35">
        <f>IF($A770="","",IF($B770="","EKSİK","TAM"))</f>
        <v/>
      </c>
    </row>
    <row r="771">
      <c r="F771" s="35">
        <f>IF($A771="","",IF($B771="","EKSİK","TAM"))</f>
        <v/>
      </c>
    </row>
    <row r="772">
      <c r="F772" s="35">
        <f>IF($A772="","",IF($B772="","EKSİK","TAM"))</f>
        <v/>
      </c>
    </row>
    <row r="773">
      <c r="F773" s="35">
        <f>IF($A773="","",IF($B773="","EKSİK","TAM"))</f>
        <v/>
      </c>
    </row>
    <row r="774">
      <c r="F774" s="35">
        <f>IF($A774="","",IF($B774="","EKSİK","TAM"))</f>
        <v/>
      </c>
    </row>
    <row r="775">
      <c r="F775" s="35">
        <f>IF($A775="","",IF($B775="","EKSİK","TAM"))</f>
        <v/>
      </c>
    </row>
    <row r="776">
      <c r="F776" s="35">
        <f>IF($A776="","",IF($B776="","EKSİK","TAM"))</f>
        <v/>
      </c>
    </row>
    <row r="777">
      <c r="F777" s="35">
        <f>IF($A777="","",IF($B777="","EKSİK","TAM"))</f>
        <v/>
      </c>
    </row>
    <row r="778">
      <c r="F778" s="35">
        <f>IF($A778="","",IF($B778="","EKSİK","TAM"))</f>
        <v/>
      </c>
    </row>
    <row r="779">
      <c r="F779" s="35">
        <f>IF($A779="","",IF($B779="","EKSİK","TAM"))</f>
        <v/>
      </c>
    </row>
    <row r="780">
      <c r="F780" s="35">
        <f>IF($A780="","",IF($B780="","EKSİK","TAM"))</f>
        <v/>
      </c>
    </row>
    <row r="781">
      <c r="F781" s="35">
        <f>IF($A781="","",IF($B781="","EKSİK","TAM"))</f>
        <v/>
      </c>
    </row>
    <row r="782">
      <c r="F782" s="35">
        <f>IF($A782="","",IF($B782="","EKSİK","TAM"))</f>
        <v/>
      </c>
    </row>
    <row r="783">
      <c r="F783" s="35">
        <f>IF($A783="","",IF($B783="","EKSİK","TAM"))</f>
        <v/>
      </c>
    </row>
    <row r="784">
      <c r="F784" s="35">
        <f>IF($A784="","",IF($B784="","EKSİK","TAM"))</f>
        <v/>
      </c>
    </row>
    <row r="785">
      <c r="F785" s="35">
        <f>IF($A785="","",IF($B785="","EKSİK","TAM"))</f>
        <v/>
      </c>
    </row>
    <row r="786">
      <c r="F786" s="35">
        <f>IF($A786="","",IF($B786="","EKSİK","TAM"))</f>
        <v/>
      </c>
    </row>
    <row r="787">
      <c r="F787" s="35">
        <f>IF($A787="","",IF($B787="","EKSİK","TAM"))</f>
        <v/>
      </c>
    </row>
    <row r="788">
      <c r="F788" s="35">
        <f>IF($A788="","",IF($B788="","EKSİK","TAM"))</f>
        <v/>
      </c>
    </row>
    <row r="789">
      <c r="F789" s="35">
        <f>IF($A789="","",IF($B789="","EKSİK","TAM"))</f>
        <v/>
      </c>
    </row>
    <row r="790">
      <c r="F790" s="35">
        <f>IF($A790="","",IF($B790="","EKSİK","TAM"))</f>
        <v/>
      </c>
    </row>
    <row r="791">
      <c r="F791" s="35">
        <f>IF($A791="","",IF($B791="","EKSİK","TAM"))</f>
        <v/>
      </c>
    </row>
    <row r="792">
      <c r="F792" s="35">
        <f>IF($A792="","",IF($B792="","EKSİK","TAM"))</f>
        <v/>
      </c>
    </row>
    <row r="793">
      <c r="F793" s="35">
        <f>IF($A793="","",IF($B793="","EKSİK","TAM"))</f>
        <v/>
      </c>
    </row>
    <row r="794">
      <c r="F794" s="35">
        <f>IF($A794="","",IF($B794="","EKSİK","TAM"))</f>
        <v/>
      </c>
    </row>
    <row r="795">
      <c r="F795" s="35">
        <f>IF($A795="","",IF($B795="","EKSİK","TAM"))</f>
        <v/>
      </c>
    </row>
    <row r="796">
      <c r="F796" s="35">
        <f>IF($A796="","",IF($B796="","EKSİK","TAM"))</f>
        <v/>
      </c>
    </row>
    <row r="797">
      <c r="F797" s="35">
        <f>IF($A797="","",IF($B797="","EKSİK","TAM"))</f>
        <v/>
      </c>
    </row>
    <row r="798">
      <c r="F798" s="35">
        <f>IF($A798="","",IF($B798="","EKSİK","TAM"))</f>
        <v/>
      </c>
    </row>
    <row r="799">
      <c r="F799" s="35">
        <f>IF($A799="","",IF($B799="","EKSİK","TAM"))</f>
        <v/>
      </c>
    </row>
    <row r="800">
      <c r="F800" s="35">
        <f>IF($A800="","",IF($B800="","EKSİK","TAM"))</f>
        <v/>
      </c>
    </row>
    <row r="801">
      <c r="F801" s="35">
        <f>IF($A801="","",IF($B801="","EKSİK","TAM"))</f>
        <v/>
      </c>
    </row>
    <row r="802">
      <c r="F802" s="35">
        <f>IF($A802="","",IF($B802="","EKSİK","TAM"))</f>
        <v/>
      </c>
    </row>
    <row r="803">
      <c r="F803" s="35">
        <f>IF($A803="","",IF($B803="","EKSİK","TAM"))</f>
        <v/>
      </c>
    </row>
    <row r="804">
      <c r="F804" s="35">
        <f>IF($A804="","",IF($B804="","EKSİK","TAM"))</f>
        <v/>
      </c>
    </row>
    <row r="805">
      <c r="F805" s="35">
        <f>IF($A805="","",IF($B805="","EKSİK","TAM"))</f>
        <v/>
      </c>
    </row>
    <row r="806">
      <c r="F806" s="35">
        <f>IF($A806="","",IF($B806="","EKSİK","TAM"))</f>
        <v/>
      </c>
    </row>
    <row r="807">
      <c r="F807" s="35">
        <f>IF($A807="","",IF($B807="","EKSİK","TAM"))</f>
        <v/>
      </c>
    </row>
    <row r="808">
      <c r="F808" s="35">
        <f>IF($A808="","",IF($B808="","EKSİK","TAM"))</f>
        <v/>
      </c>
    </row>
    <row r="809">
      <c r="F809" s="35">
        <f>IF($A809="","",IF($B809="","EKSİK","TAM"))</f>
        <v/>
      </c>
    </row>
    <row r="810">
      <c r="F810" s="35">
        <f>IF($A810="","",IF($B810="","EKSİK","TAM"))</f>
        <v/>
      </c>
    </row>
    <row r="811">
      <c r="F811" s="35">
        <f>IF($A811="","",IF($B811="","EKSİK","TAM"))</f>
        <v/>
      </c>
    </row>
    <row r="812">
      <c r="F812" s="35">
        <f>IF($A812="","",IF($B812="","EKSİK","TAM"))</f>
        <v/>
      </c>
    </row>
    <row r="813">
      <c r="F813" s="35">
        <f>IF($A813="","",IF($B813="","EKSİK","TAM"))</f>
        <v/>
      </c>
    </row>
    <row r="814">
      <c r="F814" s="35">
        <f>IF($A814="","",IF($B814="","EKSİK","TAM"))</f>
        <v/>
      </c>
    </row>
    <row r="815">
      <c r="F815" s="35">
        <f>IF($A815="","",IF($B815="","EKSİK","TAM"))</f>
        <v/>
      </c>
    </row>
    <row r="816">
      <c r="F816" s="35">
        <f>IF($A816="","",IF($B816="","EKSİK","TAM"))</f>
        <v/>
      </c>
    </row>
    <row r="817">
      <c r="F817" s="35">
        <f>IF($A817="","",IF($B817="","EKSİK","TAM"))</f>
        <v/>
      </c>
    </row>
    <row r="818">
      <c r="F818" s="35">
        <f>IF($A818="","",IF($B818="","EKSİK","TAM"))</f>
        <v/>
      </c>
    </row>
    <row r="819">
      <c r="F819" s="35">
        <f>IF($A819="","",IF($B819="","EKSİK","TAM"))</f>
        <v/>
      </c>
    </row>
    <row r="820">
      <c r="F820" s="35">
        <f>IF($A820="","",IF($B820="","EKSİK","TAM"))</f>
        <v/>
      </c>
    </row>
    <row r="821">
      <c r="F821" s="35">
        <f>IF($A821="","",IF($B821="","EKSİK","TAM"))</f>
        <v/>
      </c>
    </row>
    <row r="822">
      <c r="F822" s="35">
        <f>IF($A822="","",IF($B822="","EKSİK","TAM"))</f>
        <v/>
      </c>
    </row>
    <row r="823">
      <c r="F823" s="35">
        <f>IF($A823="","",IF($B823="","EKSİK","TAM"))</f>
        <v/>
      </c>
    </row>
    <row r="824">
      <c r="F824" s="35">
        <f>IF($A824="","",IF($B824="","EKSİK","TAM"))</f>
        <v/>
      </c>
    </row>
    <row r="825">
      <c r="F825" s="35">
        <f>IF($A825="","",IF($B825="","EKSİK","TAM"))</f>
        <v/>
      </c>
    </row>
    <row r="826">
      <c r="F826" s="35">
        <f>IF($A826="","",IF($B826="","EKSİK","TAM"))</f>
        <v/>
      </c>
    </row>
    <row r="827">
      <c r="F827" s="35">
        <f>IF($A827="","",IF($B827="","EKSİK","TAM"))</f>
        <v/>
      </c>
    </row>
    <row r="828">
      <c r="F828" s="35">
        <f>IF($A828="","",IF($B828="","EKSİK","TAM"))</f>
        <v/>
      </c>
    </row>
    <row r="829">
      <c r="F829" s="35">
        <f>IF($A829="","",IF($B829="","EKSİK","TAM"))</f>
        <v/>
      </c>
    </row>
    <row r="830">
      <c r="F830" s="35">
        <f>IF($A830="","",IF($B830="","EKSİK","TAM"))</f>
        <v/>
      </c>
    </row>
    <row r="831">
      <c r="F831" s="35">
        <f>IF($A831="","",IF($B831="","EKSİK","TAM"))</f>
        <v/>
      </c>
    </row>
    <row r="832">
      <c r="F832" s="35">
        <f>IF($A832="","",IF($B832="","EKSİK","TAM"))</f>
        <v/>
      </c>
    </row>
    <row r="833">
      <c r="F833" s="35">
        <f>IF($A833="","",IF($B833="","EKSİK","TAM"))</f>
        <v/>
      </c>
    </row>
    <row r="834">
      <c r="F834" s="35">
        <f>IF($A834="","",IF($B834="","EKSİK","TAM"))</f>
        <v/>
      </c>
    </row>
    <row r="835">
      <c r="F835" s="35">
        <f>IF($A835="","",IF($B835="","EKSİK","TAM"))</f>
        <v/>
      </c>
    </row>
    <row r="836">
      <c r="F836" s="35">
        <f>IF($A836="","",IF($B836="","EKSİK","TAM"))</f>
        <v/>
      </c>
    </row>
    <row r="837">
      <c r="F837" s="35">
        <f>IF($A837="","",IF($B837="","EKSİK","TAM"))</f>
        <v/>
      </c>
    </row>
    <row r="838">
      <c r="F838" s="35">
        <f>IF($A838="","",IF($B838="","EKSİK","TAM"))</f>
        <v/>
      </c>
    </row>
    <row r="839">
      <c r="F839" s="35">
        <f>IF($A839="","",IF($B839="","EKSİK","TAM"))</f>
        <v/>
      </c>
    </row>
    <row r="840">
      <c r="F840" s="35">
        <f>IF($A840="","",IF($B840="","EKSİK","TAM"))</f>
        <v/>
      </c>
    </row>
    <row r="841">
      <c r="F841" s="35">
        <f>IF($A841="","",IF($B841="","EKSİK","TAM"))</f>
        <v/>
      </c>
    </row>
    <row r="842">
      <c r="F842" s="35">
        <f>IF($A842="","",IF($B842="","EKSİK","TAM"))</f>
        <v/>
      </c>
    </row>
    <row r="843">
      <c r="F843" s="35">
        <f>IF($A843="","",IF($B843="","EKSİK","TAM"))</f>
        <v/>
      </c>
    </row>
    <row r="844">
      <c r="F844" s="35">
        <f>IF($A844="","",IF($B844="","EKSİK","TAM"))</f>
        <v/>
      </c>
    </row>
    <row r="845">
      <c r="F845" s="35">
        <f>IF($A845="","",IF($B845="","EKSİK","TAM"))</f>
        <v/>
      </c>
    </row>
    <row r="846">
      <c r="F846" s="35">
        <f>IF($A846="","",IF($B846="","EKSİK","TAM"))</f>
        <v/>
      </c>
    </row>
    <row r="847">
      <c r="F847" s="35">
        <f>IF($A847="","",IF($B847="","EKSİK","TAM"))</f>
        <v/>
      </c>
    </row>
    <row r="848">
      <c r="F848" s="35">
        <f>IF($A848="","",IF($B848="","EKSİK","TAM"))</f>
        <v/>
      </c>
    </row>
    <row r="849">
      <c r="F849" s="35">
        <f>IF($A849="","",IF($B849="","EKSİK","TAM"))</f>
        <v/>
      </c>
    </row>
    <row r="850">
      <c r="F850" s="35">
        <f>IF($A850="","",IF($B850="","EKSİK","TAM"))</f>
        <v/>
      </c>
    </row>
    <row r="851">
      <c r="F851" s="35">
        <f>IF($A851="","",IF($B851="","EKSİK","TAM"))</f>
        <v/>
      </c>
    </row>
    <row r="852">
      <c r="F852" s="35">
        <f>IF($A852="","",IF($B852="","EKSİK","TAM"))</f>
        <v/>
      </c>
    </row>
    <row r="853">
      <c r="F853" s="35">
        <f>IF($A853="","",IF($B853="","EKSİK","TAM"))</f>
        <v/>
      </c>
    </row>
    <row r="854">
      <c r="F854" s="35">
        <f>IF($A854="","",IF($B854="","EKSİK","TAM"))</f>
        <v/>
      </c>
    </row>
    <row r="855">
      <c r="F855" s="35">
        <f>IF($A855="","",IF($B855="","EKSİK","TAM"))</f>
        <v/>
      </c>
    </row>
    <row r="856">
      <c r="F856" s="35">
        <f>IF($A856="","",IF($B856="","EKSİK","TAM"))</f>
        <v/>
      </c>
    </row>
    <row r="857">
      <c r="F857" s="35">
        <f>IF($A857="","",IF($B857="","EKSİK","TAM"))</f>
        <v/>
      </c>
    </row>
    <row r="858">
      <c r="F858" s="35">
        <f>IF($A858="","",IF($B858="","EKSİK","TAM"))</f>
        <v/>
      </c>
    </row>
    <row r="859">
      <c r="F859" s="35">
        <f>IF($A859="","",IF($B859="","EKSİK","TAM"))</f>
        <v/>
      </c>
    </row>
    <row r="860">
      <c r="F860" s="35">
        <f>IF($A860="","",IF($B860="","EKSİK","TAM"))</f>
        <v/>
      </c>
    </row>
    <row r="861">
      <c r="F861" s="35">
        <f>IF($A861="","",IF($B861="","EKSİK","TAM"))</f>
        <v/>
      </c>
    </row>
    <row r="862">
      <c r="F862" s="35">
        <f>IF($A862="","",IF($B862="","EKSİK","TAM"))</f>
        <v/>
      </c>
    </row>
    <row r="863">
      <c r="F863" s="35">
        <f>IF($A863="","",IF($B863="","EKSİK","TAM"))</f>
        <v/>
      </c>
    </row>
    <row r="864">
      <c r="F864" s="35">
        <f>IF($A864="","",IF($B864="","EKSİK","TAM"))</f>
        <v/>
      </c>
    </row>
    <row r="865">
      <c r="F865" s="35">
        <f>IF($A865="","",IF($B865="","EKSİK","TAM"))</f>
        <v/>
      </c>
    </row>
    <row r="866">
      <c r="F866" s="35">
        <f>IF($A866="","",IF($B866="","EKSİK","TAM"))</f>
        <v/>
      </c>
    </row>
    <row r="867">
      <c r="F867" s="35">
        <f>IF($A867="","",IF($B867="","EKSİK","TAM"))</f>
        <v/>
      </c>
    </row>
    <row r="868">
      <c r="F868" s="35">
        <f>IF($A868="","",IF($B868="","EKSİK","TAM"))</f>
        <v/>
      </c>
    </row>
    <row r="869">
      <c r="F869" s="35">
        <f>IF($A869="","",IF($B869="","EKSİK","TAM"))</f>
        <v/>
      </c>
    </row>
    <row r="870">
      <c r="F870" s="35">
        <f>IF($A870="","",IF($B870="","EKSİK","TAM"))</f>
        <v/>
      </c>
    </row>
    <row r="871">
      <c r="F871" s="35">
        <f>IF($A871="","",IF($B871="","EKSİK","TAM"))</f>
        <v/>
      </c>
    </row>
    <row r="872">
      <c r="F872" s="35">
        <f>IF($A872="","",IF($B872="","EKSİK","TAM"))</f>
        <v/>
      </c>
    </row>
    <row r="873">
      <c r="F873" s="35">
        <f>IF($A873="","",IF($B873="","EKSİK","TAM"))</f>
        <v/>
      </c>
    </row>
    <row r="874">
      <c r="F874" s="35">
        <f>IF($A874="","",IF($B874="","EKSİK","TAM"))</f>
        <v/>
      </c>
    </row>
    <row r="875">
      <c r="F875" s="35">
        <f>IF($A875="","",IF($B875="","EKSİK","TAM"))</f>
        <v/>
      </c>
    </row>
    <row r="876">
      <c r="F876" s="35">
        <f>IF($A876="","",IF($B876="","EKSİK","TAM"))</f>
        <v/>
      </c>
    </row>
    <row r="877">
      <c r="F877" s="35">
        <f>IF($A877="","",IF($B877="","EKSİK","TAM"))</f>
        <v/>
      </c>
    </row>
    <row r="878">
      <c r="F878" s="35">
        <f>IF($A878="","",IF($B878="","EKSİK","TAM"))</f>
        <v/>
      </c>
    </row>
    <row r="879">
      <c r="F879" s="35">
        <f>IF($A879="","",IF($B879="","EKSİK","TAM"))</f>
        <v/>
      </c>
    </row>
    <row r="880">
      <c r="F880" s="35">
        <f>IF($A880="","",IF($B880="","EKSİK","TAM"))</f>
        <v/>
      </c>
    </row>
    <row r="881">
      <c r="F881" s="35">
        <f>IF($A881="","",IF($B881="","EKSİK","TAM"))</f>
        <v/>
      </c>
    </row>
    <row r="882">
      <c r="F882" s="35">
        <f>IF($A882="","",IF($B882="","EKSİK","TAM"))</f>
        <v/>
      </c>
    </row>
    <row r="883">
      <c r="F883" s="35">
        <f>IF($A883="","",IF($B883="","EKSİK","TAM"))</f>
        <v/>
      </c>
    </row>
    <row r="884">
      <c r="F884" s="35">
        <f>IF($A884="","",IF($B884="","EKSİK","TAM"))</f>
        <v/>
      </c>
    </row>
    <row r="885">
      <c r="F885" s="35">
        <f>IF($A885="","",IF($B885="","EKSİK","TAM"))</f>
        <v/>
      </c>
    </row>
    <row r="886">
      <c r="F886" s="35">
        <f>IF($A886="","",IF($B886="","EKSİK","TAM"))</f>
        <v/>
      </c>
    </row>
    <row r="887">
      <c r="F887" s="35">
        <f>IF($A887="","",IF($B887="","EKSİK","TAM"))</f>
        <v/>
      </c>
    </row>
    <row r="888">
      <c r="F888" s="35">
        <f>IF($A888="","",IF($B888="","EKSİK","TAM"))</f>
        <v/>
      </c>
    </row>
    <row r="889">
      <c r="F889" s="35">
        <f>IF($A889="","",IF($B889="","EKSİK","TAM"))</f>
        <v/>
      </c>
    </row>
    <row r="890">
      <c r="F890" s="35">
        <f>IF($A890="","",IF($B890="","EKSİK","TAM"))</f>
        <v/>
      </c>
    </row>
    <row r="891">
      <c r="F891" s="35">
        <f>IF($A891="","",IF($B891="","EKSİK","TAM"))</f>
        <v/>
      </c>
    </row>
    <row r="892">
      <c r="F892" s="35">
        <f>IF($A892="","",IF($B892="","EKSİK","TAM"))</f>
        <v/>
      </c>
    </row>
    <row r="893">
      <c r="F893" s="35">
        <f>IF($A893="","",IF($B893="","EKSİK","TAM"))</f>
        <v/>
      </c>
    </row>
    <row r="894">
      <c r="F894" s="35">
        <f>IF($A894="","",IF($B894="","EKSİK","TAM"))</f>
        <v/>
      </c>
    </row>
    <row r="895">
      <c r="F895" s="35">
        <f>IF($A895="","",IF($B895="","EKSİK","TAM"))</f>
        <v/>
      </c>
    </row>
    <row r="896">
      <c r="F896" s="35">
        <f>IF($A896="","",IF($B896="","EKSİK","TAM"))</f>
        <v/>
      </c>
    </row>
    <row r="897">
      <c r="F897" s="35">
        <f>IF($A897="","",IF($B897="","EKSİK","TAM"))</f>
        <v/>
      </c>
    </row>
    <row r="898">
      <c r="F898" s="35">
        <f>IF($A898="","",IF($B898="","EKSİK","TAM"))</f>
        <v/>
      </c>
    </row>
    <row r="899">
      <c r="F899" s="35">
        <f>IF($A899="","",IF($B899="","EKSİK","TAM"))</f>
        <v/>
      </c>
    </row>
    <row r="900">
      <c r="F900" s="35">
        <f>IF($A900="","",IF($B900="","EKSİK","TAM"))</f>
        <v/>
      </c>
    </row>
    <row r="901">
      <c r="F901" s="35">
        <f>IF($A901="","",IF($B901="","EKSİK","TAM"))</f>
        <v/>
      </c>
    </row>
    <row r="902">
      <c r="F902" s="35">
        <f>IF($A902="","",IF($B902="","EKSİK","TAM"))</f>
        <v/>
      </c>
    </row>
    <row r="903">
      <c r="F903" s="35">
        <f>IF($A903="","",IF($B903="","EKSİK","TAM"))</f>
        <v/>
      </c>
    </row>
    <row r="904">
      <c r="F904" s="35">
        <f>IF($A904="","",IF($B904="","EKSİK","TAM"))</f>
        <v/>
      </c>
    </row>
    <row r="905">
      <c r="F905" s="35">
        <f>IF($A905="","",IF($B905="","EKSİK","TAM"))</f>
        <v/>
      </c>
    </row>
    <row r="906">
      <c r="F906" s="35">
        <f>IF($A906="","",IF($B906="","EKSİK","TAM"))</f>
        <v/>
      </c>
    </row>
    <row r="907">
      <c r="F907" s="35">
        <f>IF($A907="","",IF($B907="","EKSİK","TAM"))</f>
        <v/>
      </c>
    </row>
    <row r="908">
      <c r="F908" s="35">
        <f>IF($A908="","",IF($B908="","EKSİK","TAM"))</f>
        <v/>
      </c>
    </row>
    <row r="909">
      <c r="F909" s="35">
        <f>IF($A909="","",IF($B909="","EKSİK","TAM"))</f>
        <v/>
      </c>
    </row>
    <row r="910">
      <c r="F910" s="35">
        <f>IF($A910="","",IF($B910="","EKSİK","TAM"))</f>
        <v/>
      </c>
    </row>
    <row r="911">
      <c r="F911" s="35">
        <f>IF($A911="","",IF($B911="","EKSİK","TAM"))</f>
        <v/>
      </c>
    </row>
    <row r="912">
      <c r="F912" s="35">
        <f>IF($A912="","",IF($B912="","EKSİK","TAM"))</f>
        <v/>
      </c>
    </row>
    <row r="913">
      <c r="F913" s="35">
        <f>IF($A913="","",IF($B913="","EKSİK","TAM"))</f>
        <v/>
      </c>
    </row>
    <row r="914">
      <c r="F914" s="35">
        <f>IF($A914="","",IF($B914="","EKSİK","TAM"))</f>
        <v/>
      </c>
    </row>
    <row r="915">
      <c r="F915" s="35">
        <f>IF($A915="","",IF($B915="","EKSİK","TAM"))</f>
        <v/>
      </c>
    </row>
    <row r="916">
      <c r="F916" s="35">
        <f>IF($A916="","",IF($B916="","EKSİK","TAM"))</f>
        <v/>
      </c>
    </row>
    <row r="917">
      <c r="F917" s="35">
        <f>IF($A917="","",IF($B917="","EKSİK","TAM"))</f>
        <v/>
      </c>
    </row>
    <row r="918">
      <c r="F918" s="35">
        <f>IF($A918="","",IF($B918="","EKSİK","TAM"))</f>
        <v/>
      </c>
    </row>
    <row r="919">
      <c r="F919" s="35">
        <f>IF($A919="","",IF($B919="","EKSİK","TAM"))</f>
        <v/>
      </c>
    </row>
    <row r="920">
      <c r="F920" s="35">
        <f>IF($A920="","",IF($B920="","EKSİK","TAM"))</f>
        <v/>
      </c>
    </row>
    <row r="921">
      <c r="F921" s="35">
        <f>IF($A921="","",IF($B921="","EKSİK","TAM"))</f>
        <v/>
      </c>
    </row>
    <row r="922">
      <c r="F922" s="35">
        <f>IF($A922="","",IF($B922="","EKSİK","TAM"))</f>
        <v/>
      </c>
    </row>
    <row r="923">
      <c r="F923" s="35">
        <f>IF($A923="","",IF($B923="","EKSİK","TAM"))</f>
        <v/>
      </c>
    </row>
    <row r="924">
      <c r="F924" s="35">
        <f>IF($A924="","",IF($B924="","EKSİK","TAM"))</f>
        <v/>
      </c>
    </row>
    <row r="925">
      <c r="F925" s="35">
        <f>IF($A925="","",IF($B925="","EKSİK","TAM"))</f>
        <v/>
      </c>
    </row>
    <row r="926">
      <c r="F926" s="35">
        <f>IF($A926="","",IF($B926="","EKSİK","TAM"))</f>
        <v/>
      </c>
    </row>
    <row r="927">
      <c r="F927" s="35">
        <f>IF($A927="","",IF($B927="","EKSİK","TAM"))</f>
        <v/>
      </c>
    </row>
    <row r="928">
      <c r="F928" s="35">
        <f>IF($A928="","",IF($B928="","EKSİK","TAM"))</f>
        <v/>
      </c>
    </row>
    <row r="929">
      <c r="F929" s="35">
        <f>IF($A929="","",IF($B929="","EKSİK","TAM"))</f>
        <v/>
      </c>
    </row>
    <row r="930">
      <c r="F930" s="35">
        <f>IF($A930="","",IF($B930="","EKSİK","TAM"))</f>
        <v/>
      </c>
    </row>
    <row r="931">
      <c r="F931" s="35">
        <f>IF($A931="","",IF($B931="","EKSİK","TAM"))</f>
        <v/>
      </c>
    </row>
    <row r="932">
      <c r="F932" s="35">
        <f>IF($A932="","",IF($B932="","EKSİK","TAM"))</f>
        <v/>
      </c>
    </row>
    <row r="933">
      <c r="F933" s="35">
        <f>IF($A933="","",IF($B933="","EKSİK","TAM"))</f>
        <v/>
      </c>
    </row>
    <row r="934">
      <c r="F934" s="35">
        <f>IF($A934="","",IF($B934="","EKSİK","TAM"))</f>
        <v/>
      </c>
    </row>
    <row r="935">
      <c r="F935" s="35">
        <f>IF($A935="","",IF($B935="","EKSİK","TAM"))</f>
        <v/>
      </c>
    </row>
    <row r="936">
      <c r="F936" s="35">
        <f>IF($A936="","",IF($B936="","EKSİK","TAM"))</f>
        <v/>
      </c>
    </row>
    <row r="937">
      <c r="F937" s="35">
        <f>IF($A937="","",IF($B937="","EKSİK","TAM"))</f>
        <v/>
      </c>
    </row>
    <row r="938">
      <c r="F938" s="35">
        <f>IF($A938="","",IF($B938="","EKSİK","TAM"))</f>
        <v/>
      </c>
    </row>
    <row r="939">
      <c r="F939" s="35">
        <f>IF($A939="","",IF($B939="","EKSİK","TAM"))</f>
        <v/>
      </c>
    </row>
    <row r="940">
      <c r="F940" s="35">
        <f>IF($A940="","",IF($B940="","EKSİK","TAM"))</f>
        <v/>
      </c>
    </row>
    <row r="941">
      <c r="F941" s="35">
        <f>IF($A941="","",IF($B941="","EKSİK","TAM"))</f>
        <v/>
      </c>
    </row>
    <row r="942">
      <c r="F942" s="35">
        <f>IF($A942="","",IF($B942="","EKSİK","TAM"))</f>
        <v/>
      </c>
    </row>
    <row r="943">
      <c r="F943" s="35">
        <f>IF($A943="","",IF($B943="","EKSİK","TAM"))</f>
        <v/>
      </c>
    </row>
    <row r="944">
      <c r="F944" s="35">
        <f>IF($A944="","",IF($B944="","EKSİK","TAM"))</f>
        <v/>
      </c>
    </row>
    <row r="945">
      <c r="F945" s="35">
        <f>IF($A945="","",IF($B945="","EKSİK","TAM"))</f>
        <v/>
      </c>
    </row>
    <row r="946">
      <c r="F946" s="35">
        <f>IF($A946="","",IF($B946="","EKSİK","TAM"))</f>
        <v/>
      </c>
    </row>
    <row r="947">
      <c r="F947" s="35">
        <f>IF($A947="","",IF($B947="","EKSİK","TAM"))</f>
        <v/>
      </c>
    </row>
    <row r="948">
      <c r="F948" s="35">
        <f>IF($A948="","",IF($B948="","EKSİK","TAM"))</f>
        <v/>
      </c>
    </row>
    <row r="949">
      <c r="F949" s="35">
        <f>IF($A949="","",IF($B949="","EKSİK","TAM"))</f>
        <v/>
      </c>
    </row>
    <row r="950">
      <c r="F950" s="35">
        <f>IF($A950="","",IF($B950="","EKSİK","TAM"))</f>
        <v/>
      </c>
    </row>
    <row r="951">
      <c r="F951" s="35">
        <f>IF($A951="","",IF($B951="","EKSİK","TAM"))</f>
        <v/>
      </c>
    </row>
    <row r="952">
      <c r="F952" s="35">
        <f>IF($A952="","",IF($B952="","EKSİK","TAM"))</f>
        <v/>
      </c>
    </row>
    <row r="953">
      <c r="F953" s="35">
        <f>IF($A953="","",IF($B953="","EKSİK","TAM"))</f>
        <v/>
      </c>
    </row>
    <row r="954">
      <c r="F954" s="35">
        <f>IF($A954="","",IF($B954="","EKSİK","TAM"))</f>
        <v/>
      </c>
    </row>
    <row r="955">
      <c r="F955" s="35">
        <f>IF($A955="","",IF($B955="","EKSİK","TAM"))</f>
        <v/>
      </c>
    </row>
    <row r="956">
      <c r="F956" s="35">
        <f>IF($A956="","",IF($B956="","EKSİK","TAM"))</f>
        <v/>
      </c>
    </row>
    <row r="957">
      <c r="F957" s="35">
        <f>IF($A957="","",IF($B957="","EKSİK","TAM"))</f>
        <v/>
      </c>
    </row>
    <row r="958">
      <c r="F958" s="35">
        <f>IF($A958="","",IF($B958="","EKSİK","TAM"))</f>
        <v/>
      </c>
    </row>
    <row r="959">
      <c r="F959" s="35">
        <f>IF($A959="","",IF($B959="","EKSİK","TAM"))</f>
        <v/>
      </c>
    </row>
    <row r="960">
      <c r="F960" s="35">
        <f>IF($A960="","",IF($B960="","EKSİK","TAM"))</f>
        <v/>
      </c>
    </row>
    <row r="961">
      <c r="F961" s="35">
        <f>IF($A961="","",IF($B961="","EKSİK","TAM"))</f>
        <v/>
      </c>
    </row>
    <row r="962">
      <c r="F962" s="35">
        <f>IF($A962="","",IF($B962="","EKSİK","TAM"))</f>
        <v/>
      </c>
    </row>
    <row r="963">
      <c r="F963" s="35">
        <f>IF($A963="","",IF($B963="","EKSİK","TAM"))</f>
        <v/>
      </c>
    </row>
    <row r="964">
      <c r="F964" s="35">
        <f>IF($A964="","",IF($B964="","EKSİK","TAM"))</f>
        <v/>
      </c>
    </row>
    <row r="965">
      <c r="F965" s="35">
        <f>IF($A965="","",IF($B965="","EKSİK","TAM"))</f>
        <v/>
      </c>
    </row>
    <row r="966">
      <c r="F966" s="35">
        <f>IF($A966="","",IF($B966="","EKSİK","TAM"))</f>
        <v/>
      </c>
    </row>
    <row r="967">
      <c r="F967" s="35">
        <f>IF($A967="","",IF($B967="","EKSİK","TAM"))</f>
        <v/>
      </c>
    </row>
    <row r="968">
      <c r="F968" s="35">
        <f>IF($A968="","",IF($B968="","EKSİK","TAM"))</f>
        <v/>
      </c>
    </row>
    <row r="969">
      <c r="F969" s="35">
        <f>IF($A969="","",IF($B969="","EKSİK","TAM"))</f>
        <v/>
      </c>
    </row>
    <row r="970">
      <c r="F970" s="35">
        <f>IF($A970="","",IF($B970="","EKSİK","TAM"))</f>
        <v/>
      </c>
    </row>
    <row r="971">
      <c r="F971" s="35">
        <f>IF($A971="","",IF($B971="","EKSİK","TAM"))</f>
        <v/>
      </c>
    </row>
    <row r="972">
      <c r="F972" s="35">
        <f>IF($A972="","",IF($B972="","EKSİK","TAM"))</f>
        <v/>
      </c>
    </row>
    <row r="973">
      <c r="F973" s="35">
        <f>IF($A973="","",IF($B973="","EKSİK","TAM"))</f>
        <v/>
      </c>
    </row>
    <row r="974">
      <c r="F974" s="35">
        <f>IF($A974="","",IF($B974="","EKSİK","TAM"))</f>
        <v/>
      </c>
    </row>
    <row r="975">
      <c r="F975" s="35">
        <f>IF($A975="","",IF($B975="","EKSİK","TAM"))</f>
        <v/>
      </c>
    </row>
    <row r="976">
      <c r="F976" s="35">
        <f>IF($A976="","",IF($B976="","EKSİK","TAM"))</f>
        <v/>
      </c>
    </row>
    <row r="977">
      <c r="F977" s="35">
        <f>IF($A977="","",IF($B977="","EKSİK","TAM"))</f>
        <v/>
      </c>
    </row>
    <row r="978">
      <c r="F978" s="35">
        <f>IF($A978="","",IF($B978="","EKSİK","TAM"))</f>
        <v/>
      </c>
    </row>
    <row r="979">
      <c r="F979" s="35">
        <f>IF($A979="","",IF($B979="","EKSİK","TAM"))</f>
        <v/>
      </c>
    </row>
    <row r="980">
      <c r="F980" s="35">
        <f>IF($A980="","",IF($B980="","EKSİK","TAM"))</f>
        <v/>
      </c>
    </row>
    <row r="981">
      <c r="F981" s="35">
        <f>IF($A981="","",IF($B981="","EKSİK","TAM"))</f>
        <v/>
      </c>
    </row>
    <row r="982">
      <c r="F982" s="35">
        <f>IF($A982="","",IF($B982="","EKSİK","TAM"))</f>
        <v/>
      </c>
    </row>
    <row r="983">
      <c r="F983" s="35">
        <f>IF($A983="","",IF($B983="","EKSİK","TAM"))</f>
        <v/>
      </c>
    </row>
    <row r="984">
      <c r="F984" s="35">
        <f>IF($A984="","",IF($B984="","EKSİK","TAM"))</f>
        <v/>
      </c>
    </row>
    <row r="985">
      <c r="F985" s="35">
        <f>IF($A985="","",IF($B985="","EKSİK","TAM"))</f>
        <v/>
      </c>
    </row>
    <row r="986">
      <c r="F986" s="35">
        <f>IF($A986="","",IF($B986="","EKSİK","TAM"))</f>
        <v/>
      </c>
    </row>
    <row r="987">
      <c r="F987" s="35">
        <f>IF($A987="","",IF($B987="","EKSİK","TAM"))</f>
        <v/>
      </c>
    </row>
    <row r="988">
      <c r="F988" s="35">
        <f>IF($A988="","",IF($B988="","EKSİK","TAM"))</f>
        <v/>
      </c>
    </row>
    <row r="989">
      <c r="F989" s="35">
        <f>IF($A989="","",IF($B989="","EKSİK","TAM"))</f>
        <v/>
      </c>
    </row>
    <row r="990">
      <c r="F990" s="35">
        <f>IF($A990="","",IF($B990="","EKSİK","TAM"))</f>
        <v/>
      </c>
    </row>
    <row r="991">
      <c r="F991" s="35">
        <f>IF($A991="","",IF($B991="","EKSİK","TAM"))</f>
        <v/>
      </c>
    </row>
    <row r="992">
      <c r="F992" s="35">
        <f>IF($A992="","",IF($B992="","EKSİK","TAM"))</f>
        <v/>
      </c>
    </row>
    <row r="993">
      <c r="F993" s="35">
        <f>IF($A993="","",IF($B993="","EKSİK","TAM"))</f>
        <v/>
      </c>
    </row>
    <row r="994">
      <c r="F994" s="35">
        <f>IF($A994="","",IF($B994="","EKSİK","TAM"))</f>
        <v/>
      </c>
    </row>
    <row r="995">
      <c r="F995" s="35">
        <f>IF($A995="","",IF($B995="","EKSİK","TAM"))</f>
        <v/>
      </c>
    </row>
    <row r="996">
      <c r="F996" s="35">
        <f>IF($A996="","",IF($B996="","EKSİK","TAM"))</f>
        <v/>
      </c>
    </row>
    <row r="997">
      <c r="F997" s="35">
        <f>IF($A997="","",IF($B997="","EKSİK","TAM"))</f>
        <v/>
      </c>
    </row>
    <row r="998">
      <c r="F998" s="35">
        <f>IF($A998="","",IF($B998="","EKSİK","TAM"))</f>
        <v/>
      </c>
    </row>
    <row r="999">
      <c r="F999" s="35">
        <f>IF($A999="","",IF($B999="","EKSİK","TAM"))</f>
        <v/>
      </c>
    </row>
    <row r="1000">
      <c r="F1000" s="35">
        <f>IF($A1000="","",IF($B1000="","EKSİK","TAM"))</f>
        <v/>
      </c>
    </row>
    <row r="1001">
      <c r="F1001" s="35">
        <f>IF($A1001="","",IF($B1001="","EKSİK","TAM"))</f>
        <v/>
      </c>
    </row>
    <row r="1002">
      <c r="F1002" s="35">
        <f>IF($A1002="","",IF($B1002="","EKSİK","TAM"))</f>
        <v/>
      </c>
    </row>
    <row r="1003">
      <c r="F1003" s="35">
        <f>IF($A1003="","",IF($B1003="","EKSİK","TAM"))</f>
        <v/>
      </c>
    </row>
    <row r="1004">
      <c r="F1004" s="35">
        <f>IF($A1004="","",IF($B1004="","EKSİK","TAM"))</f>
        <v/>
      </c>
    </row>
    <row r="1024" ht="20" customHeight="1">
      <c r="A1024" s="39" t="inlineStr">
        <is>
          <t>Sarı alanlar giriş; eşik ve sapma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4:AN1024"/>
    <mergeCell ref="A1:AD1"/>
  </mergeCells>
  <conditionalFormatting sqref="B9:B13">
    <cfRule type="cellIs" priority="1" operator="lessThan" dxfId="5">
      <formula>0</formula>
    </cfRule>
    <cfRule type="cellIs" priority="2" operator="equal" dxfId="4">
      <formula>0</formula>
    </cfRule>
  </conditionalFormatting>
  <conditionalFormatting sqref="F25:F35">
    <cfRule type="expression" priority="3" dxfId="0">
      <formula>F25="EKSİK"</formula>
    </cfRule>
    <cfRule type="expression" priority="4" dxfId="2">
      <formula>F25="TAM"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7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5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Kredi Bakiyesi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FAVÖK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Net Borç" prompt="0 ile 1e12 arasında TL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Kredi Bakiyesi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FAVÖK" prompt="Tablo: TL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Net Borç" prompt="Tablo: TL tutar." type="decimal" errorStyle="stop" operator="between">
      <formula1>0</formula1>
      <formula2>1000000000000</formula2>
    </dataValidation>
    <dataValidation sqref="B10" showDropDown="0" showInputMessage="1" showErrorMessage="1" allowBlank="1" errorTitle="Geçersiz oran" error="0 ile 1 arası." promptTitle="Faiz" prompt="0-1 arası oran." type="decimal" errorStyle="stop" operator="between">
      <formula1>0</formula1>
      <formula2>1</formula2>
    </dataValidation>
    <dataValidation sqref="B29" showDropDown="0" showInputMessage="1" showErrorMessage="1" allowBlank="1" errorTitle="Geçersiz oran" error="0 ile 1 arası." promptTitle="Faiz tablo" prompt="0-1 arası oran." type="decimal" errorStyle="stop" operator="between">
      <formula1>0</formula1>
      <formula2>1</formula2>
    </dataValidation>
    <dataValidation sqref="B11" showDropDown="0" showInputMessage="1" showErrorMessage="1" allowBlank="1" errorTitle="Geçersiz" error="0-360." promptTitle="Vade Ay" prompt="0-360 ay." type="whole" errorStyle="stop" operator="between">
      <formula1>0</formula1>
      <formula2>360</formula2>
    </dataValidation>
    <dataValidation sqref="B30" showDropDown="0" showInputMessage="1" showErrorMessage="1" allowBlank="1" errorTitle="Geçersiz" error="0-360." promptTitle="Vade Ay" prompt="0-360 ay." type="whole" errorStyle="stop" operator="between">
      <formula1>0</formula1>
      <formula2>360</formula2>
    </dataValidation>
    <dataValidation sqref="B14" showDropDown="0" showInputMessage="1" showErrorMessage="1" allowBlank="1" errorTitle="Geçersiz" error="0 ile 20 arası." promptTitle="Cari" prompt="0-20 arası oran." type="decimal" errorStyle="stop" operator="between">
      <formula1>0</formula1>
      <formula2>20</formula2>
    </dataValidation>
    <dataValidation sqref="B15" showDropDown="0" showInputMessage="1" showErrorMessage="1" allowBlank="1" errorTitle="Geçersiz" error="0 ile 20 arası." promptTitle="DSCR" prompt="0-20 arası oran." type="decimal" errorStyle="stop" operator="between">
      <formula1>0</formula1>
      <formula2>20</formula2>
    </dataValidation>
    <dataValidation sqref="B33" showDropDown="0" showInputMessage="1" showErrorMessage="1" allowBlank="1" errorTitle="Geçersiz" error="0 ile 20 arası." promptTitle="Cari tablo" prompt="0-20 arası oran." type="decimal" errorStyle="stop" operator="between">
      <formula1>0</formula1>
      <formula2>20</formula2>
    </dataValidation>
    <dataValidation sqref="B34" showDropDown="0" showInputMessage="1" showErrorMessage="1" allowBlank="1" errorTitle="Geçersiz" error="0 ile 20 arası." promptTitle="DSCR tablo" prompt="0-20 arası oran." type="decimal" errorStyle="stop" operator="between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Banka Kredi + Covenant Erken Uyarı</t>
        </is>
      </c>
    </row>
    <row r="3">
      <c r="A3" s="41" t="inlineStr">
        <is>
          <t>Covenant kural tablosu (yıl yan yana)</t>
        </is>
      </c>
    </row>
    <row r="4">
      <c r="A4" s="4" t="inlineStr">
        <is>
          <t>Eşikler MOTOR'da sabit yazılmaz; INDEX/MATCH ile buradan çekilir.</t>
        </is>
      </c>
    </row>
    <row r="6" ht="30" customHeight="1">
      <c r="A6" s="21" t="inlineStr">
        <is>
          <t>kural_id</t>
        </is>
      </c>
      <c r="B6" s="21" t="inlineStr">
        <is>
          <t>madde</t>
        </is>
      </c>
      <c r="C6" s="21" t="inlineStr">
        <is>
          <t>kural_adi</t>
        </is>
      </c>
      <c r="D6" s="21" t="inlineStr">
        <is>
          <t>kosul_metni</t>
        </is>
      </c>
      <c r="E6" s="21" t="inlineStr">
        <is>
          <t>parametre_adi</t>
        </is>
      </c>
      <c r="F6" s="21" t="inlineStr">
        <is>
          <t>deger_2025</t>
        </is>
      </c>
      <c r="G6" s="21" t="inlineStr">
        <is>
          <t>deger_2026</t>
        </is>
      </c>
      <c r="H6" s="21" t="inlineStr">
        <is>
          <t>deger_2027</t>
        </is>
      </c>
      <c r="I6" s="21" t="inlineStr">
        <is>
          <t>yururluk</t>
        </is>
      </c>
      <c r="J6" s="21" t="inlineStr">
        <is>
          <t>kaynak</t>
        </is>
      </c>
      <c r="K6" s="21" t="inlineStr">
        <is>
          <t>aktif_deger</t>
        </is>
      </c>
    </row>
    <row r="7">
      <c r="A7" s="7" t="inlineStr">
        <is>
          <t>BKE-001</t>
        </is>
      </c>
      <c r="B7" s="7" t="inlineStr">
        <is>
          <t>Kredi sözleşmesi / DSCR</t>
        </is>
      </c>
      <c r="C7" s="7" t="inlineStr">
        <is>
          <t>dscr_min</t>
        </is>
      </c>
      <c r="D7" s="7" t="inlineStr">
        <is>
          <t>DSCR ≥ eşik</t>
        </is>
      </c>
      <c r="E7" s="7" t="inlineStr">
        <is>
          <t>dscr_min</t>
        </is>
      </c>
      <c r="F7" s="42" t="n">
        <v>1.2</v>
      </c>
      <c r="G7" s="42" t="n">
        <v>1.2</v>
      </c>
      <c r="H7" s="42" t="n">
        <v>1.2</v>
      </c>
      <c r="I7" s="7" t="inlineStr">
        <is>
          <t>01.01.2025</t>
        </is>
      </c>
      <c r="J7" s="7" t="inlineStr">
        <is>
          <t>Minimum DSCR eşiği</t>
        </is>
      </c>
      <c r="K7" s="35">
        <f>IF($A7="","",IFERROR(CHOOSE(MAX(1,MIN(3,IF(OR(hesapYili="",hesapYili=0),1,hesapYili-bke_yilTaban))),$F7,$G7,$H7),0))</f>
        <v/>
      </c>
    </row>
    <row r="8">
      <c r="A8" s="7" t="inlineStr">
        <is>
          <t>BKE-002</t>
        </is>
      </c>
      <c r="B8" s="7" t="inlineStr">
        <is>
          <t>Kredi sözleşmesi / kaldıraç</t>
        </is>
      </c>
      <c r="C8" s="7" t="inlineStr">
        <is>
          <t>borc_favok_max</t>
        </is>
      </c>
      <c r="D8" s="7" t="inlineStr">
        <is>
          <t>net borç/FAVÖK ≤ max</t>
        </is>
      </c>
      <c r="E8" s="7" t="inlineStr">
        <is>
          <t>borc_favok_max</t>
        </is>
      </c>
      <c r="F8" s="42" t="n">
        <v>3.5</v>
      </c>
      <c r="G8" s="42" t="n">
        <v>3.5</v>
      </c>
      <c r="H8" s="42" t="n">
        <v>3.5</v>
      </c>
      <c r="I8" s="7" t="inlineStr">
        <is>
          <t>01.01.2025</t>
        </is>
      </c>
      <c r="J8" s="7" t="inlineStr">
        <is>
          <t>Maksimum borç/FAVÖK</t>
        </is>
      </c>
      <c r="K8" s="35">
        <f>IF($A8="","",IFERROR(CHOOSE(MAX(1,MIN(3,IF(OR(hesapYili="",hesapYili=0),1,hesapYili-bke_yilTaban))),$F8,$G8,$H8),0))</f>
        <v/>
      </c>
    </row>
    <row r="9">
      <c r="A9" s="7" t="inlineStr">
        <is>
          <t>BKE-003</t>
        </is>
      </c>
      <c r="B9" s="7" t="inlineStr">
        <is>
          <t>Kredi sözleşmesi / likidite</t>
        </is>
      </c>
      <c r="C9" s="7" t="inlineStr">
        <is>
          <t>cari_min</t>
        </is>
      </c>
      <c r="D9" s="7" t="inlineStr">
        <is>
          <t>cari oran ≥ eşik</t>
        </is>
      </c>
      <c r="E9" s="7" t="inlineStr">
        <is>
          <t>cari_min</t>
        </is>
      </c>
      <c r="F9" s="42" t="n">
        <v>1</v>
      </c>
      <c r="G9" s="42" t="n">
        <v>1</v>
      </c>
      <c r="H9" s="42" t="n">
        <v>1</v>
      </c>
      <c r="I9" s="7" t="inlineStr">
        <is>
          <t>01.01.2025</t>
        </is>
      </c>
      <c r="J9" s="7" t="inlineStr">
        <is>
          <t>Minimum cari oran</t>
        </is>
      </c>
      <c r="K9" s="35">
        <f>IF($A9="","",IFERROR(CHOOSE(MAX(1,MIN(3,IF(OR(hesapYili="",hesapYili=0),1,hesapYili-bke_yilTaban))),$F9,$G9,$H9),0))</f>
        <v/>
      </c>
    </row>
    <row r="10">
      <c r="A10" s="7" t="inlineStr">
        <is>
          <t>BKE-004</t>
        </is>
      </c>
      <c r="B10" s="7" t="inlineStr">
        <is>
          <t>İç politika</t>
        </is>
      </c>
      <c r="C10" s="7" t="inlineStr">
        <is>
          <t>erken_uyari_band</t>
        </is>
      </c>
      <c r="D10" s="7" t="inlineStr">
        <is>
          <t>eşik × (1±band)</t>
        </is>
      </c>
      <c r="E10" s="7" t="inlineStr">
        <is>
          <t>erken_uyari_band</t>
        </is>
      </c>
      <c r="F10" s="43" t="n">
        <v>0.1</v>
      </c>
      <c r="G10" s="43" t="n">
        <v>0.1</v>
      </c>
      <c r="H10" s="43" t="n">
        <v>0.1</v>
      </c>
      <c r="I10" s="7" t="inlineStr">
        <is>
          <t>01.01.2025</t>
        </is>
      </c>
      <c r="J10" s="7" t="inlineStr">
        <is>
          <t>Erken uyarı sapma bandı</t>
        </is>
      </c>
      <c r="K10" s="35">
        <f>IF($A10="","",IFERROR(CHOOSE(MAX(1,MIN(3,IF(OR(hesapYili="",hesapYili=0),1,hesapYili-bke_yilTaban))),$F10,$G10,$H10),0))</f>
        <v/>
      </c>
    </row>
    <row r="11">
      <c r="A11" s="7" t="inlineStr">
        <is>
          <t>BKE-005</t>
        </is>
      </c>
      <c r="B11" s="7" t="inlineStr">
        <is>
          <t>İç politika</t>
        </is>
      </c>
      <c r="C11" s="7" t="inlineStr">
        <is>
          <t>faiz_yuku_max</t>
        </is>
      </c>
      <c r="D11" s="7" t="inlineStr">
        <is>
          <t>faiz×bakiye/FAVÖK ≤ max</t>
        </is>
      </c>
      <c r="E11" s="7" t="inlineStr">
        <is>
          <t>faiz_yuku_max</t>
        </is>
      </c>
      <c r="F11" s="43" t="n">
        <v>0.4</v>
      </c>
      <c r="G11" s="43" t="n">
        <v>0.4</v>
      </c>
      <c r="H11" s="43" t="n">
        <v>0.4</v>
      </c>
      <c r="I11" s="7" t="inlineStr">
        <is>
          <t>01.01.2025</t>
        </is>
      </c>
      <c r="J11" s="7" t="inlineStr">
        <is>
          <t>Maksimum faiz yükü oranı</t>
        </is>
      </c>
      <c r="K11" s="35">
        <f>IF($A11="","",IFERROR(CHOOSE(MAX(1,MIN(3,IF(OR(hesapYili="",hesapYili=0),1,hesapYili-bke_yilTaban))),$F11,$G11,$H11),0))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DSCR min (aktif yıl)</t>
        </is>
      </c>
      <c r="B15" s="19">
        <f>IFERROR(INDEX(CHOOSE(MAX(1,MIN(3,IF(OR(hesapYili="",hesapYili=0),1,hesapYili-bke_yilTaban))),tblKurallar[deger_2025],tblKurallar[deger_2026],tblKurallar[deger_2027]),MATCH("BKE-001",tblKurallar[kural_id],0)),0)</f>
        <v/>
      </c>
    </row>
    <row r="16">
      <c r="A16" s="7" t="inlineStr">
        <is>
          <t>Borç/FAVÖK max (aktif yıl)</t>
        </is>
      </c>
      <c r="B16" s="19">
        <f>IFERROR(INDEX(CHOOSE(MAX(1,MIN(3,IF(OR(hesapYili="",hesapYili=0),1,hesapYili-bke_yilTaban))),tblKurallar[deger_2025],tblKurallar[deger_2026],tblKurallar[deger_2027]),MATCH("BKE-002",tblKurallar[kural_id],0)),0)</f>
        <v/>
      </c>
    </row>
    <row r="17">
      <c r="A17" s="7" t="inlineStr">
        <is>
          <t>Matris metni</t>
        </is>
      </c>
      <c r="B17" s="18">
        <f>IFERROR(_xlfn.TEXTJOIN(" | ",TRUE,"BKE-001=",TEXT(B15,"0.00"),"BKE-002=",TEXT(B16,"0.00"),"yıl=",IF(OR(hesapYili="",hesapYili=0),"-",hesapYili)),"-")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AD5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Banka Kredi + Covenant Erken Uyarı</t>
        </is>
      </c>
    </row>
    <row r="3">
      <c r="A3" s="41" t="inlineStr">
        <is>
          <t>Hesap zinciri — her adımda kural_id</t>
        </is>
      </c>
    </row>
    <row r="4">
      <c r="A4" s="4" t="inlineStr">
        <is>
          <t>Eşikler tblKurallar'dan çekilir; sabit oran yoktur.</t>
        </is>
      </c>
    </row>
    <row r="6" ht="30" customHeight="1">
      <c r="A6" s="21" t="inlineStr">
        <is>
          <t>adim</t>
        </is>
      </c>
      <c r="B6" s="21" t="inlineStr">
        <is>
          <t>ad</t>
        </is>
      </c>
      <c r="C6" s="21" t="inlineStr">
        <is>
          <t>formul</t>
        </is>
      </c>
      <c r="D6" s="21" t="inlineStr">
        <is>
          <t>birim</t>
        </is>
      </c>
      <c r="E6" s="21" t="inlineStr">
        <is>
          <t>ne_ise_yarar</t>
        </is>
      </c>
      <c r="F6" s="21" t="inlineStr">
        <is>
          <t>kural_id</t>
        </is>
      </c>
      <c r="G6" s="21" t="inlineStr">
        <is>
          <t>deger</t>
        </is>
      </c>
    </row>
    <row r="7">
      <c r="A7" s="44" t="n">
        <v>1</v>
      </c>
      <c r="B7" s="23" t="inlineStr">
        <is>
          <t>Hesap yılı oku</t>
        </is>
      </c>
      <c r="C7" s="45">
        <f>IFERROR(hesapYili,0)</f>
        <v/>
      </c>
      <c r="D7" s="46" t="inlineStr">
        <is>
          <t>yıl</t>
        </is>
      </c>
      <c r="E7" s="6" t="inlineStr">
        <is>
          <t>Aktif mevzuat yılı</t>
        </is>
      </c>
      <c r="F7" s="22" t="inlineStr">
        <is>
          <t>BKE-001</t>
        </is>
      </c>
      <c r="G7" s="19">
        <f>IFERROR(hesapYili,0)</f>
        <v/>
      </c>
    </row>
    <row r="8">
      <c r="A8" s="44" t="n">
        <v>2</v>
      </c>
      <c r="B8" s="23" t="inlineStr">
        <is>
          <t>DSCR min eşiği</t>
        </is>
      </c>
      <c r="C8" s="47">
        <f>IFERROR(INDEX(CHOOSE(MAX(1,MIN(3,IF(OR(hesapYili="",hesapYili=0),1,hesapYili-bke_yilTaban))),tblKurallar[deger_2025],tblKurallar[deger_2026],tblKurallar[deger_2027]),MATCH("BKE-001",tblKurallar[kural_id],0)),0)</f>
        <v/>
      </c>
      <c r="D8" s="46" t="inlineStr">
        <is>
          <t>oran</t>
        </is>
      </c>
      <c r="E8" s="6" t="inlineStr">
        <is>
          <t>Minimum DSCR</t>
        </is>
      </c>
      <c r="F8" s="22" t="inlineStr">
        <is>
          <t>BKE-001</t>
        </is>
      </c>
      <c r="G8" s="24">
        <f>IFERROR(INDEX(CHOOSE(MAX(1,MIN(3,IF(OR(hesapYili="",hesapYili=0),1,hesapYili-bke_yilTaban))),tblKurallar[deger_2025],tblKurallar[deger_2026],tblKurallar[deger_2027]),MATCH("BKE-001",tblKurallar[kural_id],0)),0)</f>
        <v/>
      </c>
    </row>
    <row r="9">
      <c r="A9" s="44" t="n">
        <v>3</v>
      </c>
      <c r="B9" s="23" t="inlineStr">
        <is>
          <t>Borç/FAVÖK max</t>
        </is>
      </c>
      <c r="C9" s="47">
        <f>IFERROR(INDEX(CHOOSE(MAX(1,MIN(3,IF(OR(hesapYili="",hesapYili=0),1,hesapYili-bke_yilTaban))),tblKurallar[deger_2025],tblKurallar[deger_2026],tblKurallar[deger_2027]),MATCH("BKE-002",tblKurallar[kural_id],0)),0)</f>
        <v/>
      </c>
      <c r="D9" s="46" t="inlineStr">
        <is>
          <t>oran</t>
        </is>
      </c>
      <c r="E9" s="6" t="inlineStr">
        <is>
          <t>Maksimum kaldıraç</t>
        </is>
      </c>
      <c r="F9" s="22" t="inlineStr">
        <is>
          <t>BKE-002</t>
        </is>
      </c>
      <c r="G9" s="24">
        <f>IFERROR(INDEX(CHOOSE(MAX(1,MIN(3,IF(OR(hesapYili="",hesapYili=0),1,hesapYili-bke_yilTaban))),tblKurallar[deger_2025],tblKurallar[deger_2026],tblKurallar[deger_2027]),MATCH("BKE-002",tblKurallar[kural_id],0)),0)</f>
        <v/>
      </c>
    </row>
    <row r="10">
      <c r="A10" s="44" t="n">
        <v>4</v>
      </c>
      <c r="B10" s="23" t="inlineStr">
        <is>
          <t>Cari min eşiği</t>
        </is>
      </c>
      <c r="C10" s="47">
        <f>IFERROR(INDEX(CHOOSE(MAX(1,MIN(3,IF(OR(hesapYili="",hesapYili=0),1,hesapYili-bke_yilTaban))),tblKurallar[deger_2025],tblKurallar[deger_2026],tblKurallar[deger_2027]),MATCH("BKE-003",tblKurallar[kural_id],0)),0)</f>
        <v/>
      </c>
      <c r="D10" s="46" t="inlineStr">
        <is>
          <t>oran</t>
        </is>
      </c>
      <c r="E10" s="6" t="inlineStr">
        <is>
          <t>Minimum cari oran</t>
        </is>
      </c>
      <c r="F10" s="22" t="inlineStr">
        <is>
          <t>BKE-003</t>
        </is>
      </c>
      <c r="G10" s="24">
        <f>IFERROR(INDEX(CHOOSE(MAX(1,MIN(3,IF(OR(hesapYili="",hesapYili=0),1,hesapYili-bke_yilTaban))),tblKurallar[deger_2025],tblKurallar[deger_2026],tblKurallar[deger_2027]),MATCH("BKE-003",tblKurallar[kural_id],0)),0)</f>
        <v/>
      </c>
    </row>
    <row r="11">
      <c r="A11" s="44" t="n">
        <v>5</v>
      </c>
      <c r="B11" s="23" t="inlineStr">
        <is>
          <t>Erken uyarı bandı</t>
        </is>
      </c>
      <c r="C11" s="47">
        <f>IFERROR(INDEX(CHOOSE(MAX(1,MIN(3,IF(OR(hesapYili="",hesapYili=0),1,hesapYili-bke_yilTaban))),tblKurallar[deger_2025],tblKurallar[deger_2026],tblKurallar[deger_2027]),MATCH("BKE-004",tblKurallar[kural_id],0)),0)</f>
        <v/>
      </c>
      <c r="D11" s="46" t="inlineStr">
        <is>
          <t>oran</t>
        </is>
      </c>
      <c r="E11" s="6" t="inlineStr">
        <is>
          <t>Uyarı sapma bandı</t>
        </is>
      </c>
      <c r="F11" s="22" t="inlineStr">
        <is>
          <t>BKE-004</t>
        </is>
      </c>
      <c r="G11" s="24">
        <f>IFERROR(INDEX(CHOOSE(MAX(1,MIN(3,IF(OR(hesapYili="",hesapYili=0),1,hesapYili-bke_yilTaban))),tblKurallar[deger_2025],tblKurallar[deger_2026],tblKurallar[deger_2027]),MATCH("BKE-004",tblKurallar[kural_id],0)),0)</f>
        <v/>
      </c>
    </row>
    <row r="12">
      <c r="A12" s="44" t="n">
        <v>6</v>
      </c>
      <c r="B12" s="23" t="inlineStr">
        <is>
          <t>Faiz yükü max</t>
        </is>
      </c>
      <c r="C12" s="47">
        <f>IFERROR(INDEX(CHOOSE(MAX(1,MIN(3,IF(OR(hesapYili="",hesapYili=0),1,hesapYili-bke_yilTaban))),tblKurallar[deger_2025],tblKurallar[deger_2026],tblKurallar[deger_2027]),MATCH("BKE-005",tblKurallar[kural_id],0)),0)</f>
        <v/>
      </c>
      <c r="D12" s="46" t="inlineStr">
        <is>
          <t>oran</t>
        </is>
      </c>
      <c r="E12" s="6" t="inlineStr">
        <is>
          <t>Maksimum faiz yükü</t>
        </is>
      </c>
      <c r="F12" s="22" t="inlineStr">
        <is>
          <t>BKE-005</t>
        </is>
      </c>
      <c r="G12" s="24">
        <f>IFERROR(INDEX(CHOOSE(MAX(1,MIN(3,IF(OR(hesapYili="",hesapYili=0),1,hesapYili-bke_yilTaban))),tblKurallar[deger_2025],tblKurallar[deger_2026],tblKurallar[deger_2027]),MATCH("BKE-005",tblKurallar[kural_id],0)),0)</f>
        <v/>
      </c>
    </row>
    <row r="13">
      <c r="A13" s="44" t="n">
        <v>7</v>
      </c>
      <c r="B13" s="23" t="inlineStr">
        <is>
          <t>Kredi bakiyesi</t>
        </is>
      </c>
      <c r="C13" s="48">
        <f>IFERROR(GIRDI!B9,0)</f>
        <v/>
      </c>
      <c r="D13" s="46" t="inlineStr">
        <is>
          <t>TL</t>
        </is>
      </c>
      <c r="E13" s="6" t="inlineStr">
        <is>
          <t>Kredi bakiyesi</t>
        </is>
      </c>
      <c r="F13" s="22" t="inlineStr">
        <is>
          <t>BKE-005</t>
        </is>
      </c>
      <c r="G13" s="20">
        <f>IFERROR(GIRDI!B9,0)</f>
        <v/>
      </c>
    </row>
    <row r="14">
      <c r="A14" s="44" t="n">
        <v>8</v>
      </c>
      <c r="B14" s="23" t="inlineStr">
        <is>
          <t>Faiz oranı</t>
        </is>
      </c>
      <c r="C14" s="47">
        <f>IFERROR(GIRDI!B10,0)</f>
        <v/>
      </c>
      <c r="D14" s="46" t="inlineStr">
        <is>
          <t>oran</t>
        </is>
      </c>
      <c r="E14" s="6" t="inlineStr">
        <is>
          <t>Yıllık faiz</t>
        </is>
      </c>
      <c r="F14" s="22" t="inlineStr">
        <is>
          <t>BKE-005</t>
        </is>
      </c>
      <c r="G14" s="24">
        <f>IFERROR(GIRDI!B10,0)</f>
        <v/>
      </c>
    </row>
    <row r="15">
      <c r="A15" s="44" t="n">
        <v>9</v>
      </c>
      <c r="B15" s="23" t="inlineStr">
        <is>
          <t>Vade ay</t>
        </is>
      </c>
      <c r="C15" s="45">
        <f>IFERROR(GIRDI!B11,0)</f>
        <v/>
      </c>
      <c r="D15" s="46" t="inlineStr">
        <is>
          <t>adet</t>
        </is>
      </c>
      <c r="E15" s="6" t="inlineStr">
        <is>
          <t>Kalan vade</t>
        </is>
      </c>
      <c r="F15" s="22" t="inlineStr">
        <is>
          <t>BKE-001</t>
        </is>
      </c>
      <c r="G15" s="19">
        <f>IFERROR(GIRDI!B11,0)</f>
        <v/>
      </c>
    </row>
    <row r="16">
      <c r="A16" s="44" t="n">
        <v>10</v>
      </c>
      <c r="B16" s="23" t="inlineStr">
        <is>
          <t>FAVÖK</t>
        </is>
      </c>
      <c r="C16" s="48">
        <f>IFERROR(GIRDI!B12,0)</f>
        <v/>
      </c>
      <c r="D16" s="46" t="inlineStr">
        <is>
          <t>TL</t>
        </is>
      </c>
      <c r="E16" s="6" t="inlineStr">
        <is>
          <t>Dönem FAVÖK</t>
        </is>
      </c>
      <c r="F16" s="22" t="inlineStr">
        <is>
          <t>BKE-002</t>
        </is>
      </c>
      <c r="G16" s="20">
        <f>IFERROR(GIRDI!B12,0)</f>
        <v/>
      </c>
    </row>
    <row r="17">
      <c r="A17" s="44" t="n">
        <v>11</v>
      </c>
      <c r="B17" s="23" t="inlineStr">
        <is>
          <t>Net borç</t>
        </is>
      </c>
      <c r="C17" s="48">
        <f>IFERROR(GIRDI!B13,0)</f>
        <v/>
      </c>
      <c r="D17" s="46" t="inlineStr">
        <is>
          <t>TL</t>
        </is>
      </c>
      <c r="E17" s="6" t="inlineStr">
        <is>
          <t>Net borç</t>
        </is>
      </c>
      <c r="F17" s="22" t="inlineStr">
        <is>
          <t>BKE-002</t>
        </is>
      </c>
      <c r="G17" s="20">
        <f>IFERROR(GIRDI!B13,0)</f>
        <v/>
      </c>
    </row>
    <row r="18">
      <c r="A18" s="44" t="n">
        <v>12</v>
      </c>
      <c r="B18" s="23" t="inlineStr">
        <is>
          <t>Cari oran girdi</t>
        </is>
      </c>
      <c r="C18" s="47">
        <f>IFERROR(GIRDI!B14,0)</f>
        <v/>
      </c>
      <c r="D18" s="46" t="inlineStr">
        <is>
          <t>oran</t>
        </is>
      </c>
      <c r="E18" s="6" t="inlineStr">
        <is>
          <t>Cari oran</t>
        </is>
      </c>
      <c r="F18" s="22" t="inlineStr">
        <is>
          <t>BKE-003</t>
        </is>
      </c>
      <c r="G18" s="24">
        <f>IFERROR(GIRDI!B14,0)</f>
        <v/>
      </c>
    </row>
    <row r="19">
      <c r="A19" s="44" t="n">
        <v>13</v>
      </c>
      <c r="B19" s="23" t="inlineStr">
        <is>
          <t>DSCR gerçekleşen</t>
        </is>
      </c>
      <c r="C19" s="47">
        <f>IFERROR(GIRDI!B15,0)</f>
        <v/>
      </c>
      <c r="D19" s="46" t="inlineStr">
        <is>
          <t>oran</t>
        </is>
      </c>
      <c r="E19" s="6" t="inlineStr">
        <is>
          <t>Gerçekleşen DSCR</t>
        </is>
      </c>
      <c r="F19" s="22" t="inlineStr">
        <is>
          <t>BKE-001</t>
        </is>
      </c>
      <c r="G19" s="24">
        <f>IFERROR(GIRDI!B15,0)</f>
        <v/>
      </c>
    </row>
    <row r="20">
      <c r="A20" s="44" t="n">
        <v>14</v>
      </c>
      <c r="B20" s="23" t="inlineStr">
        <is>
          <t>DSCR eşik efektif</t>
        </is>
      </c>
      <c r="C20" s="47">
        <f>IFERROR(IF(GIRDI!B16="B",G8+bke_esikArtis,G8),0)</f>
        <v/>
      </c>
      <c r="D20" s="46" t="inlineStr">
        <is>
          <t>oran</t>
        </is>
      </c>
      <c r="E20" s="6" t="inlineStr">
        <is>
          <t>Yorum A/B DSCR eşiği</t>
        </is>
      </c>
      <c r="F20" s="22" t="inlineStr">
        <is>
          <t>BKE-001</t>
        </is>
      </c>
      <c r="G20" s="24">
        <f>IFERROR(IF(GIRDI!B16="B",G8+bke_esikArtis,G8),0)</f>
        <v/>
      </c>
    </row>
    <row r="21">
      <c r="A21" s="44" t="n">
        <v>15</v>
      </c>
      <c r="B21" s="23" t="inlineStr">
        <is>
          <t>Borç/FAVÖK gerçekleşen</t>
        </is>
      </c>
      <c r="C21" s="47">
        <f>IFERROR(IF(G16=0,0,G17/G16),0)</f>
        <v/>
      </c>
      <c r="D21" s="46" t="inlineStr">
        <is>
          <t>oran</t>
        </is>
      </c>
      <c r="E21" s="6" t="inlineStr">
        <is>
          <t>Net borç / FAVÖK</t>
        </is>
      </c>
      <c r="F21" s="22" t="inlineStr">
        <is>
          <t>BKE-002</t>
        </is>
      </c>
      <c r="G21" s="24">
        <f>IFERROR(IF(G16=0,0,G17/G16),0)</f>
        <v/>
      </c>
    </row>
    <row r="22">
      <c r="A22" s="44" t="n">
        <v>16</v>
      </c>
      <c r="B22" s="23" t="inlineStr">
        <is>
          <t>Faiz yükü</t>
        </is>
      </c>
      <c r="C22" s="47">
        <f>IFERROR(IF(G16=0,0,G13*G14/G16),0)</f>
        <v/>
      </c>
      <c r="D22" s="46" t="inlineStr">
        <is>
          <t>oran</t>
        </is>
      </c>
      <c r="E22" s="6" t="inlineStr">
        <is>
          <t>Faiz×bakiye/FAVÖK</t>
        </is>
      </c>
      <c r="F22" s="22" t="inlineStr">
        <is>
          <t>BKE-005</t>
        </is>
      </c>
      <c r="G22" s="24">
        <f>IFERROR(IF(G16=0,0,G13*G14/G16),0)</f>
        <v/>
      </c>
    </row>
    <row r="23">
      <c r="A23" s="44" t="n">
        <v>17</v>
      </c>
      <c r="B23" s="23" t="inlineStr">
        <is>
          <t>DSCR sapma</t>
        </is>
      </c>
      <c r="C23" s="47">
        <f>IFERROR(G19-G20,0)</f>
        <v/>
      </c>
      <c r="D23" s="46" t="inlineStr">
        <is>
          <t>oran</t>
        </is>
      </c>
      <c r="E23" s="6" t="inlineStr">
        <is>
          <t>Gerçekleşen − eşik</t>
        </is>
      </c>
      <c r="F23" s="22" t="inlineStr">
        <is>
          <t>BKE-001</t>
        </is>
      </c>
      <c r="G23" s="24">
        <f>IFERROR(G19-G20,0)</f>
        <v/>
      </c>
    </row>
    <row r="24">
      <c r="A24" s="44" t="n">
        <v>18</v>
      </c>
      <c r="B24" s="23" t="inlineStr">
        <is>
          <t>Borç/FAVÖK sapma</t>
        </is>
      </c>
      <c r="C24" s="47">
        <f>IFERROR(G21-G9,0)</f>
        <v/>
      </c>
      <c r="D24" s="46" t="inlineStr">
        <is>
          <t>oran</t>
        </is>
      </c>
      <c r="E24" s="6" t="inlineStr">
        <is>
          <t>Gerçekleşen − max (negatif iyi)</t>
        </is>
      </c>
      <c r="F24" s="22" t="inlineStr">
        <is>
          <t>BKE-002</t>
        </is>
      </c>
      <c r="G24" s="24">
        <f>IFERROR(G21-G9,0)</f>
        <v/>
      </c>
    </row>
    <row r="25">
      <c r="A25" s="44" t="n">
        <v>19</v>
      </c>
      <c r="B25" s="23" t="inlineStr">
        <is>
          <t>Cari sapma</t>
        </is>
      </c>
      <c r="C25" s="47">
        <f>IFERROR(G18-G10,0)</f>
        <v/>
      </c>
      <c r="D25" s="46" t="inlineStr">
        <is>
          <t>oran</t>
        </is>
      </c>
      <c r="E25" s="6" t="inlineStr">
        <is>
          <t>Gerçekleşen − min</t>
        </is>
      </c>
      <c r="F25" s="22" t="inlineStr">
        <is>
          <t>BKE-003</t>
        </is>
      </c>
      <c r="G25" s="24">
        <f>IFERROR(G18-G10,0)</f>
        <v/>
      </c>
    </row>
    <row r="26">
      <c r="A26" s="44" t="n">
        <v>20</v>
      </c>
      <c r="B26" s="23" t="inlineStr">
        <is>
          <t>Faiz yükü sapma</t>
        </is>
      </c>
      <c r="C26" s="47">
        <f>IFERROR(G22-G12,0)</f>
        <v/>
      </c>
      <c r="D26" s="46" t="inlineStr">
        <is>
          <t>oran</t>
        </is>
      </c>
      <c r="E26" s="6" t="inlineStr">
        <is>
          <t>Gerçekleşen − max</t>
        </is>
      </c>
      <c r="F26" s="22" t="inlineStr">
        <is>
          <t>BKE-005</t>
        </is>
      </c>
      <c r="G26" s="24">
        <f>IFERROR(G22-G12,0)</f>
        <v/>
      </c>
    </row>
    <row r="27">
      <c r="A27" s="44" t="n">
        <v>21</v>
      </c>
      <c r="B27" s="23" t="inlineStr">
        <is>
          <t>DSCR uyarı eşiği</t>
        </is>
      </c>
      <c r="C27" s="47">
        <f>IFERROR(G20*(1+G11),0)</f>
        <v/>
      </c>
      <c r="D27" s="46" t="inlineStr">
        <is>
          <t>oran</t>
        </is>
      </c>
      <c r="E27" s="6" t="inlineStr">
        <is>
          <t>Erken uyarı alt sınır</t>
        </is>
      </c>
      <c r="F27" s="22" t="inlineStr">
        <is>
          <t>BKE-004</t>
        </is>
      </c>
      <c r="G27" s="24">
        <f>IFERROR(G20*(1+G11),0)</f>
        <v/>
      </c>
    </row>
    <row r="28">
      <c r="A28" s="44" t="n">
        <v>22</v>
      </c>
      <c r="B28" s="23" t="inlineStr">
        <is>
          <t>Borç/FAVÖK uyarı</t>
        </is>
      </c>
      <c r="C28" s="47">
        <f>IFERROR(G9*(1-G11),0)</f>
        <v/>
      </c>
      <c r="D28" s="46" t="inlineStr">
        <is>
          <t>oran</t>
        </is>
      </c>
      <c r="E28" s="6" t="inlineStr">
        <is>
          <t>Erken uyarı üst sınır</t>
        </is>
      </c>
      <c r="F28" s="22" t="inlineStr">
        <is>
          <t>BKE-004</t>
        </is>
      </c>
      <c r="G28" s="24">
        <f>IFERROR(G9*(1-G11),0)</f>
        <v/>
      </c>
    </row>
    <row r="29">
      <c r="A29" s="44" t="n">
        <v>23</v>
      </c>
      <c r="B29" s="23" t="inlineStr">
        <is>
          <t>Cari uyarı eşiği</t>
        </is>
      </c>
      <c r="C29" s="47">
        <f>IFERROR(G10*(1+G11),0)</f>
        <v/>
      </c>
      <c r="D29" s="46" t="inlineStr">
        <is>
          <t>oran</t>
        </is>
      </c>
      <c r="E29" s="6" t="inlineStr">
        <is>
          <t>Erken uyarı alt sınır</t>
        </is>
      </c>
      <c r="F29" s="22" t="inlineStr">
        <is>
          <t>BKE-004</t>
        </is>
      </c>
      <c r="G29" s="24">
        <f>IFERROR(G10*(1+G11),0)</f>
        <v/>
      </c>
    </row>
    <row r="30">
      <c r="A30" s="44" t="n">
        <v>24</v>
      </c>
      <c r="B30" s="23" t="inlineStr">
        <is>
          <t>İhlal bayrağı</t>
        </is>
      </c>
      <c r="C30" s="45">
        <f>IFERROR(IF(OR(G19&lt;G20,G21&gt;G9,G18&lt;G10,G22&gt;G12),1,0),0)</f>
        <v/>
      </c>
      <c r="D30" s="46" t="inlineStr">
        <is>
          <t>bayrak</t>
        </is>
      </c>
      <c r="E30" s="6" t="inlineStr">
        <is>
          <t>Eşik aşımı</t>
        </is>
      </c>
      <c r="F30" s="22" t="inlineStr">
        <is>
          <t>BKE-001</t>
        </is>
      </c>
      <c r="G30" s="19">
        <f>IFERROR(IF(OR(G19&lt;G20,G21&gt;G9,G18&lt;G10,G22&gt;G12),1,0),0)</f>
        <v/>
      </c>
    </row>
    <row r="31">
      <c r="A31" s="44" t="n">
        <v>25</v>
      </c>
      <c r="B31" s="23" t="inlineStr">
        <is>
          <t>Uyarı bayrağı</t>
        </is>
      </c>
      <c r="C31" s="45">
        <f>IFERROR(IF(G30=1,0,IF(OR(G19&lt;G27,G21&gt;G28,G18&lt;G29),1,0)),0)</f>
        <v/>
      </c>
      <c r="D31" s="46" t="inlineStr">
        <is>
          <t>bayrak</t>
        </is>
      </c>
      <c r="E31" s="6" t="inlineStr">
        <is>
          <t>Erken uyarı bandı</t>
        </is>
      </c>
      <c r="F31" s="22" t="inlineStr">
        <is>
          <t>BKE-004</t>
        </is>
      </c>
      <c r="G31" s="19">
        <f>IFERROR(IF(G30=1,0,IF(OR(G19&lt;G27,G21&gt;G28,G18&lt;G29),1,0)),0)</f>
        <v/>
      </c>
    </row>
    <row r="32">
      <c r="A32" s="44" t="n">
        <v>26</v>
      </c>
      <c r="B32" s="23" t="inlineStr">
        <is>
          <t>Erken uyarı skoru</t>
        </is>
      </c>
      <c r="C32" s="45">
        <f>IFERROR(ROUND(MAX(0,MIN(bke_skorTavan,IF(G30=1,bke_skorIhlal,IF(G31=1,bke_skorUyari,bke_skorTaban+MAX(0,(G27-G19)/MAX(G11,bke_paydaMin)*bke_agirlikDscr)+MAX(0,(G21-G28)/MAX(G9,bke_paydaMin)*bke_agirlikKaldirac)+MAX(0,(G29-G18)/MAX(G11,bke_paydaMin)*bke_agirlikCari))))),0),0)</f>
        <v/>
      </c>
      <c r="D32" s="46" t="inlineStr">
        <is>
          <t>puan</t>
        </is>
      </c>
      <c r="E32" s="6" t="inlineStr">
        <is>
          <t>0-100 erken uyarı</t>
        </is>
      </c>
      <c r="F32" s="22" t="inlineStr">
        <is>
          <t>BKE-004</t>
        </is>
      </c>
      <c r="G32" s="19">
        <f>IFERROR(ROUND(MAX(0,MIN(bke_skorTavan,IF(G30=1,bke_skorIhlal,IF(G31=1,bke_skorUyari,bke_skorTaban+MAX(0,(G27-G19)/MAX(G11,bke_paydaMin)*bke_agirlikDscr)+MAX(0,(G21-G28)/MAX(G9,bke_paydaMin)*bke_agirlikKaldirac)+MAX(0,(G29-G18)/MAX(G11,bke_paydaMin)*bke_agirlikCari))))),0),0)</f>
        <v/>
      </c>
    </row>
    <row r="33">
      <c r="A33" s="44" t="n">
        <v>27</v>
      </c>
      <c r="B33" s="23" t="inlineStr">
        <is>
          <t>Karar kodu</t>
        </is>
      </c>
      <c r="C33" s="18">
        <f>IFERROR(IF(COUNTA(tblGirdi[Alan Anahtarı])=0,"VERI_YOK",IF(G30=1,"IHLAL",IF(G31=1,"UYARI","UYGUN"))),"")</f>
        <v/>
      </c>
      <c r="D33" s="46" t="inlineStr">
        <is>
          <t>kod</t>
        </is>
      </c>
      <c r="E33" s="6" t="inlineStr">
        <is>
          <t>Karar kodu</t>
        </is>
      </c>
      <c r="F33" s="22" t="inlineStr">
        <is>
          <t>BKE-001</t>
        </is>
      </c>
      <c r="G33" s="25">
        <f>IFERROR(IF(COUNTA(tblGirdi[Alan Anahtarı])=0,"VERI_YOK",IF(G30=1,"IHLAL",IF(G31=1,"UYARI","UYGUN"))),"")</f>
        <v/>
      </c>
    </row>
    <row r="34">
      <c r="A34" s="44" t="n">
        <v>28</v>
      </c>
      <c r="B34" s="23" t="inlineStr">
        <is>
          <t>Karar metni</t>
        </is>
      </c>
      <c r="C34" s="18">
        <f>IFERROR(IF(G33="VERI_YOK","VERİ YOK",IF(G33="IHLAL","İHLAL",IF(G33="UYARI","UYARI","UYGUN"))),"")</f>
        <v/>
      </c>
      <c r="D34" s="46" t="inlineStr">
        <is>
          <t>metin</t>
        </is>
      </c>
      <c r="E34" s="6" t="inlineStr">
        <is>
          <t>Kullanıcıya karar</t>
        </is>
      </c>
      <c r="F34" s="22" t="inlineStr">
        <is>
          <t>BKE-001</t>
        </is>
      </c>
      <c r="G34" s="25">
        <f>IFERROR(IF(G33="VERI_YOK","VERİ YOK",IF(G33="IHLAL","İHLAL",IF(G33="UYARI","UYARI","UYGUN"))),"")</f>
        <v/>
      </c>
    </row>
    <row r="35">
      <c r="A35" s="44" t="n">
        <v>29</v>
      </c>
      <c r="B35" s="23" t="inlineStr">
        <is>
          <t>Gerekçe</t>
        </is>
      </c>
      <c r="C35" s="18">
        <f>IFERROR(IF(G33="VERI_YOK","Giriş tablosu boş — hesap yapılamaz.",IF(G33="IHLAL","En az bir covenant eşiği aşıldı; banka bildirimi ve iyileştirme planı gerekir.",IF(G33="UYARI","Eşikler içinde ama erken uyarı bandında; izlemeyi sıkılaştırın.","Tüm covenant metrikleri eşik üzerinde; izlemeye devam."))),"")</f>
        <v/>
      </c>
      <c r="D35" s="46" t="inlineStr">
        <is>
          <t>metin</t>
        </is>
      </c>
      <c r="E35" s="6" t="inlineStr">
        <is>
          <t>Gerekçe cümlesi</t>
        </is>
      </c>
      <c r="F35" s="22" t="inlineStr">
        <is>
          <t>BKE-001</t>
        </is>
      </c>
      <c r="G35" s="25">
        <f>IFERROR(IF(G33="VERI_YOK","Giriş tablosu boş — hesap yapılamaz.",IF(G33="IHLAL","En az bir covenant eşiği aşıldı; banka bildirimi ve iyileştirme planı gerekir.",IF(G33="UYARI","Eşikler içinde ama erken uyarı bandında; izlemeyi sıkılaştırın.","Tüm covenant metrikleri eşik üzerinde; izlemeye devam."))),"")</f>
        <v/>
      </c>
    </row>
    <row r="36">
      <c r="A36" s="44" t="n">
        <v>30</v>
      </c>
      <c r="B36" s="23" t="inlineStr">
        <is>
          <t>DSCR / eşik oranı</t>
        </is>
      </c>
      <c r="C36" s="47">
        <f>IFERROR(IF(G20=0,0,G19/G20),0)</f>
        <v/>
      </c>
      <c r="D36" s="46" t="inlineStr">
        <is>
          <t>oran</t>
        </is>
      </c>
      <c r="E36" s="6" t="inlineStr">
        <is>
          <t>DSCR kapsama</t>
        </is>
      </c>
      <c r="F36" s="22" t="inlineStr">
        <is>
          <t>BKE-001</t>
        </is>
      </c>
      <c r="G36" s="24">
        <f>IFERROR(IF(G20=0,0,G19/G20),0)</f>
        <v/>
      </c>
    </row>
    <row r="37">
      <c r="A37" s="44" t="n">
        <v>31</v>
      </c>
      <c r="B37" s="23" t="inlineStr">
        <is>
          <t>Borç-FAVÖK / max</t>
        </is>
      </c>
      <c r="C37" s="47">
        <f>IFERROR(IF(G9=0,0,G21/G9),0)</f>
        <v/>
      </c>
      <c r="D37" s="46" t="inlineStr">
        <is>
          <t>oran</t>
        </is>
      </c>
      <c r="E37" s="6" t="inlineStr">
        <is>
          <t>Kaldıraç yoğunluğu</t>
        </is>
      </c>
      <c r="F37" s="22" t="inlineStr">
        <is>
          <t>BKE-002</t>
        </is>
      </c>
      <c r="G37" s="24">
        <f>IFERROR(IF(G9=0,0,G21/G9),0)</f>
        <v/>
      </c>
    </row>
    <row r="38">
      <c r="A38" s="44" t="n">
        <v>32</v>
      </c>
      <c r="B38" s="23" t="inlineStr">
        <is>
          <t>Faiz yükü / max</t>
        </is>
      </c>
      <c r="C38" s="47">
        <f>IFERROR(IF(G12=0,0,G22/G12),0)</f>
        <v/>
      </c>
      <c r="D38" s="46" t="inlineStr">
        <is>
          <t>oran</t>
        </is>
      </c>
      <c r="E38" s="6" t="inlineStr">
        <is>
          <t>Faiz yoğunluğu</t>
        </is>
      </c>
      <c r="F38" s="22" t="inlineStr">
        <is>
          <t>BKE-005</t>
        </is>
      </c>
      <c r="G38" s="24">
        <f>IFERROR(IF(G12=0,0,G22/G12),0)</f>
        <v/>
      </c>
    </row>
    <row r="39">
      <c r="A39" s="44" t="n">
        <v>33</v>
      </c>
      <c r="B39" s="23" t="inlineStr">
        <is>
          <t>Güven skoru</t>
        </is>
      </c>
      <c r="C39" s="45">
        <f>IFERROR(ROUND(IF(OR(COUNTA(GIRDI!B6:B16)=0,bke_girisBeklenen=0),0,COUNTA(GIRDI!B6:B16)/bke_girisBeklenen*100),0),0)</f>
        <v/>
      </c>
      <c r="D39" s="46" t="inlineStr">
        <is>
          <t>puan</t>
        </is>
      </c>
      <c r="E39" s="6" t="inlineStr">
        <is>
          <t>Giriş bütünlüğü</t>
        </is>
      </c>
      <c r="F39" s="22" t="inlineStr">
        <is>
          <t>BKE-001</t>
        </is>
      </c>
      <c r="G39" s="19">
        <f>IFERROR(ROUND(IF(OR(COUNTA(GIRDI!B6:B16)=0,bke_girisBeklenen=0),0,COUNTA(GIRDI!B6:B16)/bke_girisBeklenen*100),0),0)</f>
        <v/>
      </c>
    </row>
    <row r="40">
      <c r="A40" s="44" t="n">
        <v>34</v>
      </c>
      <c r="B40" s="23" t="inlineStr">
        <is>
          <t>Risk skoru</t>
        </is>
      </c>
      <c r="C40" s="45">
        <f>IFERROR(IF(G33="VERI_YOK",0,IF(G33="UYGUN",bke_riskDusuk,IF(G33="UYARI",bke_riskOrta,bke_riskYuksek))),0)</f>
        <v/>
      </c>
      <c r="D40" s="46" t="inlineStr">
        <is>
          <t>puan</t>
        </is>
      </c>
      <c r="E40" s="6" t="inlineStr">
        <is>
          <t>Covenant riski</t>
        </is>
      </c>
      <c r="F40" s="22" t="inlineStr">
        <is>
          <t>BKE-004</t>
        </is>
      </c>
      <c r="G40" s="19">
        <f>IFERROR(IF(G33="VERI_YOK",0,IF(G33="UYGUN",bke_riskDusuk,IF(G33="UYARI",bke_riskOrta,bke_riskYuksek))),0)</f>
        <v/>
      </c>
    </row>
    <row r="41">
      <c r="A41" s="44" t="n">
        <v>35</v>
      </c>
      <c r="B41" s="23" t="inlineStr">
        <is>
          <t>Senaryo iyimser skor</t>
        </is>
      </c>
      <c r="C41" s="45">
        <f>IFERROR(MAX(0,G32-bke_senaryoIyi),0)</f>
        <v/>
      </c>
      <c r="D41" s="46" t="inlineStr">
        <is>
          <t>puan</t>
        </is>
      </c>
      <c r="E41" s="6" t="inlineStr">
        <is>
          <t>İyimser skor</t>
        </is>
      </c>
      <c r="F41" s="22" t="inlineStr">
        <is>
          <t>BKE-004</t>
        </is>
      </c>
      <c r="G41" s="19">
        <f>IFERROR(MAX(0,G32-bke_senaryoIyi),0)</f>
        <v/>
      </c>
    </row>
    <row r="42">
      <c r="A42" s="44" t="n">
        <v>36</v>
      </c>
      <c r="B42" s="23" t="inlineStr">
        <is>
          <t>Senaryo kötümser skor</t>
        </is>
      </c>
      <c r="C42" s="45">
        <f>IFERROR(MIN(100,G32+bke_senaryoKotu),0)</f>
        <v/>
      </c>
      <c r="D42" s="46" t="inlineStr">
        <is>
          <t>puan</t>
        </is>
      </c>
      <c r="E42" s="6" t="inlineStr">
        <is>
          <t>Kötümser skor</t>
        </is>
      </c>
      <c r="F42" s="22" t="inlineStr">
        <is>
          <t>BKE-004</t>
        </is>
      </c>
      <c r="G42" s="19">
        <f>IFERROR(MIN(100,G32+bke_senaryoKotu),0)</f>
        <v/>
      </c>
    </row>
    <row r="43">
      <c r="A43" s="44" t="n">
        <v>37</v>
      </c>
      <c r="B43" s="23" t="inlineStr">
        <is>
          <t>İyimser DSCR</t>
        </is>
      </c>
      <c r="C43" s="47">
        <f>IFERROR(G19*bke_dscrIyi,0)</f>
        <v/>
      </c>
      <c r="D43" s="46" t="inlineStr">
        <is>
          <t>oran</t>
        </is>
      </c>
      <c r="E43" s="6" t="inlineStr">
        <is>
          <t>İyimser DSCR</t>
        </is>
      </c>
      <c r="F43" s="22" t="inlineStr">
        <is>
          <t>BKE-001</t>
        </is>
      </c>
      <c r="G43" s="24">
        <f>IFERROR(G19*bke_dscrIyi,0)</f>
        <v/>
      </c>
    </row>
    <row r="44">
      <c r="A44" s="44" t="n">
        <v>38</v>
      </c>
      <c r="B44" s="23" t="inlineStr">
        <is>
          <t>Kötümser DSCR</t>
        </is>
      </c>
      <c r="C44" s="47">
        <f>IFERROR(G19*bke_dscrKotu,0)</f>
        <v/>
      </c>
      <c r="D44" s="46" t="inlineStr">
        <is>
          <t>oran</t>
        </is>
      </c>
      <c r="E44" s="6" t="inlineStr">
        <is>
          <t>Kötümser DSCR</t>
        </is>
      </c>
      <c r="F44" s="22" t="inlineStr">
        <is>
          <t>BKE-001</t>
        </is>
      </c>
      <c r="G44" s="24">
        <f>IFERROR(G19*bke_dscrKotu,0)</f>
        <v/>
      </c>
    </row>
    <row r="45">
      <c r="A45" s="44" t="n">
        <v>39</v>
      </c>
      <c r="B45" s="23" t="inlineStr">
        <is>
          <t>M-SEN DSCR eşik+</t>
        </is>
      </c>
      <c r="C45" s="47">
        <f>IFERROR(G20+bke_esikArtis,0)</f>
        <v/>
      </c>
      <c r="D45" s="46" t="inlineStr">
        <is>
          <t>oran</t>
        </is>
      </c>
      <c r="E45" s="6" t="inlineStr">
        <is>
          <t>DSCR eşik + delta</t>
        </is>
      </c>
      <c r="F45" s="22" t="inlineStr">
        <is>
          <t>BKE-001</t>
        </is>
      </c>
      <c r="G45" s="24">
        <f>IFERROR(G20+bke_esikArtis,0)</f>
        <v/>
      </c>
    </row>
    <row r="46">
      <c r="A46" s="44" t="n">
        <v>40</v>
      </c>
      <c r="B46" s="23" t="inlineStr">
        <is>
          <t>M-SEN ihlal</t>
        </is>
      </c>
      <c r="C46" s="45">
        <f>IFERROR(IF(OR(G19&lt;G45,G21&gt;G9,G18&lt;G10,G22&gt;G12),1,0),0)</f>
        <v/>
      </c>
      <c r="D46" s="46" t="inlineStr">
        <is>
          <t>bayrak</t>
        </is>
      </c>
      <c r="E46" s="6" t="inlineStr">
        <is>
          <t>M-SEN ihlal</t>
        </is>
      </c>
      <c r="F46" s="22" t="inlineStr">
        <is>
          <t>BKE-001</t>
        </is>
      </c>
      <c r="G46" s="19">
        <f>IFERROR(IF(OR(G19&lt;G45,G21&gt;G9,G18&lt;G10,G22&gt;G12),1,0),0)</f>
        <v/>
      </c>
    </row>
    <row r="47">
      <c r="A47" s="44" t="n">
        <v>41</v>
      </c>
      <c r="B47" s="23" t="inlineStr">
        <is>
          <t>M-SEN skor farkı</t>
        </is>
      </c>
      <c r="C47" s="45">
        <f>IFERROR(IF(G46=1,G32+15,G32)-G32,0)</f>
        <v/>
      </c>
      <c r="D47" s="46" t="inlineStr">
        <is>
          <t>puan</t>
        </is>
      </c>
      <c r="E47" s="6" t="inlineStr">
        <is>
          <t>M-SEN skor etkisi</t>
        </is>
      </c>
      <c r="F47" s="22" t="inlineStr">
        <is>
          <t>BKE-001</t>
        </is>
      </c>
      <c r="G47" s="19">
        <f>IFERROR(IF(G46=1,G32+15,G32)-G32,0)</f>
        <v/>
      </c>
    </row>
    <row r="48">
      <c r="A48" s="44" t="n">
        <v>42</v>
      </c>
      <c r="B48" s="23" t="inlineStr">
        <is>
          <t>Tahmin üst skor</t>
        </is>
      </c>
      <c r="C48" s="45">
        <f>IFERROR(MIN(100,G32*bke_tahminUst),0)</f>
        <v/>
      </c>
      <c r="D48" s="46" t="inlineStr">
        <is>
          <t>puan</t>
        </is>
      </c>
      <c r="E48" s="6" t="inlineStr">
        <is>
          <t>Tahmin üst</t>
        </is>
      </c>
      <c r="F48" s="22" t="inlineStr">
        <is>
          <t>BKE-004</t>
        </is>
      </c>
      <c r="G48" s="19">
        <f>IFERROR(MIN(100,G32*bke_tahminUst),0)</f>
        <v/>
      </c>
    </row>
    <row r="49">
      <c r="A49" s="44" t="n">
        <v>43</v>
      </c>
      <c r="B49" s="23" t="inlineStr">
        <is>
          <t>Tahmin alt skor</t>
        </is>
      </c>
      <c r="C49" s="45">
        <f>IFERROR(MAX(0,G32*bke_tahminAlt),0)</f>
        <v/>
      </c>
      <c r="D49" s="46" t="inlineStr">
        <is>
          <t>puan</t>
        </is>
      </c>
      <c r="E49" s="6" t="inlineStr">
        <is>
          <t>Tahmin alt</t>
        </is>
      </c>
      <c r="F49" s="22" t="inlineStr">
        <is>
          <t>BKE-004</t>
        </is>
      </c>
      <c r="G49" s="19">
        <f>IFERROR(MAX(0,G32*bke_tahminAlt),0)</f>
        <v/>
      </c>
    </row>
    <row r="50">
      <c r="A50" s="44" t="n">
        <v>44</v>
      </c>
      <c r="B50" s="23" t="inlineStr">
        <is>
          <t>Tornado: DSCR etkisi</t>
        </is>
      </c>
      <c r="C50" s="45">
        <f>IFERROR(ABS((G19*bke_tornadoDscr)-G19)/MAX(G20,0.01)*100,0)</f>
        <v/>
      </c>
      <c r="D50" s="46" t="inlineStr">
        <is>
          <t>puan</t>
        </is>
      </c>
      <c r="E50" s="6" t="inlineStr">
        <is>
          <t>DSCR ± etki</t>
        </is>
      </c>
      <c r="F50" s="22" t="inlineStr">
        <is>
          <t>BKE-001</t>
        </is>
      </c>
      <c r="G50" s="19">
        <f>IFERROR(ABS((G19*bke_tornadoDscr)-G19)/MAX(G20,0.01)*100,0)</f>
        <v/>
      </c>
    </row>
    <row r="51">
      <c r="A51" s="44" t="n">
        <v>45</v>
      </c>
      <c r="B51" s="23" t="inlineStr">
        <is>
          <t>Tornado: FAVÖK etkisi</t>
        </is>
      </c>
      <c r="C51" s="45">
        <f>IFERROR(ABS(IF(G16*bke_tornadoFavok=0,0,G17/(G16*bke_tornadoFavok))-G21)/MAX(G9,0.01)*100,0)</f>
        <v/>
      </c>
      <c r="D51" s="46" t="inlineStr">
        <is>
          <t>puan</t>
        </is>
      </c>
      <c r="E51" s="6" t="inlineStr">
        <is>
          <t>FAVÖK ± etki</t>
        </is>
      </c>
      <c r="F51" s="22" t="inlineStr">
        <is>
          <t>BKE-002</t>
        </is>
      </c>
      <c r="G51" s="19">
        <f>IFERROR(ABS(IF(G16*bke_tornadoFavok=0,0,G17/(G16*bke_tornadoFavok))-G21)/MAX(G9,0.01)*100,0)</f>
        <v/>
      </c>
    </row>
    <row r="52">
      <c r="A52" s="44" t="n">
        <v>46</v>
      </c>
      <c r="B52" s="23" t="inlineStr">
        <is>
          <t>Tornado: faiz etkisi</t>
        </is>
      </c>
      <c r="C52" s="45">
        <f>IFERROR(ABS(IF(G16=0,0,G13*G14*bke_tornadoFaiz/G16)-G22)/MAX(G12,0.01)*100,0)</f>
        <v/>
      </c>
      <c r="D52" s="46" t="inlineStr">
        <is>
          <t>puan</t>
        </is>
      </c>
      <c r="E52" s="6" t="inlineStr">
        <is>
          <t>Faiz ± etki</t>
        </is>
      </c>
      <c r="F52" s="22" t="inlineStr">
        <is>
          <t>BKE-005</t>
        </is>
      </c>
      <c r="G52" s="19">
        <f>IFERROR(ABS(IF(G16=0,0,G13*G14*bke_tornadoFaiz/G16)-G22)/MAX(G12,0.01)*100,0)</f>
        <v/>
      </c>
    </row>
    <row r="53">
      <c r="A53" s="44" t="n">
        <v>47</v>
      </c>
      <c r="B53" s="23" t="inlineStr">
        <is>
          <t>Madde atıf özeti</t>
        </is>
      </c>
      <c r="C53" s="18">
        <f>IFERROR(_xlfn.TEXTJOIN(" | ",TRUE,"BKE-001→DSCR min","BKE-002→borç/FAVÖK max","BKE-003→cari min","BKE-004→erken uyarı","BKE-005→faiz yükü"),"")</f>
        <v/>
      </c>
      <c r="D53" s="46" t="inlineStr">
        <is>
          <t>metin</t>
        </is>
      </c>
      <c r="E53" s="6" t="inlineStr">
        <is>
          <t>Kanıt atıfları</t>
        </is>
      </c>
      <c r="F53" s="22" t="inlineStr">
        <is>
          <t>BKE-001</t>
        </is>
      </c>
      <c r="G53" s="25">
        <f>IFERROR(_xlfn.TEXTJOIN(" | ",TRUE,"BKE-001→DSCR min","BKE-002→borç/FAVÖK max","BKE-003→cari min","BKE-004→erken uyarı","BKE-005→faiz yükü"),"")</f>
        <v/>
      </c>
    </row>
    <row r="54">
      <c r="A54" s="44" t="n">
        <v>48</v>
      </c>
      <c r="B54" s="23" t="inlineStr">
        <is>
          <t>Kanıt satır özeti</t>
        </is>
      </c>
      <c r="C54" s="18">
        <f>IFERROR(_xlfn.TEXTJOIN(" · ",TRUE,"DSCR=",TEXT(G19,"0.00"),"B/F=",TEXT(G21,"0.00"),"Cari=",TEXT(G18,"0.00"),"Skor=",TEXT(G32,"0"),"Karar=",G34),"")</f>
        <v/>
      </c>
      <c r="D54" s="46" t="inlineStr">
        <is>
          <t>metin</t>
        </is>
      </c>
      <c r="E54" s="6" t="inlineStr">
        <is>
          <t>Rapor özeti</t>
        </is>
      </c>
      <c r="F54" s="22" t="inlineStr">
        <is>
          <t>BKE-001</t>
        </is>
      </c>
      <c r="G54" s="25">
        <f>IFERROR(_xlfn.TEXTJOIN(" · ",TRUE,"DSCR=",TEXT(G19,"0.00"),"B/F=",TEXT(G21,"0.00"),"Cari=",TEXT(G18,"0.00"),"Skor=",TEXT(G32,"0"),"Karar=",G34),"")</f>
        <v/>
      </c>
    </row>
    <row r="55">
      <c r="A55" s="44" t="n">
        <v>49</v>
      </c>
      <c r="B55" s="23" t="inlineStr">
        <is>
          <t>Erken uyarı ayna</t>
        </is>
      </c>
      <c r="C55" s="45">
        <f>IFERROR(G32,0)</f>
        <v/>
      </c>
      <c r="D55" s="46" t="inlineStr">
        <is>
          <t>puan</t>
        </is>
      </c>
      <c r="E55" s="6" t="inlineStr">
        <is>
          <t>Skor ayna</t>
        </is>
      </c>
      <c r="F55" s="22" t="inlineStr">
        <is>
          <t>BKE-004</t>
        </is>
      </c>
      <c r="G55" s="19">
        <f>IFERROR(G32,0)</f>
        <v/>
      </c>
    </row>
    <row r="56">
      <c r="A56" s="44" t="n">
        <v>50</v>
      </c>
      <c r="B56" s="23" t="inlineStr">
        <is>
          <t>Karar ayna</t>
        </is>
      </c>
      <c r="C56" s="18">
        <f>IFERROR(G34,"")</f>
        <v/>
      </c>
      <c r="D56" s="46" t="inlineStr">
        <is>
          <t>metin</t>
        </is>
      </c>
      <c r="E56" s="6" t="inlineStr">
        <is>
          <t>Karar ayna</t>
        </is>
      </c>
      <c r="F56" s="22" t="inlineStr">
        <is>
          <t>BKE-001</t>
        </is>
      </c>
      <c r="G56" s="25">
        <f>IFERROR(G34,"")</f>
        <v/>
      </c>
    </row>
    <row r="58">
      <c r="I58" s="4" t="inlineStr">
        <is>
          <t>Motor adımları kilitlidir; eşikler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6">
    <cfRule type="cellIs" priority="1" operator="lessThan" dxfId="5">
      <formula>0</formula>
    </cfRule>
  </conditionalFormatting>
  <conditionalFormatting sqref="F7:F56">
    <cfRule type="expression" priority="2" dxfId="6">
      <formula>F7="BKE-001"</formula>
    </cfRule>
    <cfRule type="expression" priority="3" dxfId="5">
      <formula>F7="BKE-004"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P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KARTLAR — Banka Kredi + Covenant Erken Uyarı</t>
        </is>
      </c>
    </row>
    <row r="3" ht="20" customHeight="1">
      <c r="A3" s="39" t="inlineStr">
        <is>
          <t>Kredi / covenant kartları — her kaydın tek kimliği vardır</t>
        </is>
      </c>
    </row>
    <row r="4">
      <c r="A4" s="26" t="inlineStr">
        <is>
          <t>Sonraki Kimlik</t>
        </is>
      </c>
      <c r="B4" s="49">
        <f>CONCATENATE("BKE-",TEXT(COUNTA(tblKartlar[KartId])+1,"00000"))</f>
        <v/>
      </c>
    </row>
    <row r="5" ht="30" customHeight="1">
      <c r="A5" s="21" t="inlineStr">
        <is>
          <t>KartId</t>
        </is>
      </c>
      <c r="B5" s="21" t="inlineStr">
        <is>
          <t>Unvan</t>
        </is>
      </c>
      <c r="C5" s="21" t="inlineStr">
        <is>
          <t>Donem</t>
        </is>
      </c>
      <c r="D5" s="21" t="inlineStr">
        <is>
          <t>KrediTur</t>
        </is>
      </c>
      <c r="E5" s="21" t="inlineStr">
        <is>
          <t>LimitTl</t>
        </is>
      </c>
      <c r="F5" s="21" t="inlineStr">
        <is>
          <t>RiskNotu</t>
        </is>
      </c>
      <c r="G5" s="21" t="inlineStr">
        <is>
          <t>Aktif</t>
        </is>
      </c>
      <c r="H5" s="21" t="inlineStr">
        <is>
          <t>ToplamHacim</t>
        </is>
      </c>
      <c r="I5" s="21" t="inlineStr">
        <is>
          <t>OrtYas</t>
        </is>
      </c>
    </row>
    <row r="6">
      <c r="A6" s="29" t="inlineStr">
        <is>
          <t>BKE-00001</t>
        </is>
      </c>
      <c r="B6" s="29" t="inlineStr">
        <is>
          <t>Örnek Sanayi A.Ş.</t>
        </is>
      </c>
      <c r="C6" s="29" t="inlineStr">
        <is>
          <t>2026-Q2</t>
        </is>
      </c>
      <c r="D6" s="29" t="inlineStr">
        <is>
          <t>ISLETME</t>
        </is>
      </c>
      <c r="E6" s="31" t="n">
        <v>10000000</v>
      </c>
      <c r="F6" s="29" t="inlineStr">
        <is>
          <t>Normal</t>
        </is>
      </c>
      <c r="G6" s="29" t="inlineStr">
        <is>
          <t>EVET</t>
        </is>
      </c>
      <c r="H6" s="35">
        <f>IF($A6="","",SUMIF(tblAkis[KaynakKartId],$A6,tblAkis[Tutar]))</f>
        <v/>
      </c>
      <c r="I6" s="35">
        <f>IF($A6="","",IFERROR(AVERAGEIF(tblAkis[KaynakKartId],$A6,tblAkis[YasGun]),0))</f>
        <v/>
      </c>
    </row>
    <row r="7">
      <c r="A7" s="29" t="inlineStr">
        <is>
          <t>BKE-00002</t>
        </is>
      </c>
      <c r="B7" s="29" t="inlineStr">
        <is>
          <t>Demo Metal A.Ş.</t>
        </is>
      </c>
      <c r="C7" s="29" t="inlineStr">
        <is>
          <t>2026-Q1</t>
        </is>
      </c>
      <c r="D7" s="29" t="inlineStr">
        <is>
          <t>YATIRIM</t>
        </is>
      </c>
      <c r="E7" s="31" t="n">
        <v>12000000</v>
      </c>
      <c r="F7" s="29" t="inlineStr">
        <is>
          <t>Normal</t>
        </is>
      </c>
      <c r="G7" s="29" t="inlineStr">
        <is>
          <t>EVET</t>
        </is>
      </c>
      <c r="H7" s="35">
        <f>IF($A7="","",SUMIF(tblAkis[KaynakKartId],$A7,tblAkis[Tutar]))</f>
        <v/>
      </c>
      <c r="I7" s="35">
        <f>IF($A7="","",IFERROR(AVERAGEIF(tblAkis[KaynakKartId],$A7,tblAkis[YasGun]),0))</f>
        <v/>
      </c>
    </row>
    <row r="8">
      <c r="A8" s="29" t="inlineStr">
        <is>
          <t>BKE-00003</t>
        </is>
      </c>
      <c r="B8" s="29" t="inlineStr">
        <is>
          <t>Anadolu Tekstil A.Ş.</t>
        </is>
      </c>
      <c r="C8" s="29" t="inlineStr">
        <is>
          <t>2025-Q4</t>
        </is>
      </c>
      <c r="D8" s="29" t="inlineStr">
        <is>
          <t>ISLETME</t>
        </is>
      </c>
      <c r="E8" s="31" t="n">
        <v>14000000</v>
      </c>
      <c r="F8" s="29" t="inlineStr">
        <is>
          <t>Normal</t>
        </is>
      </c>
      <c r="G8" s="29" t="inlineStr">
        <is>
          <t>EVET</t>
        </is>
      </c>
      <c r="H8" s="35">
        <f>IF($A8="","",SUMIF(tblAkis[KaynakKartId],$A8,tblAkis[Tutar]))</f>
        <v/>
      </c>
      <c r="I8" s="35">
        <f>IF($A8="","",IFERROR(AVERAGEIF(tblAkis[KaynakKartId],$A8,tblAkis[YasGun]),0))</f>
        <v/>
      </c>
    </row>
    <row r="9">
      <c r="A9" s="29" t="n"/>
      <c r="B9" s="29" t="n"/>
      <c r="C9" s="29" t="n"/>
      <c r="D9" s="29" t="n"/>
      <c r="E9" s="31" t="n"/>
      <c r="F9" s="29" t="n"/>
      <c r="G9" s="29" t="n"/>
      <c r="H9" s="35">
        <f>IF($A9="","",SUMIF(tblAkis[KaynakKartId],$A9,tblAkis[Tutar]))</f>
        <v/>
      </c>
      <c r="I9" s="35">
        <f>IF($A9="","",IFERROR(AVERAGEIF(tblAkis[KaynakKartId],$A9,tblAkis[YasGun]),0))</f>
        <v/>
      </c>
    </row>
    <row r="10">
      <c r="A10" s="29" t="n"/>
      <c r="B10" s="29" t="n"/>
      <c r="C10" s="29" t="n"/>
      <c r="D10" s="29" t="n"/>
      <c r="E10" s="31" t="n"/>
      <c r="F10" s="29" t="n"/>
      <c r="G10" s="29" t="n"/>
      <c r="H10" s="35">
        <f>IF($A10="","",SUMIF(tblAkis[KaynakKartId],$A10,tblAkis[Tutar]))</f>
        <v/>
      </c>
      <c r="I10" s="35">
        <f>IF($A10="","",IFERROR(AVERAGEIF(tblAkis[KaynakKartId],$A10,tblAkis[YasGun]),0))</f>
        <v/>
      </c>
    </row>
    <row r="11">
      <c r="A11" s="29" t="n"/>
      <c r="B11" s="29" t="n"/>
      <c r="C11" s="29" t="n"/>
      <c r="D11" s="29" t="n"/>
      <c r="E11" s="31" t="n"/>
      <c r="F11" s="29" t="n"/>
      <c r="G11" s="29" t="n"/>
      <c r="H11" s="35">
        <f>IF($A11="","",SUMIF(tblAkis[KaynakKartId],$A11,tblAkis[Tutar]))</f>
        <v/>
      </c>
      <c r="I11" s="35">
        <f>IF($A11="","",IFERROR(AVERAGEIF(tblAkis[KaynakKartId],$A11,tblAkis[YasGun]),0))</f>
        <v/>
      </c>
    </row>
    <row r="12">
      <c r="A12" s="29" t="n"/>
      <c r="B12" s="29" t="n"/>
      <c r="C12" s="29" t="n"/>
      <c r="D12" s="29" t="n"/>
      <c r="E12" s="31" t="n"/>
      <c r="F12" s="29" t="n"/>
      <c r="G12" s="29" t="n"/>
      <c r="H12" s="35">
        <f>IF($A12="","",SUMIF(tblAkis[KaynakKartId],$A12,tblAkis[Tutar]))</f>
        <v/>
      </c>
      <c r="I12" s="35">
        <f>IF($A12="","",IFERROR(AVERAGEIF(tblAkis[KaynakKartId],$A12,tblAkis[YasGun]),0))</f>
        <v/>
      </c>
    </row>
    <row r="13">
      <c r="A13" s="29" t="n"/>
      <c r="B13" s="29" t="n"/>
      <c r="C13" s="29" t="n"/>
      <c r="D13" s="29" t="n"/>
      <c r="E13" s="31" t="n"/>
      <c r="F13" s="29" t="n"/>
      <c r="G13" s="29" t="n"/>
      <c r="H13" s="35">
        <f>IF($A13="","",SUMIF(tblAkis[KaynakKartId],$A13,tblAkis[Tutar]))</f>
        <v/>
      </c>
      <c r="I13" s="35">
        <f>IF($A13="","",IFERROR(AVERAGEIF(tblAkis[KaynakKartId],$A13,tblAkis[YasGun]),0))</f>
        <v/>
      </c>
    </row>
    <row r="14">
      <c r="A14" s="29" t="n"/>
      <c r="B14" s="29" t="n"/>
      <c r="C14" s="29" t="n"/>
      <c r="D14" s="29" t="n"/>
      <c r="E14" s="31" t="n"/>
      <c r="F14" s="29" t="n"/>
      <c r="G14" s="29" t="n"/>
      <c r="H14" s="35">
        <f>IF($A14="","",SUMIF(tblAkis[KaynakKartId],$A14,tblAkis[Tutar]))</f>
        <v/>
      </c>
      <c r="I14" s="35">
        <f>IF($A14="","",IFERROR(AVERAGEIF(tblAkis[KaynakKartId],$A14,tblAkis[YasGun]),0))</f>
        <v/>
      </c>
    </row>
    <row r="15">
      <c r="A15" s="29" t="n"/>
      <c r="B15" s="29" t="n"/>
      <c r="C15" s="29" t="n"/>
      <c r="D15" s="29" t="n"/>
      <c r="E15" s="31" t="n"/>
      <c r="F15" s="29" t="n"/>
      <c r="G15" s="29" t="n"/>
      <c r="H15" s="35">
        <f>IF($A15="","",SUMIF(tblAkis[KaynakKartId],$A15,tblAkis[Tutar]))</f>
        <v/>
      </c>
      <c r="I15" s="35">
        <f>IF($A15="","",IFERROR(AVERAGEIF(tblAkis[KaynakKartId],$A15,tblAkis[YasGun]),0))</f>
        <v/>
      </c>
    </row>
    <row r="16">
      <c r="A16" s="29" t="n"/>
      <c r="B16" s="29" t="n"/>
      <c r="C16" s="29" t="n"/>
      <c r="D16" s="29" t="n"/>
      <c r="E16" s="31" t="n"/>
      <c r="F16" s="29" t="n"/>
      <c r="G16" s="29" t="n"/>
      <c r="H16" s="35">
        <f>IF($A16="","",SUMIF(tblAkis[KaynakKartId],$A16,tblAkis[Tutar]))</f>
        <v/>
      </c>
      <c r="I16" s="35">
        <f>IF($A16="","",IFERROR(AVERAGEIF(tblAkis[KaynakKartId],$A16,tblAkis[YasGun]),0))</f>
        <v/>
      </c>
    </row>
    <row r="17">
      <c r="A17" s="29" t="n"/>
      <c r="B17" s="29" t="n"/>
      <c r="C17" s="29" t="n"/>
      <c r="D17" s="29" t="n"/>
      <c r="E17" s="31" t="n"/>
      <c r="F17" s="29" t="n"/>
      <c r="G17" s="29" t="n"/>
      <c r="H17" s="35">
        <f>IF($A17="","",SUMIF(tblAkis[KaynakKartId],$A17,tblAkis[Tutar]))</f>
        <v/>
      </c>
      <c r="I17" s="35">
        <f>IF($A17="","",IFERROR(AVERAGEIF(tblAkis[KaynakKartId],$A17,tblAkis[YasGun]),0))</f>
        <v/>
      </c>
    </row>
    <row r="18">
      <c r="A18" s="29" t="n"/>
      <c r="B18" s="29" t="n"/>
      <c r="C18" s="29" t="n"/>
      <c r="D18" s="29" t="n"/>
      <c r="E18" s="31" t="n"/>
      <c r="F18" s="29" t="n"/>
      <c r="G18" s="29" t="n"/>
      <c r="H18" s="35">
        <f>IF($A18="","",SUMIF(tblAkis[KaynakKartId],$A18,tblAkis[Tutar]))</f>
        <v/>
      </c>
      <c r="I18" s="35">
        <f>IF($A18="","",IFERROR(AVERAGEIF(tblAkis[KaynakKartId],$A18,tblAkis[YasGun]),0))</f>
        <v/>
      </c>
    </row>
    <row r="19">
      <c r="A19" s="29" t="n"/>
      <c r="B19" s="29" t="n"/>
      <c r="C19" s="29" t="n"/>
      <c r="D19" s="29" t="n"/>
      <c r="E19" s="31" t="n"/>
      <c r="F19" s="29" t="n"/>
      <c r="G19" s="29" t="n"/>
      <c r="H19" s="35">
        <f>IF($A19="","",SUMIF(tblAkis[KaynakKartId],$A19,tblAkis[Tutar]))</f>
        <v/>
      </c>
      <c r="I19" s="35">
        <f>IF($A19="","",IFERROR(AVERAGEIF(tblAkis[KaynakKartId],$A19,tblAkis[YasGun]),0))</f>
        <v/>
      </c>
    </row>
    <row r="20">
      <c r="A20" s="29" t="n"/>
      <c r="B20" s="29" t="n"/>
      <c r="C20" s="29" t="n"/>
      <c r="D20" s="29" t="n"/>
      <c r="E20" s="31" t="n"/>
      <c r="F20" s="29" t="n"/>
      <c r="G20" s="29" t="n"/>
      <c r="H20" s="35">
        <f>IF($A20="","",SUMIF(tblAkis[KaynakKartId],$A20,tblAkis[Tutar]))</f>
        <v/>
      </c>
      <c r="I20" s="35">
        <f>IF($A20="","",IFERROR(AVERAGEIF(tblAkis[KaynakKartId],$A20,tblAkis[YasGun]),0))</f>
        <v/>
      </c>
    </row>
    <row r="21">
      <c r="A21" s="29" t="n"/>
      <c r="B21" s="29" t="n"/>
      <c r="C21" s="29" t="n"/>
      <c r="D21" s="29" t="n"/>
      <c r="E21" s="31" t="n"/>
      <c r="F21" s="29" t="n"/>
      <c r="G21" s="29" t="n"/>
      <c r="H21" s="35">
        <f>IF($A21="","",SUMIF(tblAkis[KaynakKartId],$A21,tblAkis[Tutar]))</f>
        <v/>
      </c>
      <c r="I21" s="35">
        <f>IF($A21="","",IFERROR(AVERAGEIF(tblAkis[KaynakKartId],$A21,tblAkis[YasGun]),0))</f>
        <v/>
      </c>
    </row>
    <row r="22">
      <c r="A22" s="29" t="n"/>
      <c r="B22" s="29" t="n"/>
      <c r="C22" s="29" t="n"/>
      <c r="D22" s="29" t="n"/>
      <c r="E22" s="31" t="n"/>
      <c r="F22" s="29" t="n"/>
      <c r="G22" s="29" t="n"/>
      <c r="H22" s="35">
        <f>IF($A22="","",SUMIF(tblAkis[KaynakKartId],$A22,tblAkis[Tutar]))</f>
        <v/>
      </c>
      <c r="I22" s="35">
        <f>IF($A22="","",IFERROR(AVERAGEIF(tblAkis[KaynakKartId],$A22,tblAkis[YasGun]),0))</f>
        <v/>
      </c>
    </row>
    <row r="23">
      <c r="A23" s="29" t="n"/>
      <c r="B23" s="29" t="n"/>
      <c r="C23" s="29" t="n"/>
      <c r="D23" s="29" t="n"/>
      <c r="E23" s="31" t="n"/>
      <c r="F23" s="29" t="n"/>
      <c r="G23" s="29" t="n"/>
      <c r="H23" s="35">
        <f>IF($A23="","",SUMIF(tblAkis[KaynakKartId],$A23,tblAkis[Tutar]))</f>
        <v/>
      </c>
      <c r="I23" s="35">
        <f>IF($A23="","",IFERROR(AVERAGEIF(tblAkis[KaynakKartId],$A23,tblAkis[YasGun]),0))</f>
        <v/>
      </c>
    </row>
    <row r="24">
      <c r="A24" s="29" t="n"/>
      <c r="B24" s="29" t="n"/>
      <c r="C24" s="29" t="n"/>
      <c r="D24" s="29" t="n"/>
      <c r="E24" s="31" t="n"/>
      <c r="F24" s="29" t="n"/>
      <c r="G24" s="29" t="n"/>
      <c r="H24" s="35">
        <f>IF($A24="","",SUMIF(tblAkis[KaynakKartId],$A24,tblAkis[Tutar]))</f>
        <v/>
      </c>
      <c r="I24" s="35">
        <f>IF($A24="","",IFERROR(AVERAGEIF(tblAkis[KaynakKartId],$A24,tblAkis[YasGun]),0))</f>
        <v/>
      </c>
    </row>
    <row r="25">
      <c r="A25" s="29" t="n"/>
      <c r="B25" s="29" t="n"/>
      <c r="C25" s="29" t="n"/>
      <c r="D25" s="29" t="n"/>
      <c r="E25" s="31" t="n"/>
      <c r="F25" s="29" t="n"/>
      <c r="G25" s="29" t="n"/>
      <c r="H25" s="35">
        <f>IF($A25="","",SUMIF(tblAkis[KaynakKartId],$A25,tblAkis[Tutar]))</f>
        <v/>
      </c>
      <c r="I25" s="35">
        <f>IF($A25="","",IFERROR(AVERAGEIF(tblAkis[KaynakKartId],$A25,tblAkis[YasGun]),0))</f>
        <v/>
      </c>
    </row>
    <row r="26">
      <c r="A26" s="29" t="n"/>
      <c r="B26" s="29" t="n"/>
      <c r="C26" s="29" t="n"/>
      <c r="D26" s="29" t="n"/>
      <c r="E26" s="31" t="n"/>
      <c r="F26" s="29" t="n"/>
      <c r="G26" s="29" t="n"/>
      <c r="H26" s="35">
        <f>IF($A26="","",SUMIF(tblAkis[KaynakKartId],$A26,tblAkis[Tutar]))</f>
        <v/>
      </c>
      <c r="I26" s="35">
        <f>IF($A26="","",IFERROR(AVERAGEIF(tblAkis[KaynakKartId],$A26,tblAkis[YasGun]),0))</f>
        <v/>
      </c>
    </row>
    <row r="27">
      <c r="A27" s="29" t="n"/>
      <c r="B27" s="29" t="n"/>
      <c r="C27" s="29" t="n"/>
      <c r="D27" s="29" t="n"/>
      <c r="E27" s="31" t="n"/>
      <c r="F27" s="29" t="n"/>
      <c r="G27" s="29" t="n"/>
      <c r="H27" s="35">
        <f>IF($A27="","",SUMIF(tblAkis[KaynakKartId],$A27,tblAkis[Tutar]))</f>
        <v/>
      </c>
      <c r="I27" s="35">
        <f>IF($A27="","",IFERROR(AVERAGEIF(tblAkis[KaynakKartId],$A27,tblAkis[YasGun]),0))</f>
        <v/>
      </c>
    </row>
    <row r="28">
      <c r="A28" s="29" t="n"/>
      <c r="B28" s="29" t="n"/>
      <c r="C28" s="29" t="n"/>
      <c r="D28" s="29" t="n"/>
      <c r="E28" s="31" t="n"/>
      <c r="F28" s="29" t="n"/>
      <c r="G28" s="29" t="n"/>
      <c r="H28" s="35">
        <f>IF($A28="","",SUMIF(tblAkis[KaynakKartId],$A28,tblAkis[Tutar]))</f>
        <v/>
      </c>
      <c r="I28" s="35">
        <f>IF($A28="","",IFERROR(AVERAGEIF(tblAkis[KaynakKartId],$A28,tblAkis[YasGun]),0))</f>
        <v/>
      </c>
    </row>
    <row r="29">
      <c r="A29" s="29" t="n"/>
      <c r="B29" s="29" t="n"/>
      <c r="C29" s="29" t="n"/>
      <c r="D29" s="29" t="n"/>
      <c r="E29" s="31" t="n"/>
      <c r="F29" s="29" t="n"/>
      <c r="G29" s="29" t="n"/>
      <c r="H29" s="35">
        <f>IF($A29="","",SUMIF(tblAkis[KaynakKartId],$A29,tblAkis[Tutar]))</f>
        <v/>
      </c>
      <c r="I29" s="35">
        <f>IF($A29="","",IFERROR(AVERAGEIF(tblAkis[KaynakKartId],$A29,tblAkis[YasGun]),0))</f>
        <v/>
      </c>
    </row>
    <row r="30">
      <c r="A30" s="29" t="n"/>
      <c r="B30" s="29" t="n"/>
      <c r="C30" s="29" t="n"/>
      <c r="D30" s="29" t="n"/>
      <c r="E30" s="31" t="n"/>
      <c r="F30" s="29" t="n"/>
      <c r="G30" s="29" t="n"/>
      <c r="H30" s="35">
        <f>IF($A30="","",SUMIF(tblAkis[KaynakKartId],$A30,tblAkis[Tutar]))</f>
        <v/>
      </c>
      <c r="I30" s="35">
        <f>IF($A30="","",IFERROR(AVERAGEIF(tblAkis[KaynakKartId],$A30,tblAkis[YasGun]),0))</f>
        <v/>
      </c>
    </row>
    <row r="31">
      <c r="A31" s="29" t="n"/>
      <c r="B31" s="29" t="n"/>
      <c r="C31" s="29" t="n"/>
      <c r="D31" s="29" t="n"/>
      <c r="E31" s="31" t="n"/>
      <c r="F31" s="29" t="n"/>
      <c r="G31" s="29" t="n"/>
      <c r="H31" s="35">
        <f>IF($A31="","",SUMIF(tblAkis[KaynakKartId],$A31,tblAkis[Tutar]))</f>
        <v/>
      </c>
      <c r="I31" s="35">
        <f>IF($A31="","",IFERROR(AVERAGEIF(tblAkis[KaynakKartId],$A31,tblAkis[YasGun]),0))</f>
        <v/>
      </c>
    </row>
    <row r="32">
      <c r="A32" s="29" t="n"/>
      <c r="B32" s="29" t="n"/>
      <c r="C32" s="29" t="n"/>
      <c r="D32" s="29" t="n"/>
      <c r="E32" s="31" t="n"/>
      <c r="F32" s="29" t="n"/>
      <c r="G32" s="29" t="n"/>
      <c r="H32" s="35">
        <f>IF($A32="","",SUMIF(tblAkis[KaynakKartId],$A32,tblAkis[Tutar]))</f>
        <v/>
      </c>
      <c r="I32" s="35">
        <f>IF($A32="","",IFERROR(AVERAGEIF(tblAkis[KaynakKartId],$A32,tblAkis[YasGun]),0))</f>
        <v/>
      </c>
    </row>
    <row r="33">
      <c r="A33" s="29" t="n"/>
      <c r="B33" s="29" t="n"/>
      <c r="C33" s="29" t="n"/>
      <c r="D33" s="29" t="n"/>
      <c r="E33" s="31" t="n"/>
      <c r="F33" s="29" t="n"/>
      <c r="G33" s="29" t="n"/>
      <c r="H33" s="35">
        <f>IF($A33="","",SUMIF(tblAkis[KaynakKartId],$A33,tblAkis[Tutar]))</f>
        <v/>
      </c>
      <c r="I33" s="35">
        <f>IF($A33="","",IFERROR(AVERAGEIF(tblAkis[KaynakKartId],$A33,tblAkis[YasGun]),0))</f>
        <v/>
      </c>
    </row>
    <row r="34">
      <c r="A34" s="29" t="n"/>
      <c r="B34" s="29" t="n"/>
      <c r="C34" s="29" t="n"/>
      <c r="D34" s="29" t="n"/>
      <c r="E34" s="31" t="n"/>
      <c r="F34" s="29" t="n"/>
      <c r="G34" s="29" t="n"/>
      <c r="H34" s="35">
        <f>IF($A34="","",SUMIF(tblAkis[KaynakKartId],$A34,tblAkis[Tutar]))</f>
        <v/>
      </c>
      <c r="I34" s="35">
        <f>IF($A34="","",IFERROR(AVERAGEIF(tblAkis[KaynakKartId],$A34,tblAkis[YasGun]),0))</f>
        <v/>
      </c>
    </row>
    <row r="35">
      <c r="A35" s="29" t="n"/>
      <c r="B35" s="29" t="n"/>
      <c r="C35" s="29" t="n"/>
      <c r="D35" s="29" t="n"/>
      <c r="E35" s="31" t="n"/>
      <c r="F35" s="29" t="n"/>
      <c r="G35" s="29" t="n"/>
      <c r="H35" s="35">
        <f>IF($A35="","",SUMIF(tblAkis[KaynakKartId],$A35,tblAkis[Tutar]))</f>
        <v/>
      </c>
      <c r="I35" s="35">
        <f>IF($A35="","",IFERROR(AVERAGEIF(tblAkis[KaynakKartId],$A35,tblAkis[YasGun]),0))</f>
        <v/>
      </c>
    </row>
    <row r="36">
      <c r="A36" s="29" t="n"/>
      <c r="B36" s="29" t="n"/>
      <c r="C36" s="29" t="n"/>
      <c r="D36" s="29" t="n"/>
      <c r="E36" s="31" t="n"/>
      <c r="F36" s="29" t="n"/>
      <c r="G36" s="29" t="n"/>
      <c r="H36" s="35">
        <f>IF($A36="","",SUMIF(tblAkis[KaynakKartId],$A36,tblAkis[Tutar]))</f>
        <v/>
      </c>
      <c r="I36" s="35">
        <f>IF($A36="","",IFERROR(AVERAGEIF(tblAkis[KaynakKartId],$A36,tblAkis[YasGun]),0))</f>
        <v/>
      </c>
    </row>
    <row r="37">
      <c r="A37" s="29" t="n"/>
      <c r="B37" s="29" t="n"/>
      <c r="C37" s="29" t="n"/>
      <c r="D37" s="29" t="n"/>
      <c r="E37" s="31" t="n"/>
      <c r="F37" s="29" t="n"/>
      <c r="G37" s="29" t="n"/>
      <c r="H37" s="35">
        <f>IF($A37="","",SUMIF(tblAkis[KaynakKartId],$A37,tblAkis[Tutar]))</f>
        <v/>
      </c>
      <c r="I37" s="35">
        <f>IF($A37="","",IFERROR(AVERAGEIF(tblAkis[KaynakKartId],$A37,tblAkis[YasGun]),0))</f>
        <v/>
      </c>
    </row>
    <row r="38">
      <c r="A38" s="29" t="n"/>
      <c r="B38" s="29" t="n"/>
      <c r="C38" s="29" t="n"/>
      <c r="D38" s="29" t="n"/>
      <c r="E38" s="31" t="n"/>
      <c r="F38" s="29" t="n"/>
      <c r="G38" s="29" t="n"/>
      <c r="H38" s="35">
        <f>IF($A38="","",SUMIF(tblAkis[KaynakKartId],$A38,tblAkis[Tutar]))</f>
        <v/>
      </c>
      <c r="I38" s="35">
        <f>IF($A38="","",IFERROR(AVERAGEIF(tblAkis[KaynakKartId],$A38,tblAkis[YasGun]),0))</f>
        <v/>
      </c>
    </row>
    <row r="39">
      <c r="A39" s="29" t="n"/>
      <c r="B39" s="29" t="n"/>
      <c r="C39" s="29" t="n"/>
      <c r="D39" s="29" t="n"/>
      <c r="E39" s="31" t="n"/>
      <c r="F39" s="29" t="n"/>
      <c r="G39" s="29" t="n"/>
      <c r="H39" s="35">
        <f>IF($A39="","",SUMIF(tblAkis[KaynakKartId],$A39,tblAkis[Tutar]))</f>
        <v/>
      </c>
      <c r="I39" s="35">
        <f>IF($A39="","",IFERROR(AVERAGEIF(tblAkis[KaynakKartId],$A39,tblAkis[YasGun]),0))</f>
        <v/>
      </c>
    </row>
    <row r="40">
      <c r="A40" s="29" t="n"/>
      <c r="B40" s="29" t="n"/>
      <c r="C40" s="29" t="n"/>
      <c r="D40" s="29" t="n"/>
      <c r="E40" s="31" t="n"/>
      <c r="F40" s="29" t="n"/>
      <c r="G40" s="29" t="n"/>
      <c r="H40" s="35">
        <f>IF($A40="","",SUMIF(tblAkis[KaynakKartId],$A40,tblAkis[Tutar]))</f>
        <v/>
      </c>
      <c r="I40" s="35">
        <f>IF($A40="","",IFERROR(AVERAGEIF(tblAkis[KaynakKartId],$A40,tblAkis[YasGun]),0))</f>
        <v/>
      </c>
    </row>
    <row r="41">
      <c r="A41" s="29" t="n"/>
      <c r="B41" s="29" t="n"/>
      <c r="C41" s="29" t="n"/>
      <c r="D41" s="29" t="n"/>
      <c r="E41" s="31" t="n"/>
      <c r="F41" s="29" t="n"/>
      <c r="G41" s="29" t="n"/>
      <c r="H41" s="35">
        <f>IF($A41="","",SUMIF(tblAkis[KaynakKartId],$A41,tblAkis[Tutar]))</f>
        <v/>
      </c>
      <c r="I41" s="35">
        <f>IF($A41="","",IFERROR(AVERAGEIF(tblAkis[KaynakKartId],$A41,tblAkis[YasGun]),0))</f>
        <v/>
      </c>
    </row>
    <row r="42">
      <c r="A42" s="29" t="n"/>
      <c r="B42" s="29" t="n"/>
      <c r="C42" s="29" t="n"/>
      <c r="D42" s="29" t="n"/>
      <c r="E42" s="31" t="n"/>
      <c r="F42" s="29" t="n"/>
      <c r="G42" s="29" t="n"/>
      <c r="H42" s="35">
        <f>IF($A42="","",SUMIF(tblAkis[KaynakKartId],$A42,tblAkis[Tutar]))</f>
        <v/>
      </c>
      <c r="I42" s="35">
        <f>IF($A42="","",IFERROR(AVERAGEIF(tblAkis[KaynakKartId],$A42,tblAkis[YasGun]),0))</f>
        <v/>
      </c>
    </row>
    <row r="43">
      <c r="A43" s="29" t="n"/>
      <c r="B43" s="29" t="n"/>
      <c r="C43" s="29" t="n"/>
      <c r="D43" s="29" t="n"/>
      <c r="E43" s="31" t="n"/>
      <c r="F43" s="29" t="n"/>
      <c r="G43" s="29" t="n"/>
      <c r="H43" s="35">
        <f>IF($A43="","",SUMIF(tblAkis[KaynakKartId],$A43,tblAkis[Tutar]))</f>
        <v/>
      </c>
      <c r="I43" s="35">
        <f>IF($A43="","",IFERROR(AVERAGEIF(tblAkis[KaynakKartId],$A43,tblAkis[YasGun]),0))</f>
        <v/>
      </c>
    </row>
    <row r="44">
      <c r="A44" s="29" t="n"/>
      <c r="B44" s="29" t="n"/>
      <c r="C44" s="29" t="n"/>
      <c r="D44" s="29" t="n"/>
      <c r="E44" s="31" t="n"/>
      <c r="F44" s="29" t="n"/>
      <c r="G44" s="29" t="n"/>
      <c r="H44" s="35">
        <f>IF($A44="","",SUMIF(tblAkis[KaynakKartId],$A44,tblAkis[Tutar]))</f>
        <v/>
      </c>
      <c r="I44" s="35">
        <f>IF($A44="","",IFERROR(AVERAGEIF(tblAkis[KaynakKartId],$A44,tblAkis[YasGun]),0))</f>
        <v/>
      </c>
    </row>
    <row r="45">
      <c r="A45" s="29" t="n"/>
      <c r="B45" s="29" t="n"/>
      <c r="C45" s="29" t="n"/>
      <c r="D45" s="29" t="n"/>
      <c r="E45" s="31" t="n"/>
      <c r="F45" s="29" t="n"/>
      <c r="G45" s="29" t="n"/>
      <c r="H45" s="35">
        <f>IF($A45="","",SUMIF(tblAkis[KaynakKartId],$A45,tblAkis[Tutar]))</f>
        <v/>
      </c>
      <c r="I45" s="35">
        <f>IF($A45="","",IFERROR(AVERAGEIF(tblAkis[KaynakKartId],$A45,tblAkis[YasGun]),0))</f>
        <v/>
      </c>
    </row>
    <row r="46">
      <c r="A46" s="29" t="n"/>
      <c r="B46" s="29" t="n"/>
      <c r="C46" s="29" t="n"/>
      <c r="D46" s="29" t="n"/>
      <c r="E46" s="31" t="n"/>
      <c r="F46" s="29" t="n"/>
      <c r="G46" s="29" t="n"/>
      <c r="H46" s="35">
        <f>IF($A46="","",SUMIF(tblAkis[KaynakKartId],$A46,tblAkis[Tutar]))</f>
        <v/>
      </c>
      <c r="I46" s="35">
        <f>IF($A46="","",IFERROR(AVERAGEIF(tblAkis[KaynakKartId],$A46,tblAkis[YasGun]),0))</f>
        <v/>
      </c>
    </row>
    <row r="47">
      <c r="A47" s="29" t="n"/>
      <c r="B47" s="29" t="n"/>
      <c r="C47" s="29" t="n"/>
      <c r="D47" s="29" t="n"/>
      <c r="E47" s="31" t="n"/>
      <c r="F47" s="29" t="n"/>
      <c r="G47" s="29" t="n"/>
      <c r="H47" s="35">
        <f>IF($A47="","",SUMIF(tblAkis[KaynakKartId],$A47,tblAkis[Tutar]))</f>
        <v/>
      </c>
      <c r="I47" s="35">
        <f>IF($A47="","",IFERROR(AVERAGEIF(tblAkis[KaynakKartId],$A47,tblAkis[YasGun]),0))</f>
        <v/>
      </c>
    </row>
    <row r="48">
      <c r="A48" s="29" t="n"/>
      <c r="B48" s="29" t="n"/>
      <c r="C48" s="29" t="n"/>
      <c r="D48" s="29" t="n"/>
      <c r="E48" s="31" t="n"/>
      <c r="F48" s="29" t="n"/>
      <c r="G48" s="29" t="n"/>
      <c r="H48" s="35">
        <f>IF($A48="","",SUMIF(tblAkis[KaynakKartId],$A48,tblAkis[Tutar]))</f>
        <v/>
      </c>
      <c r="I48" s="35">
        <f>IF($A48="","",IFERROR(AVERAGEIF(tblAkis[KaynakKartId],$A48,tblAkis[YasGun]),0))</f>
        <v/>
      </c>
    </row>
    <row r="49">
      <c r="A49" s="29" t="n"/>
      <c r="B49" s="29" t="n"/>
      <c r="C49" s="29" t="n"/>
      <c r="D49" s="29" t="n"/>
      <c r="E49" s="31" t="n"/>
      <c r="F49" s="29" t="n"/>
      <c r="G49" s="29" t="n"/>
      <c r="H49" s="35">
        <f>IF($A49="","",SUMIF(tblAkis[KaynakKartId],$A49,tblAkis[Tutar]))</f>
        <v/>
      </c>
      <c r="I49" s="35">
        <f>IF($A49="","",IFERROR(AVERAGEIF(tblAkis[KaynakKartId],$A49,tblAkis[YasGun]),0))</f>
        <v/>
      </c>
    </row>
    <row r="50">
      <c r="A50" s="29" t="n"/>
      <c r="B50" s="29" t="n"/>
      <c r="C50" s="29" t="n"/>
      <c r="D50" s="29" t="n"/>
      <c r="E50" s="31" t="n"/>
      <c r="F50" s="29" t="n"/>
      <c r="G50" s="29" t="n"/>
      <c r="H50" s="35">
        <f>IF($A50="","",SUMIF(tblAkis[KaynakKartId],$A50,tblAkis[Tutar]))</f>
        <v/>
      </c>
      <c r="I50" s="35">
        <f>IF($A50="","",IFERROR(AVERAGEIF(tblAkis[KaynakKartId],$A50,tblAkis[YasGun]),0))</f>
        <v/>
      </c>
    </row>
    <row r="51">
      <c r="A51" s="29" t="n"/>
      <c r="B51" s="29" t="n"/>
      <c r="C51" s="29" t="n"/>
      <c r="D51" s="29" t="n"/>
      <c r="E51" s="31" t="n"/>
      <c r="F51" s="29" t="n"/>
      <c r="G51" s="29" t="n"/>
      <c r="H51" s="35">
        <f>IF($A51="","",SUMIF(tblAkis[KaynakKartId],$A51,tblAkis[Tutar]))</f>
        <v/>
      </c>
      <c r="I51" s="35">
        <f>IF($A51="","",IFERROR(AVERAGEIF(tblAkis[KaynakKartId],$A51,tblAkis[YasGun]),0))</f>
        <v/>
      </c>
    </row>
    <row r="52">
      <c r="A52" s="29" t="n"/>
      <c r="B52" s="29" t="n"/>
      <c r="C52" s="29" t="n"/>
      <c r="D52" s="29" t="n"/>
      <c r="E52" s="31" t="n"/>
      <c r="F52" s="29" t="n"/>
      <c r="G52" s="29" t="n"/>
      <c r="H52" s="35">
        <f>IF($A52="","",SUMIF(tblAkis[KaynakKartId],$A52,tblAkis[Tutar]))</f>
        <v/>
      </c>
      <c r="I52" s="35">
        <f>IF($A52="","",IFERROR(AVERAGEIF(tblAkis[KaynakKartId],$A52,tblAkis[YasGun]),0))</f>
        <v/>
      </c>
    </row>
    <row r="53">
      <c r="A53" s="29" t="n"/>
      <c r="B53" s="29" t="n"/>
      <c r="C53" s="29" t="n"/>
      <c r="D53" s="29" t="n"/>
      <c r="E53" s="31" t="n"/>
      <c r="F53" s="29" t="n"/>
      <c r="G53" s="29" t="n"/>
      <c r="H53" s="35">
        <f>IF($A53="","",SUMIF(tblAkis[KaynakKartId],$A53,tblAkis[Tutar]))</f>
        <v/>
      </c>
      <c r="I53" s="35">
        <f>IF($A53="","",IFERROR(AVERAGEIF(tblAkis[KaynakKartId],$A53,tblAkis[YasGun]),0))</f>
        <v/>
      </c>
    </row>
    <row r="54">
      <c r="A54" s="29" t="n"/>
      <c r="B54" s="29" t="n"/>
      <c r="C54" s="29" t="n"/>
      <c r="D54" s="29" t="n"/>
      <c r="E54" s="31" t="n"/>
      <c r="F54" s="29" t="n"/>
      <c r="G54" s="29" t="n"/>
      <c r="H54" s="35">
        <f>IF($A54="","",SUMIF(tblAkis[KaynakKartId],$A54,tblAkis[Tutar]))</f>
        <v/>
      </c>
      <c r="I54" s="35">
        <f>IF($A54="","",IFERROR(AVERAGEIF(tblAkis[KaynakKartId],$A54,tblAkis[YasGun]),0))</f>
        <v/>
      </c>
    </row>
    <row r="55">
      <c r="A55" s="29" t="n"/>
      <c r="B55" s="29" t="n"/>
      <c r="C55" s="29" t="n"/>
      <c r="D55" s="29" t="n"/>
      <c r="E55" s="31" t="n"/>
      <c r="F55" s="29" t="n"/>
      <c r="G55" s="29" t="n"/>
      <c r="H55" s="35">
        <f>IF($A55="","",SUMIF(tblAkis[KaynakKartId],$A55,tblAkis[Tutar]))</f>
        <v/>
      </c>
      <c r="I55" s="35">
        <f>IF($A55="","",IFERROR(AVERAGEIF(tblAkis[KaynakKartId],$A55,tblAkis[YasGun]),0))</f>
        <v/>
      </c>
    </row>
    <row r="56">
      <c r="A56" s="29" t="n"/>
      <c r="B56" s="29" t="n"/>
      <c r="C56" s="29" t="n"/>
      <c r="D56" s="29" t="n"/>
      <c r="E56" s="31" t="n"/>
      <c r="F56" s="29" t="n"/>
      <c r="G56" s="29" t="n"/>
      <c r="H56" s="35">
        <f>IF($A56="","",SUMIF(tblAkis[KaynakKartId],$A56,tblAkis[Tutar]))</f>
        <v/>
      </c>
      <c r="I56" s="35">
        <f>IF($A56="","",IFERROR(AVERAGEIF(tblAkis[KaynakKartId],$A56,tblAkis[YasGun]),0))</f>
        <v/>
      </c>
    </row>
    <row r="57">
      <c r="A57" s="29" t="n"/>
      <c r="B57" s="29" t="n"/>
      <c r="C57" s="29" t="n"/>
      <c r="D57" s="29" t="n"/>
      <c r="E57" s="31" t="n"/>
      <c r="F57" s="29" t="n"/>
      <c r="G57" s="29" t="n"/>
      <c r="H57" s="35">
        <f>IF($A57="","",SUMIF(tblAkis[KaynakKartId],$A57,tblAkis[Tutar]))</f>
        <v/>
      </c>
      <c r="I57" s="35">
        <f>IF($A57="","",IFERROR(AVERAGEIF(tblAkis[KaynakKartId],$A57,tblAkis[YasGun]),0))</f>
        <v/>
      </c>
    </row>
    <row r="58">
      <c r="A58" s="29" t="n"/>
      <c r="B58" s="29" t="n"/>
      <c r="C58" s="29" t="n"/>
      <c r="D58" s="29" t="n"/>
      <c r="E58" s="31" t="n"/>
      <c r="F58" s="29" t="n"/>
      <c r="G58" s="29" t="n"/>
      <c r="H58" s="35">
        <f>IF($A58="","",SUMIF(tblAkis[KaynakKartId],$A58,tblAkis[Tutar]))</f>
        <v/>
      </c>
      <c r="I58" s="35">
        <f>IF($A58="","",IFERROR(AVERAGEIF(tblAkis[KaynakKartId],$A58,tblAkis[YasGun]),0))</f>
        <v/>
      </c>
    </row>
    <row r="59">
      <c r="A59" s="29" t="n"/>
      <c r="B59" s="29" t="n"/>
      <c r="C59" s="29" t="n"/>
      <c r="D59" s="29" t="n"/>
      <c r="E59" s="31" t="n"/>
      <c r="F59" s="29" t="n"/>
      <c r="G59" s="29" t="n"/>
      <c r="H59" s="35">
        <f>IF($A59="","",SUMIF(tblAkis[KaynakKartId],$A59,tblAkis[Tutar]))</f>
        <v/>
      </c>
      <c r="I59" s="35">
        <f>IF($A59="","",IFERROR(AVERAGEIF(tblAkis[KaynakKartId],$A59,tblAkis[YasGun]),0))</f>
        <v/>
      </c>
    </row>
    <row r="60">
      <c r="A60" s="29" t="n"/>
      <c r="B60" s="29" t="n"/>
      <c r="C60" s="29" t="n"/>
      <c r="D60" s="29" t="n"/>
      <c r="E60" s="31" t="n"/>
      <c r="F60" s="29" t="n"/>
      <c r="G60" s="29" t="n"/>
      <c r="H60" s="35">
        <f>IF($A60="","",SUMIF(tblAkis[KaynakKartId],$A60,tblAkis[Tutar]))</f>
        <v/>
      </c>
      <c r="I60" s="35">
        <f>IF($A60="","",IFERROR(AVERAGEIF(tblAkis[KaynakKartId],$A60,tblAkis[YasGun]),0))</f>
        <v/>
      </c>
    </row>
    <row r="61">
      <c r="A61" s="29" t="n"/>
      <c r="B61" s="29" t="n"/>
      <c r="C61" s="29" t="n"/>
      <c r="D61" s="29" t="n"/>
      <c r="E61" s="31" t="n"/>
      <c r="F61" s="29" t="n"/>
      <c r="G61" s="29" t="n"/>
      <c r="H61" s="35">
        <f>IF($A61="","",SUMIF(tblAkis[KaynakKartId],$A61,tblAkis[Tutar]))</f>
        <v/>
      </c>
      <c r="I61" s="35">
        <f>IF($A61="","",IFERROR(AVERAGEIF(tblAkis[KaynakKartId],$A61,tblAkis[YasGun]),0))</f>
        <v/>
      </c>
    </row>
    <row r="62">
      <c r="A62" s="29" t="n"/>
      <c r="B62" s="29" t="n"/>
      <c r="C62" s="29" t="n"/>
      <c r="D62" s="29" t="n"/>
      <c r="E62" s="31" t="n"/>
      <c r="F62" s="29" t="n"/>
      <c r="G62" s="29" t="n"/>
      <c r="H62" s="35">
        <f>IF($A62="","",SUMIF(tblAkis[KaynakKartId],$A62,tblAkis[Tutar]))</f>
        <v/>
      </c>
      <c r="I62" s="35">
        <f>IF($A62="","",IFERROR(AVERAGEIF(tblAkis[KaynakKartId],$A62,tblAkis[YasGun]),0))</f>
        <v/>
      </c>
    </row>
    <row r="63">
      <c r="A63" s="29" t="n"/>
      <c r="B63" s="29" t="n"/>
      <c r="C63" s="29" t="n"/>
      <c r="D63" s="29" t="n"/>
      <c r="E63" s="31" t="n"/>
      <c r="F63" s="29" t="n"/>
      <c r="G63" s="29" t="n"/>
      <c r="H63" s="35">
        <f>IF($A63="","",SUMIF(tblAkis[KaynakKartId],$A63,tblAkis[Tutar]))</f>
        <v/>
      </c>
      <c r="I63" s="35">
        <f>IF($A63="","",IFERROR(AVERAGEIF(tblAkis[KaynakKartId],$A63,tblAkis[YasGun]),0))</f>
        <v/>
      </c>
    </row>
    <row r="64">
      <c r="A64" s="29" t="n"/>
      <c r="B64" s="29" t="n"/>
      <c r="C64" s="29" t="n"/>
      <c r="D64" s="29" t="n"/>
      <c r="E64" s="31" t="n"/>
      <c r="F64" s="29" t="n"/>
      <c r="G64" s="29" t="n"/>
      <c r="H64" s="35">
        <f>IF($A64="","",SUMIF(tblAkis[KaynakKartId],$A64,tblAkis[Tutar]))</f>
        <v/>
      </c>
      <c r="I64" s="35">
        <f>IF($A64="","",IFERROR(AVERAGEIF(tblAkis[KaynakKartId],$A64,tblAkis[YasGun]),0))</f>
        <v/>
      </c>
    </row>
    <row r="65">
      <c r="A65" s="29" t="n"/>
      <c r="B65" s="29" t="n"/>
      <c r="C65" s="29" t="n"/>
      <c r="D65" s="29" t="n"/>
      <c r="E65" s="31" t="n"/>
      <c r="F65" s="29" t="n"/>
      <c r="G65" s="29" t="n"/>
      <c r="H65" s="35">
        <f>IF($A65="","",SUMIF(tblAkis[KaynakKartId],$A65,tblAkis[Tutar]))</f>
        <v/>
      </c>
      <c r="I65" s="35">
        <f>IF($A65="","",IFERROR(AVERAGEIF(tblAkis[KaynakKartId],$A65,tblAkis[YasGun]),0))</f>
        <v/>
      </c>
    </row>
    <row r="66">
      <c r="A66" s="29" t="n"/>
      <c r="B66" s="29" t="n"/>
      <c r="C66" s="29" t="n"/>
      <c r="D66" s="29" t="n"/>
      <c r="E66" s="31" t="n"/>
      <c r="F66" s="29" t="n"/>
      <c r="G66" s="29" t="n"/>
      <c r="H66" s="35">
        <f>IF($A66="","",SUMIF(tblAkis[KaynakKartId],$A66,tblAkis[Tutar]))</f>
        <v/>
      </c>
      <c r="I66" s="35">
        <f>IF($A66="","",IFERROR(AVERAGEIF(tblAkis[KaynakKartId],$A66,tblAkis[YasGun]),0))</f>
        <v/>
      </c>
    </row>
    <row r="67">
      <c r="A67" s="29" t="n"/>
      <c r="B67" s="29" t="n"/>
      <c r="C67" s="29" t="n"/>
      <c r="D67" s="29" t="n"/>
      <c r="E67" s="31" t="n"/>
      <c r="F67" s="29" t="n"/>
      <c r="G67" s="29" t="n"/>
      <c r="H67" s="35">
        <f>IF($A67="","",SUMIF(tblAkis[KaynakKartId],$A67,tblAkis[Tutar]))</f>
        <v/>
      </c>
      <c r="I67" s="35">
        <f>IF($A67="","",IFERROR(AVERAGEIF(tblAkis[KaynakKartId],$A67,tblAkis[YasGun]),0))</f>
        <v/>
      </c>
    </row>
    <row r="68">
      <c r="A68" s="29" t="n"/>
      <c r="B68" s="29" t="n"/>
      <c r="C68" s="29" t="n"/>
      <c r="D68" s="29" t="n"/>
      <c r="E68" s="31" t="n"/>
      <c r="F68" s="29" t="n"/>
      <c r="G68" s="29" t="n"/>
      <c r="H68" s="35">
        <f>IF($A68="","",SUMIF(tblAkis[KaynakKartId],$A68,tblAkis[Tutar]))</f>
        <v/>
      </c>
      <c r="I68" s="35">
        <f>IF($A68="","",IFERROR(AVERAGEIF(tblAkis[KaynakKartId],$A68,tblAkis[YasGun]),0))</f>
        <v/>
      </c>
    </row>
    <row r="69">
      <c r="A69" s="29" t="n"/>
      <c r="B69" s="29" t="n"/>
      <c r="C69" s="29" t="n"/>
      <c r="D69" s="29" t="n"/>
      <c r="E69" s="31" t="n"/>
      <c r="F69" s="29" t="n"/>
      <c r="G69" s="29" t="n"/>
      <c r="H69" s="35">
        <f>IF($A69="","",SUMIF(tblAkis[KaynakKartId],$A69,tblAkis[Tutar]))</f>
        <v/>
      </c>
      <c r="I69" s="35">
        <f>IF($A69="","",IFERROR(AVERAGEIF(tblAkis[KaynakKartId],$A69,tblAkis[YasGun]),0))</f>
        <v/>
      </c>
    </row>
    <row r="70">
      <c r="A70" s="29" t="n"/>
      <c r="B70" s="29" t="n"/>
      <c r="C70" s="29" t="n"/>
      <c r="D70" s="29" t="n"/>
      <c r="E70" s="31" t="n"/>
      <c r="F70" s="29" t="n"/>
      <c r="G70" s="29" t="n"/>
      <c r="H70" s="35">
        <f>IF($A70="","",SUMIF(tblAkis[KaynakKartId],$A70,tblAkis[Tutar]))</f>
        <v/>
      </c>
      <c r="I70" s="35">
        <f>IF($A70="","",IFERROR(AVERAGEIF(tblAkis[KaynakKartId],$A70,tblAkis[YasGun]),0))</f>
        <v/>
      </c>
    </row>
    <row r="71">
      <c r="A71" s="29" t="n"/>
      <c r="B71" s="29" t="n"/>
      <c r="C71" s="29" t="n"/>
      <c r="D71" s="29" t="n"/>
      <c r="E71" s="31" t="n"/>
      <c r="F71" s="29" t="n"/>
      <c r="G71" s="29" t="n"/>
      <c r="H71" s="35">
        <f>IF($A71="","",SUMIF(tblAkis[KaynakKartId],$A71,tblAkis[Tutar]))</f>
        <v/>
      </c>
      <c r="I71" s="35">
        <f>IF($A71="","",IFERROR(AVERAGEIF(tblAkis[KaynakKartId],$A71,tblAkis[YasGun]),0))</f>
        <v/>
      </c>
    </row>
    <row r="72">
      <c r="A72" s="29" t="n"/>
      <c r="B72" s="29" t="n"/>
      <c r="C72" s="29" t="n"/>
      <c r="D72" s="29" t="n"/>
      <c r="E72" s="31" t="n"/>
      <c r="F72" s="29" t="n"/>
      <c r="G72" s="29" t="n"/>
      <c r="H72" s="35">
        <f>IF($A72="","",SUMIF(tblAkis[KaynakKartId],$A72,tblAkis[Tutar]))</f>
        <v/>
      </c>
      <c r="I72" s="35">
        <f>IF($A72="","",IFERROR(AVERAGEIF(tblAkis[KaynakKartId],$A72,tblAkis[YasGun]),0))</f>
        <v/>
      </c>
    </row>
    <row r="73">
      <c r="A73" s="29" t="n"/>
      <c r="B73" s="29" t="n"/>
      <c r="C73" s="29" t="n"/>
      <c r="D73" s="29" t="n"/>
      <c r="E73" s="31" t="n"/>
      <c r="F73" s="29" t="n"/>
      <c r="G73" s="29" t="n"/>
      <c r="H73" s="35">
        <f>IF($A73="","",SUMIF(tblAkis[KaynakKartId],$A73,tblAkis[Tutar]))</f>
        <v/>
      </c>
      <c r="I73" s="35">
        <f>IF($A73="","",IFERROR(AVERAGEIF(tblAkis[KaynakKartId],$A73,tblAkis[YasGun]),0))</f>
        <v/>
      </c>
    </row>
    <row r="74">
      <c r="A74" s="29" t="n"/>
      <c r="B74" s="29" t="n"/>
      <c r="C74" s="29" t="n"/>
      <c r="D74" s="29" t="n"/>
      <c r="E74" s="31" t="n"/>
      <c r="F74" s="29" t="n"/>
      <c r="G74" s="29" t="n"/>
      <c r="H74" s="35">
        <f>IF($A74="","",SUMIF(tblAkis[KaynakKartId],$A74,tblAkis[Tutar]))</f>
        <v/>
      </c>
      <c r="I74" s="35">
        <f>IF($A74="","",IFERROR(AVERAGEIF(tblAkis[KaynakKartId],$A74,tblAkis[YasGun]),0))</f>
        <v/>
      </c>
    </row>
    <row r="75">
      <c r="A75" s="29" t="n"/>
      <c r="B75" s="29" t="n"/>
      <c r="C75" s="29" t="n"/>
      <c r="D75" s="29" t="n"/>
      <c r="E75" s="31" t="n"/>
      <c r="F75" s="29" t="n"/>
      <c r="G75" s="29" t="n"/>
      <c r="H75" s="35">
        <f>IF($A75="","",SUMIF(tblAkis[KaynakKartId],$A75,tblAkis[Tutar]))</f>
        <v/>
      </c>
      <c r="I75" s="35">
        <f>IF($A75="","",IFERROR(AVERAGEIF(tblAkis[KaynakKartId],$A75,tblAkis[YasGun]),0))</f>
        <v/>
      </c>
    </row>
    <row r="76">
      <c r="A76" s="29" t="n"/>
      <c r="B76" s="29" t="n"/>
      <c r="C76" s="29" t="n"/>
      <c r="D76" s="29" t="n"/>
      <c r="E76" s="31" t="n"/>
      <c r="F76" s="29" t="n"/>
      <c r="G76" s="29" t="n"/>
      <c r="H76" s="35">
        <f>IF($A76="","",SUMIF(tblAkis[KaynakKartId],$A76,tblAkis[Tutar]))</f>
        <v/>
      </c>
      <c r="I76" s="35">
        <f>IF($A76="","",IFERROR(AVERAGEIF(tblAkis[KaynakKartId],$A76,tblAkis[YasGun]),0))</f>
        <v/>
      </c>
    </row>
    <row r="77">
      <c r="A77" s="29" t="n"/>
      <c r="B77" s="29" t="n"/>
      <c r="C77" s="29" t="n"/>
      <c r="D77" s="29" t="n"/>
      <c r="E77" s="31" t="n"/>
      <c r="F77" s="29" t="n"/>
      <c r="G77" s="29" t="n"/>
      <c r="H77" s="35">
        <f>IF($A77="","",SUMIF(tblAkis[KaynakKartId],$A77,tblAkis[Tutar]))</f>
        <v/>
      </c>
      <c r="I77" s="35">
        <f>IF($A77="","",IFERROR(AVERAGEIF(tblAkis[KaynakKartId],$A77,tblAkis[YasGun]),0))</f>
        <v/>
      </c>
    </row>
    <row r="78">
      <c r="A78" s="29" t="n"/>
      <c r="B78" s="29" t="n"/>
      <c r="C78" s="29" t="n"/>
      <c r="D78" s="29" t="n"/>
      <c r="E78" s="31" t="n"/>
      <c r="F78" s="29" t="n"/>
      <c r="G78" s="29" t="n"/>
      <c r="H78" s="35">
        <f>IF($A78="","",SUMIF(tblAkis[KaynakKartId],$A78,tblAkis[Tutar]))</f>
        <v/>
      </c>
      <c r="I78" s="35">
        <f>IF($A78="","",IFERROR(AVERAGEIF(tblAkis[KaynakKartId],$A78,tblAkis[YasGun]),0))</f>
        <v/>
      </c>
    </row>
    <row r="79">
      <c r="A79" s="29" t="n"/>
      <c r="B79" s="29" t="n"/>
      <c r="C79" s="29" t="n"/>
      <c r="D79" s="29" t="n"/>
      <c r="E79" s="31" t="n"/>
      <c r="F79" s="29" t="n"/>
      <c r="G79" s="29" t="n"/>
      <c r="H79" s="35">
        <f>IF($A79="","",SUMIF(tblAkis[KaynakKartId],$A79,tblAkis[Tutar]))</f>
        <v/>
      </c>
      <c r="I79" s="35">
        <f>IF($A79="","",IFERROR(AVERAGEIF(tblAkis[KaynakKartId],$A79,tblAkis[YasGun]),0))</f>
        <v/>
      </c>
    </row>
    <row r="80">
      <c r="A80" s="29" t="n"/>
      <c r="B80" s="29" t="n"/>
      <c r="C80" s="29" t="n"/>
      <c r="D80" s="29" t="n"/>
      <c r="E80" s="31" t="n"/>
      <c r="F80" s="29" t="n"/>
      <c r="G80" s="29" t="n"/>
      <c r="H80" s="35">
        <f>IF($A80="","",SUMIF(tblAkis[KaynakKartId],$A80,tblAkis[Tutar]))</f>
        <v/>
      </c>
      <c r="I80" s="35">
        <f>IF($A80="","",IFERROR(AVERAGEIF(tblAkis[KaynakKartId],$A80,tblAkis[YasGun]),0))</f>
        <v/>
      </c>
    </row>
    <row r="81">
      <c r="A81" s="29" t="n"/>
      <c r="B81" s="29" t="n"/>
      <c r="C81" s="29" t="n"/>
      <c r="D81" s="29" t="n"/>
      <c r="E81" s="31" t="n"/>
      <c r="F81" s="29" t="n"/>
      <c r="G81" s="29" t="n"/>
      <c r="H81" s="35">
        <f>IF($A81="","",SUMIF(tblAkis[KaynakKartId],$A81,tblAkis[Tutar]))</f>
        <v/>
      </c>
      <c r="I81" s="35">
        <f>IF($A81="","",IFERROR(AVERAGEIF(tblAkis[KaynakKartId],$A81,tblAkis[YasGun]),0))</f>
        <v/>
      </c>
    </row>
    <row r="82">
      <c r="A82" s="29" t="n"/>
      <c r="B82" s="29" t="n"/>
      <c r="C82" s="29" t="n"/>
      <c r="D82" s="29" t="n"/>
      <c r="E82" s="31" t="n"/>
      <c r="F82" s="29" t="n"/>
      <c r="G82" s="29" t="n"/>
      <c r="H82" s="35">
        <f>IF($A82="","",SUMIF(tblAkis[KaynakKartId],$A82,tblAkis[Tutar]))</f>
        <v/>
      </c>
      <c r="I82" s="35">
        <f>IF($A82="","",IFERROR(AVERAGEIF(tblAkis[KaynakKartId],$A82,tblAkis[YasGun]),0))</f>
        <v/>
      </c>
    </row>
    <row r="83">
      <c r="A83" s="29" t="n"/>
      <c r="B83" s="29" t="n"/>
      <c r="C83" s="29" t="n"/>
      <c r="D83" s="29" t="n"/>
      <c r="E83" s="31" t="n"/>
      <c r="F83" s="29" t="n"/>
      <c r="G83" s="29" t="n"/>
      <c r="H83" s="35">
        <f>IF($A83="","",SUMIF(tblAkis[KaynakKartId],$A83,tblAkis[Tutar]))</f>
        <v/>
      </c>
      <c r="I83" s="35">
        <f>IF($A83="","",IFERROR(AVERAGEIF(tblAkis[KaynakKartId],$A83,tblAkis[YasGun]),0))</f>
        <v/>
      </c>
    </row>
    <row r="84">
      <c r="A84" s="29" t="n"/>
      <c r="B84" s="29" t="n"/>
      <c r="C84" s="29" t="n"/>
      <c r="D84" s="29" t="n"/>
      <c r="E84" s="31" t="n"/>
      <c r="F84" s="29" t="n"/>
      <c r="G84" s="29" t="n"/>
      <c r="H84" s="35">
        <f>IF($A84="","",SUMIF(tblAkis[KaynakKartId],$A84,tblAkis[Tutar]))</f>
        <v/>
      </c>
      <c r="I84" s="35">
        <f>IF($A84="","",IFERROR(AVERAGEIF(tblAkis[KaynakKartId],$A84,tblAkis[YasGun]),0))</f>
        <v/>
      </c>
    </row>
    <row r="85">
      <c r="A85" s="29" t="n"/>
      <c r="B85" s="29" t="n"/>
      <c r="C85" s="29" t="n"/>
      <c r="D85" s="29" t="n"/>
      <c r="E85" s="31" t="n"/>
      <c r="F85" s="29" t="n"/>
      <c r="G85" s="29" t="n"/>
      <c r="H85" s="35">
        <f>IF($A85="","",SUMIF(tblAkis[KaynakKartId],$A85,tblAkis[Tutar]))</f>
        <v/>
      </c>
      <c r="I85" s="35">
        <f>IF($A85="","",IFERROR(AVERAGEIF(tblAkis[KaynakKartId],$A85,tblAkis[YasGun]),0))</f>
        <v/>
      </c>
    </row>
    <row r="86">
      <c r="A86" s="29" t="n"/>
      <c r="B86" s="29" t="n"/>
      <c r="C86" s="29" t="n"/>
      <c r="D86" s="29" t="n"/>
      <c r="E86" s="31" t="n"/>
      <c r="F86" s="29" t="n"/>
      <c r="G86" s="29" t="n"/>
      <c r="H86" s="35">
        <f>IF($A86="","",SUMIF(tblAkis[KaynakKartId],$A86,tblAkis[Tutar]))</f>
        <v/>
      </c>
      <c r="I86" s="35">
        <f>IF($A86="","",IFERROR(AVERAGEIF(tblAkis[KaynakKartId],$A86,tblAkis[YasGun]),0))</f>
        <v/>
      </c>
    </row>
    <row r="87">
      <c r="A87" s="29" t="n"/>
      <c r="B87" s="29" t="n"/>
      <c r="C87" s="29" t="n"/>
      <c r="D87" s="29" t="n"/>
      <c r="E87" s="31" t="n"/>
      <c r="F87" s="29" t="n"/>
      <c r="G87" s="29" t="n"/>
      <c r="H87" s="35">
        <f>IF($A87="","",SUMIF(tblAkis[KaynakKartId],$A87,tblAkis[Tutar]))</f>
        <v/>
      </c>
      <c r="I87" s="35">
        <f>IF($A87="","",IFERROR(AVERAGEIF(tblAkis[KaynakKartId],$A87,tblAkis[YasGun]),0))</f>
        <v/>
      </c>
    </row>
    <row r="88">
      <c r="A88" s="29" t="n"/>
      <c r="B88" s="29" t="n"/>
      <c r="C88" s="29" t="n"/>
      <c r="D88" s="29" t="n"/>
      <c r="E88" s="31" t="n"/>
      <c r="F88" s="29" t="n"/>
      <c r="G88" s="29" t="n"/>
      <c r="H88" s="35">
        <f>IF($A88="","",SUMIF(tblAkis[KaynakKartId],$A88,tblAkis[Tutar]))</f>
        <v/>
      </c>
      <c r="I88" s="35">
        <f>IF($A88="","",IFERROR(AVERAGEIF(tblAkis[KaynakKartId],$A88,tblAkis[YasGun]),0))</f>
        <v/>
      </c>
    </row>
    <row r="89">
      <c r="A89" s="29" t="n"/>
      <c r="B89" s="29" t="n"/>
      <c r="C89" s="29" t="n"/>
      <c r="D89" s="29" t="n"/>
      <c r="E89" s="31" t="n"/>
      <c r="F89" s="29" t="n"/>
      <c r="G89" s="29" t="n"/>
      <c r="H89" s="35">
        <f>IF($A89="","",SUMIF(tblAkis[KaynakKartId],$A89,tblAkis[Tutar]))</f>
        <v/>
      </c>
      <c r="I89" s="35">
        <f>IF($A89="","",IFERROR(AVERAGEIF(tblAkis[KaynakKartId],$A89,tblAkis[YasGun]),0))</f>
        <v/>
      </c>
    </row>
    <row r="90">
      <c r="A90" s="29" t="n"/>
      <c r="B90" s="29" t="n"/>
      <c r="C90" s="29" t="n"/>
      <c r="D90" s="29" t="n"/>
      <c r="E90" s="31" t="n"/>
      <c r="F90" s="29" t="n"/>
      <c r="G90" s="29" t="n"/>
      <c r="H90" s="35">
        <f>IF($A90="","",SUMIF(tblAkis[KaynakKartId],$A90,tblAkis[Tutar]))</f>
        <v/>
      </c>
      <c r="I90" s="35">
        <f>IF($A90="","",IFERROR(AVERAGEIF(tblAkis[KaynakKartId],$A90,tblAkis[YasGun]),0))</f>
        <v/>
      </c>
    </row>
    <row r="91">
      <c r="A91" s="29" t="n"/>
      <c r="B91" s="29" t="n"/>
      <c r="C91" s="29" t="n"/>
      <c r="D91" s="29" t="n"/>
      <c r="E91" s="31" t="n"/>
      <c r="F91" s="29" t="n"/>
      <c r="G91" s="29" t="n"/>
      <c r="H91" s="35">
        <f>IF($A91="","",SUMIF(tblAkis[KaynakKartId],$A91,tblAkis[Tutar]))</f>
        <v/>
      </c>
      <c r="I91" s="35">
        <f>IF($A91="","",IFERROR(AVERAGEIF(tblAkis[KaynakKartId],$A91,tblAkis[YasGun]),0))</f>
        <v/>
      </c>
    </row>
    <row r="92">
      <c r="A92" s="29" t="n"/>
      <c r="B92" s="29" t="n"/>
      <c r="C92" s="29" t="n"/>
      <c r="D92" s="29" t="n"/>
      <c r="E92" s="31" t="n"/>
      <c r="F92" s="29" t="n"/>
      <c r="G92" s="29" t="n"/>
      <c r="H92" s="35">
        <f>IF($A92="","",SUMIF(tblAkis[KaynakKartId],$A92,tblAkis[Tutar]))</f>
        <v/>
      </c>
      <c r="I92" s="35">
        <f>IF($A92="","",IFERROR(AVERAGEIF(tblAkis[KaynakKartId],$A92,tblAkis[YasGun]),0))</f>
        <v/>
      </c>
    </row>
    <row r="93">
      <c r="A93" s="29" t="n"/>
      <c r="B93" s="29" t="n"/>
      <c r="C93" s="29" t="n"/>
      <c r="D93" s="29" t="n"/>
      <c r="E93" s="31" t="n"/>
      <c r="F93" s="29" t="n"/>
      <c r="G93" s="29" t="n"/>
      <c r="H93" s="35">
        <f>IF($A93="","",SUMIF(tblAkis[KaynakKartId],$A93,tblAkis[Tutar]))</f>
        <v/>
      </c>
      <c r="I93" s="35">
        <f>IF($A93="","",IFERROR(AVERAGEIF(tblAkis[KaynakKartId],$A93,tblAkis[YasGun]),0))</f>
        <v/>
      </c>
    </row>
    <row r="94">
      <c r="A94" s="29" t="n"/>
      <c r="B94" s="29" t="n"/>
      <c r="C94" s="29" t="n"/>
      <c r="D94" s="29" t="n"/>
      <c r="E94" s="31" t="n"/>
      <c r="F94" s="29" t="n"/>
      <c r="G94" s="29" t="n"/>
      <c r="H94" s="35">
        <f>IF($A94="","",SUMIF(tblAkis[KaynakKartId],$A94,tblAkis[Tutar]))</f>
        <v/>
      </c>
      <c r="I94" s="35">
        <f>IF($A94="","",IFERROR(AVERAGEIF(tblAkis[KaynakKartId],$A94,tblAkis[YasGun]),0))</f>
        <v/>
      </c>
    </row>
    <row r="95">
      <c r="A95" s="29" t="n"/>
      <c r="B95" s="29" t="n"/>
      <c r="C95" s="29" t="n"/>
      <c r="D95" s="29" t="n"/>
      <c r="E95" s="31" t="n"/>
      <c r="F95" s="29" t="n"/>
      <c r="G95" s="29" t="n"/>
      <c r="H95" s="35">
        <f>IF($A95="","",SUMIF(tblAkis[KaynakKartId],$A95,tblAkis[Tutar]))</f>
        <v/>
      </c>
      <c r="I95" s="35">
        <f>IF($A95="","",IFERROR(AVERAGEIF(tblAkis[KaynakKartId],$A95,tblAkis[YasGun]),0))</f>
        <v/>
      </c>
    </row>
    <row r="96">
      <c r="A96" s="29" t="n"/>
      <c r="B96" s="29" t="n"/>
      <c r="C96" s="29" t="n"/>
      <c r="D96" s="29" t="n"/>
      <c r="E96" s="31" t="n"/>
      <c r="F96" s="29" t="n"/>
      <c r="G96" s="29" t="n"/>
      <c r="H96" s="35">
        <f>IF($A96="","",SUMIF(tblAkis[KaynakKartId],$A96,tblAkis[Tutar]))</f>
        <v/>
      </c>
      <c r="I96" s="35">
        <f>IF($A96="","",IFERROR(AVERAGEIF(tblAkis[KaynakKartId],$A96,tblAkis[YasGun]),0))</f>
        <v/>
      </c>
    </row>
    <row r="97">
      <c r="A97" s="29" t="n"/>
      <c r="B97" s="29" t="n"/>
      <c r="C97" s="29" t="n"/>
      <c r="D97" s="29" t="n"/>
      <c r="E97" s="31" t="n"/>
      <c r="F97" s="29" t="n"/>
      <c r="G97" s="29" t="n"/>
      <c r="H97" s="35">
        <f>IF($A97="","",SUMIF(tblAkis[KaynakKartId],$A97,tblAkis[Tutar]))</f>
        <v/>
      </c>
      <c r="I97" s="35">
        <f>IF($A97="","",IFERROR(AVERAGEIF(tblAkis[KaynakKartId],$A97,tblAkis[YasGun]),0))</f>
        <v/>
      </c>
    </row>
    <row r="98">
      <c r="A98" s="29" t="n"/>
      <c r="B98" s="29" t="n"/>
      <c r="C98" s="29" t="n"/>
      <c r="D98" s="29" t="n"/>
      <c r="E98" s="31" t="n"/>
      <c r="F98" s="29" t="n"/>
      <c r="G98" s="29" t="n"/>
      <c r="H98" s="35">
        <f>IF($A98="","",SUMIF(tblAkis[KaynakKartId],$A98,tblAkis[Tutar]))</f>
        <v/>
      </c>
      <c r="I98" s="35">
        <f>IF($A98="","",IFERROR(AVERAGEIF(tblAkis[KaynakKartId],$A98,tblAkis[YasGun]),0))</f>
        <v/>
      </c>
    </row>
    <row r="99">
      <c r="A99" s="29" t="n"/>
      <c r="B99" s="29" t="n"/>
      <c r="C99" s="29" t="n"/>
      <c r="D99" s="29" t="n"/>
      <c r="E99" s="31" t="n"/>
      <c r="F99" s="29" t="n"/>
      <c r="G99" s="29" t="n"/>
      <c r="H99" s="35">
        <f>IF($A99="","",SUMIF(tblAkis[KaynakKartId],$A99,tblAkis[Tutar]))</f>
        <v/>
      </c>
      <c r="I99" s="35">
        <f>IF($A99="","",IFERROR(AVERAGEIF(tblAkis[KaynakKartId],$A99,tblAkis[YasGun]),0))</f>
        <v/>
      </c>
    </row>
    <row r="100">
      <c r="A100" s="29" t="n"/>
      <c r="B100" s="29" t="n"/>
      <c r="C100" s="29" t="n"/>
      <c r="D100" s="29" t="n"/>
      <c r="E100" s="31" t="n"/>
      <c r="F100" s="29" t="n"/>
      <c r="G100" s="29" t="n"/>
      <c r="H100" s="35">
        <f>IF($A100="","",SUMIF(tblAkis[KaynakKartId],$A100,tblAkis[Tutar]))</f>
        <v/>
      </c>
      <c r="I100" s="35">
        <f>IF($A100="","",IFERROR(AVERAGEIF(tblAkis[KaynakKartId],$A100,tblAkis[YasGun]),0))</f>
        <v/>
      </c>
    </row>
    <row r="101">
      <c r="A101" s="29" t="n"/>
      <c r="B101" s="29" t="n"/>
      <c r="C101" s="29" t="n"/>
      <c r="D101" s="29" t="n"/>
      <c r="E101" s="31" t="n"/>
      <c r="F101" s="29" t="n"/>
      <c r="G101" s="29" t="n"/>
      <c r="H101" s="35">
        <f>IF($A101="","",SUMIF(tblAkis[KaynakKartId],$A101,tblAkis[Tutar]))</f>
        <v/>
      </c>
      <c r="I101" s="35">
        <f>IF($A101="","",IFERROR(AVERAGEIF(tblAkis[KaynakKartId],$A101,tblAkis[YasGun]),0))</f>
        <v/>
      </c>
    </row>
    <row r="102">
      <c r="A102" s="29" t="n"/>
      <c r="B102" s="29" t="n"/>
      <c r="C102" s="29" t="n"/>
      <c r="D102" s="29" t="n"/>
      <c r="E102" s="31" t="n"/>
      <c r="F102" s="29" t="n"/>
      <c r="G102" s="29" t="n"/>
      <c r="H102" s="35">
        <f>IF($A102="","",SUMIF(tblAkis[KaynakKartId],$A102,tblAkis[Tutar]))</f>
        <v/>
      </c>
      <c r="I102" s="35">
        <f>IF($A102="","",IFERROR(AVERAGEIF(tblAkis[KaynakKartId],$A102,tblAkis[YasGun]),0))</f>
        <v/>
      </c>
    </row>
    <row r="103">
      <c r="A103" s="29" t="n"/>
      <c r="B103" s="29" t="n"/>
      <c r="C103" s="29" t="n"/>
      <c r="D103" s="29" t="n"/>
      <c r="E103" s="31" t="n"/>
      <c r="F103" s="29" t="n"/>
      <c r="G103" s="29" t="n"/>
      <c r="H103" s="35">
        <f>IF($A103="","",SUMIF(tblAkis[KaynakKartId],$A103,tblAkis[Tutar]))</f>
        <v/>
      </c>
      <c r="I103" s="35">
        <f>IF($A103="","",IFERROR(AVERAGEIF(tblAkis[KaynakKartId],$A103,tblAkis[YasGun]),0))</f>
        <v/>
      </c>
    </row>
    <row r="104">
      <c r="A104" s="29" t="n"/>
      <c r="B104" s="29" t="n"/>
      <c r="C104" s="29" t="n"/>
      <c r="D104" s="29" t="n"/>
      <c r="E104" s="31" t="n"/>
      <c r="F104" s="29" t="n"/>
      <c r="G104" s="29" t="n"/>
      <c r="H104" s="35">
        <f>IF($A104="","",SUMIF(tblAkis[KaynakKartId],$A104,tblAkis[Tutar]))</f>
        <v/>
      </c>
      <c r="I104" s="35">
        <f>IF($A104="","",IFERROR(AVERAGEIF(tblAkis[KaynakKartId],$A104,tblAkis[YasGun]),0))</f>
        <v/>
      </c>
    </row>
    <row r="105">
      <c r="A105" s="29" t="n"/>
      <c r="B105" s="29" t="n"/>
      <c r="C105" s="29" t="n"/>
      <c r="D105" s="29" t="n"/>
      <c r="E105" s="31" t="n"/>
      <c r="F105" s="29" t="n"/>
      <c r="G105" s="29" t="n"/>
      <c r="H105" s="35">
        <f>IF($A105="","",SUMIF(tblAkis[KaynakKartId],$A105,tblAkis[Tutar]))</f>
        <v/>
      </c>
      <c r="I105" s="35">
        <f>IF($A105="","",IFERROR(AVERAGEIF(tblAkis[KaynakKartId],$A105,tblAkis[YasGun]),0))</f>
        <v/>
      </c>
    </row>
    <row r="106">
      <c r="A106" s="29" t="n"/>
      <c r="B106" s="29" t="n"/>
      <c r="C106" s="29" t="n"/>
      <c r="D106" s="29" t="n"/>
      <c r="E106" s="31" t="n"/>
      <c r="F106" s="29" t="n"/>
      <c r="G106" s="29" t="n"/>
      <c r="H106" s="35">
        <f>IF($A106="","",SUMIF(tblAkis[KaynakKartId],$A106,tblAkis[Tutar]))</f>
        <v/>
      </c>
      <c r="I106" s="35">
        <f>IF($A106="","",IFERROR(AVERAGEIF(tblAkis[KaynakKartId],$A106,tblAkis[YasGun]),0))</f>
        <v/>
      </c>
    </row>
    <row r="107">
      <c r="A107" s="29" t="n"/>
      <c r="B107" s="29" t="n"/>
      <c r="C107" s="29" t="n"/>
      <c r="D107" s="29" t="n"/>
      <c r="E107" s="31" t="n"/>
      <c r="F107" s="29" t="n"/>
      <c r="G107" s="29" t="n"/>
      <c r="H107" s="35">
        <f>IF($A107="","",SUMIF(tblAkis[KaynakKartId],$A107,tblAkis[Tutar]))</f>
        <v/>
      </c>
      <c r="I107" s="35">
        <f>IF($A107="","",IFERROR(AVERAGEIF(tblAkis[KaynakKartId],$A107,tblAkis[YasGun]),0))</f>
        <v/>
      </c>
    </row>
    <row r="108">
      <c r="A108" s="29" t="n"/>
      <c r="B108" s="29" t="n"/>
      <c r="C108" s="29" t="n"/>
      <c r="D108" s="29" t="n"/>
      <c r="E108" s="31" t="n"/>
      <c r="F108" s="29" t="n"/>
      <c r="G108" s="29" t="n"/>
      <c r="H108" s="35">
        <f>IF($A108="","",SUMIF(tblAkis[KaynakKartId],$A108,tblAkis[Tutar]))</f>
        <v/>
      </c>
      <c r="I108" s="35">
        <f>IF($A108="","",IFERROR(AVERAGEIF(tblAkis[KaynakKartId],$A108,tblAkis[YasGun]),0))</f>
        <v/>
      </c>
    </row>
    <row r="109">
      <c r="A109" s="29" t="n"/>
      <c r="B109" s="29" t="n"/>
      <c r="C109" s="29" t="n"/>
      <c r="D109" s="29" t="n"/>
      <c r="E109" s="31" t="n"/>
      <c r="F109" s="29" t="n"/>
      <c r="G109" s="29" t="n"/>
      <c r="H109" s="35">
        <f>IF($A109="","",SUMIF(tblAkis[KaynakKartId],$A109,tblAkis[Tutar]))</f>
        <v/>
      </c>
      <c r="I109" s="35">
        <f>IF($A109="","",IFERROR(AVERAGEIF(tblAkis[KaynakKartId],$A109,tblAkis[YasGun]),0))</f>
        <v/>
      </c>
    </row>
    <row r="110">
      <c r="A110" s="29" t="n"/>
      <c r="B110" s="29" t="n"/>
      <c r="C110" s="29" t="n"/>
      <c r="D110" s="29" t="n"/>
      <c r="E110" s="31" t="n"/>
      <c r="F110" s="29" t="n"/>
      <c r="G110" s="29" t="n"/>
      <c r="H110" s="35">
        <f>IF($A110="","",SUMIF(tblAkis[KaynakKartId],$A110,tblAkis[Tutar]))</f>
        <v/>
      </c>
      <c r="I110" s="35">
        <f>IF($A110="","",IFERROR(AVERAGEIF(tblAkis[KaynakKartId],$A110,tblAkis[YasGun]),0))</f>
        <v/>
      </c>
    </row>
    <row r="111">
      <c r="A111" s="29" t="n"/>
      <c r="B111" s="29" t="n"/>
      <c r="C111" s="29" t="n"/>
      <c r="D111" s="29" t="n"/>
      <c r="E111" s="31" t="n"/>
      <c r="F111" s="29" t="n"/>
      <c r="G111" s="29" t="n"/>
      <c r="H111" s="35">
        <f>IF($A111="","",SUMIF(tblAkis[KaynakKartId],$A111,tblAkis[Tutar]))</f>
        <v/>
      </c>
      <c r="I111" s="35">
        <f>IF($A111="","",IFERROR(AVERAGEIF(tblAkis[KaynakKartId],$A111,tblAkis[YasGun]),0))</f>
        <v/>
      </c>
    </row>
    <row r="112">
      <c r="A112" s="29" t="n"/>
      <c r="B112" s="29" t="n"/>
      <c r="C112" s="29" t="n"/>
      <c r="D112" s="29" t="n"/>
      <c r="E112" s="31" t="n"/>
      <c r="F112" s="29" t="n"/>
      <c r="G112" s="29" t="n"/>
      <c r="H112" s="35">
        <f>IF($A112="","",SUMIF(tblAkis[KaynakKartId],$A112,tblAkis[Tutar]))</f>
        <v/>
      </c>
      <c r="I112" s="35">
        <f>IF($A112="","",IFERROR(AVERAGEIF(tblAkis[KaynakKartId],$A112,tblAkis[YasGun]),0))</f>
        <v/>
      </c>
    </row>
    <row r="113">
      <c r="A113" s="29" t="n"/>
      <c r="B113" s="29" t="n"/>
      <c r="C113" s="29" t="n"/>
      <c r="D113" s="29" t="n"/>
      <c r="E113" s="31" t="n"/>
      <c r="F113" s="29" t="n"/>
      <c r="G113" s="29" t="n"/>
      <c r="H113" s="35">
        <f>IF($A113="","",SUMIF(tblAkis[KaynakKartId],$A113,tblAkis[Tutar]))</f>
        <v/>
      </c>
      <c r="I113" s="35">
        <f>IF($A113="","",IFERROR(AVERAGEIF(tblAkis[KaynakKartId],$A113,tblAkis[YasGun]),0))</f>
        <v/>
      </c>
    </row>
    <row r="114">
      <c r="A114" s="29" t="n"/>
      <c r="B114" s="29" t="n"/>
      <c r="C114" s="29" t="n"/>
      <c r="D114" s="29" t="n"/>
      <c r="E114" s="31" t="n"/>
      <c r="F114" s="29" t="n"/>
      <c r="G114" s="29" t="n"/>
      <c r="H114" s="35">
        <f>IF($A114="","",SUMIF(tblAkis[KaynakKartId],$A114,tblAkis[Tutar]))</f>
        <v/>
      </c>
      <c r="I114" s="35">
        <f>IF($A114="","",IFERROR(AVERAGEIF(tblAkis[KaynakKartId],$A114,tblAkis[YasGun]),0))</f>
        <v/>
      </c>
    </row>
    <row r="115">
      <c r="A115" s="29" t="n"/>
      <c r="B115" s="29" t="n"/>
      <c r="C115" s="29" t="n"/>
      <c r="D115" s="29" t="n"/>
      <c r="E115" s="31" t="n"/>
      <c r="F115" s="29" t="n"/>
      <c r="G115" s="29" t="n"/>
      <c r="H115" s="35">
        <f>IF($A115="","",SUMIF(tblAkis[KaynakKartId],$A115,tblAkis[Tutar]))</f>
        <v/>
      </c>
      <c r="I115" s="35">
        <f>IF($A115="","",IFERROR(AVERAGEIF(tblAkis[KaynakKartId],$A115,tblAkis[YasGun]),0))</f>
        <v/>
      </c>
    </row>
    <row r="116">
      <c r="A116" s="29" t="n"/>
      <c r="B116" s="29" t="n"/>
      <c r="C116" s="29" t="n"/>
      <c r="D116" s="29" t="n"/>
      <c r="E116" s="31" t="n"/>
      <c r="F116" s="29" t="n"/>
      <c r="G116" s="29" t="n"/>
      <c r="H116" s="35">
        <f>IF($A116="","",SUMIF(tblAkis[KaynakKartId],$A116,tblAkis[Tutar]))</f>
        <v/>
      </c>
      <c r="I116" s="35">
        <f>IF($A116="","",IFERROR(AVERAGEIF(tblAkis[KaynakKartId],$A116,tblAkis[YasGun]),0))</f>
        <v/>
      </c>
    </row>
    <row r="117">
      <c r="A117" s="29" t="n"/>
      <c r="B117" s="29" t="n"/>
      <c r="C117" s="29" t="n"/>
      <c r="D117" s="29" t="n"/>
      <c r="E117" s="31" t="n"/>
      <c r="F117" s="29" t="n"/>
      <c r="G117" s="29" t="n"/>
      <c r="H117" s="35">
        <f>IF($A117="","",SUMIF(tblAkis[KaynakKartId],$A117,tblAkis[Tutar]))</f>
        <v/>
      </c>
      <c r="I117" s="35">
        <f>IF($A117="","",IFERROR(AVERAGEIF(tblAkis[KaynakKartId],$A117,tblAkis[YasGun]),0))</f>
        <v/>
      </c>
    </row>
    <row r="118">
      <c r="A118" s="29" t="n"/>
      <c r="B118" s="29" t="n"/>
      <c r="C118" s="29" t="n"/>
      <c r="D118" s="29" t="n"/>
      <c r="E118" s="31" t="n"/>
      <c r="F118" s="29" t="n"/>
      <c r="G118" s="29" t="n"/>
      <c r="H118" s="35">
        <f>IF($A118="","",SUMIF(tblAkis[KaynakKartId],$A118,tblAkis[Tutar]))</f>
        <v/>
      </c>
      <c r="I118" s="35">
        <f>IF($A118="","",IFERROR(AVERAGEIF(tblAkis[KaynakKartId],$A118,tblAkis[YasGun]),0))</f>
        <v/>
      </c>
    </row>
    <row r="119">
      <c r="A119" s="29" t="n"/>
      <c r="B119" s="29" t="n"/>
      <c r="C119" s="29" t="n"/>
      <c r="D119" s="29" t="n"/>
      <c r="E119" s="31" t="n"/>
      <c r="F119" s="29" t="n"/>
      <c r="G119" s="29" t="n"/>
      <c r="H119" s="35">
        <f>IF($A119="","",SUMIF(tblAkis[KaynakKartId],$A119,tblAkis[Tutar]))</f>
        <v/>
      </c>
      <c r="I119" s="35">
        <f>IF($A119="","",IFERROR(AVERAGEIF(tblAkis[KaynakKartId],$A119,tblAkis[YasGun]),0))</f>
        <v/>
      </c>
    </row>
    <row r="120">
      <c r="A120" s="29" t="n"/>
      <c r="B120" s="29" t="n"/>
      <c r="C120" s="29" t="n"/>
      <c r="D120" s="29" t="n"/>
      <c r="E120" s="31" t="n"/>
      <c r="F120" s="29" t="n"/>
      <c r="G120" s="29" t="n"/>
      <c r="H120" s="35">
        <f>IF($A120="","",SUMIF(tblAkis[KaynakKartId],$A120,tblAkis[Tutar]))</f>
        <v/>
      </c>
      <c r="I120" s="35">
        <f>IF($A120="","",IFERROR(AVERAGEIF(tblAkis[KaynakKartId],$A120,tblAkis[YasGun]),0))</f>
        <v/>
      </c>
    </row>
    <row r="121">
      <c r="A121" s="29" t="n"/>
      <c r="B121" s="29" t="n"/>
      <c r="C121" s="29" t="n"/>
      <c r="D121" s="29" t="n"/>
      <c r="E121" s="31" t="n"/>
      <c r="F121" s="29" t="n"/>
      <c r="G121" s="29" t="n"/>
      <c r="H121" s="35">
        <f>IF($A121="","",SUMIF(tblAkis[KaynakKartId],$A121,tblAkis[Tutar]))</f>
        <v/>
      </c>
      <c r="I121" s="35">
        <f>IF($A121="","",IFERROR(AVERAGEIF(tblAkis[KaynakKartId],$A121,tblAkis[YasGun]),0))</f>
        <v/>
      </c>
    </row>
    <row r="122">
      <c r="A122" s="29" t="n"/>
      <c r="B122" s="29" t="n"/>
      <c r="C122" s="29" t="n"/>
      <c r="D122" s="29" t="n"/>
      <c r="E122" s="31" t="n"/>
      <c r="F122" s="29" t="n"/>
      <c r="G122" s="29" t="n"/>
      <c r="H122" s="35">
        <f>IF($A122="","",SUMIF(tblAkis[KaynakKartId],$A122,tblAkis[Tutar]))</f>
        <v/>
      </c>
      <c r="I122" s="35">
        <f>IF($A122="","",IFERROR(AVERAGEIF(tblAkis[KaynakKartId],$A122,tblAkis[YasGun]),0))</f>
        <v/>
      </c>
    </row>
    <row r="123">
      <c r="A123" s="29" t="n"/>
      <c r="B123" s="29" t="n"/>
      <c r="C123" s="29" t="n"/>
      <c r="D123" s="29" t="n"/>
      <c r="E123" s="31" t="n"/>
      <c r="F123" s="29" t="n"/>
      <c r="G123" s="29" t="n"/>
      <c r="H123" s="35">
        <f>IF($A123="","",SUMIF(tblAkis[KaynakKartId],$A123,tblAkis[Tutar]))</f>
        <v/>
      </c>
      <c r="I123" s="35">
        <f>IF($A123="","",IFERROR(AVERAGEIF(tblAkis[KaynakKartId],$A123,tblAkis[YasGun]),0))</f>
        <v/>
      </c>
    </row>
    <row r="124">
      <c r="A124" s="29" t="n"/>
      <c r="B124" s="29" t="n"/>
      <c r="C124" s="29" t="n"/>
      <c r="D124" s="29" t="n"/>
      <c r="E124" s="31" t="n"/>
      <c r="F124" s="29" t="n"/>
      <c r="G124" s="29" t="n"/>
      <c r="H124" s="35">
        <f>IF($A124="","",SUMIF(tblAkis[KaynakKartId],$A124,tblAkis[Tutar]))</f>
        <v/>
      </c>
      <c r="I124" s="35">
        <f>IF($A124="","",IFERROR(AVERAGEIF(tblAkis[KaynakKartId],$A124,tblAkis[YasGun]),0))</f>
        <v/>
      </c>
    </row>
    <row r="125">
      <c r="A125" s="29" t="n"/>
      <c r="B125" s="29" t="n"/>
      <c r="C125" s="29" t="n"/>
      <c r="D125" s="29" t="n"/>
      <c r="E125" s="31" t="n"/>
      <c r="F125" s="29" t="n"/>
      <c r="G125" s="29" t="n"/>
      <c r="H125" s="35">
        <f>IF($A125="","",SUMIF(tblAkis[KaynakKartId],$A125,tblAkis[Tutar]))</f>
        <v/>
      </c>
      <c r="I125" s="35">
        <f>IF($A125="","",IFERROR(AVERAGEIF(tblAkis[KaynakKartId],$A125,tblAkis[YasGun]),0))</f>
        <v/>
      </c>
    </row>
    <row r="126">
      <c r="A126" s="29" t="n"/>
      <c r="B126" s="29" t="n"/>
      <c r="C126" s="29" t="n"/>
      <c r="D126" s="29" t="n"/>
      <c r="E126" s="31" t="n"/>
      <c r="F126" s="29" t="n"/>
      <c r="G126" s="29" t="n"/>
      <c r="H126" s="35">
        <f>IF($A126="","",SUMIF(tblAkis[KaynakKartId],$A126,tblAkis[Tutar]))</f>
        <v/>
      </c>
      <c r="I126" s="35">
        <f>IF($A126="","",IFERROR(AVERAGEIF(tblAkis[KaynakKartId],$A126,tblAkis[YasGun]),0))</f>
        <v/>
      </c>
    </row>
    <row r="127">
      <c r="A127" s="29" t="n"/>
      <c r="B127" s="29" t="n"/>
      <c r="C127" s="29" t="n"/>
      <c r="D127" s="29" t="n"/>
      <c r="E127" s="31" t="n"/>
      <c r="F127" s="29" t="n"/>
      <c r="G127" s="29" t="n"/>
      <c r="H127" s="35">
        <f>IF($A127="","",SUMIF(tblAkis[KaynakKartId],$A127,tblAkis[Tutar]))</f>
        <v/>
      </c>
      <c r="I127" s="35">
        <f>IF($A127="","",IFERROR(AVERAGEIF(tblAkis[KaynakKartId],$A127,tblAkis[YasGun]),0))</f>
        <v/>
      </c>
    </row>
    <row r="128">
      <c r="A128" s="29" t="n"/>
      <c r="B128" s="29" t="n"/>
      <c r="C128" s="29" t="n"/>
      <c r="D128" s="29" t="n"/>
      <c r="E128" s="31" t="n"/>
      <c r="F128" s="29" t="n"/>
      <c r="G128" s="29" t="n"/>
      <c r="H128" s="35">
        <f>IF($A128="","",SUMIF(tblAkis[KaynakKartId],$A128,tblAkis[Tutar]))</f>
        <v/>
      </c>
      <c r="I128" s="35">
        <f>IF($A128="","",IFERROR(AVERAGEIF(tblAkis[KaynakKartId],$A128,tblAkis[YasGun]),0))</f>
        <v/>
      </c>
    </row>
    <row r="129">
      <c r="A129" s="29" t="n"/>
      <c r="B129" s="29" t="n"/>
      <c r="C129" s="29" t="n"/>
      <c r="D129" s="29" t="n"/>
      <c r="E129" s="31" t="n"/>
      <c r="F129" s="29" t="n"/>
      <c r="G129" s="29" t="n"/>
      <c r="H129" s="35">
        <f>IF($A129="","",SUMIF(tblAkis[KaynakKartId],$A129,tblAkis[Tutar]))</f>
        <v/>
      </c>
      <c r="I129" s="35">
        <f>IF($A129="","",IFERROR(AVERAGEIF(tblAkis[KaynakKartId],$A129,tblAkis[YasGun]),0))</f>
        <v/>
      </c>
    </row>
    <row r="130">
      <c r="A130" s="29" t="n"/>
      <c r="B130" s="29" t="n"/>
      <c r="C130" s="29" t="n"/>
      <c r="D130" s="29" t="n"/>
      <c r="E130" s="31" t="n"/>
      <c r="F130" s="29" t="n"/>
      <c r="G130" s="29" t="n"/>
      <c r="H130" s="35">
        <f>IF($A130="","",SUMIF(tblAkis[KaynakKartId],$A130,tblAkis[Tutar]))</f>
        <v/>
      </c>
      <c r="I130" s="35">
        <f>IF($A130="","",IFERROR(AVERAGEIF(tblAkis[KaynakKartId],$A130,tblAkis[YasGun]),0))</f>
        <v/>
      </c>
    </row>
    <row r="131">
      <c r="A131" s="29" t="n"/>
      <c r="B131" s="29" t="n"/>
      <c r="C131" s="29" t="n"/>
      <c r="D131" s="29" t="n"/>
      <c r="E131" s="31" t="n"/>
      <c r="F131" s="29" t="n"/>
      <c r="G131" s="29" t="n"/>
      <c r="H131" s="35">
        <f>IF($A131="","",SUMIF(tblAkis[KaynakKartId],$A131,tblAkis[Tutar]))</f>
        <v/>
      </c>
      <c r="I131" s="35">
        <f>IF($A131="","",IFERROR(AVERAGEIF(tblAkis[KaynakKartId],$A131,tblAkis[YasGun]),0))</f>
        <v/>
      </c>
    </row>
    <row r="132">
      <c r="A132" s="29" t="n"/>
      <c r="B132" s="29" t="n"/>
      <c r="C132" s="29" t="n"/>
      <c r="D132" s="29" t="n"/>
      <c r="E132" s="31" t="n"/>
      <c r="F132" s="29" t="n"/>
      <c r="G132" s="29" t="n"/>
      <c r="H132" s="35">
        <f>IF($A132="","",SUMIF(tblAkis[KaynakKartId],$A132,tblAkis[Tutar]))</f>
        <v/>
      </c>
      <c r="I132" s="35">
        <f>IF($A132="","",IFERROR(AVERAGEIF(tblAkis[KaynakKartId],$A132,tblAkis[YasGun]),0))</f>
        <v/>
      </c>
    </row>
    <row r="133">
      <c r="A133" s="29" t="n"/>
      <c r="B133" s="29" t="n"/>
      <c r="C133" s="29" t="n"/>
      <c r="D133" s="29" t="n"/>
      <c r="E133" s="31" t="n"/>
      <c r="F133" s="29" t="n"/>
      <c r="G133" s="29" t="n"/>
      <c r="H133" s="35">
        <f>IF($A133="","",SUMIF(tblAkis[KaynakKartId],$A133,tblAkis[Tutar]))</f>
        <v/>
      </c>
      <c r="I133" s="35">
        <f>IF($A133="","",IFERROR(AVERAGEIF(tblAkis[KaynakKartId],$A133,tblAkis[YasGun]),0))</f>
        <v/>
      </c>
    </row>
    <row r="134">
      <c r="A134" s="29" t="n"/>
      <c r="B134" s="29" t="n"/>
      <c r="C134" s="29" t="n"/>
      <c r="D134" s="29" t="n"/>
      <c r="E134" s="31" t="n"/>
      <c r="F134" s="29" t="n"/>
      <c r="G134" s="29" t="n"/>
      <c r="H134" s="35">
        <f>IF($A134="","",SUMIF(tblAkis[KaynakKartId],$A134,tblAkis[Tutar]))</f>
        <v/>
      </c>
      <c r="I134" s="35">
        <f>IF($A134="","",IFERROR(AVERAGEIF(tblAkis[KaynakKartId],$A134,tblAkis[YasGun]),0))</f>
        <v/>
      </c>
    </row>
    <row r="135">
      <c r="A135" s="29" t="n"/>
      <c r="B135" s="29" t="n"/>
      <c r="C135" s="29" t="n"/>
      <c r="D135" s="29" t="n"/>
      <c r="E135" s="31" t="n"/>
      <c r="F135" s="29" t="n"/>
      <c r="G135" s="29" t="n"/>
      <c r="H135" s="35">
        <f>IF($A135="","",SUMIF(tblAkis[KaynakKartId],$A135,tblAkis[Tutar]))</f>
        <v/>
      </c>
      <c r="I135" s="35">
        <f>IF($A135="","",IFERROR(AVERAGEIF(tblAkis[KaynakKartId],$A135,tblAkis[YasGun]),0))</f>
        <v/>
      </c>
    </row>
    <row r="136">
      <c r="A136" s="29" t="n"/>
      <c r="B136" s="29" t="n"/>
      <c r="C136" s="29" t="n"/>
      <c r="D136" s="29" t="n"/>
      <c r="E136" s="31" t="n"/>
      <c r="F136" s="29" t="n"/>
      <c r="G136" s="29" t="n"/>
      <c r="H136" s="35">
        <f>IF($A136="","",SUMIF(tblAkis[KaynakKartId],$A136,tblAkis[Tutar]))</f>
        <v/>
      </c>
      <c r="I136" s="35">
        <f>IF($A136="","",IFERROR(AVERAGEIF(tblAkis[KaynakKartId],$A136,tblAkis[YasGun]),0))</f>
        <v/>
      </c>
    </row>
    <row r="137">
      <c r="A137" s="29" t="n"/>
      <c r="B137" s="29" t="n"/>
      <c r="C137" s="29" t="n"/>
      <c r="D137" s="29" t="n"/>
      <c r="E137" s="31" t="n"/>
      <c r="F137" s="29" t="n"/>
      <c r="G137" s="29" t="n"/>
      <c r="H137" s="35">
        <f>IF($A137="","",SUMIF(tblAkis[KaynakKartId],$A137,tblAkis[Tutar]))</f>
        <v/>
      </c>
      <c r="I137" s="35">
        <f>IF($A137="","",IFERROR(AVERAGEIF(tblAkis[KaynakKartId],$A137,tblAkis[YasGun]),0))</f>
        <v/>
      </c>
    </row>
    <row r="138">
      <c r="A138" s="29" t="n"/>
      <c r="B138" s="29" t="n"/>
      <c r="C138" s="29" t="n"/>
      <c r="D138" s="29" t="n"/>
      <c r="E138" s="31" t="n"/>
      <c r="F138" s="29" t="n"/>
      <c r="G138" s="29" t="n"/>
      <c r="H138" s="35">
        <f>IF($A138="","",SUMIF(tblAkis[KaynakKartId],$A138,tblAkis[Tutar]))</f>
        <v/>
      </c>
      <c r="I138" s="35">
        <f>IF($A138="","",IFERROR(AVERAGEIF(tblAkis[KaynakKartId],$A138,tblAkis[YasGun]),0))</f>
        <v/>
      </c>
    </row>
    <row r="139">
      <c r="A139" s="29" t="n"/>
      <c r="B139" s="29" t="n"/>
      <c r="C139" s="29" t="n"/>
      <c r="D139" s="29" t="n"/>
      <c r="E139" s="31" t="n"/>
      <c r="F139" s="29" t="n"/>
      <c r="G139" s="29" t="n"/>
      <c r="H139" s="35">
        <f>IF($A139="","",SUMIF(tblAkis[KaynakKartId],$A139,tblAkis[Tutar]))</f>
        <v/>
      </c>
      <c r="I139" s="35">
        <f>IF($A139="","",IFERROR(AVERAGEIF(tblAkis[KaynakKartId],$A139,tblAkis[YasGun]),0))</f>
        <v/>
      </c>
    </row>
    <row r="140">
      <c r="A140" s="29" t="n"/>
      <c r="B140" s="29" t="n"/>
      <c r="C140" s="29" t="n"/>
      <c r="D140" s="29" t="n"/>
      <c r="E140" s="31" t="n"/>
      <c r="F140" s="29" t="n"/>
      <c r="G140" s="29" t="n"/>
      <c r="H140" s="35">
        <f>IF($A140="","",SUMIF(tblAkis[KaynakKartId],$A140,tblAkis[Tutar]))</f>
        <v/>
      </c>
      <c r="I140" s="35">
        <f>IF($A140="","",IFERROR(AVERAGEIF(tblAkis[KaynakKartId],$A140,tblAkis[YasGun]),0))</f>
        <v/>
      </c>
    </row>
    <row r="141">
      <c r="A141" s="29" t="n"/>
      <c r="B141" s="29" t="n"/>
      <c r="C141" s="29" t="n"/>
      <c r="D141" s="29" t="n"/>
      <c r="E141" s="31" t="n"/>
      <c r="F141" s="29" t="n"/>
      <c r="G141" s="29" t="n"/>
      <c r="H141" s="35">
        <f>IF($A141="","",SUMIF(tblAkis[KaynakKartId],$A141,tblAkis[Tutar]))</f>
        <v/>
      </c>
      <c r="I141" s="35">
        <f>IF($A141="","",IFERROR(AVERAGEIF(tblAkis[KaynakKartId],$A141,tblAkis[YasGun]),0))</f>
        <v/>
      </c>
    </row>
    <row r="142">
      <c r="A142" s="29" t="n"/>
      <c r="B142" s="29" t="n"/>
      <c r="C142" s="29" t="n"/>
      <c r="D142" s="29" t="n"/>
      <c r="E142" s="31" t="n"/>
      <c r="F142" s="29" t="n"/>
      <c r="G142" s="29" t="n"/>
      <c r="H142" s="35">
        <f>IF($A142="","",SUMIF(tblAkis[KaynakKartId],$A142,tblAkis[Tutar]))</f>
        <v/>
      </c>
      <c r="I142" s="35">
        <f>IF($A142="","",IFERROR(AVERAGEIF(tblAkis[KaynakKartId],$A142,tblAkis[YasGun]),0))</f>
        <v/>
      </c>
    </row>
    <row r="143">
      <c r="A143" s="29" t="n"/>
      <c r="B143" s="29" t="n"/>
      <c r="C143" s="29" t="n"/>
      <c r="D143" s="29" t="n"/>
      <c r="E143" s="31" t="n"/>
      <c r="F143" s="29" t="n"/>
      <c r="G143" s="29" t="n"/>
      <c r="H143" s="35">
        <f>IF($A143="","",SUMIF(tblAkis[KaynakKartId],$A143,tblAkis[Tutar]))</f>
        <v/>
      </c>
      <c r="I143" s="35">
        <f>IF($A143="","",IFERROR(AVERAGEIF(tblAkis[KaynakKartId],$A143,tblAkis[YasGun]),0))</f>
        <v/>
      </c>
    </row>
    <row r="144">
      <c r="A144" s="29" t="n"/>
      <c r="B144" s="29" t="n"/>
      <c r="C144" s="29" t="n"/>
      <c r="D144" s="29" t="n"/>
      <c r="E144" s="31" t="n"/>
      <c r="F144" s="29" t="n"/>
      <c r="G144" s="29" t="n"/>
      <c r="H144" s="35">
        <f>IF($A144="","",SUMIF(tblAkis[KaynakKartId],$A144,tblAkis[Tutar]))</f>
        <v/>
      </c>
      <c r="I144" s="35">
        <f>IF($A144="","",IFERROR(AVERAGEIF(tblAkis[KaynakKartId],$A144,tblAkis[YasGun]),0))</f>
        <v/>
      </c>
    </row>
    <row r="145">
      <c r="A145" s="29" t="n"/>
      <c r="B145" s="29" t="n"/>
      <c r="C145" s="29" t="n"/>
      <c r="D145" s="29" t="n"/>
      <c r="E145" s="31" t="n"/>
      <c r="F145" s="29" t="n"/>
      <c r="G145" s="29" t="n"/>
      <c r="H145" s="35">
        <f>IF($A145="","",SUMIF(tblAkis[KaynakKartId],$A145,tblAkis[Tutar]))</f>
        <v/>
      </c>
      <c r="I145" s="35">
        <f>IF($A145="","",IFERROR(AVERAGEIF(tblAkis[KaynakKartId],$A145,tblAkis[YasGun]),0))</f>
        <v/>
      </c>
    </row>
    <row r="146">
      <c r="A146" s="29" t="n"/>
      <c r="B146" s="29" t="n"/>
      <c r="C146" s="29" t="n"/>
      <c r="D146" s="29" t="n"/>
      <c r="E146" s="31" t="n"/>
      <c r="F146" s="29" t="n"/>
      <c r="G146" s="29" t="n"/>
      <c r="H146" s="35">
        <f>IF($A146="","",SUMIF(tblAkis[KaynakKartId],$A146,tblAkis[Tutar]))</f>
        <v/>
      </c>
      <c r="I146" s="35">
        <f>IF($A146="","",IFERROR(AVERAGEIF(tblAkis[KaynakKartId],$A146,tblAkis[YasGun]),0))</f>
        <v/>
      </c>
    </row>
    <row r="147">
      <c r="A147" s="29" t="n"/>
      <c r="B147" s="29" t="n"/>
      <c r="C147" s="29" t="n"/>
      <c r="D147" s="29" t="n"/>
      <c r="E147" s="31" t="n"/>
      <c r="F147" s="29" t="n"/>
      <c r="G147" s="29" t="n"/>
      <c r="H147" s="35">
        <f>IF($A147="","",SUMIF(tblAkis[KaynakKartId],$A147,tblAkis[Tutar]))</f>
        <v/>
      </c>
      <c r="I147" s="35">
        <f>IF($A147="","",IFERROR(AVERAGEIF(tblAkis[KaynakKartId],$A147,tblAkis[YasGun]),0))</f>
        <v/>
      </c>
    </row>
    <row r="148">
      <c r="A148" s="29" t="n"/>
      <c r="B148" s="29" t="n"/>
      <c r="C148" s="29" t="n"/>
      <c r="D148" s="29" t="n"/>
      <c r="E148" s="31" t="n"/>
      <c r="F148" s="29" t="n"/>
      <c r="G148" s="29" t="n"/>
      <c r="H148" s="35">
        <f>IF($A148="","",SUMIF(tblAkis[KaynakKartId],$A148,tblAkis[Tutar]))</f>
        <v/>
      </c>
      <c r="I148" s="35">
        <f>IF($A148="","",IFERROR(AVERAGEIF(tblAkis[KaynakKartId],$A148,tblAkis[YasGun]),0))</f>
        <v/>
      </c>
    </row>
    <row r="149">
      <c r="A149" s="29" t="n"/>
      <c r="B149" s="29" t="n"/>
      <c r="C149" s="29" t="n"/>
      <c r="D149" s="29" t="n"/>
      <c r="E149" s="31" t="n"/>
      <c r="F149" s="29" t="n"/>
      <c r="G149" s="29" t="n"/>
      <c r="H149" s="35">
        <f>IF($A149="","",SUMIF(tblAkis[KaynakKartId],$A149,tblAkis[Tutar]))</f>
        <v/>
      </c>
      <c r="I149" s="35">
        <f>IF($A149="","",IFERROR(AVERAGEIF(tblAkis[KaynakKartId],$A149,tblAkis[YasGun]),0))</f>
        <v/>
      </c>
    </row>
    <row r="150">
      <c r="A150" s="29" t="n"/>
      <c r="B150" s="29" t="n"/>
      <c r="C150" s="29" t="n"/>
      <c r="D150" s="29" t="n"/>
      <c r="E150" s="31" t="n"/>
      <c r="F150" s="29" t="n"/>
      <c r="G150" s="29" t="n"/>
      <c r="H150" s="35">
        <f>IF($A150="","",SUMIF(tblAkis[KaynakKartId],$A150,tblAkis[Tutar]))</f>
        <v/>
      </c>
      <c r="I150" s="35">
        <f>IF($A150="","",IFERROR(AVERAGEIF(tblAkis[KaynakKartId],$A150,tblAkis[YasGun]),0))</f>
        <v/>
      </c>
    </row>
    <row r="151">
      <c r="A151" s="29" t="n"/>
      <c r="B151" s="29" t="n"/>
      <c r="C151" s="29" t="n"/>
      <c r="D151" s="29" t="n"/>
      <c r="E151" s="31" t="n"/>
      <c r="F151" s="29" t="n"/>
      <c r="G151" s="29" t="n"/>
      <c r="H151" s="35">
        <f>IF($A151="","",SUMIF(tblAkis[KaynakKartId],$A151,tblAkis[Tutar]))</f>
        <v/>
      </c>
      <c r="I151" s="35">
        <f>IF($A151="","",IFERROR(AVERAGEIF(tblAkis[KaynakKartId],$A151,tblAkis[YasGun]),0))</f>
        <v/>
      </c>
    </row>
    <row r="152">
      <c r="A152" s="29" t="n"/>
      <c r="B152" s="29" t="n"/>
      <c r="C152" s="29" t="n"/>
      <c r="D152" s="29" t="n"/>
      <c r="E152" s="31" t="n"/>
      <c r="F152" s="29" t="n"/>
      <c r="G152" s="29" t="n"/>
      <c r="H152" s="35">
        <f>IF($A152="","",SUMIF(tblAkis[KaynakKartId],$A152,tblAkis[Tutar]))</f>
        <v/>
      </c>
      <c r="I152" s="35">
        <f>IF($A152="","",IFERROR(AVERAGEIF(tblAkis[KaynakKartId],$A152,tblAkis[YasGun]),0))</f>
        <v/>
      </c>
    </row>
    <row r="153">
      <c r="A153" s="29" t="n"/>
      <c r="B153" s="29" t="n"/>
      <c r="C153" s="29" t="n"/>
      <c r="D153" s="29" t="n"/>
      <c r="E153" s="31" t="n"/>
      <c r="F153" s="29" t="n"/>
      <c r="G153" s="29" t="n"/>
      <c r="H153" s="35">
        <f>IF($A153="","",SUMIF(tblAkis[KaynakKartId],$A153,tblAkis[Tutar]))</f>
        <v/>
      </c>
      <c r="I153" s="35">
        <f>IF($A153="","",IFERROR(AVERAGEIF(tblAkis[KaynakKartId],$A153,tblAkis[YasGun]),0))</f>
        <v/>
      </c>
    </row>
    <row r="154">
      <c r="A154" s="29" t="n"/>
      <c r="B154" s="29" t="n"/>
      <c r="C154" s="29" t="n"/>
      <c r="D154" s="29" t="n"/>
      <c r="E154" s="31" t="n"/>
      <c r="F154" s="29" t="n"/>
      <c r="G154" s="29" t="n"/>
      <c r="H154" s="35">
        <f>IF($A154="","",SUMIF(tblAkis[KaynakKartId],$A154,tblAkis[Tutar]))</f>
        <v/>
      </c>
      <c r="I154" s="35">
        <f>IF($A154="","",IFERROR(AVERAGEIF(tblAkis[KaynakKartId],$A154,tblAkis[YasGun]),0))</f>
        <v/>
      </c>
    </row>
    <row r="155">
      <c r="A155" s="29" t="n"/>
      <c r="B155" s="29" t="n"/>
      <c r="C155" s="29" t="n"/>
      <c r="D155" s="29" t="n"/>
      <c r="E155" s="31" t="n"/>
      <c r="F155" s="29" t="n"/>
      <c r="G155" s="29" t="n"/>
      <c r="H155" s="35">
        <f>IF($A155="","",SUMIF(tblAkis[KaynakKartId],$A155,tblAkis[Tutar]))</f>
        <v/>
      </c>
      <c r="I155" s="35">
        <f>IF($A155="","",IFERROR(AVERAGEIF(tblAkis[KaynakKartId],$A155,tblAkis[YasGun]),0))</f>
        <v/>
      </c>
    </row>
    <row r="156">
      <c r="A156" s="29" t="n"/>
      <c r="B156" s="29" t="n"/>
      <c r="C156" s="29" t="n"/>
      <c r="D156" s="29" t="n"/>
      <c r="E156" s="31" t="n"/>
      <c r="F156" s="29" t="n"/>
      <c r="G156" s="29" t="n"/>
      <c r="H156" s="35">
        <f>IF($A156="","",SUMIF(tblAkis[KaynakKartId],$A156,tblAkis[Tutar]))</f>
        <v/>
      </c>
      <c r="I156" s="35">
        <f>IF($A156="","",IFERROR(AVERAGEIF(tblAkis[KaynakKartId],$A156,tblAkis[YasGun]),0))</f>
        <v/>
      </c>
    </row>
    <row r="157">
      <c r="A157" s="29" t="n"/>
      <c r="B157" s="29" t="n"/>
      <c r="C157" s="29" t="n"/>
      <c r="D157" s="29" t="n"/>
      <c r="E157" s="31" t="n"/>
      <c r="F157" s="29" t="n"/>
      <c r="G157" s="29" t="n"/>
      <c r="H157" s="35">
        <f>IF($A157="","",SUMIF(tblAkis[KaynakKartId],$A157,tblAkis[Tutar]))</f>
        <v/>
      </c>
      <c r="I157" s="35">
        <f>IF($A157="","",IFERROR(AVERAGEIF(tblAkis[KaynakKartId],$A157,tblAkis[YasGun]),0))</f>
        <v/>
      </c>
    </row>
    <row r="158">
      <c r="A158" s="29" t="n"/>
      <c r="B158" s="29" t="n"/>
      <c r="C158" s="29" t="n"/>
      <c r="D158" s="29" t="n"/>
      <c r="E158" s="31" t="n"/>
      <c r="F158" s="29" t="n"/>
      <c r="G158" s="29" t="n"/>
      <c r="H158" s="35">
        <f>IF($A158="","",SUMIF(tblAkis[KaynakKartId],$A158,tblAkis[Tutar]))</f>
        <v/>
      </c>
      <c r="I158" s="35">
        <f>IF($A158="","",IFERROR(AVERAGEIF(tblAkis[KaynakKartId],$A158,tblAkis[YasGun]),0))</f>
        <v/>
      </c>
    </row>
    <row r="159">
      <c r="A159" s="29" t="n"/>
      <c r="B159" s="29" t="n"/>
      <c r="C159" s="29" t="n"/>
      <c r="D159" s="29" t="n"/>
      <c r="E159" s="31" t="n"/>
      <c r="F159" s="29" t="n"/>
      <c r="G159" s="29" t="n"/>
      <c r="H159" s="35">
        <f>IF($A159="","",SUMIF(tblAkis[KaynakKartId],$A159,tblAkis[Tutar]))</f>
        <v/>
      </c>
      <c r="I159" s="35">
        <f>IF($A159="","",IFERROR(AVERAGEIF(tblAkis[KaynakKartId],$A159,tblAkis[YasGun]),0))</f>
        <v/>
      </c>
    </row>
    <row r="160">
      <c r="A160" s="29" t="n"/>
      <c r="B160" s="29" t="n"/>
      <c r="C160" s="29" t="n"/>
      <c r="D160" s="29" t="n"/>
      <c r="E160" s="31" t="n"/>
      <c r="F160" s="29" t="n"/>
      <c r="G160" s="29" t="n"/>
      <c r="H160" s="35">
        <f>IF($A160="","",SUMIF(tblAkis[KaynakKartId],$A160,tblAkis[Tutar]))</f>
        <v/>
      </c>
      <c r="I160" s="35">
        <f>IF($A160="","",IFERROR(AVERAGEIF(tblAkis[KaynakKartId],$A160,tblAkis[YasGun]),0))</f>
        <v/>
      </c>
    </row>
    <row r="161">
      <c r="A161" s="29" t="n"/>
      <c r="B161" s="29" t="n"/>
      <c r="C161" s="29" t="n"/>
      <c r="D161" s="29" t="n"/>
      <c r="E161" s="31" t="n"/>
      <c r="F161" s="29" t="n"/>
      <c r="G161" s="29" t="n"/>
      <c r="H161" s="35">
        <f>IF($A161="","",SUMIF(tblAkis[KaynakKartId],$A161,tblAkis[Tutar]))</f>
        <v/>
      </c>
      <c r="I161" s="35">
        <f>IF($A161="","",IFERROR(AVERAGEIF(tblAkis[KaynakKartId],$A161,tblAkis[YasGun]),0))</f>
        <v/>
      </c>
    </row>
    <row r="162">
      <c r="A162" s="29" t="n"/>
      <c r="B162" s="29" t="n"/>
      <c r="C162" s="29" t="n"/>
      <c r="D162" s="29" t="n"/>
      <c r="E162" s="31" t="n"/>
      <c r="F162" s="29" t="n"/>
      <c r="G162" s="29" t="n"/>
      <c r="H162" s="35">
        <f>IF($A162="","",SUMIF(tblAkis[KaynakKartId],$A162,tblAkis[Tutar]))</f>
        <v/>
      </c>
      <c r="I162" s="35">
        <f>IF($A162="","",IFERROR(AVERAGEIF(tblAkis[KaynakKartId],$A162,tblAkis[YasGun]),0))</f>
        <v/>
      </c>
    </row>
    <row r="163">
      <c r="A163" s="29" t="n"/>
      <c r="B163" s="29" t="n"/>
      <c r="C163" s="29" t="n"/>
      <c r="D163" s="29" t="n"/>
      <c r="E163" s="31" t="n"/>
      <c r="F163" s="29" t="n"/>
      <c r="G163" s="29" t="n"/>
      <c r="H163" s="35">
        <f>IF($A163="","",SUMIF(tblAkis[KaynakKartId],$A163,tblAkis[Tutar]))</f>
        <v/>
      </c>
      <c r="I163" s="35">
        <f>IF($A163="","",IFERROR(AVERAGEIF(tblAkis[KaynakKartId],$A163,tblAkis[YasGun]),0))</f>
        <v/>
      </c>
    </row>
    <row r="164">
      <c r="A164" s="29" t="n"/>
      <c r="B164" s="29" t="n"/>
      <c r="C164" s="29" t="n"/>
      <c r="D164" s="29" t="n"/>
      <c r="E164" s="31" t="n"/>
      <c r="F164" s="29" t="n"/>
      <c r="G164" s="29" t="n"/>
      <c r="H164" s="35">
        <f>IF($A164="","",SUMIF(tblAkis[KaynakKartId],$A164,tblAkis[Tutar]))</f>
        <v/>
      </c>
      <c r="I164" s="35">
        <f>IF($A164="","",IFERROR(AVERAGEIF(tblAkis[KaynakKartId],$A164,tblAkis[YasGun]),0))</f>
        <v/>
      </c>
    </row>
    <row r="165">
      <c r="A165" s="29" t="n"/>
      <c r="B165" s="29" t="n"/>
      <c r="C165" s="29" t="n"/>
      <c r="D165" s="29" t="n"/>
      <c r="E165" s="31" t="n"/>
      <c r="F165" s="29" t="n"/>
      <c r="G165" s="29" t="n"/>
      <c r="H165" s="35">
        <f>IF($A165="","",SUMIF(tblAkis[KaynakKartId],$A165,tblAkis[Tutar]))</f>
        <v/>
      </c>
      <c r="I165" s="35">
        <f>IF($A165="","",IFERROR(AVERAGEIF(tblAkis[KaynakKartId],$A165,tblAkis[YasGun]),0))</f>
        <v/>
      </c>
    </row>
    <row r="166">
      <c r="A166" s="29" t="n"/>
      <c r="B166" s="29" t="n"/>
      <c r="C166" s="29" t="n"/>
      <c r="D166" s="29" t="n"/>
      <c r="E166" s="31" t="n"/>
      <c r="F166" s="29" t="n"/>
      <c r="G166" s="29" t="n"/>
      <c r="H166" s="35">
        <f>IF($A166="","",SUMIF(tblAkis[KaynakKartId],$A166,tblAkis[Tutar]))</f>
        <v/>
      </c>
      <c r="I166" s="35">
        <f>IF($A166="","",IFERROR(AVERAGEIF(tblAkis[KaynakKartId],$A166,tblAkis[YasGun]),0))</f>
        <v/>
      </c>
    </row>
    <row r="167">
      <c r="A167" s="29" t="n"/>
      <c r="B167" s="29" t="n"/>
      <c r="C167" s="29" t="n"/>
      <c r="D167" s="29" t="n"/>
      <c r="E167" s="31" t="n"/>
      <c r="F167" s="29" t="n"/>
      <c r="G167" s="29" t="n"/>
      <c r="H167" s="35">
        <f>IF($A167="","",SUMIF(tblAkis[KaynakKartId],$A167,tblAkis[Tutar]))</f>
        <v/>
      </c>
      <c r="I167" s="35">
        <f>IF($A167="","",IFERROR(AVERAGEIF(tblAkis[KaynakKartId],$A167,tblAkis[YasGun]),0))</f>
        <v/>
      </c>
    </row>
    <row r="168">
      <c r="A168" s="29" t="n"/>
      <c r="B168" s="29" t="n"/>
      <c r="C168" s="29" t="n"/>
      <c r="D168" s="29" t="n"/>
      <c r="E168" s="31" t="n"/>
      <c r="F168" s="29" t="n"/>
      <c r="G168" s="29" t="n"/>
      <c r="H168" s="35">
        <f>IF($A168="","",SUMIF(tblAkis[KaynakKartId],$A168,tblAkis[Tutar]))</f>
        <v/>
      </c>
      <c r="I168" s="35">
        <f>IF($A168="","",IFERROR(AVERAGEIF(tblAkis[KaynakKartId],$A168,tblAkis[YasGun]),0))</f>
        <v/>
      </c>
    </row>
    <row r="169">
      <c r="A169" s="29" t="n"/>
      <c r="B169" s="29" t="n"/>
      <c r="C169" s="29" t="n"/>
      <c r="D169" s="29" t="n"/>
      <c r="E169" s="31" t="n"/>
      <c r="F169" s="29" t="n"/>
      <c r="G169" s="29" t="n"/>
      <c r="H169" s="35">
        <f>IF($A169="","",SUMIF(tblAkis[KaynakKartId],$A169,tblAkis[Tutar]))</f>
        <v/>
      </c>
      <c r="I169" s="35">
        <f>IF($A169="","",IFERROR(AVERAGEIF(tblAkis[KaynakKartId],$A169,tblAkis[YasGun]),0))</f>
        <v/>
      </c>
    </row>
    <row r="170">
      <c r="A170" s="29" t="n"/>
      <c r="B170" s="29" t="n"/>
      <c r="C170" s="29" t="n"/>
      <c r="D170" s="29" t="n"/>
      <c r="E170" s="31" t="n"/>
      <c r="F170" s="29" t="n"/>
      <c r="G170" s="29" t="n"/>
      <c r="H170" s="35">
        <f>IF($A170="","",SUMIF(tblAkis[KaynakKartId],$A170,tblAkis[Tutar]))</f>
        <v/>
      </c>
      <c r="I170" s="35">
        <f>IF($A170="","",IFERROR(AVERAGEIF(tblAkis[KaynakKartId],$A170,tblAkis[YasGun]),0))</f>
        <v/>
      </c>
    </row>
    <row r="171">
      <c r="A171" s="29" t="n"/>
      <c r="B171" s="29" t="n"/>
      <c r="C171" s="29" t="n"/>
      <c r="D171" s="29" t="n"/>
      <c r="E171" s="31" t="n"/>
      <c r="F171" s="29" t="n"/>
      <c r="G171" s="29" t="n"/>
      <c r="H171" s="35">
        <f>IF($A171="","",SUMIF(tblAkis[KaynakKartId],$A171,tblAkis[Tutar]))</f>
        <v/>
      </c>
      <c r="I171" s="35">
        <f>IF($A171="","",IFERROR(AVERAGEIF(tblAkis[KaynakKartId],$A171,tblAkis[YasGun]),0))</f>
        <v/>
      </c>
    </row>
    <row r="172">
      <c r="A172" s="29" t="n"/>
      <c r="B172" s="29" t="n"/>
      <c r="C172" s="29" t="n"/>
      <c r="D172" s="29" t="n"/>
      <c r="E172" s="31" t="n"/>
      <c r="F172" s="29" t="n"/>
      <c r="G172" s="29" t="n"/>
      <c r="H172" s="35">
        <f>IF($A172="","",SUMIF(tblAkis[KaynakKartId],$A172,tblAkis[Tutar]))</f>
        <v/>
      </c>
      <c r="I172" s="35">
        <f>IF($A172="","",IFERROR(AVERAGEIF(tblAkis[KaynakKartId],$A172,tblAkis[YasGun]),0))</f>
        <v/>
      </c>
    </row>
    <row r="173">
      <c r="A173" s="29" t="n"/>
      <c r="B173" s="29" t="n"/>
      <c r="C173" s="29" t="n"/>
      <c r="D173" s="29" t="n"/>
      <c r="E173" s="31" t="n"/>
      <c r="F173" s="29" t="n"/>
      <c r="G173" s="29" t="n"/>
      <c r="H173" s="35">
        <f>IF($A173="","",SUMIF(tblAkis[KaynakKartId],$A173,tblAkis[Tutar]))</f>
        <v/>
      </c>
      <c r="I173" s="35">
        <f>IF($A173="","",IFERROR(AVERAGEIF(tblAkis[KaynakKartId],$A173,tblAkis[YasGun]),0))</f>
        <v/>
      </c>
    </row>
    <row r="174">
      <c r="A174" s="29" t="n"/>
      <c r="B174" s="29" t="n"/>
      <c r="C174" s="29" t="n"/>
      <c r="D174" s="29" t="n"/>
      <c r="E174" s="31" t="n"/>
      <c r="F174" s="29" t="n"/>
      <c r="G174" s="29" t="n"/>
      <c r="H174" s="35">
        <f>IF($A174="","",SUMIF(tblAkis[KaynakKartId],$A174,tblAkis[Tutar]))</f>
        <v/>
      </c>
      <c r="I174" s="35">
        <f>IF($A174="","",IFERROR(AVERAGEIF(tblAkis[KaynakKartId],$A174,tblAkis[YasGun]),0))</f>
        <v/>
      </c>
    </row>
    <row r="175">
      <c r="A175" s="29" t="n"/>
      <c r="B175" s="29" t="n"/>
      <c r="C175" s="29" t="n"/>
      <c r="D175" s="29" t="n"/>
      <c r="E175" s="31" t="n"/>
      <c r="F175" s="29" t="n"/>
      <c r="G175" s="29" t="n"/>
      <c r="H175" s="35">
        <f>IF($A175="","",SUMIF(tblAkis[KaynakKartId],$A175,tblAkis[Tutar]))</f>
        <v/>
      </c>
      <c r="I175" s="35">
        <f>IF($A175="","",IFERROR(AVERAGEIF(tblAkis[KaynakKartId],$A175,tblAkis[YasGun]),0))</f>
        <v/>
      </c>
    </row>
    <row r="176">
      <c r="A176" s="29" t="n"/>
      <c r="B176" s="29" t="n"/>
      <c r="C176" s="29" t="n"/>
      <c r="D176" s="29" t="n"/>
      <c r="E176" s="31" t="n"/>
      <c r="F176" s="29" t="n"/>
      <c r="G176" s="29" t="n"/>
      <c r="H176" s="35">
        <f>IF($A176="","",SUMIF(tblAkis[KaynakKartId],$A176,tblAkis[Tutar]))</f>
        <v/>
      </c>
      <c r="I176" s="35">
        <f>IF($A176="","",IFERROR(AVERAGEIF(tblAkis[KaynakKartId],$A176,tblAkis[YasGun]),0))</f>
        <v/>
      </c>
    </row>
    <row r="177">
      <c r="A177" s="29" t="n"/>
      <c r="B177" s="29" t="n"/>
      <c r="C177" s="29" t="n"/>
      <c r="D177" s="29" t="n"/>
      <c r="E177" s="31" t="n"/>
      <c r="F177" s="29" t="n"/>
      <c r="G177" s="29" t="n"/>
      <c r="H177" s="35">
        <f>IF($A177="","",SUMIF(tblAkis[KaynakKartId],$A177,tblAkis[Tutar]))</f>
        <v/>
      </c>
      <c r="I177" s="35">
        <f>IF($A177="","",IFERROR(AVERAGEIF(tblAkis[KaynakKartId],$A177,tblAkis[YasGun]),0))</f>
        <v/>
      </c>
    </row>
    <row r="178">
      <c r="A178" s="29" t="n"/>
      <c r="B178" s="29" t="n"/>
      <c r="C178" s="29" t="n"/>
      <c r="D178" s="29" t="n"/>
      <c r="E178" s="31" t="n"/>
      <c r="F178" s="29" t="n"/>
      <c r="G178" s="29" t="n"/>
      <c r="H178" s="35">
        <f>IF($A178="","",SUMIF(tblAkis[KaynakKartId],$A178,tblAkis[Tutar]))</f>
        <v/>
      </c>
      <c r="I178" s="35">
        <f>IF($A178="","",IFERROR(AVERAGEIF(tblAkis[KaynakKartId],$A178,tblAkis[YasGun]),0))</f>
        <v/>
      </c>
    </row>
    <row r="179">
      <c r="A179" s="29" t="n"/>
      <c r="B179" s="29" t="n"/>
      <c r="C179" s="29" t="n"/>
      <c r="D179" s="29" t="n"/>
      <c r="E179" s="31" t="n"/>
      <c r="F179" s="29" t="n"/>
      <c r="G179" s="29" t="n"/>
      <c r="H179" s="35">
        <f>IF($A179="","",SUMIF(tblAkis[KaynakKartId],$A179,tblAkis[Tutar]))</f>
        <v/>
      </c>
      <c r="I179" s="35">
        <f>IF($A179="","",IFERROR(AVERAGEIF(tblAkis[KaynakKartId],$A179,tblAkis[YasGun]),0))</f>
        <v/>
      </c>
    </row>
    <row r="180">
      <c r="A180" s="29" t="n"/>
      <c r="B180" s="29" t="n"/>
      <c r="C180" s="29" t="n"/>
      <c r="D180" s="29" t="n"/>
      <c r="E180" s="31" t="n"/>
      <c r="F180" s="29" t="n"/>
      <c r="G180" s="29" t="n"/>
      <c r="H180" s="35">
        <f>IF($A180="","",SUMIF(tblAkis[KaynakKartId],$A180,tblAkis[Tutar]))</f>
        <v/>
      </c>
      <c r="I180" s="35">
        <f>IF($A180="","",IFERROR(AVERAGEIF(tblAkis[KaynakKartId],$A180,tblAkis[YasGun]),0))</f>
        <v/>
      </c>
    </row>
    <row r="181">
      <c r="A181" s="29" t="n"/>
      <c r="B181" s="29" t="n"/>
      <c r="C181" s="29" t="n"/>
      <c r="D181" s="29" t="n"/>
      <c r="E181" s="31" t="n"/>
      <c r="F181" s="29" t="n"/>
      <c r="G181" s="29" t="n"/>
      <c r="H181" s="35">
        <f>IF($A181="","",SUMIF(tblAkis[KaynakKartId],$A181,tblAkis[Tutar]))</f>
        <v/>
      </c>
      <c r="I181" s="35">
        <f>IF($A181="","",IFERROR(AVERAGEIF(tblAkis[KaynakKartId],$A181,tblAkis[YasGun]),0))</f>
        <v/>
      </c>
    </row>
    <row r="182">
      <c r="A182" s="29" t="n"/>
      <c r="B182" s="29" t="n"/>
      <c r="C182" s="29" t="n"/>
      <c r="D182" s="29" t="n"/>
      <c r="E182" s="31" t="n"/>
      <c r="F182" s="29" t="n"/>
      <c r="G182" s="29" t="n"/>
      <c r="H182" s="35">
        <f>IF($A182="","",SUMIF(tblAkis[KaynakKartId],$A182,tblAkis[Tutar]))</f>
        <v/>
      </c>
      <c r="I182" s="35">
        <f>IF($A182="","",IFERROR(AVERAGEIF(tblAkis[KaynakKartId],$A182,tblAkis[YasGun]),0))</f>
        <v/>
      </c>
    </row>
    <row r="183">
      <c r="A183" s="29" t="n"/>
      <c r="B183" s="29" t="n"/>
      <c r="C183" s="29" t="n"/>
      <c r="D183" s="29" t="n"/>
      <c r="E183" s="31" t="n"/>
      <c r="F183" s="29" t="n"/>
      <c r="G183" s="29" t="n"/>
      <c r="H183" s="35">
        <f>IF($A183="","",SUMIF(tblAkis[KaynakKartId],$A183,tblAkis[Tutar]))</f>
        <v/>
      </c>
      <c r="I183" s="35">
        <f>IF($A183="","",IFERROR(AVERAGEIF(tblAkis[KaynakKartId],$A183,tblAkis[YasGun]),0))</f>
        <v/>
      </c>
    </row>
    <row r="184">
      <c r="A184" s="29" t="n"/>
      <c r="B184" s="29" t="n"/>
      <c r="C184" s="29" t="n"/>
      <c r="D184" s="29" t="n"/>
      <c r="E184" s="31" t="n"/>
      <c r="F184" s="29" t="n"/>
      <c r="G184" s="29" t="n"/>
      <c r="H184" s="35">
        <f>IF($A184="","",SUMIF(tblAkis[KaynakKartId],$A184,tblAkis[Tutar]))</f>
        <v/>
      </c>
      <c r="I184" s="35">
        <f>IF($A184="","",IFERROR(AVERAGEIF(tblAkis[KaynakKartId],$A184,tblAkis[YasGun]),0))</f>
        <v/>
      </c>
    </row>
    <row r="185">
      <c r="A185" s="29" t="n"/>
      <c r="B185" s="29" t="n"/>
      <c r="C185" s="29" t="n"/>
      <c r="D185" s="29" t="n"/>
      <c r="E185" s="31" t="n"/>
      <c r="F185" s="29" t="n"/>
      <c r="G185" s="29" t="n"/>
      <c r="H185" s="35">
        <f>IF($A185="","",SUMIF(tblAkis[KaynakKartId],$A185,tblAkis[Tutar]))</f>
        <v/>
      </c>
      <c r="I185" s="35">
        <f>IF($A185="","",IFERROR(AVERAGEIF(tblAkis[KaynakKartId],$A185,tblAkis[YasGun]),0))</f>
        <v/>
      </c>
    </row>
    <row r="186">
      <c r="A186" s="29" t="n"/>
      <c r="B186" s="29" t="n"/>
      <c r="C186" s="29" t="n"/>
      <c r="D186" s="29" t="n"/>
      <c r="E186" s="31" t="n"/>
      <c r="F186" s="29" t="n"/>
      <c r="G186" s="29" t="n"/>
      <c r="H186" s="35">
        <f>IF($A186="","",SUMIF(tblAkis[KaynakKartId],$A186,tblAkis[Tutar]))</f>
        <v/>
      </c>
      <c r="I186" s="35">
        <f>IF($A186="","",IFERROR(AVERAGEIF(tblAkis[KaynakKartId],$A186,tblAkis[YasGun]),0))</f>
        <v/>
      </c>
    </row>
    <row r="187">
      <c r="A187" s="29" t="n"/>
      <c r="B187" s="29" t="n"/>
      <c r="C187" s="29" t="n"/>
      <c r="D187" s="29" t="n"/>
      <c r="E187" s="31" t="n"/>
      <c r="F187" s="29" t="n"/>
      <c r="G187" s="29" t="n"/>
      <c r="H187" s="35">
        <f>IF($A187="","",SUMIF(tblAkis[KaynakKartId],$A187,tblAkis[Tutar]))</f>
        <v/>
      </c>
      <c r="I187" s="35">
        <f>IF($A187="","",IFERROR(AVERAGEIF(tblAkis[KaynakKartId],$A187,tblAkis[YasGun]),0))</f>
        <v/>
      </c>
    </row>
    <row r="188">
      <c r="A188" s="29" t="n"/>
      <c r="B188" s="29" t="n"/>
      <c r="C188" s="29" t="n"/>
      <c r="D188" s="29" t="n"/>
      <c r="E188" s="31" t="n"/>
      <c r="F188" s="29" t="n"/>
      <c r="G188" s="29" t="n"/>
      <c r="H188" s="35">
        <f>IF($A188="","",SUMIF(tblAkis[KaynakKartId],$A188,tblAkis[Tutar]))</f>
        <v/>
      </c>
      <c r="I188" s="35">
        <f>IF($A188="","",IFERROR(AVERAGEIF(tblAkis[KaynakKartId],$A188,tblAkis[YasGun]),0))</f>
        <v/>
      </c>
    </row>
    <row r="189">
      <c r="A189" s="29" t="n"/>
      <c r="B189" s="29" t="n"/>
      <c r="C189" s="29" t="n"/>
      <c r="D189" s="29" t="n"/>
      <c r="E189" s="31" t="n"/>
      <c r="F189" s="29" t="n"/>
      <c r="G189" s="29" t="n"/>
      <c r="H189" s="35">
        <f>IF($A189="","",SUMIF(tblAkis[KaynakKartId],$A189,tblAkis[Tutar]))</f>
        <v/>
      </c>
      <c r="I189" s="35">
        <f>IF($A189="","",IFERROR(AVERAGEIF(tblAkis[KaynakKartId],$A189,tblAkis[YasGun]),0))</f>
        <v/>
      </c>
    </row>
    <row r="190">
      <c r="A190" s="29" t="n"/>
      <c r="B190" s="29" t="n"/>
      <c r="C190" s="29" t="n"/>
      <c r="D190" s="29" t="n"/>
      <c r="E190" s="31" t="n"/>
      <c r="F190" s="29" t="n"/>
      <c r="G190" s="29" t="n"/>
      <c r="H190" s="35">
        <f>IF($A190="","",SUMIF(tblAkis[KaynakKartId],$A190,tblAkis[Tutar]))</f>
        <v/>
      </c>
      <c r="I190" s="35">
        <f>IF($A190="","",IFERROR(AVERAGEIF(tblAkis[KaynakKartId],$A190,tblAkis[YasGun]),0))</f>
        <v/>
      </c>
    </row>
    <row r="191">
      <c r="A191" s="29" t="n"/>
      <c r="B191" s="29" t="n"/>
      <c r="C191" s="29" t="n"/>
      <c r="D191" s="29" t="n"/>
      <c r="E191" s="31" t="n"/>
      <c r="F191" s="29" t="n"/>
      <c r="G191" s="29" t="n"/>
      <c r="H191" s="35">
        <f>IF($A191="","",SUMIF(tblAkis[KaynakKartId],$A191,tblAkis[Tutar]))</f>
        <v/>
      </c>
      <c r="I191" s="35">
        <f>IF($A191="","",IFERROR(AVERAGEIF(tblAkis[KaynakKartId],$A191,tblAkis[YasGun]),0))</f>
        <v/>
      </c>
    </row>
    <row r="192">
      <c r="A192" s="29" t="n"/>
      <c r="B192" s="29" t="n"/>
      <c r="C192" s="29" t="n"/>
      <c r="D192" s="29" t="n"/>
      <c r="E192" s="31" t="n"/>
      <c r="F192" s="29" t="n"/>
      <c r="G192" s="29" t="n"/>
      <c r="H192" s="35">
        <f>IF($A192="","",SUMIF(tblAkis[KaynakKartId],$A192,tblAkis[Tutar]))</f>
        <v/>
      </c>
      <c r="I192" s="35">
        <f>IF($A192="","",IFERROR(AVERAGEIF(tblAkis[KaynakKartId],$A192,tblAkis[YasGun]),0))</f>
        <v/>
      </c>
    </row>
    <row r="193">
      <c r="A193" s="29" t="n"/>
      <c r="B193" s="29" t="n"/>
      <c r="C193" s="29" t="n"/>
      <c r="D193" s="29" t="n"/>
      <c r="E193" s="31" t="n"/>
      <c r="F193" s="29" t="n"/>
      <c r="G193" s="29" t="n"/>
      <c r="H193" s="35">
        <f>IF($A193="","",SUMIF(tblAkis[KaynakKartId],$A193,tblAkis[Tutar]))</f>
        <v/>
      </c>
      <c r="I193" s="35">
        <f>IF($A193="","",IFERROR(AVERAGEIF(tblAkis[KaynakKartId],$A193,tblAkis[YasGun]),0))</f>
        <v/>
      </c>
    </row>
    <row r="194">
      <c r="A194" s="29" t="n"/>
      <c r="B194" s="29" t="n"/>
      <c r="C194" s="29" t="n"/>
      <c r="D194" s="29" t="n"/>
      <c r="E194" s="31" t="n"/>
      <c r="F194" s="29" t="n"/>
      <c r="G194" s="29" t="n"/>
      <c r="H194" s="35">
        <f>IF($A194="","",SUMIF(tblAkis[KaynakKartId],$A194,tblAkis[Tutar]))</f>
        <v/>
      </c>
      <c r="I194" s="35">
        <f>IF($A194="","",IFERROR(AVERAGEIF(tblAkis[KaynakKartId],$A194,tblAkis[YasGun]),0))</f>
        <v/>
      </c>
    </row>
    <row r="195">
      <c r="A195" s="29" t="n"/>
      <c r="B195" s="29" t="n"/>
      <c r="C195" s="29" t="n"/>
      <c r="D195" s="29" t="n"/>
      <c r="E195" s="31" t="n"/>
      <c r="F195" s="29" t="n"/>
      <c r="G195" s="29" t="n"/>
      <c r="H195" s="35">
        <f>IF($A195="","",SUMIF(tblAkis[KaynakKartId],$A195,tblAkis[Tutar]))</f>
        <v/>
      </c>
      <c r="I195" s="35">
        <f>IF($A195="","",IFERROR(AVERAGEIF(tblAkis[KaynakKartId],$A195,tblAkis[YasGun]),0))</f>
        <v/>
      </c>
    </row>
    <row r="196">
      <c r="A196" s="29" t="n"/>
      <c r="B196" s="29" t="n"/>
      <c r="C196" s="29" t="n"/>
      <c r="D196" s="29" t="n"/>
      <c r="E196" s="31" t="n"/>
      <c r="F196" s="29" t="n"/>
      <c r="G196" s="29" t="n"/>
      <c r="H196" s="35">
        <f>IF($A196="","",SUMIF(tblAkis[KaynakKartId],$A196,tblAkis[Tutar]))</f>
        <v/>
      </c>
      <c r="I196" s="35">
        <f>IF($A196="","",IFERROR(AVERAGEIF(tblAkis[KaynakKartId],$A196,tblAkis[YasGun]),0))</f>
        <v/>
      </c>
    </row>
    <row r="197">
      <c r="A197" s="29" t="n"/>
      <c r="B197" s="29" t="n"/>
      <c r="C197" s="29" t="n"/>
      <c r="D197" s="29" t="n"/>
      <c r="E197" s="31" t="n"/>
      <c r="F197" s="29" t="n"/>
      <c r="G197" s="29" t="n"/>
      <c r="H197" s="35">
        <f>IF($A197="","",SUMIF(tblAkis[KaynakKartId],$A197,tblAkis[Tutar]))</f>
        <v/>
      </c>
      <c r="I197" s="35">
        <f>IF($A197="","",IFERROR(AVERAGEIF(tblAkis[KaynakKartId],$A197,tblAkis[YasGun]),0))</f>
        <v/>
      </c>
    </row>
    <row r="198">
      <c r="A198" s="29" t="n"/>
      <c r="B198" s="29" t="n"/>
      <c r="C198" s="29" t="n"/>
      <c r="D198" s="29" t="n"/>
      <c r="E198" s="31" t="n"/>
      <c r="F198" s="29" t="n"/>
      <c r="G198" s="29" t="n"/>
      <c r="H198" s="35">
        <f>IF($A198="","",SUMIF(tblAkis[KaynakKartId],$A198,tblAkis[Tutar]))</f>
        <v/>
      </c>
      <c r="I198" s="35">
        <f>IF($A198="","",IFERROR(AVERAGEIF(tblAkis[KaynakKartId],$A198,tblAkis[YasGun]),0))</f>
        <v/>
      </c>
    </row>
    <row r="199">
      <c r="A199" s="29" t="n"/>
      <c r="B199" s="29" t="n"/>
      <c r="C199" s="29" t="n"/>
      <c r="D199" s="29" t="n"/>
      <c r="E199" s="31" t="n"/>
      <c r="F199" s="29" t="n"/>
      <c r="G199" s="29" t="n"/>
      <c r="H199" s="35">
        <f>IF($A199="","",SUMIF(tblAkis[KaynakKartId],$A199,tblAkis[Tutar]))</f>
        <v/>
      </c>
      <c r="I199" s="35">
        <f>IF($A199="","",IFERROR(AVERAGEIF(tblAkis[KaynakKartId],$A199,tblAkis[YasGun]),0))</f>
        <v/>
      </c>
    </row>
    <row r="200">
      <c r="A200" s="29" t="n"/>
      <c r="B200" s="29" t="n"/>
      <c r="C200" s="29" t="n"/>
      <c r="D200" s="29" t="n"/>
      <c r="E200" s="31" t="n"/>
      <c r="F200" s="29" t="n"/>
      <c r="G200" s="29" t="n"/>
      <c r="H200" s="35">
        <f>IF($A200="","",SUMIF(tblAkis[KaynakKartId],$A200,tblAkis[Tutar]))</f>
        <v/>
      </c>
      <c r="I200" s="35">
        <f>IF($A200="","",IFERROR(AVERAGEIF(tblAkis[KaynakKartId],$A200,tblAkis[YasGun]),0))</f>
        <v/>
      </c>
    </row>
    <row r="201">
      <c r="A201" s="29" t="n"/>
      <c r="B201" s="29" t="n"/>
      <c r="C201" s="29" t="n"/>
      <c r="D201" s="29" t="n"/>
      <c r="E201" s="31" t="n"/>
      <c r="F201" s="29" t="n"/>
      <c r="G201" s="29" t="n"/>
      <c r="H201" s="35">
        <f>IF($A201="","",SUMIF(tblAkis[KaynakKartId],$A201,tblAkis[Tutar]))</f>
        <v/>
      </c>
      <c r="I201" s="35">
        <f>IF($A201="","",IFERROR(AVERAGEIF(tblAkis[KaynakKartId],$A201,tblAkis[YasGun]),0))</f>
        <v/>
      </c>
    </row>
    <row r="202">
      <c r="A202" s="29" t="n"/>
      <c r="B202" s="29" t="n"/>
      <c r="C202" s="29" t="n"/>
      <c r="D202" s="29" t="n"/>
      <c r="E202" s="31" t="n"/>
      <c r="F202" s="29" t="n"/>
      <c r="G202" s="29" t="n"/>
      <c r="H202" s="35">
        <f>IF($A202="","",SUMIF(tblAkis[KaynakKartId],$A202,tblAkis[Tutar]))</f>
        <v/>
      </c>
      <c r="I202" s="35">
        <f>IF($A202="","",IFERROR(AVERAGEIF(tblAkis[KaynakKartId],$A202,tblAkis[YasGun]),0))</f>
        <v/>
      </c>
    </row>
    <row r="203">
      <c r="A203" s="29" t="n"/>
      <c r="B203" s="29" t="n"/>
      <c r="C203" s="29" t="n"/>
      <c r="D203" s="29" t="n"/>
      <c r="E203" s="31" t="n"/>
      <c r="F203" s="29" t="n"/>
      <c r="G203" s="29" t="n"/>
      <c r="H203" s="35">
        <f>IF($A203="","",SUMIF(tblAkis[KaynakKartId],$A203,tblAkis[Tutar]))</f>
        <v/>
      </c>
      <c r="I203" s="35">
        <f>IF($A203="","",IFERROR(AVERAGEIF(tblAkis[KaynakKartId],$A203,tblAkis[YasGun]),0))</f>
        <v/>
      </c>
    </row>
    <row r="204">
      <c r="A204" s="29" t="n"/>
      <c r="B204" s="29" t="n"/>
      <c r="C204" s="29" t="n"/>
      <c r="D204" s="29" t="n"/>
      <c r="E204" s="31" t="n"/>
      <c r="F204" s="29" t="n"/>
      <c r="G204" s="29" t="n"/>
      <c r="H204" s="35">
        <f>IF($A204="","",SUMIF(tblAkis[KaynakKartId],$A204,tblAkis[Tutar]))</f>
        <v/>
      </c>
      <c r="I204" s="35">
        <f>IF($A204="","",IFERROR(AVERAGEIF(tblAkis[KaynakKartId],$A204,tblAkis[YasGun]),0))</f>
        <v/>
      </c>
    </row>
    <row r="205">
      <c r="A205" s="29" t="n"/>
      <c r="B205" s="29" t="n"/>
      <c r="C205" s="29" t="n"/>
      <c r="D205" s="29" t="n"/>
      <c r="E205" s="31" t="n"/>
      <c r="F205" s="29" t="n"/>
      <c r="G205" s="29" t="n"/>
      <c r="H205" s="35">
        <f>IF($A205="","",SUMIF(tblAkis[KaynakKartId],$A205,tblAkis[Tutar]))</f>
        <v/>
      </c>
      <c r="I205" s="35">
        <f>IF($A205="","",IFERROR(AVERAGEIF(tblAkis[KaynakKartId],$A205,tblAkis[YasGun]),0))</f>
        <v/>
      </c>
    </row>
    <row r="206">
      <c r="A206" s="29" t="n"/>
      <c r="B206" s="29" t="n"/>
      <c r="C206" s="29" t="n"/>
      <c r="D206" s="29" t="n"/>
      <c r="E206" s="31" t="n"/>
      <c r="F206" s="29" t="n"/>
      <c r="G206" s="29" t="n"/>
      <c r="H206" s="35">
        <f>IF($A206="","",SUMIF(tblAkis[KaynakKartId],$A206,tblAkis[Tutar]))</f>
        <v/>
      </c>
      <c r="I206" s="35">
        <f>IF($A206="","",IFERROR(AVERAGEIF(tblAkis[KaynakKartId],$A206,tblAkis[YasGun]),0))</f>
        <v/>
      </c>
    </row>
    <row r="207">
      <c r="A207" s="29" t="n"/>
      <c r="B207" s="29" t="n"/>
      <c r="C207" s="29" t="n"/>
      <c r="D207" s="29" t="n"/>
      <c r="E207" s="31" t="n"/>
      <c r="F207" s="29" t="n"/>
      <c r="G207" s="29" t="n"/>
      <c r="H207" s="35">
        <f>IF($A207="","",SUMIF(tblAkis[KaynakKartId],$A207,tblAkis[Tutar]))</f>
        <v/>
      </c>
      <c r="I207" s="35">
        <f>IF($A207="","",IFERROR(AVERAGEIF(tblAkis[KaynakKartId],$A207,tblAkis[YasGun]),0))</f>
        <v/>
      </c>
    </row>
    <row r="208">
      <c r="A208" s="29" t="n"/>
      <c r="B208" s="29" t="n"/>
      <c r="C208" s="29" t="n"/>
      <c r="D208" s="29" t="n"/>
      <c r="E208" s="31" t="n"/>
      <c r="F208" s="29" t="n"/>
      <c r="G208" s="29" t="n"/>
      <c r="H208" s="35">
        <f>IF($A208="","",SUMIF(tblAkis[KaynakKartId],$A208,tblAkis[Tutar]))</f>
        <v/>
      </c>
      <c r="I208" s="35">
        <f>IF($A208="","",IFERROR(AVERAGEIF(tblAkis[KaynakKartId],$A208,tblAkis[YasGun]),0))</f>
        <v/>
      </c>
    </row>
    <row r="209">
      <c r="A209" s="29" t="n"/>
      <c r="B209" s="29" t="n"/>
      <c r="C209" s="29" t="n"/>
      <c r="D209" s="29" t="n"/>
      <c r="E209" s="31" t="n"/>
      <c r="F209" s="29" t="n"/>
      <c r="G209" s="29" t="n"/>
      <c r="H209" s="35">
        <f>IF($A209="","",SUMIF(tblAkis[KaynakKartId],$A209,tblAkis[Tutar]))</f>
        <v/>
      </c>
      <c r="I209" s="35">
        <f>IF($A209="","",IFERROR(AVERAGEIF(tblAkis[KaynakKartId],$A209,tblAkis[YasGun]),0))</f>
        <v/>
      </c>
    </row>
    <row r="210">
      <c r="A210" s="29" t="n"/>
      <c r="B210" s="29" t="n"/>
      <c r="C210" s="29" t="n"/>
      <c r="D210" s="29" t="n"/>
      <c r="E210" s="31" t="n"/>
      <c r="F210" s="29" t="n"/>
      <c r="G210" s="29" t="n"/>
      <c r="H210" s="35">
        <f>IF($A210="","",SUMIF(tblAkis[KaynakKartId],$A210,tblAkis[Tutar]))</f>
        <v/>
      </c>
      <c r="I210" s="35">
        <f>IF($A210="","",IFERROR(AVERAGEIF(tblAkis[KaynakKartId],$A210,tblAkis[YasGun]),0))</f>
        <v/>
      </c>
    </row>
    <row r="211">
      <c r="A211" s="29" t="n"/>
      <c r="B211" s="29" t="n"/>
      <c r="C211" s="29" t="n"/>
      <c r="D211" s="29" t="n"/>
      <c r="E211" s="31" t="n"/>
      <c r="F211" s="29" t="n"/>
      <c r="G211" s="29" t="n"/>
      <c r="H211" s="35">
        <f>IF($A211="","",SUMIF(tblAkis[KaynakKartId],$A211,tblAkis[Tutar]))</f>
        <v/>
      </c>
      <c r="I211" s="35">
        <f>IF($A211="","",IFERROR(AVERAGEIF(tblAkis[KaynakKartId],$A211,tblAkis[YasGun]),0))</f>
        <v/>
      </c>
    </row>
    <row r="212">
      <c r="A212" s="29" t="n"/>
      <c r="B212" s="29" t="n"/>
      <c r="C212" s="29" t="n"/>
      <c r="D212" s="29" t="n"/>
      <c r="E212" s="31" t="n"/>
      <c r="F212" s="29" t="n"/>
      <c r="G212" s="29" t="n"/>
      <c r="H212" s="35">
        <f>IF($A212="","",SUMIF(tblAkis[KaynakKartId],$A212,tblAkis[Tutar]))</f>
        <v/>
      </c>
      <c r="I212" s="35">
        <f>IF($A212="","",IFERROR(AVERAGEIF(tblAkis[KaynakKartId],$A212,tblAkis[YasGun]),0))</f>
        <v/>
      </c>
    </row>
    <row r="213">
      <c r="A213" s="29" t="n"/>
      <c r="B213" s="29" t="n"/>
      <c r="C213" s="29" t="n"/>
      <c r="D213" s="29" t="n"/>
      <c r="E213" s="31" t="n"/>
      <c r="F213" s="29" t="n"/>
      <c r="G213" s="29" t="n"/>
      <c r="H213" s="35">
        <f>IF($A213="","",SUMIF(tblAkis[KaynakKartId],$A213,tblAkis[Tutar]))</f>
        <v/>
      </c>
      <c r="I213" s="35">
        <f>IF($A213="","",IFERROR(AVERAGEIF(tblAkis[KaynakKartId],$A213,tblAkis[YasGun]),0))</f>
        <v/>
      </c>
    </row>
    <row r="214">
      <c r="A214" s="29" t="n"/>
      <c r="B214" s="29" t="n"/>
      <c r="C214" s="29" t="n"/>
      <c r="D214" s="29" t="n"/>
      <c r="E214" s="31" t="n"/>
      <c r="F214" s="29" t="n"/>
      <c r="G214" s="29" t="n"/>
      <c r="H214" s="35">
        <f>IF($A214="","",SUMIF(tblAkis[KaynakKartId],$A214,tblAkis[Tutar]))</f>
        <v/>
      </c>
      <c r="I214" s="35">
        <f>IF($A214="","",IFERROR(AVERAGEIF(tblAkis[KaynakKartId],$A214,tblAkis[YasGun]),0))</f>
        <v/>
      </c>
    </row>
    <row r="215">
      <c r="A215" s="29" t="n"/>
      <c r="B215" s="29" t="n"/>
      <c r="C215" s="29" t="n"/>
      <c r="D215" s="29" t="n"/>
      <c r="E215" s="31" t="n"/>
      <c r="F215" s="29" t="n"/>
      <c r="G215" s="29" t="n"/>
      <c r="H215" s="35">
        <f>IF($A215="","",SUMIF(tblAkis[KaynakKartId],$A215,tblAkis[Tutar]))</f>
        <v/>
      </c>
      <c r="I215" s="35">
        <f>IF($A215="","",IFERROR(AVERAGEIF(tblAkis[KaynakKartId],$A215,tblAkis[YasGun]),0))</f>
        <v/>
      </c>
    </row>
    <row r="216">
      <c r="A216" s="29" t="n"/>
      <c r="B216" s="29" t="n"/>
      <c r="C216" s="29" t="n"/>
      <c r="D216" s="29" t="n"/>
      <c r="E216" s="31" t="n"/>
      <c r="F216" s="29" t="n"/>
      <c r="G216" s="29" t="n"/>
      <c r="H216" s="35">
        <f>IF($A216="","",SUMIF(tblAkis[KaynakKartId],$A216,tblAkis[Tutar]))</f>
        <v/>
      </c>
      <c r="I216" s="35">
        <f>IF($A216="","",IFERROR(AVERAGEIF(tblAkis[KaynakKartId],$A216,tblAkis[YasGun]),0))</f>
        <v/>
      </c>
    </row>
    <row r="217">
      <c r="A217" s="29" t="n"/>
      <c r="B217" s="29" t="n"/>
      <c r="C217" s="29" t="n"/>
      <c r="D217" s="29" t="n"/>
      <c r="E217" s="31" t="n"/>
      <c r="F217" s="29" t="n"/>
      <c r="G217" s="29" t="n"/>
      <c r="H217" s="35">
        <f>IF($A217="","",SUMIF(tblAkis[KaynakKartId],$A217,tblAkis[Tutar]))</f>
        <v/>
      </c>
      <c r="I217" s="35">
        <f>IF($A217="","",IFERROR(AVERAGEIF(tblAkis[KaynakKartId],$A217,tblAkis[YasGun]),0))</f>
        <v/>
      </c>
    </row>
    <row r="218">
      <c r="A218" s="29" t="n"/>
      <c r="B218" s="29" t="n"/>
      <c r="C218" s="29" t="n"/>
      <c r="D218" s="29" t="n"/>
      <c r="E218" s="31" t="n"/>
      <c r="F218" s="29" t="n"/>
      <c r="G218" s="29" t="n"/>
      <c r="H218" s="35">
        <f>IF($A218="","",SUMIF(tblAkis[KaynakKartId],$A218,tblAkis[Tutar]))</f>
        <v/>
      </c>
      <c r="I218" s="35">
        <f>IF($A218="","",IFERROR(AVERAGEIF(tblAkis[KaynakKartId],$A218,tblAkis[YasGun]),0))</f>
        <v/>
      </c>
    </row>
    <row r="219">
      <c r="A219" s="29" t="n"/>
      <c r="B219" s="29" t="n"/>
      <c r="C219" s="29" t="n"/>
      <c r="D219" s="29" t="n"/>
      <c r="E219" s="31" t="n"/>
      <c r="F219" s="29" t="n"/>
      <c r="G219" s="29" t="n"/>
      <c r="H219" s="35">
        <f>IF($A219="","",SUMIF(tblAkis[KaynakKartId],$A219,tblAkis[Tutar]))</f>
        <v/>
      </c>
      <c r="I219" s="35">
        <f>IF($A219="","",IFERROR(AVERAGEIF(tblAkis[KaynakKartId],$A219,tblAkis[YasGun]),0))</f>
        <v/>
      </c>
    </row>
    <row r="220">
      <c r="A220" s="29" t="n"/>
      <c r="B220" s="29" t="n"/>
      <c r="C220" s="29" t="n"/>
      <c r="D220" s="29" t="n"/>
      <c r="E220" s="31" t="n"/>
      <c r="F220" s="29" t="n"/>
      <c r="G220" s="29" t="n"/>
      <c r="H220" s="35">
        <f>IF($A220="","",SUMIF(tblAkis[KaynakKartId],$A220,tblAkis[Tutar]))</f>
        <v/>
      </c>
      <c r="I220" s="35">
        <f>IF($A220="","",IFERROR(AVERAGEIF(tblAkis[KaynakKartId],$A220,tblAkis[YasGun]),0))</f>
        <v/>
      </c>
    </row>
    <row r="221">
      <c r="A221" s="29" t="n"/>
      <c r="B221" s="29" t="n"/>
      <c r="C221" s="29" t="n"/>
      <c r="D221" s="29" t="n"/>
      <c r="E221" s="31" t="n"/>
      <c r="F221" s="29" t="n"/>
      <c r="G221" s="29" t="n"/>
      <c r="H221" s="35">
        <f>IF($A221="","",SUMIF(tblAkis[KaynakKartId],$A221,tblAkis[Tutar]))</f>
        <v/>
      </c>
      <c r="I221" s="35">
        <f>IF($A221="","",IFERROR(AVERAGEIF(tblAkis[KaynakKartId],$A221,tblAkis[YasGun]),0))</f>
        <v/>
      </c>
    </row>
    <row r="222">
      <c r="A222" s="29" t="n"/>
      <c r="B222" s="29" t="n"/>
      <c r="C222" s="29" t="n"/>
      <c r="D222" s="29" t="n"/>
      <c r="E222" s="31" t="n"/>
      <c r="F222" s="29" t="n"/>
      <c r="G222" s="29" t="n"/>
      <c r="H222" s="35">
        <f>IF($A222="","",SUMIF(tblAkis[KaynakKartId],$A222,tblAkis[Tutar]))</f>
        <v/>
      </c>
      <c r="I222" s="35">
        <f>IF($A222="","",IFERROR(AVERAGEIF(tblAkis[KaynakKartId],$A222,tblAkis[YasGun]),0))</f>
        <v/>
      </c>
    </row>
    <row r="223">
      <c r="A223" s="29" t="n"/>
      <c r="B223" s="29" t="n"/>
      <c r="C223" s="29" t="n"/>
      <c r="D223" s="29" t="n"/>
      <c r="E223" s="31" t="n"/>
      <c r="F223" s="29" t="n"/>
      <c r="G223" s="29" t="n"/>
      <c r="H223" s="35">
        <f>IF($A223="","",SUMIF(tblAkis[KaynakKartId],$A223,tblAkis[Tutar]))</f>
        <v/>
      </c>
      <c r="I223" s="35">
        <f>IF($A223="","",IFERROR(AVERAGEIF(tblAkis[KaynakKartId],$A223,tblAkis[YasGun]),0))</f>
        <v/>
      </c>
    </row>
    <row r="224">
      <c r="A224" s="29" t="n"/>
      <c r="B224" s="29" t="n"/>
      <c r="C224" s="29" t="n"/>
      <c r="D224" s="29" t="n"/>
      <c r="E224" s="31" t="n"/>
      <c r="F224" s="29" t="n"/>
      <c r="G224" s="29" t="n"/>
      <c r="H224" s="35">
        <f>IF($A224="","",SUMIF(tblAkis[KaynakKartId],$A224,tblAkis[Tutar]))</f>
        <v/>
      </c>
      <c r="I224" s="35">
        <f>IF($A224="","",IFERROR(AVERAGEIF(tblAkis[KaynakKartId],$A224,tblAkis[YasGun]),0))</f>
        <v/>
      </c>
    </row>
    <row r="225">
      <c r="A225" s="29" t="n"/>
      <c r="B225" s="29" t="n"/>
      <c r="C225" s="29" t="n"/>
      <c r="D225" s="29" t="n"/>
      <c r="E225" s="31" t="n"/>
      <c r="F225" s="29" t="n"/>
      <c r="G225" s="29" t="n"/>
      <c r="H225" s="35">
        <f>IF($A225="","",SUMIF(tblAkis[KaynakKartId],$A225,tblAkis[Tutar]))</f>
        <v/>
      </c>
      <c r="I225" s="35">
        <f>IF($A225="","",IFERROR(AVERAGEIF(tblAkis[KaynakKartId],$A225,tblAkis[YasGun]),0))</f>
        <v/>
      </c>
    </row>
    <row r="226">
      <c r="A226" s="29" t="n"/>
      <c r="B226" s="29" t="n"/>
      <c r="C226" s="29" t="n"/>
      <c r="D226" s="29" t="n"/>
      <c r="E226" s="31" t="n"/>
      <c r="F226" s="29" t="n"/>
      <c r="G226" s="29" t="n"/>
      <c r="H226" s="35">
        <f>IF($A226="","",SUMIF(tblAkis[KaynakKartId],$A226,tblAkis[Tutar]))</f>
        <v/>
      </c>
      <c r="I226" s="35">
        <f>IF($A226="","",IFERROR(AVERAGEIF(tblAkis[KaynakKartId],$A226,tblAkis[YasGun]),0))</f>
        <v/>
      </c>
    </row>
    <row r="227">
      <c r="A227" s="29" t="n"/>
      <c r="B227" s="29" t="n"/>
      <c r="C227" s="29" t="n"/>
      <c r="D227" s="29" t="n"/>
      <c r="E227" s="31" t="n"/>
      <c r="F227" s="29" t="n"/>
      <c r="G227" s="29" t="n"/>
      <c r="H227" s="35">
        <f>IF($A227="","",SUMIF(tblAkis[KaynakKartId],$A227,tblAkis[Tutar]))</f>
        <v/>
      </c>
      <c r="I227" s="35">
        <f>IF($A227="","",IFERROR(AVERAGEIF(tblAkis[KaynakKartId],$A227,tblAkis[YasGun]),0))</f>
        <v/>
      </c>
    </row>
    <row r="228">
      <c r="A228" s="29" t="n"/>
      <c r="B228" s="29" t="n"/>
      <c r="C228" s="29" t="n"/>
      <c r="D228" s="29" t="n"/>
      <c r="E228" s="31" t="n"/>
      <c r="F228" s="29" t="n"/>
      <c r="G228" s="29" t="n"/>
      <c r="H228" s="35">
        <f>IF($A228="","",SUMIF(tblAkis[KaynakKartId],$A228,tblAkis[Tutar]))</f>
        <v/>
      </c>
      <c r="I228" s="35">
        <f>IF($A228="","",IFERROR(AVERAGEIF(tblAkis[KaynakKartId],$A228,tblAkis[YasGun]),0))</f>
        <v/>
      </c>
    </row>
    <row r="229">
      <c r="A229" s="29" t="n"/>
      <c r="B229" s="29" t="n"/>
      <c r="C229" s="29" t="n"/>
      <c r="D229" s="29" t="n"/>
      <c r="E229" s="31" t="n"/>
      <c r="F229" s="29" t="n"/>
      <c r="G229" s="29" t="n"/>
      <c r="H229" s="35">
        <f>IF($A229="","",SUMIF(tblAkis[KaynakKartId],$A229,tblAkis[Tutar]))</f>
        <v/>
      </c>
      <c r="I229" s="35">
        <f>IF($A229="","",IFERROR(AVERAGEIF(tblAkis[KaynakKartId],$A229,tblAkis[YasGun]),0))</f>
        <v/>
      </c>
    </row>
    <row r="230">
      <c r="A230" s="29" t="n"/>
      <c r="B230" s="29" t="n"/>
      <c r="C230" s="29" t="n"/>
      <c r="D230" s="29" t="n"/>
      <c r="E230" s="31" t="n"/>
      <c r="F230" s="29" t="n"/>
      <c r="G230" s="29" t="n"/>
      <c r="H230" s="35">
        <f>IF($A230="","",SUMIF(tblAkis[KaynakKartId],$A230,tblAkis[Tutar]))</f>
        <v/>
      </c>
      <c r="I230" s="35">
        <f>IF($A230="","",IFERROR(AVERAGEIF(tblAkis[KaynakKartId],$A230,tblAkis[YasGun]),0))</f>
        <v/>
      </c>
    </row>
    <row r="231">
      <c r="A231" s="29" t="n"/>
      <c r="B231" s="29" t="n"/>
      <c r="C231" s="29" t="n"/>
      <c r="D231" s="29" t="n"/>
      <c r="E231" s="31" t="n"/>
      <c r="F231" s="29" t="n"/>
      <c r="G231" s="29" t="n"/>
      <c r="H231" s="35">
        <f>IF($A231="","",SUMIF(tblAkis[KaynakKartId],$A231,tblAkis[Tutar]))</f>
        <v/>
      </c>
      <c r="I231" s="35">
        <f>IF($A231="","",IFERROR(AVERAGEIF(tblAkis[KaynakKartId],$A231,tblAkis[YasGun]),0))</f>
        <v/>
      </c>
    </row>
    <row r="232">
      <c r="A232" s="29" t="n"/>
      <c r="B232" s="29" t="n"/>
      <c r="C232" s="29" t="n"/>
      <c r="D232" s="29" t="n"/>
      <c r="E232" s="31" t="n"/>
      <c r="F232" s="29" t="n"/>
      <c r="G232" s="29" t="n"/>
      <c r="H232" s="35">
        <f>IF($A232="","",SUMIF(tblAkis[KaynakKartId],$A232,tblAkis[Tutar]))</f>
        <v/>
      </c>
      <c r="I232" s="35">
        <f>IF($A232="","",IFERROR(AVERAGEIF(tblAkis[KaynakKartId],$A232,tblAkis[YasGun]),0))</f>
        <v/>
      </c>
    </row>
    <row r="233">
      <c r="A233" s="29" t="n"/>
      <c r="B233" s="29" t="n"/>
      <c r="C233" s="29" t="n"/>
      <c r="D233" s="29" t="n"/>
      <c r="E233" s="31" t="n"/>
      <c r="F233" s="29" t="n"/>
      <c r="G233" s="29" t="n"/>
      <c r="H233" s="35">
        <f>IF($A233="","",SUMIF(tblAkis[KaynakKartId],$A233,tblAkis[Tutar]))</f>
        <v/>
      </c>
      <c r="I233" s="35">
        <f>IF($A233="","",IFERROR(AVERAGEIF(tblAkis[KaynakKartId],$A233,tblAkis[YasGun]),0))</f>
        <v/>
      </c>
    </row>
    <row r="234">
      <c r="A234" s="29" t="n"/>
      <c r="B234" s="29" t="n"/>
      <c r="C234" s="29" t="n"/>
      <c r="D234" s="29" t="n"/>
      <c r="E234" s="31" t="n"/>
      <c r="F234" s="29" t="n"/>
      <c r="G234" s="29" t="n"/>
      <c r="H234" s="35">
        <f>IF($A234="","",SUMIF(tblAkis[KaynakKartId],$A234,tblAkis[Tutar]))</f>
        <v/>
      </c>
      <c r="I234" s="35">
        <f>IF($A234="","",IFERROR(AVERAGEIF(tblAkis[KaynakKartId],$A234,tblAkis[YasGun]),0))</f>
        <v/>
      </c>
    </row>
    <row r="235">
      <c r="A235" s="29" t="n"/>
      <c r="B235" s="29" t="n"/>
      <c r="C235" s="29" t="n"/>
      <c r="D235" s="29" t="n"/>
      <c r="E235" s="31" t="n"/>
      <c r="F235" s="29" t="n"/>
      <c r="G235" s="29" t="n"/>
      <c r="H235" s="35">
        <f>IF($A235="","",SUMIF(tblAkis[KaynakKartId],$A235,tblAkis[Tutar]))</f>
        <v/>
      </c>
      <c r="I235" s="35">
        <f>IF($A235="","",IFERROR(AVERAGEIF(tblAkis[KaynakKartId],$A235,tblAkis[YasGun]),0))</f>
        <v/>
      </c>
    </row>
    <row r="236">
      <c r="A236" s="29" t="n"/>
      <c r="B236" s="29" t="n"/>
      <c r="C236" s="29" t="n"/>
      <c r="D236" s="29" t="n"/>
      <c r="E236" s="31" t="n"/>
      <c r="F236" s="29" t="n"/>
      <c r="G236" s="29" t="n"/>
      <c r="H236" s="35">
        <f>IF($A236="","",SUMIF(tblAkis[KaynakKartId],$A236,tblAkis[Tutar]))</f>
        <v/>
      </c>
      <c r="I236" s="35">
        <f>IF($A236="","",IFERROR(AVERAGEIF(tblAkis[KaynakKartId],$A236,tblAkis[YasGun]),0))</f>
        <v/>
      </c>
    </row>
    <row r="237">
      <c r="A237" s="29" t="n"/>
      <c r="B237" s="29" t="n"/>
      <c r="C237" s="29" t="n"/>
      <c r="D237" s="29" t="n"/>
      <c r="E237" s="31" t="n"/>
      <c r="F237" s="29" t="n"/>
      <c r="G237" s="29" t="n"/>
      <c r="H237" s="35">
        <f>IF($A237="","",SUMIF(tblAkis[KaynakKartId],$A237,tblAkis[Tutar]))</f>
        <v/>
      </c>
      <c r="I237" s="35">
        <f>IF($A237="","",IFERROR(AVERAGEIF(tblAkis[KaynakKartId],$A237,tblAkis[YasGun]),0))</f>
        <v/>
      </c>
    </row>
    <row r="238">
      <c r="A238" s="29" t="n"/>
      <c r="B238" s="29" t="n"/>
      <c r="C238" s="29" t="n"/>
      <c r="D238" s="29" t="n"/>
      <c r="E238" s="31" t="n"/>
      <c r="F238" s="29" t="n"/>
      <c r="G238" s="29" t="n"/>
      <c r="H238" s="35">
        <f>IF($A238="","",SUMIF(tblAkis[KaynakKartId],$A238,tblAkis[Tutar]))</f>
        <v/>
      </c>
      <c r="I238" s="35">
        <f>IF($A238="","",IFERROR(AVERAGEIF(tblAkis[KaynakKartId],$A238,tblAkis[YasGun]),0))</f>
        <v/>
      </c>
    </row>
    <row r="239">
      <c r="A239" s="29" t="n"/>
      <c r="B239" s="29" t="n"/>
      <c r="C239" s="29" t="n"/>
      <c r="D239" s="29" t="n"/>
      <c r="E239" s="31" t="n"/>
      <c r="F239" s="29" t="n"/>
      <c r="G239" s="29" t="n"/>
      <c r="H239" s="35">
        <f>IF($A239="","",SUMIF(tblAkis[KaynakKartId],$A239,tblAkis[Tutar]))</f>
        <v/>
      </c>
      <c r="I239" s="35">
        <f>IF($A239="","",IFERROR(AVERAGEIF(tblAkis[KaynakKartId],$A239,tblAkis[YasGun]),0))</f>
        <v/>
      </c>
    </row>
    <row r="240">
      <c r="A240" s="29" t="n"/>
      <c r="B240" s="29" t="n"/>
      <c r="C240" s="29" t="n"/>
      <c r="D240" s="29" t="n"/>
      <c r="E240" s="31" t="n"/>
      <c r="F240" s="29" t="n"/>
      <c r="G240" s="29" t="n"/>
      <c r="H240" s="35">
        <f>IF($A240="","",SUMIF(tblAkis[KaynakKartId],$A240,tblAkis[Tutar]))</f>
        <v/>
      </c>
      <c r="I240" s="35">
        <f>IF($A240="","",IFERROR(AVERAGEIF(tblAkis[KaynakKartId],$A240,tblAkis[YasGun]),0))</f>
        <v/>
      </c>
    </row>
    <row r="241">
      <c r="A241" s="29" t="n"/>
      <c r="B241" s="29" t="n"/>
      <c r="C241" s="29" t="n"/>
      <c r="D241" s="29" t="n"/>
      <c r="E241" s="31" t="n"/>
      <c r="F241" s="29" t="n"/>
      <c r="G241" s="29" t="n"/>
      <c r="H241" s="35">
        <f>IF($A241="","",SUMIF(tblAkis[KaynakKartId],$A241,tblAkis[Tutar]))</f>
        <v/>
      </c>
      <c r="I241" s="35">
        <f>IF($A241="","",IFERROR(AVERAGEIF(tblAkis[KaynakKartId],$A241,tblAkis[YasGun]),0))</f>
        <v/>
      </c>
    </row>
    <row r="242">
      <c r="A242" s="29" t="n"/>
      <c r="B242" s="29" t="n"/>
      <c r="C242" s="29" t="n"/>
      <c r="D242" s="29" t="n"/>
      <c r="E242" s="31" t="n"/>
      <c r="F242" s="29" t="n"/>
      <c r="G242" s="29" t="n"/>
      <c r="H242" s="35">
        <f>IF($A242="","",SUMIF(tblAkis[KaynakKartId],$A242,tblAkis[Tutar]))</f>
        <v/>
      </c>
      <c r="I242" s="35">
        <f>IF($A242="","",IFERROR(AVERAGEIF(tblAkis[KaynakKartId],$A242,tblAkis[YasGun]),0))</f>
        <v/>
      </c>
    </row>
    <row r="243">
      <c r="A243" s="29" t="n"/>
      <c r="B243" s="29" t="n"/>
      <c r="C243" s="29" t="n"/>
      <c r="D243" s="29" t="n"/>
      <c r="E243" s="31" t="n"/>
      <c r="F243" s="29" t="n"/>
      <c r="G243" s="29" t="n"/>
      <c r="H243" s="35">
        <f>IF($A243="","",SUMIF(tblAkis[KaynakKartId],$A243,tblAkis[Tutar]))</f>
        <v/>
      </c>
      <c r="I243" s="35">
        <f>IF($A243="","",IFERROR(AVERAGEIF(tblAkis[KaynakKartId],$A243,tblAkis[YasGun]),0))</f>
        <v/>
      </c>
    </row>
    <row r="244">
      <c r="A244" s="29" t="n"/>
      <c r="B244" s="29" t="n"/>
      <c r="C244" s="29" t="n"/>
      <c r="D244" s="29" t="n"/>
      <c r="E244" s="31" t="n"/>
      <c r="F244" s="29" t="n"/>
      <c r="G244" s="29" t="n"/>
      <c r="H244" s="35">
        <f>IF($A244="","",SUMIF(tblAkis[KaynakKartId],$A244,tblAkis[Tutar]))</f>
        <v/>
      </c>
      <c r="I244" s="35">
        <f>IF($A244="","",IFERROR(AVERAGEIF(tblAkis[KaynakKartId],$A244,tblAkis[YasGun]),0))</f>
        <v/>
      </c>
    </row>
    <row r="245">
      <c r="A245" s="29" t="n"/>
      <c r="B245" s="29" t="n"/>
      <c r="C245" s="29" t="n"/>
      <c r="D245" s="29" t="n"/>
      <c r="E245" s="31" t="n"/>
      <c r="F245" s="29" t="n"/>
      <c r="G245" s="29" t="n"/>
      <c r="H245" s="35">
        <f>IF($A245="","",SUMIF(tblAkis[KaynakKartId],$A245,tblAkis[Tutar]))</f>
        <v/>
      </c>
      <c r="I245" s="35">
        <f>IF($A245="","",IFERROR(AVERAGEIF(tblAkis[KaynakKartId],$A245,tblAkis[YasGun]),0))</f>
        <v/>
      </c>
    </row>
    <row r="246">
      <c r="A246" s="29" t="n"/>
      <c r="B246" s="29" t="n"/>
      <c r="C246" s="29" t="n"/>
      <c r="D246" s="29" t="n"/>
      <c r="E246" s="31" t="n"/>
      <c r="F246" s="29" t="n"/>
      <c r="G246" s="29" t="n"/>
      <c r="H246" s="35">
        <f>IF($A246="","",SUMIF(tblAkis[KaynakKartId],$A246,tblAkis[Tutar]))</f>
        <v/>
      </c>
      <c r="I246" s="35">
        <f>IF($A246="","",IFERROR(AVERAGEIF(tblAkis[KaynakKartId],$A246,tblAkis[YasGun]),0))</f>
        <v/>
      </c>
    </row>
    <row r="247">
      <c r="A247" s="29" t="n"/>
      <c r="B247" s="29" t="n"/>
      <c r="C247" s="29" t="n"/>
      <c r="D247" s="29" t="n"/>
      <c r="E247" s="31" t="n"/>
      <c r="F247" s="29" t="n"/>
      <c r="G247" s="29" t="n"/>
      <c r="H247" s="35">
        <f>IF($A247="","",SUMIF(tblAkis[KaynakKartId],$A247,tblAkis[Tutar]))</f>
        <v/>
      </c>
      <c r="I247" s="35">
        <f>IF($A247="","",IFERROR(AVERAGEIF(tblAkis[KaynakKartId],$A247,tblAkis[YasGun]),0))</f>
        <v/>
      </c>
    </row>
    <row r="248">
      <c r="A248" s="29" t="n"/>
      <c r="B248" s="29" t="n"/>
      <c r="C248" s="29" t="n"/>
      <c r="D248" s="29" t="n"/>
      <c r="E248" s="31" t="n"/>
      <c r="F248" s="29" t="n"/>
      <c r="G248" s="29" t="n"/>
      <c r="H248" s="35">
        <f>IF($A248="","",SUMIF(tblAkis[KaynakKartId],$A248,tblAkis[Tutar]))</f>
        <v/>
      </c>
      <c r="I248" s="35">
        <f>IF($A248="","",IFERROR(AVERAGEIF(tblAkis[KaynakKartId],$A248,tblAkis[YasGun]),0))</f>
        <v/>
      </c>
    </row>
    <row r="249">
      <c r="A249" s="29" t="n"/>
      <c r="B249" s="29" t="n"/>
      <c r="C249" s="29" t="n"/>
      <c r="D249" s="29" t="n"/>
      <c r="E249" s="31" t="n"/>
      <c r="F249" s="29" t="n"/>
      <c r="G249" s="29" t="n"/>
      <c r="H249" s="35">
        <f>IF($A249="","",SUMIF(tblAkis[KaynakKartId],$A249,tblAkis[Tutar]))</f>
        <v/>
      </c>
      <c r="I249" s="35">
        <f>IF($A249="","",IFERROR(AVERAGEIF(tblAkis[KaynakKartId],$A249,tblAkis[YasGun]),0))</f>
        <v/>
      </c>
    </row>
    <row r="250">
      <c r="A250" s="29" t="n"/>
      <c r="B250" s="29" t="n"/>
      <c r="C250" s="29" t="n"/>
      <c r="D250" s="29" t="n"/>
      <c r="E250" s="31" t="n"/>
      <c r="F250" s="29" t="n"/>
      <c r="G250" s="29" t="n"/>
      <c r="H250" s="35">
        <f>IF($A250="","",SUMIF(tblAkis[KaynakKartId],$A250,tblAkis[Tutar]))</f>
        <v/>
      </c>
      <c r="I250" s="35">
        <f>IF($A250="","",IFERROR(AVERAGEIF(tblAkis[KaynakKartId],$A250,tblAkis[YasGun]),0))</f>
        <v/>
      </c>
    </row>
    <row r="251">
      <c r="A251" s="29" t="n"/>
      <c r="B251" s="29" t="n"/>
      <c r="C251" s="29" t="n"/>
      <c r="D251" s="29" t="n"/>
      <c r="E251" s="31" t="n"/>
      <c r="F251" s="29" t="n"/>
      <c r="G251" s="29" t="n"/>
      <c r="H251" s="35">
        <f>IF($A251="","",SUMIF(tblAkis[KaynakKartId],$A251,tblAkis[Tutar]))</f>
        <v/>
      </c>
      <c r="I251" s="35">
        <f>IF($A251="","",IFERROR(AVERAGEIF(tblAkis[KaynakKartId],$A251,tblAkis[YasGun]),0))</f>
        <v/>
      </c>
    </row>
    <row r="252">
      <c r="A252" s="29" t="n"/>
      <c r="B252" s="29" t="n"/>
      <c r="C252" s="29" t="n"/>
      <c r="D252" s="29" t="n"/>
      <c r="E252" s="31" t="n"/>
      <c r="F252" s="29" t="n"/>
      <c r="G252" s="29" t="n"/>
      <c r="H252" s="35">
        <f>IF($A252="","",SUMIF(tblAkis[KaynakKartId],$A252,tblAkis[Tutar]))</f>
        <v/>
      </c>
      <c r="I252" s="35">
        <f>IF($A252="","",IFERROR(AVERAGEIF(tblAkis[KaynakKartId],$A252,tblAkis[YasGun]),0))</f>
        <v/>
      </c>
    </row>
    <row r="253">
      <c r="A253" s="29" t="n"/>
      <c r="B253" s="29" t="n"/>
      <c r="C253" s="29" t="n"/>
      <c r="D253" s="29" t="n"/>
      <c r="E253" s="31" t="n"/>
      <c r="F253" s="29" t="n"/>
      <c r="G253" s="29" t="n"/>
      <c r="H253" s="35">
        <f>IF($A253="","",SUMIF(tblAkis[KaynakKartId],$A253,tblAkis[Tutar]))</f>
        <v/>
      </c>
      <c r="I253" s="35">
        <f>IF($A253="","",IFERROR(AVERAGEIF(tblAkis[KaynakKartId],$A253,tblAkis[YasGun]),0))</f>
        <v/>
      </c>
    </row>
    <row r="254">
      <c r="A254" s="29" t="n"/>
      <c r="B254" s="29" t="n"/>
      <c r="C254" s="29" t="n"/>
      <c r="D254" s="29" t="n"/>
      <c r="E254" s="31" t="n"/>
      <c r="F254" s="29" t="n"/>
      <c r="G254" s="29" t="n"/>
      <c r="H254" s="35">
        <f>IF($A254="","",SUMIF(tblAkis[KaynakKartId],$A254,tblAkis[Tutar]))</f>
        <v/>
      </c>
      <c r="I254" s="35">
        <f>IF($A254="","",IFERROR(AVERAGEIF(tblAkis[KaynakKartId],$A254,tblAkis[YasGun]),0))</f>
        <v/>
      </c>
    </row>
    <row r="255">
      <c r="A255" s="29" t="n"/>
      <c r="B255" s="29" t="n"/>
      <c r="C255" s="29" t="n"/>
      <c r="D255" s="29" t="n"/>
      <c r="E255" s="31" t="n"/>
      <c r="F255" s="29" t="n"/>
      <c r="G255" s="29" t="n"/>
      <c r="H255" s="35">
        <f>IF($A255="","",SUMIF(tblAkis[KaynakKartId],$A255,tblAkis[Tutar]))</f>
        <v/>
      </c>
      <c r="I255" s="35">
        <f>IF($A255="","",IFERROR(AVERAGEIF(tblAkis[KaynakKartId],$A255,tblAkis[YasGun]),0))</f>
        <v/>
      </c>
    </row>
    <row r="256">
      <c r="A256" s="29" t="n"/>
      <c r="B256" s="29" t="n"/>
      <c r="C256" s="29" t="n"/>
      <c r="D256" s="29" t="n"/>
      <c r="E256" s="31" t="n"/>
      <c r="F256" s="29" t="n"/>
      <c r="G256" s="29" t="n"/>
      <c r="H256" s="35">
        <f>IF($A256="","",SUMIF(tblAkis[KaynakKartId],$A256,tblAkis[Tutar]))</f>
        <v/>
      </c>
      <c r="I256" s="35">
        <f>IF($A256="","",IFERROR(AVERAGEIF(tblAkis[KaynakKartId],$A256,tblAkis[YasGun]),0))</f>
        <v/>
      </c>
    </row>
    <row r="257">
      <c r="A257" s="29" t="n"/>
      <c r="B257" s="29" t="n"/>
      <c r="C257" s="29" t="n"/>
      <c r="D257" s="29" t="n"/>
      <c r="E257" s="31" t="n"/>
      <c r="F257" s="29" t="n"/>
      <c r="G257" s="29" t="n"/>
      <c r="H257" s="35">
        <f>IF($A257="","",SUMIF(tblAkis[KaynakKartId],$A257,tblAkis[Tutar]))</f>
        <v/>
      </c>
      <c r="I257" s="35">
        <f>IF($A257="","",IFERROR(AVERAGEIF(tblAkis[KaynakKartId],$A257,tblAkis[YasGun]),0))</f>
        <v/>
      </c>
    </row>
    <row r="258">
      <c r="A258" s="29" t="n"/>
      <c r="B258" s="29" t="n"/>
      <c r="C258" s="29" t="n"/>
      <c r="D258" s="29" t="n"/>
      <c r="E258" s="31" t="n"/>
      <c r="F258" s="29" t="n"/>
      <c r="G258" s="29" t="n"/>
      <c r="H258" s="35">
        <f>IF($A258="","",SUMIF(tblAkis[KaynakKartId],$A258,tblAkis[Tutar]))</f>
        <v/>
      </c>
      <c r="I258" s="35">
        <f>IF($A258="","",IFERROR(AVERAGEIF(tblAkis[KaynakKartId],$A258,tblAkis[YasGun]),0))</f>
        <v/>
      </c>
    </row>
    <row r="259">
      <c r="A259" s="29" t="n"/>
      <c r="B259" s="29" t="n"/>
      <c r="C259" s="29" t="n"/>
      <c r="D259" s="29" t="n"/>
      <c r="E259" s="31" t="n"/>
      <c r="F259" s="29" t="n"/>
      <c r="G259" s="29" t="n"/>
      <c r="H259" s="35">
        <f>IF($A259="","",SUMIF(tblAkis[KaynakKartId],$A259,tblAkis[Tutar]))</f>
        <v/>
      </c>
      <c r="I259" s="35">
        <f>IF($A259="","",IFERROR(AVERAGEIF(tblAkis[KaynakKartId],$A259,tblAkis[YasGun]),0))</f>
        <v/>
      </c>
    </row>
    <row r="260">
      <c r="A260" s="29" t="n"/>
      <c r="B260" s="29" t="n"/>
      <c r="C260" s="29" t="n"/>
      <c r="D260" s="29" t="n"/>
      <c r="E260" s="31" t="n"/>
      <c r="F260" s="29" t="n"/>
      <c r="G260" s="29" t="n"/>
      <c r="H260" s="35">
        <f>IF($A260="","",SUMIF(tblAkis[KaynakKartId],$A260,tblAkis[Tutar]))</f>
        <v/>
      </c>
      <c r="I260" s="35">
        <f>IF($A260="","",IFERROR(AVERAGEIF(tblAkis[KaynakKartId],$A260,tblAkis[YasGun]),0))</f>
        <v/>
      </c>
    </row>
    <row r="261">
      <c r="A261" s="29" t="n"/>
      <c r="B261" s="29" t="n"/>
      <c r="C261" s="29" t="n"/>
      <c r="D261" s="29" t="n"/>
      <c r="E261" s="31" t="n"/>
      <c r="F261" s="29" t="n"/>
      <c r="G261" s="29" t="n"/>
      <c r="H261" s="35">
        <f>IF($A261="","",SUMIF(tblAkis[KaynakKartId],$A261,tblAkis[Tutar]))</f>
        <v/>
      </c>
      <c r="I261" s="35">
        <f>IF($A261="","",IFERROR(AVERAGEIF(tblAkis[KaynakKartId],$A261,tblAkis[YasGun]),0))</f>
        <v/>
      </c>
    </row>
    <row r="262">
      <c r="A262" s="29" t="n"/>
      <c r="B262" s="29" t="n"/>
      <c r="C262" s="29" t="n"/>
      <c r="D262" s="29" t="n"/>
      <c r="E262" s="31" t="n"/>
      <c r="F262" s="29" t="n"/>
      <c r="G262" s="29" t="n"/>
      <c r="H262" s="35">
        <f>IF($A262="","",SUMIF(tblAkis[KaynakKartId],$A262,tblAkis[Tutar]))</f>
        <v/>
      </c>
      <c r="I262" s="35">
        <f>IF($A262="","",IFERROR(AVERAGEIF(tblAkis[KaynakKartId],$A262,tblAkis[YasGun]),0))</f>
        <v/>
      </c>
    </row>
    <row r="263">
      <c r="A263" s="29" t="n"/>
      <c r="B263" s="29" t="n"/>
      <c r="C263" s="29" t="n"/>
      <c r="D263" s="29" t="n"/>
      <c r="E263" s="31" t="n"/>
      <c r="F263" s="29" t="n"/>
      <c r="G263" s="29" t="n"/>
      <c r="H263" s="35">
        <f>IF($A263="","",SUMIF(tblAkis[KaynakKartId],$A263,tblAkis[Tutar]))</f>
        <v/>
      </c>
      <c r="I263" s="35">
        <f>IF($A263="","",IFERROR(AVERAGEIF(tblAkis[KaynakKartId],$A263,tblAkis[YasGun]),0))</f>
        <v/>
      </c>
    </row>
    <row r="264">
      <c r="A264" s="29" t="n"/>
      <c r="B264" s="29" t="n"/>
      <c r="C264" s="29" t="n"/>
      <c r="D264" s="29" t="n"/>
      <c r="E264" s="31" t="n"/>
      <c r="F264" s="29" t="n"/>
      <c r="G264" s="29" t="n"/>
      <c r="H264" s="35">
        <f>IF($A264="","",SUMIF(tblAkis[KaynakKartId],$A264,tblAkis[Tutar]))</f>
        <v/>
      </c>
      <c r="I264" s="35">
        <f>IF($A264="","",IFERROR(AVERAGEIF(tblAkis[KaynakKartId],$A264,tblAkis[YasGun]),0))</f>
        <v/>
      </c>
    </row>
    <row r="265">
      <c r="A265" s="29" t="n"/>
      <c r="B265" s="29" t="n"/>
      <c r="C265" s="29" t="n"/>
      <c r="D265" s="29" t="n"/>
      <c r="E265" s="31" t="n"/>
      <c r="F265" s="29" t="n"/>
      <c r="G265" s="29" t="n"/>
      <c r="H265" s="35">
        <f>IF($A265="","",SUMIF(tblAkis[KaynakKartId],$A265,tblAkis[Tutar]))</f>
        <v/>
      </c>
      <c r="I265" s="35">
        <f>IF($A265="","",IFERROR(AVERAGEIF(tblAkis[KaynakKartId],$A265,tblAkis[YasGun]),0))</f>
        <v/>
      </c>
    </row>
    <row r="266">
      <c r="A266" s="29" t="n"/>
      <c r="B266" s="29" t="n"/>
      <c r="C266" s="29" t="n"/>
      <c r="D266" s="29" t="n"/>
      <c r="E266" s="31" t="n"/>
      <c r="F266" s="29" t="n"/>
      <c r="G266" s="29" t="n"/>
      <c r="H266" s="35">
        <f>IF($A266="","",SUMIF(tblAkis[KaynakKartId],$A266,tblAkis[Tutar]))</f>
        <v/>
      </c>
      <c r="I266" s="35">
        <f>IF($A266="","",IFERROR(AVERAGEIF(tblAkis[KaynakKartId],$A266,tblAkis[YasGun]),0))</f>
        <v/>
      </c>
    </row>
    <row r="267">
      <c r="A267" s="29" t="n"/>
      <c r="B267" s="29" t="n"/>
      <c r="C267" s="29" t="n"/>
      <c r="D267" s="29" t="n"/>
      <c r="E267" s="31" t="n"/>
      <c r="F267" s="29" t="n"/>
      <c r="G267" s="29" t="n"/>
      <c r="H267" s="35">
        <f>IF($A267="","",SUMIF(tblAkis[KaynakKartId],$A267,tblAkis[Tutar]))</f>
        <v/>
      </c>
      <c r="I267" s="35">
        <f>IF($A267="","",IFERROR(AVERAGEIF(tblAkis[KaynakKartId],$A267,tblAkis[YasGun]),0))</f>
        <v/>
      </c>
    </row>
    <row r="268">
      <c r="A268" s="29" t="n"/>
      <c r="B268" s="29" t="n"/>
      <c r="C268" s="29" t="n"/>
      <c r="D268" s="29" t="n"/>
      <c r="E268" s="31" t="n"/>
      <c r="F268" s="29" t="n"/>
      <c r="G268" s="29" t="n"/>
      <c r="H268" s="35">
        <f>IF($A268="","",SUMIF(tblAkis[KaynakKartId],$A268,tblAkis[Tutar]))</f>
        <v/>
      </c>
      <c r="I268" s="35">
        <f>IF($A268="","",IFERROR(AVERAGEIF(tblAkis[KaynakKartId],$A268,tblAkis[YasGun]),0))</f>
        <v/>
      </c>
    </row>
    <row r="269">
      <c r="A269" s="29" t="n"/>
      <c r="B269" s="29" t="n"/>
      <c r="C269" s="29" t="n"/>
      <c r="D269" s="29" t="n"/>
      <c r="E269" s="31" t="n"/>
      <c r="F269" s="29" t="n"/>
      <c r="G269" s="29" t="n"/>
      <c r="H269" s="35">
        <f>IF($A269="","",SUMIF(tblAkis[KaynakKartId],$A269,tblAkis[Tutar]))</f>
        <v/>
      </c>
      <c r="I269" s="35">
        <f>IF($A269="","",IFERROR(AVERAGEIF(tblAkis[KaynakKartId],$A269,tblAkis[YasGun]),0))</f>
        <v/>
      </c>
    </row>
    <row r="270">
      <c r="A270" s="29" t="n"/>
      <c r="B270" s="29" t="n"/>
      <c r="C270" s="29" t="n"/>
      <c r="D270" s="29" t="n"/>
      <c r="E270" s="31" t="n"/>
      <c r="F270" s="29" t="n"/>
      <c r="G270" s="29" t="n"/>
      <c r="H270" s="35">
        <f>IF($A270="","",SUMIF(tblAkis[KaynakKartId],$A270,tblAkis[Tutar]))</f>
        <v/>
      </c>
      <c r="I270" s="35">
        <f>IF($A270="","",IFERROR(AVERAGEIF(tblAkis[KaynakKartId],$A270,tblAkis[YasGun]),0))</f>
        <v/>
      </c>
    </row>
    <row r="271">
      <c r="A271" s="29" t="n"/>
      <c r="B271" s="29" t="n"/>
      <c r="C271" s="29" t="n"/>
      <c r="D271" s="29" t="n"/>
      <c r="E271" s="31" t="n"/>
      <c r="F271" s="29" t="n"/>
      <c r="G271" s="29" t="n"/>
      <c r="H271" s="35">
        <f>IF($A271="","",SUMIF(tblAkis[KaynakKartId],$A271,tblAkis[Tutar]))</f>
        <v/>
      </c>
      <c r="I271" s="35">
        <f>IF($A271="","",IFERROR(AVERAGEIF(tblAkis[KaynakKartId],$A271,tblAkis[YasGun]),0))</f>
        <v/>
      </c>
    </row>
    <row r="272">
      <c r="A272" s="29" t="n"/>
      <c r="B272" s="29" t="n"/>
      <c r="C272" s="29" t="n"/>
      <c r="D272" s="29" t="n"/>
      <c r="E272" s="31" t="n"/>
      <c r="F272" s="29" t="n"/>
      <c r="G272" s="29" t="n"/>
      <c r="H272" s="35">
        <f>IF($A272="","",SUMIF(tblAkis[KaynakKartId],$A272,tblAkis[Tutar]))</f>
        <v/>
      </c>
      <c r="I272" s="35">
        <f>IF($A272="","",IFERROR(AVERAGEIF(tblAkis[KaynakKartId],$A272,tblAkis[YasGun]),0))</f>
        <v/>
      </c>
    </row>
    <row r="273">
      <c r="A273" s="29" t="n"/>
      <c r="B273" s="29" t="n"/>
      <c r="C273" s="29" t="n"/>
      <c r="D273" s="29" t="n"/>
      <c r="E273" s="31" t="n"/>
      <c r="F273" s="29" t="n"/>
      <c r="G273" s="29" t="n"/>
      <c r="H273" s="35">
        <f>IF($A273="","",SUMIF(tblAkis[KaynakKartId],$A273,tblAkis[Tutar]))</f>
        <v/>
      </c>
      <c r="I273" s="35">
        <f>IF($A273="","",IFERROR(AVERAGEIF(tblAkis[KaynakKartId],$A273,tblAkis[YasGun]),0))</f>
        <v/>
      </c>
    </row>
    <row r="274">
      <c r="A274" s="29" t="n"/>
      <c r="B274" s="29" t="n"/>
      <c r="C274" s="29" t="n"/>
      <c r="D274" s="29" t="n"/>
      <c r="E274" s="31" t="n"/>
      <c r="F274" s="29" t="n"/>
      <c r="G274" s="29" t="n"/>
      <c r="H274" s="35">
        <f>IF($A274="","",SUMIF(tblAkis[KaynakKartId],$A274,tblAkis[Tutar]))</f>
        <v/>
      </c>
      <c r="I274" s="35">
        <f>IF($A274="","",IFERROR(AVERAGEIF(tblAkis[KaynakKartId],$A274,tblAkis[YasGun]),0))</f>
        <v/>
      </c>
    </row>
    <row r="275">
      <c r="A275" s="29" t="n"/>
      <c r="B275" s="29" t="n"/>
      <c r="C275" s="29" t="n"/>
      <c r="D275" s="29" t="n"/>
      <c r="E275" s="31" t="n"/>
      <c r="F275" s="29" t="n"/>
      <c r="G275" s="29" t="n"/>
      <c r="H275" s="35">
        <f>IF($A275="","",SUMIF(tblAkis[KaynakKartId],$A275,tblAkis[Tutar]))</f>
        <v/>
      </c>
      <c r="I275" s="35">
        <f>IF($A275="","",IFERROR(AVERAGEIF(tblAkis[KaynakKartId],$A275,tblAkis[YasGun]),0))</f>
        <v/>
      </c>
    </row>
    <row r="276">
      <c r="A276" s="29" t="n"/>
      <c r="B276" s="29" t="n"/>
      <c r="C276" s="29" t="n"/>
      <c r="D276" s="29" t="n"/>
      <c r="E276" s="31" t="n"/>
      <c r="F276" s="29" t="n"/>
      <c r="G276" s="29" t="n"/>
      <c r="H276" s="35">
        <f>IF($A276="","",SUMIF(tblAkis[KaynakKartId],$A276,tblAkis[Tutar]))</f>
        <v/>
      </c>
      <c r="I276" s="35">
        <f>IF($A276="","",IFERROR(AVERAGEIF(tblAkis[KaynakKartId],$A276,tblAkis[YasGun]),0))</f>
        <v/>
      </c>
    </row>
    <row r="277">
      <c r="A277" s="29" t="n"/>
      <c r="B277" s="29" t="n"/>
      <c r="C277" s="29" t="n"/>
      <c r="D277" s="29" t="n"/>
      <c r="E277" s="31" t="n"/>
      <c r="F277" s="29" t="n"/>
      <c r="G277" s="29" t="n"/>
      <c r="H277" s="35">
        <f>IF($A277="","",SUMIF(tblAkis[KaynakKartId],$A277,tblAkis[Tutar]))</f>
        <v/>
      </c>
      <c r="I277" s="35">
        <f>IF($A277="","",IFERROR(AVERAGEIF(tblAkis[KaynakKartId],$A277,tblAkis[YasGun]),0))</f>
        <v/>
      </c>
    </row>
    <row r="278">
      <c r="A278" s="29" t="n"/>
      <c r="B278" s="29" t="n"/>
      <c r="C278" s="29" t="n"/>
      <c r="D278" s="29" t="n"/>
      <c r="E278" s="31" t="n"/>
      <c r="F278" s="29" t="n"/>
      <c r="G278" s="29" t="n"/>
      <c r="H278" s="35">
        <f>IF($A278="","",SUMIF(tblAkis[KaynakKartId],$A278,tblAkis[Tutar]))</f>
        <v/>
      </c>
      <c r="I278" s="35">
        <f>IF($A278="","",IFERROR(AVERAGEIF(tblAkis[KaynakKartId],$A278,tblAkis[YasGun]),0))</f>
        <v/>
      </c>
    </row>
    <row r="279">
      <c r="A279" s="29" t="n"/>
      <c r="B279" s="29" t="n"/>
      <c r="C279" s="29" t="n"/>
      <c r="D279" s="29" t="n"/>
      <c r="E279" s="31" t="n"/>
      <c r="F279" s="29" t="n"/>
      <c r="G279" s="29" t="n"/>
      <c r="H279" s="35">
        <f>IF($A279="","",SUMIF(tblAkis[KaynakKartId],$A279,tblAkis[Tutar]))</f>
        <v/>
      </c>
      <c r="I279" s="35">
        <f>IF($A279="","",IFERROR(AVERAGEIF(tblAkis[KaynakKartId],$A279,tblAkis[YasGun]),0))</f>
        <v/>
      </c>
    </row>
    <row r="280">
      <c r="A280" s="29" t="n"/>
      <c r="B280" s="29" t="n"/>
      <c r="C280" s="29" t="n"/>
      <c r="D280" s="29" t="n"/>
      <c r="E280" s="31" t="n"/>
      <c r="F280" s="29" t="n"/>
      <c r="G280" s="29" t="n"/>
      <c r="H280" s="35">
        <f>IF($A280="","",SUMIF(tblAkis[KaynakKartId],$A280,tblAkis[Tutar]))</f>
        <v/>
      </c>
      <c r="I280" s="35">
        <f>IF($A280="","",IFERROR(AVERAGEIF(tblAkis[KaynakKartId],$A280,tblAkis[YasGun]),0))</f>
        <v/>
      </c>
    </row>
    <row r="281">
      <c r="A281" s="29" t="n"/>
      <c r="B281" s="29" t="n"/>
      <c r="C281" s="29" t="n"/>
      <c r="D281" s="29" t="n"/>
      <c r="E281" s="31" t="n"/>
      <c r="F281" s="29" t="n"/>
      <c r="G281" s="29" t="n"/>
      <c r="H281" s="35">
        <f>IF($A281="","",SUMIF(tblAkis[KaynakKartId],$A281,tblAkis[Tutar]))</f>
        <v/>
      </c>
      <c r="I281" s="35">
        <f>IF($A281="","",IFERROR(AVERAGEIF(tblAkis[KaynakKartId],$A281,tblAkis[YasGun]),0))</f>
        <v/>
      </c>
    </row>
    <row r="282">
      <c r="A282" s="29" t="n"/>
      <c r="B282" s="29" t="n"/>
      <c r="C282" s="29" t="n"/>
      <c r="D282" s="29" t="n"/>
      <c r="E282" s="31" t="n"/>
      <c r="F282" s="29" t="n"/>
      <c r="G282" s="29" t="n"/>
      <c r="H282" s="35">
        <f>IF($A282="","",SUMIF(tblAkis[KaynakKartId],$A282,tblAkis[Tutar]))</f>
        <v/>
      </c>
      <c r="I282" s="35">
        <f>IF($A282="","",IFERROR(AVERAGEIF(tblAkis[KaynakKartId],$A282,tblAkis[YasGun]),0))</f>
        <v/>
      </c>
    </row>
    <row r="283">
      <c r="A283" s="29" t="n"/>
      <c r="B283" s="29" t="n"/>
      <c r="C283" s="29" t="n"/>
      <c r="D283" s="29" t="n"/>
      <c r="E283" s="31" t="n"/>
      <c r="F283" s="29" t="n"/>
      <c r="G283" s="29" t="n"/>
      <c r="H283" s="35">
        <f>IF($A283="","",SUMIF(tblAkis[KaynakKartId],$A283,tblAkis[Tutar]))</f>
        <v/>
      </c>
      <c r="I283" s="35">
        <f>IF($A283="","",IFERROR(AVERAGEIF(tblAkis[KaynakKartId],$A283,tblAkis[YasGun]),0))</f>
        <v/>
      </c>
    </row>
    <row r="284">
      <c r="A284" s="29" t="n"/>
      <c r="B284" s="29" t="n"/>
      <c r="C284" s="29" t="n"/>
      <c r="D284" s="29" t="n"/>
      <c r="E284" s="31" t="n"/>
      <c r="F284" s="29" t="n"/>
      <c r="G284" s="29" t="n"/>
      <c r="H284" s="35">
        <f>IF($A284="","",SUMIF(tblAkis[KaynakKartId],$A284,tblAkis[Tutar]))</f>
        <v/>
      </c>
      <c r="I284" s="35">
        <f>IF($A284="","",IFERROR(AVERAGEIF(tblAkis[KaynakKartId],$A284,tblAkis[YasGun]),0))</f>
        <v/>
      </c>
    </row>
    <row r="285">
      <c r="A285" s="29" t="n"/>
      <c r="B285" s="29" t="n"/>
      <c r="C285" s="29" t="n"/>
      <c r="D285" s="29" t="n"/>
      <c r="E285" s="31" t="n"/>
      <c r="F285" s="29" t="n"/>
      <c r="G285" s="29" t="n"/>
      <c r="H285" s="35">
        <f>IF($A285="","",SUMIF(tblAkis[KaynakKartId],$A285,tblAkis[Tutar]))</f>
        <v/>
      </c>
      <c r="I285" s="35">
        <f>IF($A285="","",IFERROR(AVERAGEIF(tblAkis[KaynakKartId],$A285,tblAkis[YasGun]),0))</f>
        <v/>
      </c>
    </row>
    <row r="286">
      <c r="A286" s="29" t="n"/>
      <c r="B286" s="29" t="n"/>
      <c r="C286" s="29" t="n"/>
      <c r="D286" s="29" t="n"/>
      <c r="E286" s="31" t="n"/>
      <c r="F286" s="29" t="n"/>
      <c r="G286" s="29" t="n"/>
      <c r="H286" s="35">
        <f>IF($A286="","",SUMIF(tblAkis[KaynakKartId],$A286,tblAkis[Tutar]))</f>
        <v/>
      </c>
      <c r="I286" s="35">
        <f>IF($A286="","",IFERROR(AVERAGEIF(tblAkis[KaynakKartId],$A286,tblAkis[YasGun]),0))</f>
        <v/>
      </c>
    </row>
    <row r="287">
      <c r="A287" s="29" t="n"/>
      <c r="B287" s="29" t="n"/>
      <c r="C287" s="29" t="n"/>
      <c r="D287" s="29" t="n"/>
      <c r="E287" s="31" t="n"/>
      <c r="F287" s="29" t="n"/>
      <c r="G287" s="29" t="n"/>
      <c r="H287" s="35">
        <f>IF($A287="","",SUMIF(tblAkis[KaynakKartId],$A287,tblAkis[Tutar]))</f>
        <v/>
      </c>
      <c r="I287" s="35">
        <f>IF($A287="","",IFERROR(AVERAGEIF(tblAkis[KaynakKartId],$A287,tblAkis[YasGun]),0))</f>
        <v/>
      </c>
    </row>
    <row r="288">
      <c r="A288" s="29" t="n"/>
      <c r="B288" s="29" t="n"/>
      <c r="C288" s="29" t="n"/>
      <c r="D288" s="29" t="n"/>
      <c r="E288" s="31" t="n"/>
      <c r="F288" s="29" t="n"/>
      <c r="G288" s="29" t="n"/>
      <c r="H288" s="35">
        <f>IF($A288="","",SUMIF(tblAkis[KaynakKartId],$A288,tblAkis[Tutar]))</f>
        <v/>
      </c>
      <c r="I288" s="35">
        <f>IF($A288="","",IFERROR(AVERAGEIF(tblAkis[KaynakKartId],$A288,tblAkis[YasGun]),0))</f>
        <v/>
      </c>
    </row>
    <row r="289">
      <c r="A289" s="29" t="n"/>
      <c r="B289" s="29" t="n"/>
      <c r="C289" s="29" t="n"/>
      <c r="D289" s="29" t="n"/>
      <c r="E289" s="31" t="n"/>
      <c r="F289" s="29" t="n"/>
      <c r="G289" s="29" t="n"/>
      <c r="H289" s="35">
        <f>IF($A289="","",SUMIF(tblAkis[KaynakKartId],$A289,tblAkis[Tutar]))</f>
        <v/>
      </c>
      <c r="I289" s="35">
        <f>IF($A289="","",IFERROR(AVERAGEIF(tblAkis[KaynakKartId],$A289,tblAkis[YasGun]),0))</f>
        <v/>
      </c>
    </row>
    <row r="290">
      <c r="A290" s="29" t="n"/>
      <c r="B290" s="29" t="n"/>
      <c r="C290" s="29" t="n"/>
      <c r="D290" s="29" t="n"/>
      <c r="E290" s="31" t="n"/>
      <c r="F290" s="29" t="n"/>
      <c r="G290" s="29" t="n"/>
      <c r="H290" s="35">
        <f>IF($A290="","",SUMIF(tblAkis[KaynakKartId],$A290,tblAkis[Tutar]))</f>
        <v/>
      </c>
      <c r="I290" s="35">
        <f>IF($A290="","",IFERROR(AVERAGEIF(tblAkis[KaynakKartId],$A290,tblAkis[YasGun]),0))</f>
        <v/>
      </c>
    </row>
    <row r="291">
      <c r="A291" s="29" t="n"/>
      <c r="B291" s="29" t="n"/>
      <c r="C291" s="29" t="n"/>
      <c r="D291" s="29" t="n"/>
      <c r="E291" s="31" t="n"/>
      <c r="F291" s="29" t="n"/>
      <c r="G291" s="29" t="n"/>
      <c r="H291" s="35">
        <f>IF($A291="","",SUMIF(tblAkis[KaynakKartId],$A291,tblAkis[Tutar]))</f>
        <v/>
      </c>
      <c r="I291" s="35">
        <f>IF($A291="","",IFERROR(AVERAGEIF(tblAkis[KaynakKartId],$A291,tblAkis[YasGun]),0))</f>
        <v/>
      </c>
    </row>
    <row r="292">
      <c r="A292" s="29" t="n"/>
      <c r="B292" s="29" t="n"/>
      <c r="C292" s="29" t="n"/>
      <c r="D292" s="29" t="n"/>
      <c r="E292" s="31" t="n"/>
      <c r="F292" s="29" t="n"/>
      <c r="G292" s="29" t="n"/>
      <c r="H292" s="35">
        <f>IF($A292="","",SUMIF(tblAkis[KaynakKartId],$A292,tblAkis[Tutar]))</f>
        <v/>
      </c>
      <c r="I292" s="35">
        <f>IF($A292="","",IFERROR(AVERAGEIF(tblAkis[KaynakKartId],$A292,tblAkis[YasGun]),0))</f>
        <v/>
      </c>
    </row>
    <row r="293">
      <c r="A293" s="29" t="n"/>
      <c r="B293" s="29" t="n"/>
      <c r="C293" s="29" t="n"/>
      <c r="D293" s="29" t="n"/>
      <c r="E293" s="31" t="n"/>
      <c r="F293" s="29" t="n"/>
      <c r="G293" s="29" t="n"/>
      <c r="H293" s="35">
        <f>IF($A293="","",SUMIF(tblAkis[KaynakKartId],$A293,tblAkis[Tutar]))</f>
        <v/>
      </c>
      <c r="I293" s="35">
        <f>IF($A293="","",IFERROR(AVERAGEIF(tblAkis[KaynakKartId],$A293,tblAkis[YasGun]),0))</f>
        <v/>
      </c>
    </row>
    <row r="294">
      <c r="A294" s="29" t="n"/>
      <c r="B294" s="29" t="n"/>
      <c r="C294" s="29" t="n"/>
      <c r="D294" s="29" t="n"/>
      <c r="E294" s="31" t="n"/>
      <c r="F294" s="29" t="n"/>
      <c r="G294" s="29" t="n"/>
      <c r="H294" s="35">
        <f>IF($A294="","",SUMIF(tblAkis[KaynakKartId],$A294,tblAkis[Tutar]))</f>
        <v/>
      </c>
      <c r="I294" s="35">
        <f>IF($A294="","",IFERROR(AVERAGEIF(tblAkis[KaynakKartId],$A294,tblAkis[YasGun]),0))</f>
        <v/>
      </c>
    </row>
    <row r="295">
      <c r="A295" s="29" t="n"/>
      <c r="B295" s="29" t="n"/>
      <c r="C295" s="29" t="n"/>
      <c r="D295" s="29" t="n"/>
      <c r="E295" s="31" t="n"/>
      <c r="F295" s="29" t="n"/>
      <c r="G295" s="29" t="n"/>
      <c r="H295" s="35">
        <f>IF($A295="","",SUMIF(tblAkis[KaynakKartId],$A295,tblAkis[Tutar]))</f>
        <v/>
      </c>
      <c r="I295" s="35">
        <f>IF($A295="","",IFERROR(AVERAGEIF(tblAkis[KaynakKartId],$A295,tblAkis[YasGun]),0))</f>
        <v/>
      </c>
    </row>
    <row r="296">
      <c r="A296" s="29" t="n"/>
      <c r="B296" s="29" t="n"/>
      <c r="C296" s="29" t="n"/>
      <c r="D296" s="29" t="n"/>
      <c r="E296" s="31" t="n"/>
      <c r="F296" s="29" t="n"/>
      <c r="G296" s="29" t="n"/>
      <c r="H296" s="35">
        <f>IF($A296="","",SUMIF(tblAkis[KaynakKartId],$A296,tblAkis[Tutar]))</f>
        <v/>
      </c>
      <c r="I296" s="35">
        <f>IF($A296="","",IFERROR(AVERAGEIF(tblAkis[KaynakKartId],$A296,tblAkis[YasGun]),0))</f>
        <v/>
      </c>
    </row>
    <row r="297">
      <c r="A297" s="29" t="n"/>
      <c r="B297" s="29" t="n"/>
      <c r="C297" s="29" t="n"/>
      <c r="D297" s="29" t="n"/>
      <c r="E297" s="31" t="n"/>
      <c r="F297" s="29" t="n"/>
      <c r="G297" s="29" t="n"/>
      <c r="H297" s="35">
        <f>IF($A297="","",SUMIF(tblAkis[KaynakKartId],$A297,tblAkis[Tutar]))</f>
        <v/>
      </c>
      <c r="I297" s="35">
        <f>IF($A297="","",IFERROR(AVERAGEIF(tblAkis[KaynakKartId],$A297,tblAkis[YasGun]),0))</f>
        <v/>
      </c>
    </row>
    <row r="298">
      <c r="A298" s="29" t="n"/>
      <c r="B298" s="29" t="n"/>
      <c r="C298" s="29" t="n"/>
      <c r="D298" s="29" t="n"/>
      <c r="E298" s="31" t="n"/>
      <c r="F298" s="29" t="n"/>
      <c r="G298" s="29" t="n"/>
      <c r="H298" s="35">
        <f>IF($A298="","",SUMIF(tblAkis[KaynakKartId],$A298,tblAkis[Tutar]))</f>
        <v/>
      </c>
      <c r="I298" s="35">
        <f>IF($A298="","",IFERROR(AVERAGEIF(tblAkis[KaynakKartId],$A298,tblAkis[YasGun]),0))</f>
        <v/>
      </c>
    </row>
    <row r="299">
      <c r="A299" s="29" t="n"/>
      <c r="B299" s="29" t="n"/>
      <c r="C299" s="29" t="n"/>
      <c r="D299" s="29" t="n"/>
      <c r="E299" s="31" t="n"/>
      <c r="F299" s="29" t="n"/>
      <c r="G299" s="29" t="n"/>
      <c r="H299" s="35">
        <f>IF($A299="","",SUMIF(tblAkis[KaynakKartId],$A299,tblAkis[Tutar]))</f>
        <v/>
      </c>
      <c r="I299" s="35">
        <f>IF($A299="","",IFERROR(AVERAGEIF(tblAkis[KaynakKartId],$A299,tblAkis[YasGun]),0))</f>
        <v/>
      </c>
    </row>
    <row r="300">
      <c r="A300" s="29" t="n"/>
      <c r="B300" s="29" t="n"/>
      <c r="C300" s="29" t="n"/>
      <c r="D300" s="29" t="n"/>
      <c r="E300" s="31" t="n"/>
      <c r="F300" s="29" t="n"/>
      <c r="G300" s="29" t="n"/>
      <c r="H300" s="35">
        <f>IF($A300="","",SUMIF(tblAkis[KaynakKartId],$A300,tblAkis[Tutar]))</f>
        <v/>
      </c>
      <c r="I300" s="35">
        <f>IF($A300="","",IFERROR(AVERAGEIF(tblAkis[KaynakKartId],$A300,tblAkis[YasGun]),0))</f>
        <v/>
      </c>
    </row>
    <row r="301">
      <c r="A301" s="29" t="n"/>
      <c r="B301" s="29" t="n"/>
      <c r="C301" s="29" t="n"/>
      <c r="D301" s="29" t="n"/>
      <c r="E301" s="31" t="n"/>
      <c r="F301" s="29" t="n"/>
      <c r="G301" s="29" t="n"/>
      <c r="H301" s="35">
        <f>IF($A301="","",SUMIF(tblAkis[KaynakKartId],$A301,tblAkis[Tutar]))</f>
        <v/>
      </c>
      <c r="I301" s="35">
        <f>IF($A301="","",IFERROR(AVERAGEIF(tblAkis[KaynakKartId],$A301,tblAkis[YasGun]),0))</f>
        <v/>
      </c>
    </row>
    <row r="302">
      <c r="A302" s="29" t="n"/>
      <c r="B302" s="29" t="n"/>
      <c r="C302" s="29" t="n"/>
      <c r="D302" s="29" t="n"/>
      <c r="E302" s="31" t="n"/>
      <c r="F302" s="29" t="n"/>
      <c r="G302" s="29" t="n"/>
      <c r="H302" s="35">
        <f>IF($A302="","",SUMIF(tblAkis[KaynakKartId],$A302,tblAkis[Tutar]))</f>
        <v/>
      </c>
      <c r="I302" s="35">
        <f>IF($A302="","",IFERROR(AVERAGEIF(tblAkis[KaynakKartId],$A302,tblAkis[YasGun]),0))</f>
        <v/>
      </c>
    </row>
    <row r="303">
      <c r="A303" s="29" t="n"/>
      <c r="B303" s="29" t="n"/>
      <c r="C303" s="29" t="n"/>
      <c r="D303" s="29" t="n"/>
      <c r="E303" s="31" t="n"/>
      <c r="F303" s="29" t="n"/>
      <c r="G303" s="29" t="n"/>
      <c r="H303" s="35">
        <f>IF($A303="","",SUMIF(tblAkis[KaynakKartId],$A303,tblAkis[Tutar]))</f>
        <v/>
      </c>
      <c r="I303" s="35">
        <f>IF($A303="","",IFERROR(AVERAGEIF(tblAkis[KaynakKartId],$A303,tblAkis[YasGun]),0))</f>
        <v/>
      </c>
    </row>
    <row r="304">
      <c r="A304" s="29" t="n"/>
      <c r="B304" s="29" t="n"/>
      <c r="C304" s="29" t="n"/>
      <c r="D304" s="29" t="n"/>
      <c r="E304" s="31" t="n"/>
      <c r="F304" s="29" t="n"/>
      <c r="G304" s="29" t="n"/>
      <c r="H304" s="35">
        <f>IF($A304="","",SUMIF(tblAkis[KaynakKartId],$A304,tblAkis[Tutar]))</f>
        <v/>
      </c>
      <c r="I304" s="35">
        <f>IF($A304="","",IFERROR(AVERAGEIF(tblAkis[KaynakKartId],$A304,tblAkis[YasGun]),0))</f>
        <v/>
      </c>
    </row>
    <row r="305">
      <c r="A305" s="29" t="n"/>
      <c r="B305" s="29" t="n"/>
      <c r="C305" s="29" t="n"/>
      <c r="D305" s="29" t="n"/>
      <c r="E305" s="31" t="n"/>
      <c r="F305" s="29" t="n"/>
      <c r="G305" s="29" t="n"/>
      <c r="H305" s="35">
        <f>IF($A305="","",SUMIF(tblAkis[KaynakKartId],$A305,tblAkis[Tutar]))</f>
        <v/>
      </c>
      <c r="I305" s="35">
        <f>IF($A305="","",IFERROR(AVERAGEIF(tblAkis[KaynakKartId],$A305,tblAkis[YasGun]),0))</f>
        <v/>
      </c>
    </row>
    <row r="306">
      <c r="A306" s="29" t="n"/>
      <c r="B306" s="29" t="n"/>
      <c r="C306" s="29" t="n"/>
      <c r="D306" s="29" t="n"/>
      <c r="E306" s="31" t="n"/>
      <c r="F306" s="29" t="n"/>
      <c r="G306" s="29" t="n"/>
      <c r="H306" s="35">
        <f>IF($A306="","",SUMIF(tblAkis[KaynakKartId],$A306,tblAkis[Tutar]))</f>
        <v/>
      </c>
      <c r="I306" s="35">
        <f>IF($A306="","",IFERROR(AVERAGEIF(tblAkis[KaynakKartId],$A306,tblAkis[YasGun]),0))</f>
        <v/>
      </c>
    </row>
    <row r="307">
      <c r="A307" s="29" t="n"/>
      <c r="B307" s="29" t="n"/>
      <c r="C307" s="29" t="n"/>
      <c r="D307" s="29" t="n"/>
      <c r="E307" s="31" t="n"/>
      <c r="F307" s="29" t="n"/>
      <c r="G307" s="29" t="n"/>
      <c r="H307" s="35">
        <f>IF($A307="","",SUMIF(tblAkis[KaynakKartId],$A307,tblAkis[Tutar]))</f>
        <v/>
      </c>
      <c r="I307" s="35">
        <f>IF($A307="","",IFERROR(AVERAGEIF(tblAkis[KaynakKartId],$A307,tblAkis[YasGun]),0))</f>
        <v/>
      </c>
    </row>
    <row r="308">
      <c r="A308" s="29" t="n"/>
      <c r="B308" s="29" t="n"/>
      <c r="C308" s="29" t="n"/>
      <c r="D308" s="29" t="n"/>
      <c r="E308" s="31" t="n"/>
      <c r="F308" s="29" t="n"/>
      <c r="G308" s="29" t="n"/>
      <c r="H308" s="35">
        <f>IF($A308="","",SUMIF(tblAkis[KaynakKartId],$A308,tblAkis[Tutar]))</f>
        <v/>
      </c>
      <c r="I308" s="35">
        <f>IF($A308="","",IFERROR(AVERAGEIF(tblAkis[KaynakKartId],$A308,tblAkis[YasGun]),0))</f>
        <v/>
      </c>
    </row>
    <row r="309">
      <c r="A309" s="29" t="n"/>
      <c r="B309" s="29" t="n"/>
      <c r="C309" s="29" t="n"/>
      <c r="D309" s="29" t="n"/>
      <c r="E309" s="31" t="n"/>
      <c r="F309" s="29" t="n"/>
      <c r="G309" s="29" t="n"/>
      <c r="H309" s="35">
        <f>IF($A309="","",SUMIF(tblAkis[KaynakKartId],$A309,tblAkis[Tutar]))</f>
        <v/>
      </c>
      <c r="I309" s="35">
        <f>IF($A309="","",IFERROR(AVERAGEIF(tblAkis[KaynakKartId],$A309,tblAkis[YasGun]),0))</f>
        <v/>
      </c>
    </row>
    <row r="310">
      <c r="A310" s="29" t="n"/>
      <c r="B310" s="29" t="n"/>
      <c r="C310" s="29" t="n"/>
      <c r="D310" s="29" t="n"/>
      <c r="E310" s="31" t="n"/>
      <c r="F310" s="29" t="n"/>
      <c r="G310" s="29" t="n"/>
      <c r="H310" s="35">
        <f>IF($A310="","",SUMIF(tblAkis[KaynakKartId],$A310,tblAkis[Tutar]))</f>
        <v/>
      </c>
      <c r="I310" s="35">
        <f>IF($A310="","",IFERROR(AVERAGEIF(tblAkis[KaynakKartId],$A310,tblAkis[YasGun]),0))</f>
        <v/>
      </c>
    </row>
    <row r="311">
      <c r="A311" s="29" t="n"/>
      <c r="B311" s="29" t="n"/>
      <c r="C311" s="29" t="n"/>
      <c r="D311" s="29" t="n"/>
      <c r="E311" s="31" t="n"/>
      <c r="F311" s="29" t="n"/>
      <c r="G311" s="29" t="n"/>
      <c r="H311" s="35">
        <f>IF($A311="","",SUMIF(tblAkis[KaynakKartId],$A311,tblAkis[Tutar]))</f>
        <v/>
      </c>
      <c r="I311" s="35">
        <f>IF($A311="","",IFERROR(AVERAGEIF(tblAkis[KaynakKartId],$A311,tblAkis[YasGun]),0))</f>
        <v/>
      </c>
    </row>
    <row r="312">
      <c r="A312" s="29" t="n"/>
      <c r="B312" s="29" t="n"/>
      <c r="C312" s="29" t="n"/>
      <c r="D312" s="29" t="n"/>
      <c r="E312" s="31" t="n"/>
      <c r="F312" s="29" t="n"/>
      <c r="G312" s="29" t="n"/>
      <c r="H312" s="35">
        <f>IF($A312="","",SUMIF(tblAkis[KaynakKartId],$A312,tblAkis[Tutar]))</f>
        <v/>
      </c>
      <c r="I312" s="35">
        <f>IF($A312="","",IFERROR(AVERAGEIF(tblAkis[KaynakKartId],$A312,tblAkis[YasGun]),0))</f>
        <v/>
      </c>
    </row>
    <row r="313">
      <c r="A313" s="29" t="n"/>
      <c r="B313" s="29" t="n"/>
      <c r="C313" s="29" t="n"/>
      <c r="D313" s="29" t="n"/>
      <c r="E313" s="31" t="n"/>
      <c r="F313" s="29" t="n"/>
      <c r="G313" s="29" t="n"/>
      <c r="H313" s="35">
        <f>IF($A313="","",SUMIF(tblAkis[KaynakKartId],$A313,tblAkis[Tutar]))</f>
        <v/>
      </c>
      <c r="I313" s="35">
        <f>IF($A313="","",IFERROR(AVERAGEIF(tblAkis[KaynakKartId],$A313,tblAkis[YasGun]),0))</f>
        <v/>
      </c>
    </row>
    <row r="314">
      <c r="A314" s="29" t="n"/>
      <c r="B314" s="29" t="n"/>
      <c r="C314" s="29" t="n"/>
      <c r="D314" s="29" t="n"/>
      <c r="E314" s="31" t="n"/>
      <c r="F314" s="29" t="n"/>
      <c r="G314" s="29" t="n"/>
      <c r="H314" s="35">
        <f>IF($A314="","",SUMIF(tblAkis[KaynakKartId],$A314,tblAkis[Tutar]))</f>
        <v/>
      </c>
      <c r="I314" s="35">
        <f>IF($A314="","",IFERROR(AVERAGEIF(tblAkis[KaynakKartId],$A314,tblAkis[YasGun]),0))</f>
        <v/>
      </c>
    </row>
    <row r="315">
      <c r="A315" s="29" t="n"/>
      <c r="B315" s="29" t="n"/>
      <c r="C315" s="29" t="n"/>
      <c r="D315" s="29" t="n"/>
      <c r="E315" s="31" t="n"/>
      <c r="F315" s="29" t="n"/>
      <c r="G315" s="29" t="n"/>
      <c r="H315" s="35">
        <f>IF($A315="","",SUMIF(tblAkis[KaynakKartId],$A315,tblAkis[Tutar]))</f>
        <v/>
      </c>
      <c r="I315" s="35">
        <f>IF($A315="","",IFERROR(AVERAGEIF(tblAkis[KaynakKartId],$A315,tblAkis[YasGun]),0))</f>
        <v/>
      </c>
    </row>
    <row r="316">
      <c r="A316" s="29" t="n"/>
      <c r="B316" s="29" t="n"/>
      <c r="C316" s="29" t="n"/>
      <c r="D316" s="29" t="n"/>
      <c r="E316" s="31" t="n"/>
      <c r="F316" s="29" t="n"/>
      <c r="G316" s="29" t="n"/>
      <c r="H316" s="35">
        <f>IF($A316="","",SUMIF(tblAkis[KaynakKartId],$A316,tblAkis[Tutar]))</f>
        <v/>
      </c>
      <c r="I316" s="35">
        <f>IF($A316="","",IFERROR(AVERAGEIF(tblAkis[KaynakKartId],$A316,tblAkis[YasGun]),0))</f>
        <v/>
      </c>
    </row>
    <row r="317">
      <c r="A317" s="29" t="n"/>
      <c r="B317" s="29" t="n"/>
      <c r="C317" s="29" t="n"/>
      <c r="D317" s="29" t="n"/>
      <c r="E317" s="31" t="n"/>
      <c r="F317" s="29" t="n"/>
      <c r="G317" s="29" t="n"/>
      <c r="H317" s="35">
        <f>IF($A317="","",SUMIF(tblAkis[KaynakKartId],$A317,tblAkis[Tutar]))</f>
        <v/>
      </c>
      <c r="I317" s="35">
        <f>IF($A317="","",IFERROR(AVERAGEIF(tblAkis[KaynakKartId],$A317,tblAkis[YasGun]),0))</f>
        <v/>
      </c>
    </row>
    <row r="318">
      <c r="A318" s="29" t="n"/>
      <c r="B318" s="29" t="n"/>
      <c r="C318" s="29" t="n"/>
      <c r="D318" s="29" t="n"/>
      <c r="E318" s="31" t="n"/>
      <c r="F318" s="29" t="n"/>
      <c r="G318" s="29" t="n"/>
      <c r="H318" s="35">
        <f>IF($A318="","",SUMIF(tblAkis[KaynakKartId],$A318,tblAkis[Tutar]))</f>
        <v/>
      </c>
      <c r="I318" s="35">
        <f>IF($A318="","",IFERROR(AVERAGEIF(tblAkis[KaynakKartId],$A318,tblAkis[YasGun]),0))</f>
        <v/>
      </c>
    </row>
    <row r="319">
      <c r="A319" s="29" t="n"/>
      <c r="B319" s="29" t="n"/>
      <c r="C319" s="29" t="n"/>
      <c r="D319" s="29" t="n"/>
      <c r="E319" s="31" t="n"/>
      <c r="F319" s="29" t="n"/>
      <c r="G319" s="29" t="n"/>
      <c r="H319" s="35">
        <f>IF($A319="","",SUMIF(tblAkis[KaynakKartId],$A319,tblAkis[Tutar]))</f>
        <v/>
      </c>
      <c r="I319" s="35">
        <f>IF($A319="","",IFERROR(AVERAGEIF(tblAkis[KaynakKartId],$A319,tblAkis[YasGun]),0))</f>
        <v/>
      </c>
    </row>
    <row r="320">
      <c r="A320" s="29" t="n"/>
      <c r="B320" s="29" t="n"/>
      <c r="C320" s="29" t="n"/>
      <c r="D320" s="29" t="n"/>
      <c r="E320" s="31" t="n"/>
      <c r="F320" s="29" t="n"/>
      <c r="G320" s="29" t="n"/>
      <c r="H320" s="35">
        <f>IF($A320="","",SUMIF(tblAkis[KaynakKartId],$A320,tblAkis[Tutar]))</f>
        <v/>
      </c>
      <c r="I320" s="35">
        <f>IF($A320="","",IFERROR(AVERAGEIF(tblAkis[KaynakKartId],$A320,tblAkis[YasGun]),0))</f>
        <v/>
      </c>
    </row>
    <row r="321">
      <c r="A321" s="29" t="n"/>
      <c r="B321" s="29" t="n"/>
      <c r="C321" s="29" t="n"/>
      <c r="D321" s="29" t="n"/>
      <c r="E321" s="31" t="n"/>
      <c r="F321" s="29" t="n"/>
      <c r="G321" s="29" t="n"/>
      <c r="H321" s="35">
        <f>IF($A321="","",SUMIF(tblAkis[KaynakKartId],$A321,tblAkis[Tutar]))</f>
        <v/>
      </c>
      <c r="I321" s="35">
        <f>IF($A321="","",IFERROR(AVERAGEIF(tblAkis[KaynakKartId],$A321,tblAkis[YasGun]),0))</f>
        <v/>
      </c>
    </row>
    <row r="322">
      <c r="A322" s="29" t="n"/>
      <c r="B322" s="29" t="n"/>
      <c r="C322" s="29" t="n"/>
      <c r="D322" s="29" t="n"/>
      <c r="E322" s="31" t="n"/>
      <c r="F322" s="29" t="n"/>
      <c r="G322" s="29" t="n"/>
      <c r="H322" s="35">
        <f>IF($A322="","",SUMIF(tblAkis[KaynakKartId],$A322,tblAkis[Tutar]))</f>
        <v/>
      </c>
      <c r="I322" s="35">
        <f>IF($A322="","",IFERROR(AVERAGEIF(tblAkis[KaynakKartId],$A322,tblAkis[YasGun]),0))</f>
        <v/>
      </c>
    </row>
    <row r="323">
      <c r="A323" s="29" t="n"/>
      <c r="B323" s="29" t="n"/>
      <c r="C323" s="29" t="n"/>
      <c r="D323" s="29" t="n"/>
      <c r="E323" s="31" t="n"/>
      <c r="F323" s="29" t="n"/>
      <c r="G323" s="29" t="n"/>
      <c r="H323" s="35">
        <f>IF($A323="","",SUMIF(tblAkis[KaynakKartId],$A323,tblAkis[Tutar]))</f>
        <v/>
      </c>
      <c r="I323" s="35">
        <f>IF($A323="","",IFERROR(AVERAGEIF(tblAkis[KaynakKartId],$A323,tblAkis[YasGun]),0))</f>
        <v/>
      </c>
    </row>
    <row r="324">
      <c r="A324" s="29" t="n"/>
      <c r="B324" s="29" t="n"/>
      <c r="C324" s="29" t="n"/>
      <c r="D324" s="29" t="n"/>
      <c r="E324" s="31" t="n"/>
      <c r="F324" s="29" t="n"/>
      <c r="G324" s="29" t="n"/>
      <c r="H324" s="35">
        <f>IF($A324="","",SUMIF(tblAkis[KaynakKartId],$A324,tblAkis[Tutar]))</f>
        <v/>
      </c>
      <c r="I324" s="35">
        <f>IF($A324="","",IFERROR(AVERAGEIF(tblAkis[KaynakKartId],$A324,tblAkis[YasGun]),0))</f>
        <v/>
      </c>
    </row>
    <row r="325">
      <c r="A325" s="29" t="n"/>
      <c r="B325" s="29" t="n"/>
      <c r="C325" s="29" t="n"/>
      <c r="D325" s="29" t="n"/>
      <c r="E325" s="31" t="n"/>
      <c r="F325" s="29" t="n"/>
      <c r="G325" s="29" t="n"/>
      <c r="H325" s="35">
        <f>IF($A325="","",SUMIF(tblAkis[KaynakKartId],$A325,tblAkis[Tutar]))</f>
        <v/>
      </c>
      <c r="I325" s="35">
        <f>IF($A325="","",IFERROR(AVERAGEIF(tblAkis[KaynakKartId],$A325,tblAkis[YasGun]),0))</f>
        <v/>
      </c>
    </row>
    <row r="326">
      <c r="A326" s="29" t="n"/>
      <c r="B326" s="29" t="n"/>
      <c r="C326" s="29" t="n"/>
      <c r="D326" s="29" t="n"/>
      <c r="E326" s="31" t="n"/>
      <c r="F326" s="29" t="n"/>
      <c r="G326" s="29" t="n"/>
      <c r="H326" s="35">
        <f>IF($A326="","",SUMIF(tblAkis[KaynakKartId],$A326,tblAkis[Tutar]))</f>
        <v/>
      </c>
      <c r="I326" s="35">
        <f>IF($A326="","",IFERROR(AVERAGEIF(tblAkis[KaynakKartId],$A326,tblAkis[YasGun]),0))</f>
        <v/>
      </c>
    </row>
    <row r="327">
      <c r="A327" s="29" t="n"/>
      <c r="B327" s="29" t="n"/>
      <c r="C327" s="29" t="n"/>
      <c r="D327" s="29" t="n"/>
      <c r="E327" s="31" t="n"/>
      <c r="F327" s="29" t="n"/>
      <c r="G327" s="29" t="n"/>
      <c r="H327" s="35">
        <f>IF($A327="","",SUMIF(tblAkis[KaynakKartId],$A327,tblAkis[Tutar]))</f>
        <v/>
      </c>
      <c r="I327" s="35">
        <f>IF($A327="","",IFERROR(AVERAGEIF(tblAkis[KaynakKartId],$A327,tblAkis[YasGun]),0))</f>
        <v/>
      </c>
    </row>
    <row r="328">
      <c r="A328" s="29" t="n"/>
      <c r="B328" s="29" t="n"/>
      <c r="C328" s="29" t="n"/>
      <c r="D328" s="29" t="n"/>
      <c r="E328" s="31" t="n"/>
      <c r="F328" s="29" t="n"/>
      <c r="G328" s="29" t="n"/>
      <c r="H328" s="35">
        <f>IF($A328="","",SUMIF(tblAkis[KaynakKartId],$A328,tblAkis[Tutar]))</f>
        <v/>
      </c>
      <c r="I328" s="35">
        <f>IF($A328="","",IFERROR(AVERAGEIF(tblAkis[KaynakKartId],$A328,tblAkis[YasGun]),0))</f>
        <v/>
      </c>
    </row>
    <row r="329">
      <c r="A329" s="29" t="n"/>
      <c r="B329" s="29" t="n"/>
      <c r="C329" s="29" t="n"/>
      <c r="D329" s="29" t="n"/>
      <c r="E329" s="31" t="n"/>
      <c r="F329" s="29" t="n"/>
      <c r="G329" s="29" t="n"/>
      <c r="H329" s="35">
        <f>IF($A329="","",SUMIF(tblAkis[KaynakKartId],$A329,tblAkis[Tutar]))</f>
        <v/>
      </c>
      <c r="I329" s="35">
        <f>IF($A329="","",IFERROR(AVERAGEIF(tblAkis[KaynakKartId],$A329,tblAkis[YasGun]),0))</f>
        <v/>
      </c>
    </row>
    <row r="330">
      <c r="A330" s="29" t="n"/>
      <c r="B330" s="29" t="n"/>
      <c r="C330" s="29" t="n"/>
      <c r="D330" s="29" t="n"/>
      <c r="E330" s="31" t="n"/>
      <c r="F330" s="29" t="n"/>
      <c r="G330" s="29" t="n"/>
      <c r="H330" s="35">
        <f>IF($A330="","",SUMIF(tblAkis[KaynakKartId],$A330,tblAkis[Tutar]))</f>
        <v/>
      </c>
      <c r="I330" s="35">
        <f>IF($A330="","",IFERROR(AVERAGEIF(tblAkis[KaynakKartId],$A330,tblAkis[YasGun]),0))</f>
        <v/>
      </c>
    </row>
    <row r="331">
      <c r="A331" s="29" t="n"/>
      <c r="B331" s="29" t="n"/>
      <c r="C331" s="29" t="n"/>
      <c r="D331" s="29" t="n"/>
      <c r="E331" s="31" t="n"/>
      <c r="F331" s="29" t="n"/>
      <c r="G331" s="29" t="n"/>
      <c r="H331" s="35">
        <f>IF($A331="","",SUMIF(tblAkis[KaynakKartId],$A331,tblAkis[Tutar]))</f>
        <v/>
      </c>
      <c r="I331" s="35">
        <f>IF($A331="","",IFERROR(AVERAGEIF(tblAkis[KaynakKartId],$A331,tblAkis[YasGun]),0))</f>
        <v/>
      </c>
    </row>
    <row r="332">
      <c r="A332" s="29" t="n"/>
      <c r="B332" s="29" t="n"/>
      <c r="C332" s="29" t="n"/>
      <c r="D332" s="29" t="n"/>
      <c r="E332" s="31" t="n"/>
      <c r="F332" s="29" t="n"/>
      <c r="G332" s="29" t="n"/>
      <c r="H332" s="35">
        <f>IF($A332="","",SUMIF(tblAkis[KaynakKartId],$A332,tblAkis[Tutar]))</f>
        <v/>
      </c>
      <c r="I332" s="35">
        <f>IF($A332="","",IFERROR(AVERAGEIF(tblAkis[KaynakKartId],$A332,tblAkis[YasGun]),0))</f>
        <v/>
      </c>
    </row>
    <row r="333">
      <c r="A333" s="29" t="n"/>
      <c r="B333" s="29" t="n"/>
      <c r="C333" s="29" t="n"/>
      <c r="D333" s="29" t="n"/>
      <c r="E333" s="31" t="n"/>
      <c r="F333" s="29" t="n"/>
      <c r="G333" s="29" t="n"/>
      <c r="H333" s="35">
        <f>IF($A333="","",SUMIF(tblAkis[KaynakKartId],$A333,tblAkis[Tutar]))</f>
        <v/>
      </c>
      <c r="I333" s="35">
        <f>IF($A333="","",IFERROR(AVERAGEIF(tblAkis[KaynakKartId],$A333,tblAkis[YasGun]),0))</f>
        <v/>
      </c>
    </row>
    <row r="334">
      <c r="A334" s="29" t="n"/>
      <c r="B334" s="29" t="n"/>
      <c r="C334" s="29" t="n"/>
      <c r="D334" s="29" t="n"/>
      <c r="E334" s="31" t="n"/>
      <c r="F334" s="29" t="n"/>
      <c r="G334" s="29" t="n"/>
      <c r="H334" s="35">
        <f>IF($A334="","",SUMIF(tblAkis[KaynakKartId],$A334,tblAkis[Tutar]))</f>
        <v/>
      </c>
      <c r="I334" s="35">
        <f>IF($A334="","",IFERROR(AVERAGEIF(tblAkis[KaynakKartId],$A334,tblAkis[YasGun]),0))</f>
        <v/>
      </c>
    </row>
    <row r="335">
      <c r="A335" s="29" t="n"/>
      <c r="B335" s="29" t="n"/>
      <c r="C335" s="29" t="n"/>
      <c r="D335" s="29" t="n"/>
      <c r="E335" s="31" t="n"/>
      <c r="F335" s="29" t="n"/>
      <c r="G335" s="29" t="n"/>
      <c r="H335" s="35">
        <f>IF($A335="","",SUMIF(tblAkis[KaynakKartId],$A335,tblAkis[Tutar]))</f>
        <v/>
      </c>
      <c r="I335" s="35">
        <f>IF($A335="","",IFERROR(AVERAGEIF(tblAkis[KaynakKartId],$A335,tblAkis[YasGun]),0))</f>
        <v/>
      </c>
    </row>
    <row r="336">
      <c r="A336" s="29" t="n"/>
      <c r="B336" s="29" t="n"/>
      <c r="C336" s="29" t="n"/>
      <c r="D336" s="29" t="n"/>
      <c r="E336" s="31" t="n"/>
      <c r="F336" s="29" t="n"/>
      <c r="G336" s="29" t="n"/>
      <c r="H336" s="35">
        <f>IF($A336="","",SUMIF(tblAkis[KaynakKartId],$A336,tblAkis[Tutar]))</f>
        <v/>
      </c>
      <c r="I336" s="35">
        <f>IF($A336="","",IFERROR(AVERAGEIF(tblAkis[KaynakKartId],$A336,tblAkis[YasGun]),0))</f>
        <v/>
      </c>
    </row>
    <row r="337">
      <c r="A337" s="29" t="n"/>
      <c r="B337" s="29" t="n"/>
      <c r="C337" s="29" t="n"/>
      <c r="D337" s="29" t="n"/>
      <c r="E337" s="31" t="n"/>
      <c r="F337" s="29" t="n"/>
      <c r="G337" s="29" t="n"/>
      <c r="H337" s="35">
        <f>IF($A337="","",SUMIF(tblAkis[KaynakKartId],$A337,tblAkis[Tutar]))</f>
        <v/>
      </c>
      <c r="I337" s="35">
        <f>IF($A337="","",IFERROR(AVERAGEIF(tblAkis[KaynakKartId],$A337,tblAkis[YasGun]),0))</f>
        <v/>
      </c>
    </row>
    <row r="338">
      <c r="A338" s="29" t="n"/>
      <c r="B338" s="29" t="n"/>
      <c r="C338" s="29" t="n"/>
      <c r="D338" s="29" t="n"/>
      <c r="E338" s="31" t="n"/>
      <c r="F338" s="29" t="n"/>
      <c r="G338" s="29" t="n"/>
      <c r="H338" s="35">
        <f>IF($A338="","",SUMIF(tblAkis[KaynakKartId],$A338,tblAkis[Tutar]))</f>
        <v/>
      </c>
      <c r="I338" s="35">
        <f>IF($A338="","",IFERROR(AVERAGEIF(tblAkis[KaynakKartId],$A338,tblAkis[YasGun]),0))</f>
        <v/>
      </c>
    </row>
    <row r="339">
      <c r="A339" s="29" t="n"/>
      <c r="B339" s="29" t="n"/>
      <c r="C339" s="29" t="n"/>
      <c r="D339" s="29" t="n"/>
      <c r="E339" s="31" t="n"/>
      <c r="F339" s="29" t="n"/>
      <c r="G339" s="29" t="n"/>
      <c r="H339" s="35">
        <f>IF($A339="","",SUMIF(tblAkis[KaynakKartId],$A339,tblAkis[Tutar]))</f>
        <v/>
      </c>
      <c r="I339" s="35">
        <f>IF($A339="","",IFERROR(AVERAGEIF(tblAkis[KaynakKartId],$A339,tblAkis[YasGun]),0))</f>
        <v/>
      </c>
    </row>
    <row r="340">
      <c r="A340" s="29" t="n"/>
      <c r="B340" s="29" t="n"/>
      <c r="C340" s="29" t="n"/>
      <c r="D340" s="29" t="n"/>
      <c r="E340" s="31" t="n"/>
      <c r="F340" s="29" t="n"/>
      <c r="G340" s="29" t="n"/>
      <c r="H340" s="35">
        <f>IF($A340="","",SUMIF(tblAkis[KaynakKartId],$A340,tblAkis[Tutar]))</f>
        <v/>
      </c>
      <c r="I340" s="35">
        <f>IF($A340="","",IFERROR(AVERAGEIF(tblAkis[KaynakKartId],$A340,tblAkis[YasGun]),0))</f>
        <v/>
      </c>
    </row>
    <row r="341">
      <c r="A341" s="29" t="n"/>
      <c r="B341" s="29" t="n"/>
      <c r="C341" s="29" t="n"/>
      <c r="D341" s="29" t="n"/>
      <c r="E341" s="31" t="n"/>
      <c r="F341" s="29" t="n"/>
      <c r="G341" s="29" t="n"/>
      <c r="H341" s="35">
        <f>IF($A341="","",SUMIF(tblAkis[KaynakKartId],$A341,tblAkis[Tutar]))</f>
        <v/>
      </c>
      <c r="I341" s="35">
        <f>IF($A341="","",IFERROR(AVERAGEIF(tblAkis[KaynakKartId],$A341,tblAkis[YasGun]),0))</f>
        <v/>
      </c>
    </row>
    <row r="342">
      <c r="A342" s="29" t="n"/>
      <c r="B342" s="29" t="n"/>
      <c r="C342" s="29" t="n"/>
      <c r="D342" s="29" t="n"/>
      <c r="E342" s="31" t="n"/>
      <c r="F342" s="29" t="n"/>
      <c r="G342" s="29" t="n"/>
      <c r="H342" s="35">
        <f>IF($A342="","",SUMIF(tblAkis[KaynakKartId],$A342,tblAkis[Tutar]))</f>
        <v/>
      </c>
      <c r="I342" s="35">
        <f>IF($A342="","",IFERROR(AVERAGEIF(tblAkis[KaynakKartId],$A342,tblAkis[YasGun]),0))</f>
        <v/>
      </c>
    </row>
    <row r="343">
      <c r="A343" s="29" t="n"/>
      <c r="B343" s="29" t="n"/>
      <c r="C343" s="29" t="n"/>
      <c r="D343" s="29" t="n"/>
      <c r="E343" s="31" t="n"/>
      <c r="F343" s="29" t="n"/>
      <c r="G343" s="29" t="n"/>
      <c r="H343" s="35">
        <f>IF($A343="","",SUMIF(tblAkis[KaynakKartId],$A343,tblAkis[Tutar]))</f>
        <v/>
      </c>
      <c r="I343" s="35">
        <f>IF($A343="","",IFERROR(AVERAGEIF(tblAkis[KaynakKartId],$A343,tblAkis[YasGun]),0))</f>
        <v/>
      </c>
    </row>
    <row r="344">
      <c r="A344" s="29" t="n"/>
      <c r="B344" s="29" t="n"/>
      <c r="C344" s="29" t="n"/>
      <c r="D344" s="29" t="n"/>
      <c r="E344" s="31" t="n"/>
      <c r="F344" s="29" t="n"/>
      <c r="G344" s="29" t="n"/>
      <c r="H344" s="35">
        <f>IF($A344="","",SUMIF(tblAkis[KaynakKartId],$A344,tblAkis[Tutar]))</f>
        <v/>
      </c>
      <c r="I344" s="35">
        <f>IF($A344="","",IFERROR(AVERAGEIF(tblAkis[KaynakKartId],$A344,tblAkis[YasGun]),0))</f>
        <v/>
      </c>
    </row>
    <row r="345">
      <c r="A345" s="29" t="n"/>
      <c r="B345" s="29" t="n"/>
      <c r="C345" s="29" t="n"/>
      <c r="D345" s="29" t="n"/>
      <c r="E345" s="31" t="n"/>
      <c r="F345" s="29" t="n"/>
      <c r="G345" s="29" t="n"/>
      <c r="H345" s="35">
        <f>IF($A345="","",SUMIF(tblAkis[KaynakKartId],$A345,tblAkis[Tutar]))</f>
        <v/>
      </c>
      <c r="I345" s="35">
        <f>IF($A345="","",IFERROR(AVERAGEIF(tblAkis[KaynakKartId],$A345,tblAkis[YasGun]),0))</f>
        <v/>
      </c>
    </row>
    <row r="346">
      <c r="A346" s="29" t="n"/>
      <c r="B346" s="29" t="n"/>
      <c r="C346" s="29" t="n"/>
      <c r="D346" s="29" t="n"/>
      <c r="E346" s="31" t="n"/>
      <c r="F346" s="29" t="n"/>
      <c r="G346" s="29" t="n"/>
      <c r="H346" s="35">
        <f>IF($A346="","",SUMIF(tblAkis[KaynakKartId],$A346,tblAkis[Tutar]))</f>
        <v/>
      </c>
      <c r="I346" s="35">
        <f>IF($A346="","",IFERROR(AVERAGEIF(tblAkis[KaynakKartId],$A346,tblAkis[YasGun]),0))</f>
        <v/>
      </c>
    </row>
    <row r="347">
      <c r="A347" s="29" t="n"/>
      <c r="B347" s="29" t="n"/>
      <c r="C347" s="29" t="n"/>
      <c r="D347" s="29" t="n"/>
      <c r="E347" s="31" t="n"/>
      <c r="F347" s="29" t="n"/>
      <c r="G347" s="29" t="n"/>
      <c r="H347" s="35">
        <f>IF($A347="","",SUMIF(tblAkis[KaynakKartId],$A347,tblAkis[Tutar]))</f>
        <v/>
      </c>
      <c r="I347" s="35">
        <f>IF($A347="","",IFERROR(AVERAGEIF(tblAkis[KaynakKartId],$A347,tblAkis[YasGun]),0))</f>
        <v/>
      </c>
    </row>
    <row r="348">
      <c r="A348" s="29" t="n"/>
      <c r="B348" s="29" t="n"/>
      <c r="C348" s="29" t="n"/>
      <c r="D348" s="29" t="n"/>
      <c r="E348" s="31" t="n"/>
      <c r="F348" s="29" t="n"/>
      <c r="G348" s="29" t="n"/>
      <c r="H348" s="35">
        <f>IF($A348="","",SUMIF(tblAkis[KaynakKartId],$A348,tblAkis[Tutar]))</f>
        <v/>
      </c>
      <c r="I348" s="35">
        <f>IF($A348="","",IFERROR(AVERAGEIF(tblAkis[KaynakKartId],$A348,tblAkis[YasGun]),0))</f>
        <v/>
      </c>
    </row>
    <row r="349">
      <c r="A349" s="29" t="n"/>
      <c r="B349" s="29" t="n"/>
      <c r="C349" s="29" t="n"/>
      <c r="D349" s="29" t="n"/>
      <c r="E349" s="31" t="n"/>
      <c r="F349" s="29" t="n"/>
      <c r="G349" s="29" t="n"/>
      <c r="H349" s="35">
        <f>IF($A349="","",SUMIF(tblAkis[KaynakKartId],$A349,tblAkis[Tutar]))</f>
        <v/>
      </c>
      <c r="I349" s="35">
        <f>IF($A349="","",IFERROR(AVERAGEIF(tblAkis[KaynakKartId],$A349,tblAkis[YasGun]),0))</f>
        <v/>
      </c>
    </row>
    <row r="350">
      <c r="A350" s="29" t="n"/>
      <c r="B350" s="29" t="n"/>
      <c r="C350" s="29" t="n"/>
      <c r="D350" s="29" t="n"/>
      <c r="E350" s="31" t="n"/>
      <c r="F350" s="29" t="n"/>
      <c r="G350" s="29" t="n"/>
      <c r="H350" s="35">
        <f>IF($A350="","",SUMIF(tblAkis[KaynakKartId],$A350,tblAkis[Tutar]))</f>
        <v/>
      </c>
      <c r="I350" s="35">
        <f>IF($A350="","",IFERROR(AVERAGEIF(tblAkis[KaynakKartId],$A350,tblAkis[YasGun]),0))</f>
        <v/>
      </c>
    </row>
    <row r="351">
      <c r="A351" s="29" t="n"/>
      <c r="B351" s="29" t="n"/>
      <c r="C351" s="29" t="n"/>
      <c r="D351" s="29" t="n"/>
      <c r="E351" s="31" t="n"/>
      <c r="F351" s="29" t="n"/>
      <c r="G351" s="29" t="n"/>
      <c r="H351" s="35">
        <f>IF($A351="","",SUMIF(tblAkis[KaynakKartId],$A351,tblAkis[Tutar]))</f>
        <v/>
      </c>
      <c r="I351" s="35">
        <f>IF($A351="","",IFERROR(AVERAGEIF(tblAkis[KaynakKartId],$A351,tblAkis[YasGun]),0))</f>
        <v/>
      </c>
    </row>
    <row r="352">
      <c r="A352" s="29" t="n"/>
      <c r="B352" s="29" t="n"/>
      <c r="C352" s="29" t="n"/>
      <c r="D352" s="29" t="n"/>
      <c r="E352" s="31" t="n"/>
      <c r="F352" s="29" t="n"/>
      <c r="G352" s="29" t="n"/>
      <c r="H352" s="35">
        <f>IF($A352="","",SUMIF(tblAkis[KaynakKartId],$A352,tblAkis[Tutar]))</f>
        <v/>
      </c>
      <c r="I352" s="35">
        <f>IF($A352="","",IFERROR(AVERAGEIF(tblAkis[KaynakKartId],$A352,tblAkis[YasGun]),0))</f>
        <v/>
      </c>
    </row>
    <row r="353">
      <c r="A353" s="29" t="n"/>
      <c r="B353" s="29" t="n"/>
      <c r="C353" s="29" t="n"/>
      <c r="D353" s="29" t="n"/>
      <c r="E353" s="31" t="n"/>
      <c r="F353" s="29" t="n"/>
      <c r="G353" s="29" t="n"/>
      <c r="H353" s="35">
        <f>IF($A353="","",SUMIF(tblAkis[KaynakKartId],$A353,tblAkis[Tutar]))</f>
        <v/>
      </c>
      <c r="I353" s="35">
        <f>IF($A353="","",IFERROR(AVERAGEIF(tblAkis[KaynakKartId],$A353,tblAkis[YasGun]),0))</f>
        <v/>
      </c>
    </row>
    <row r="354">
      <c r="A354" s="29" t="n"/>
      <c r="B354" s="29" t="n"/>
      <c r="C354" s="29" t="n"/>
      <c r="D354" s="29" t="n"/>
      <c r="E354" s="31" t="n"/>
      <c r="F354" s="29" t="n"/>
      <c r="G354" s="29" t="n"/>
      <c r="H354" s="35">
        <f>IF($A354="","",SUMIF(tblAkis[KaynakKartId],$A354,tblAkis[Tutar]))</f>
        <v/>
      </c>
      <c r="I354" s="35">
        <f>IF($A354="","",IFERROR(AVERAGEIF(tblAkis[KaynakKartId],$A354,tblAkis[YasGun]),0))</f>
        <v/>
      </c>
    </row>
    <row r="355">
      <c r="A355" s="29" t="n"/>
      <c r="B355" s="29" t="n"/>
      <c r="C355" s="29" t="n"/>
      <c r="D355" s="29" t="n"/>
      <c r="E355" s="31" t="n"/>
      <c r="F355" s="29" t="n"/>
      <c r="G355" s="29" t="n"/>
      <c r="H355" s="35">
        <f>IF($A355="","",SUMIF(tblAkis[KaynakKartId],$A355,tblAkis[Tutar]))</f>
        <v/>
      </c>
      <c r="I355" s="35">
        <f>IF($A355="","",IFERROR(AVERAGEIF(tblAkis[KaynakKartId],$A355,tblAkis[YasGun]),0))</f>
        <v/>
      </c>
    </row>
    <row r="356">
      <c r="A356" s="29" t="n"/>
      <c r="B356" s="29" t="n"/>
      <c r="C356" s="29" t="n"/>
      <c r="D356" s="29" t="n"/>
      <c r="E356" s="31" t="n"/>
      <c r="F356" s="29" t="n"/>
      <c r="G356" s="29" t="n"/>
      <c r="H356" s="35">
        <f>IF($A356="","",SUMIF(tblAkis[KaynakKartId],$A356,tblAkis[Tutar]))</f>
        <v/>
      </c>
      <c r="I356" s="35">
        <f>IF($A356="","",IFERROR(AVERAGEIF(tblAkis[KaynakKartId],$A356,tblAkis[YasGun]),0))</f>
        <v/>
      </c>
    </row>
    <row r="357">
      <c r="A357" s="29" t="n"/>
      <c r="B357" s="29" t="n"/>
      <c r="C357" s="29" t="n"/>
      <c r="D357" s="29" t="n"/>
      <c r="E357" s="31" t="n"/>
      <c r="F357" s="29" t="n"/>
      <c r="G357" s="29" t="n"/>
      <c r="H357" s="35">
        <f>IF($A357="","",SUMIF(tblAkis[KaynakKartId],$A357,tblAkis[Tutar]))</f>
        <v/>
      </c>
      <c r="I357" s="35">
        <f>IF($A357="","",IFERROR(AVERAGEIF(tblAkis[KaynakKartId],$A357,tblAkis[YasGun]),0))</f>
        <v/>
      </c>
    </row>
    <row r="358">
      <c r="A358" s="29" t="n"/>
      <c r="B358" s="29" t="n"/>
      <c r="C358" s="29" t="n"/>
      <c r="D358" s="29" t="n"/>
      <c r="E358" s="31" t="n"/>
      <c r="F358" s="29" t="n"/>
      <c r="G358" s="29" t="n"/>
      <c r="H358" s="35">
        <f>IF($A358="","",SUMIF(tblAkis[KaynakKartId],$A358,tblAkis[Tutar]))</f>
        <v/>
      </c>
      <c r="I358" s="35">
        <f>IF($A358="","",IFERROR(AVERAGEIF(tblAkis[KaynakKartId],$A358,tblAkis[YasGun]),0))</f>
        <v/>
      </c>
    </row>
    <row r="359">
      <c r="A359" s="29" t="n"/>
      <c r="B359" s="29" t="n"/>
      <c r="C359" s="29" t="n"/>
      <c r="D359" s="29" t="n"/>
      <c r="E359" s="31" t="n"/>
      <c r="F359" s="29" t="n"/>
      <c r="G359" s="29" t="n"/>
      <c r="H359" s="35">
        <f>IF($A359="","",SUMIF(tblAkis[KaynakKartId],$A359,tblAkis[Tutar]))</f>
        <v/>
      </c>
      <c r="I359" s="35">
        <f>IF($A359="","",IFERROR(AVERAGEIF(tblAkis[KaynakKartId],$A359,tblAkis[YasGun]),0))</f>
        <v/>
      </c>
    </row>
    <row r="360">
      <c r="A360" s="29" t="n"/>
      <c r="B360" s="29" t="n"/>
      <c r="C360" s="29" t="n"/>
      <c r="D360" s="29" t="n"/>
      <c r="E360" s="31" t="n"/>
      <c r="F360" s="29" t="n"/>
      <c r="G360" s="29" t="n"/>
      <c r="H360" s="35">
        <f>IF($A360="","",SUMIF(tblAkis[KaynakKartId],$A360,tblAkis[Tutar]))</f>
        <v/>
      </c>
      <c r="I360" s="35">
        <f>IF($A360="","",IFERROR(AVERAGEIF(tblAkis[KaynakKartId],$A360,tblAkis[YasGun]),0))</f>
        <v/>
      </c>
    </row>
    <row r="361">
      <c r="A361" s="29" t="n"/>
      <c r="B361" s="29" t="n"/>
      <c r="C361" s="29" t="n"/>
      <c r="D361" s="29" t="n"/>
      <c r="E361" s="31" t="n"/>
      <c r="F361" s="29" t="n"/>
      <c r="G361" s="29" t="n"/>
      <c r="H361" s="35">
        <f>IF($A361="","",SUMIF(tblAkis[KaynakKartId],$A361,tblAkis[Tutar]))</f>
        <v/>
      </c>
      <c r="I361" s="35">
        <f>IF($A361="","",IFERROR(AVERAGEIF(tblAkis[KaynakKartId],$A361,tblAkis[YasGun]),0))</f>
        <v/>
      </c>
    </row>
    <row r="362">
      <c r="A362" s="29" t="n"/>
      <c r="B362" s="29" t="n"/>
      <c r="C362" s="29" t="n"/>
      <c r="D362" s="29" t="n"/>
      <c r="E362" s="31" t="n"/>
      <c r="F362" s="29" t="n"/>
      <c r="G362" s="29" t="n"/>
      <c r="H362" s="35">
        <f>IF($A362="","",SUMIF(tblAkis[KaynakKartId],$A362,tblAkis[Tutar]))</f>
        <v/>
      </c>
      <c r="I362" s="35">
        <f>IF($A362="","",IFERROR(AVERAGEIF(tblAkis[KaynakKartId],$A362,tblAkis[YasGun]),0))</f>
        <v/>
      </c>
    </row>
    <row r="363">
      <c r="A363" s="29" t="n"/>
      <c r="B363" s="29" t="n"/>
      <c r="C363" s="29" t="n"/>
      <c r="D363" s="29" t="n"/>
      <c r="E363" s="31" t="n"/>
      <c r="F363" s="29" t="n"/>
      <c r="G363" s="29" t="n"/>
      <c r="H363" s="35">
        <f>IF($A363="","",SUMIF(tblAkis[KaynakKartId],$A363,tblAkis[Tutar]))</f>
        <v/>
      </c>
      <c r="I363" s="35">
        <f>IF($A363="","",IFERROR(AVERAGEIF(tblAkis[KaynakKartId],$A363,tblAkis[YasGun]),0))</f>
        <v/>
      </c>
    </row>
    <row r="364">
      <c r="A364" s="29" t="n"/>
      <c r="B364" s="29" t="n"/>
      <c r="C364" s="29" t="n"/>
      <c r="D364" s="29" t="n"/>
      <c r="E364" s="31" t="n"/>
      <c r="F364" s="29" t="n"/>
      <c r="G364" s="29" t="n"/>
      <c r="H364" s="35">
        <f>IF($A364="","",SUMIF(tblAkis[KaynakKartId],$A364,tblAkis[Tutar]))</f>
        <v/>
      </c>
      <c r="I364" s="35">
        <f>IF($A364="","",IFERROR(AVERAGEIF(tblAkis[KaynakKartId],$A364,tblAkis[YasGun]),0))</f>
        <v/>
      </c>
    </row>
    <row r="365">
      <c r="A365" s="29" t="n"/>
      <c r="B365" s="29" t="n"/>
      <c r="C365" s="29" t="n"/>
      <c r="D365" s="29" t="n"/>
      <c r="E365" s="31" t="n"/>
      <c r="F365" s="29" t="n"/>
      <c r="G365" s="29" t="n"/>
      <c r="H365" s="35">
        <f>IF($A365="","",SUMIF(tblAkis[KaynakKartId],$A365,tblAkis[Tutar]))</f>
        <v/>
      </c>
      <c r="I365" s="35">
        <f>IF($A365="","",IFERROR(AVERAGEIF(tblAkis[KaynakKartId],$A365,tblAkis[YasGun]),0))</f>
        <v/>
      </c>
    </row>
    <row r="366">
      <c r="A366" s="29" t="n"/>
      <c r="B366" s="29" t="n"/>
      <c r="C366" s="29" t="n"/>
      <c r="D366" s="29" t="n"/>
      <c r="E366" s="31" t="n"/>
      <c r="F366" s="29" t="n"/>
      <c r="G366" s="29" t="n"/>
      <c r="H366" s="35">
        <f>IF($A366="","",SUMIF(tblAkis[KaynakKartId],$A366,tblAkis[Tutar]))</f>
        <v/>
      </c>
      <c r="I366" s="35">
        <f>IF($A366="","",IFERROR(AVERAGEIF(tblAkis[KaynakKartId],$A366,tblAkis[YasGun]),0))</f>
        <v/>
      </c>
    </row>
    <row r="367">
      <c r="A367" s="29" t="n"/>
      <c r="B367" s="29" t="n"/>
      <c r="C367" s="29" t="n"/>
      <c r="D367" s="29" t="n"/>
      <c r="E367" s="31" t="n"/>
      <c r="F367" s="29" t="n"/>
      <c r="G367" s="29" t="n"/>
      <c r="H367" s="35">
        <f>IF($A367="","",SUMIF(tblAkis[KaynakKartId],$A367,tblAkis[Tutar]))</f>
        <v/>
      </c>
      <c r="I367" s="35">
        <f>IF($A367="","",IFERROR(AVERAGEIF(tblAkis[KaynakKartId],$A367,tblAkis[YasGun]),0))</f>
        <v/>
      </c>
    </row>
    <row r="368">
      <c r="A368" s="29" t="n"/>
      <c r="B368" s="29" t="n"/>
      <c r="C368" s="29" t="n"/>
      <c r="D368" s="29" t="n"/>
      <c r="E368" s="31" t="n"/>
      <c r="F368" s="29" t="n"/>
      <c r="G368" s="29" t="n"/>
      <c r="H368" s="35">
        <f>IF($A368="","",SUMIF(tblAkis[KaynakKartId],$A368,tblAkis[Tutar]))</f>
        <v/>
      </c>
      <c r="I368" s="35">
        <f>IF($A368="","",IFERROR(AVERAGEIF(tblAkis[KaynakKartId],$A368,tblAkis[YasGun]),0))</f>
        <v/>
      </c>
    </row>
    <row r="369">
      <c r="A369" s="29" t="n"/>
      <c r="B369" s="29" t="n"/>
      <c r="C369" s="29" t="n"/>
      <c r="D369" s="29" t="n"/>
      <c r="E369" s="31" t="n"/>
      <c r="F369" s="29" t="n"/>
      <c r="G369" s="29" t="n"/>
      <c r="H369" s="35">
        <f>IF($A369="","",SUMIF(tblAkis[KaynakKartId],$A369,tblAkis[Tutar]))</f>
        <v/>
      </c>
      <c r="I369" s="35">
        <f>IF($A369="","",IFERROR(AVERAGEIF(tblAkis[KaynakKartId],$A369,tblAkis[YasGun]),0))</f>
        <v/>
      </c>
    </row>
    <row r="370">
      <c r="A370" s="29" t="n"/>
      <c r="B370" s="29" t="n"/>
      <c r="C370" s="29" t="n"/>
      <c r="D370" s="29" t="n"/>
      <c r="E370" s="31" t="n"/>
      <c r="F370" s="29" t="n"/>
      <c r="G370" s="29" t="n"/>
      <c r="H370" s="35">
        <f>IF($A370="","",SUMIF(tblAkis[KaynakKartId],$A370,tblAkis[Tutar]))</f>
        <v/>
      </c>
      <c r="I370" s="35">
        <f>IF($A370="","",IFERROR(AVERAGEIF(tblAkis[KaynakKartId],$A370,tblAkis[YasGun]),0))</f>
        <v/>
      </c>
    </row>
    <row r="371">
      <c r="A371" s="29" t="n"/>
      <c r="B371" s="29" t="n"/>
      <c r="C371" s="29" t="n"/>
      <c r="D371" s="29" t="n"/>
      <c r="E371" s="31" t="n"/>
      <c r="F371" s="29" t="n"/>
      <c r="G371" s="29" t="n"/>
      <c r="H371" s="35">
        <f>IF($A371="","",SUMIF(tblAkis[KaynakKartId],$A371,tblAkis[Tutar]))</f>
        <v/>
      </c>
      <c r="I371" s="35">
        <f>IF($A371="","",IFERROR(AVERAGEIF(tblAkis[KaynakKartId],$A371,tblAkis[YasGun]),0))</f>
        <v/>
      </c>
    </row>
    <row r="372">
      <c r="A372" s="29" t="n"/>
      <c r="B372" s="29" t="n"/>
      <c r="C372" s="29" t="n"/>
      <c r="D372" s="29" t="n"/>
      <c r="E372" s="31" t="n"/>
      <c r="F372" s="29" t="n"/>
      <c r="G372" s="29" t="n"/>
      <c r="H372" s="35">
        <f>IF($A372="","",SUMIF(tblAkis[KaynakKartId],$A372,tblAkis[Tutar]))</f>
        <v/>
      </c>
      <c r="I372" s="35">
        <f>IF($A372="","",IFERROR(AVERAGEIF(tblAkis[KaynakKartId],$A372,tblAkis[YasGun]),0))</f>
        <v/>
      </c>
    </row>
    <row r="373">
      <c r="A373" s="29" t="n"/>
      <c r="B373" s="29" t="n"/>
      <c r="C373" s="29" t="n"/>
      <c r="D373" s="29" t="n"/>
      <c r="E373" s="31" t="n"/>
      <c r="F373" s="29" t="n"/>
      <c r="G373" s="29" t="n"/>
      <c r="H373" s="35">
        <f>IF($A373="","",SUMIF(tblAkis[KaynakKartId],$A373,tblAkis[Tutar]))</f>
        <v/>
      </c>
      <c r="I373" s="35">
        <f>IF($A373="","",IFERROR(AVERAGEIF(tblAkis[KaynakKartId],$A373,tblAkis[YasGun]),0))</f>
        <v/>
      </c>
    </row>
    <row r="374">
      <c r="A374" s="29" t="n"/>
      <c r="B374" s="29" t="n"/>
      <c r="C374" s="29" t="n"/>
      <c r="D374" s="29" t="n"/>
      <c r="E374" s="31" t="n"/>
      <c r="F374" s="29" t="n"/>
      <c r="G374" s="29" t="n"/>
      <c r="H374" s="35">
        <f>IF($A374="","",SUMIF(tblAkis[KaynakKartId],$A374,tblAkis[Tutar]))</f>
        <v/>
      </c>
      <c r="I374" s="35">
        <f>IF($A374="","",IFERROR(AVERAGEIF(tblAkis[KaynakKartId],$A374,tblAkis[YasGun]),0))</f>
        <v/>
      </c>
    </row>
    <row r="375">
      <c r="A375" s="29" t="n"/>
      <c r="B375" s="29" t="n"/>
      <c r="C375" s="29" t="n"/>
      <c r="D375" s="29" t="n"/>
      <c r="E375" s="31" t="n"/>
      <c r="F375" s="29" t="n"/>
      <c r="G375" s="29" t="n"/>
      <c r="H375" s="35">
        <f>IF($A375="","",SUMIF(tblAkis[KaynakKartId],$A375,tblAkis[Tutar]))</f>
        <v/>
      </c>
      <c r="I375" s="35">
        <f>IF($A375="","",IFERROR(AVERAGEIF(tblAkis[KaynakKartId],$A375,tblAkis[YasGun]),0))</f>
        <v/>
      </c>
    </row>
    <row r="376">
      <c r="A376" s="29" t="n"/>
      <c r="B376" s="29" t="n"/>
      <c r="C376" s="29" t="n"/>
      <c r="D376" s="29" t="n"/>
      <c r="E376" s="31" t="n"/>
      <c r="F376" s="29" t="n"/>
      <c r="G376" s="29" t="n"/>
      <c r="H376" s="35">
        <f>IF($A376="","",SUMIF(tblAkis[KaynakKartId],$A376,tblAkis[Tutar]))</f>
        <v/>
      </c>
      <c r="I376" s="35">
        <f>IF($A376="","",IFERROR(AVERAGEIF(tblAkis[KaynakKartId],$A376,tblAkis[YasGun]),0))</f>
        <v/>
      </c>
    </row>
    <row r="377">
      <c r="A377" s="29" t="n"/>
      <c r="B377" s="29" t="n"/>
      <c r="C377" s="29" t="n"/>
      <c r="D377" s="29" t="n"/>
      <c r="E377" s="31" t="n"/>
      <c r="F377" s="29" t="n"/>
      <c r="G377" s="29" t="n"/>
      <c r="H377" s="35">
        <f>IF($A377="","",SUMIF(tblAkis[KaynakKartId],$A377,tblAkis[Tutar]))</f>
        <v/>
      </c>
      <c r="I377" s="35">
        <f>IF($A377="","",IFERROR(AVERAGEIF(tblAkis[KaynakKartId],$A377,tblAkis[YasGun]),0))</f>
        <v/>
      </c>
    </row>
    <row r="378">
      <c r="A378" s="29" t="n"/>
      <c r="B378" s="29" t="n"/>
      <c r="C378" s="29" t="n"/>
      <c r="D378" s="29" t="n"/>
      <c r="E378" s="31" t="n"/>
      <c r="F378" s="29" t="n"/>
      <c r="G378" s="29" t="n"/>
      <c r="H378" s="35">
        <f>IF($A378="","",SUMIF(tblAkis[KaynakKartId],$A378,tblAkis[Tutar]))</f>
        <v/>
      </c>
      <c r="I378" s="35">
        <f>IF($A378="","",IFERROR(AVERAGEIF(tblAkis[KaynakKartId],$A378,tblAkis[YasGun]),0))</f>
        <v/>
      </c>
    </row>
    <row r="379">
      <c r="A379" s="29" t="n"/>
      <c r="B379" s="29" t="n"/>
      <c r="C379" s="29" t="n"/>
      <c r="D379" s="29" t="n"/>
      <c r="E379" s="31" t="n"/>
      <c r="F379" s="29" t="n"/>
      <c r="G379" s="29" t="n"/>
      <c r="H379" s="35">
        <f>IF($A379="","",SUMIF(tblAkis[KaynakKartId],$A379,tblAkis[Tutar]))</f>
        <v/>
      </c>
      <c r="I379" s="35">
        <f>IF($A379="","",IFERROR(AVERAGEIF(tblAkis[KaynakKartId],$A379,tblAkis[YasGun]),0))</f>
        <v/>
      </c>
    </row>
    <row r="380">
      <c r="A380" s="29" t="n"/>
      <c r="B380" s="29" t="n"/>
      <c r="C380" s="29" t="n"/>
      <c r="D380" s="29" t="n"/>
      <c r="E380" s="31" t="n"/>
      <c r="F380" s="29" t="n"/>
      <c r="G380" s="29" t="n"/>
      <c r="H380" s="35">
        <f>IF($A380="","",SUMIF(tblAkis[KaynakKartId],$A380,tblAkis[Tutar]))</f>
        <v/>
      </c>
      <c r="I380" s="35">
        <f>IF($A380="","",IFERROR(AVERAGEIF(tblAkis[KaynakKartId],$A380,tblAkis[YasGun]),0))</f>
        <v/>
      </c>
    </row>
    <row r="381">
      <c r="A381" s="29" t="n"/>
      <c r="B381" s="29" t="n"/>
      <c r="C381" s="29" t="n"/>
      <c r="D381" s="29" t="n"/>
      <c r="E381" s="31" t="n"/>
      <c r="F381" s="29" t="n"/>
      <c r="G381" s="29" t="n"/>
      <c r="H381" s="35">
        <f>IF($A381="","",SUMIF(tblAkis[KaynakKartId],$A381,tblAkis[Tutar]))</f>
        <v/>
      </c>
      <c r="I381" s="35">
        <f>IF($A381="","",IFERROR(AVERAGEIF(tblAkis[KaynakKartId],$A381,tblAkis[YasGun]),0))</f>
        <v/>
      </c>
    </row>
    <row r="382">
      <c r="A382" s="29" t="n"/>
      <c r="B382" s="29" t="n"/>
      <c r="C382" s="29" t="n"/>
      <c r="D382" s="29" t="n"/>
      <c r="E382" s="31" t="n"/>
      <c r="F382" s="29" t="n"/>
      <c r="G382" s="29" t="n"/>
      <c r="H382" s="35">
        <f>IF($A382="","",SUMIF(tblAkis[KaynakKartId],$A382,tblAkis[Tutar]))</f>
        <v/>
      </c>
      <c r="I382" s="35">
        <f>IF($A382="","",IFERROR(AVERAGEIF(tblAkis[KaynakKartId],$A382,tblAkis[YasGun]),0))</f>
        <v/>
      </c>
    </row>
    <row r="383">
      <c r="A383" s="29" t="n"/>
      <c r="B383" s="29" t="n"/>
      <c r="C383" s="29" t="n"/>
      <c r="D383" s="29" t="n"/>
      <c r="E383" s="31" t="n"/>
      <c r="F383" s="29" t="n"/>
      <c r="G383" s="29" t="n"/>
      <c r="H383" s="35">
        <f>IF($A383="","",SUMIF(tblAkis[KaynakKartId],$A383,tblAkis[Tutar]))</f>
        <v/>
      </c>
      <c r="I383" s="35">
        <f>IF($A383="","",IFERROR(AVERAGEIF(tblAkis[KaynakKartId],$A383,tblAkis[YasGun]),0))</f>
        <v/>
      </c>
    </row>
    <row r="384">
      <c r="A384" s="29" t="n"/>
      <c r="B384" s="29" t="n"/>
      <c r="C384" s="29" t="n"/>
      <c r="D384" s="29" t="n"/>
      <c r="E384" s="31" t="n"/>
      <c r="F384" s="29" t="n"/>
      <c r="G384" s="29" t="n"/>
      <c r="H384" s="35">
        <f>IF($A384="","",SUMIF(tblAkis[KaynakKartId],$A384,tblAkis[Tutar]))</f>
        <v/>
      </c>
      <c r="I384" s="35">
        <f>IF($A384="","",IFERROR(AVERAGEIF(tblAkis[KaynakKartId],$A384,tblAkis[YasGun]),0))</f>
        <v/>
      </c>
    </row>
    <row r="385">
      <c r="A385" s="29" t="n"/>
      <c r="B385" s="29" t="n"/>
      <c r="C385" s="29" t="n"/>
      <c r="D385" s="29" t="n"/>
      <c r="E385" s="31" t="n"/>
      <c r="F385" s="29" t="n"/>
      <c r="G385" s="29" t="n"/>
      <c r="H385" s="35">
        <f>IF($A385="","",SUMIF(tblAkis[KaynakKartId],$A385,tblAkis[Tutar]))</f>
        <v/>
      </c>
      <c r="I385" s="35">
        <f>IF($A385="","",IFERROR(AVERAGEIF(tblAkis[KaynakKartId],$A385,tblAkis[YasGun]),0))</f>
        <v/>
      </c>
    </row>
    <row r="386">
      <c r="A386" s="29" t="n"/>
      <c r="B386" s="29" t="n"/>
      <c r="C386" s="29" t="n"/>
      <c r="D386" s="29" t="n"/>
      <c r="E386" s="31" t="n"/>
      <c r="F386" s="29" t="n"/>
      <c r="G386" s="29" t="n"/>
      <c r="H386" s="35">
        <f>IF($A386="","",SUMIF(tblAkis[KaynakKartId],$A386,tblAkis[Tutar]))</f>
        <v/>
      </c>
      <c r="I386" s="35">
        <f>IF($A386="","",IFERROR(AVERAGEIF(tblAkis[KaynakKartId],$A386,tblAkis[YasGun]),0))</f>
        <v/>
      </c>
    </row>
    <row r="387">
      <c r="A387" s="29" t="n"/>
      <c r="B387" s="29" t="n"/>
      <c r="C387" s="29" t="n"/>
      <c r="D387" s="29" t="n"/>
      <c r="E387" s="31" t="n"/>
      <c r="F387" s="29" t="n"/>
      <c r="G387" s="29" t="n"/>
      <c r="H387" s="35">
        <f>IF($A387="","",SUMIF(tblAkis[KaynakKartId],$A387,tblAkis[Tutar]))</f>
        <v/>
      </c>
      <c r="I387" s="35">
        <f>IF($A387="","",IFERROR(AVERAGEIF(tblAkis[KaynakKartId],$A387,tblAkis[YasGun]),0))</f>
        <v/>
      </c>
    </row>
    <row r="388">
      <c r="A388" s="29" t="n"/>
      <c r="B388" s="29" t="n"/>
      <c r="C388" s="29" t="n"/>
      <c r="D388" s="29" t="n"/>
      <c r="E388" s="31" t="n"/>
      <c r="F388" s="29" t="n"/>
      <c r="G388" s="29" t="n"/>
      <c r="H388" s="35">
        <f>IF($A388="","",SUMIF(tblAkis[KaynakKartId],$A388,tblAkis[Tutar]))</f>
        <v/>
      </c>
      <c r="I388" s="35">
        <f>IF($A388="","",IFERROR(AVERAGEIF(tblAkis[KaynakKartId],$A388,tblAkis[YasGun]),0))</f>
        <v/>
      </c>
    </row>
    <row r="389">
      <c r="A389" s="29" t="n"/>
      <c r="B389" s="29" t="n"/>
      <c r="C389" s="29" t="n"/>
      <c r="D389" s="29" t="n"/>
      <c r="E389" s="31" t="n"/>
      <c r="F389" s="29" t="n"/>
      <c r="G389" s="29" t="n"/>
      <c r="H389" s="35">
        <f>IF($A389="","",SUMIF(tblAkis[KaynakKartId],$A389,tblAkis[Tutar]))</f>
        <v/>
      </c>
      <c r="I389" s="35">
        <f>IF($A389="","",IFERROR(AVERAGEIF(tblAkis[KaynakKartId],$A389,tblAkis[YasGun]),0))</f>
        <v/>
      </c>
    </row>
    <row r="390">
      <c r="A390" s="29" t="n"/>
      <c r="B390" s="29" t="n"/>
      <c r="C390" s="29" t="n"/>
      <c r="D390" s="29" t="n"/>
      <c r="E390" s="31" t="n"/>
      <c r="F390" s="29" t="n"/>
      <c r="G390" s="29" t="n"/>
      <c r="H390" s="35">
        <f>IF($A390="","",SUMIF(tblAkis[KaynakKartId],$A390,tblAkis[Tutar]))</f>
        <v/>
      </c>
      <c r="I390" s="35">
        <f>IF($A390="","",IFERROR(AVERAGEIF(tblAkis[KaynakKartId],$A390,tblAkis[YasGun]),0))</f>
        <v/>
      </c>
    </row>
    <row r="391">
      <c r="A391" s="29" t="n"/>
      <c r="B391" s="29" t="n"/>
      <c r="C391" s="29" t="n"/>
      <c r="D391" s="29" t="n"/>
      <c r="E391" s="31" t="n"/>
      <c r="F391" s="29" t="n"/>
      <c r="G391" s="29" t="n"/>
      <c r="H391" s="35">
        <f>IF($A391="","",SUMIF(tblAkis[KaynakKartId],$A391,tblAkis[Tutar]))</f>
        <v/>
      </c>
      <c r="I391" s="35">
        <f>IF($A391="","",IFERROR(AVERAGEIF(tblAkis[KaynakKartId],$A391,tblAkis[YasGun]),0))</f>
        <v/>
      </c>
    </row>
    <row r="392">
      <c r="A392" s="29" t="n"/>
      <c r="B392" s="29" t="n"/>
      <c r="C392" s="29" t="n"/>
      <c r="D392" s="29" t="n"/>
      <c r="E392" s="31" t="n"/>
      <c r="F392" s="29" t="n"/>
      <c r="G392" s="29" t="n"/>
      <c r="H392" s="35">
        <f>IF($A392="","",SUMIF(tblAkis[KaynakKartId],$A392,tblAkis[Tutar]))</f>
        <v/>
      </c>
      <c r="I392" s="35">
        <f>IF($A392="","",IFERROR(AVERAGEIF(tblAkis[KaynakKartId],$A392,tblAkis[YasGun]),0))</f>
        <v/>
      </c>
    </row>
    <row r="393">
      <c r="A393" s="29" t="n"/>
      <c r="B393" s="29" t="n"/>
      <c r="C393" s="29" t="n"/>
      <c r="D393" s="29" t="n"/>
      <c r="E393" s="31" t="n"/>
      <c r="F393" s="29" t="n"/>
      <c r="G393" s="29" t="n"/>
      <c r="H393" s="35">
        <f>IF($A393="","",SUMIF(tblAkis[KaynakKartId],$A393,tblAkis[Tutar]))</f>
        <v/>
      </c>
      <c r="I393" s="35">
        <f>IF($A393="","",IFERROR(AVERAGEIF(tblAkis[KaynakKartId],$A393,tblAkis[YasGun]),0))</f>
        <v/>
      </c>
    </row>
    <row r="394">
      <c r="A394" s="29" t="n"/>
      <c r="B394" s="29" t="n"/>
      <c r="C394" s="29" t="n"/>
      <c r="D394" s="29" t="n"/>
      <c r="E394" s="31" t="n"/>
      <c r="F394" s="29" t="n"/>
      <c r="G394" s="29" t="n"/>
      <c r="H394" s="35">
        <f>IF($A394="","",SUMIF(tblAkis[KaynakKartId],$A394,tblAkis[Tutar]))</f>
        <v/>
      </c>
      <c r="I394" s="35">
        <f>IF($A394="","",IFERROR(AVERAGEIF(tblAkis[KaynakKartId],$A394,tblAkis[YasGun]),0))</f>
        <v/>
      </c>
    </row>
    <row r="395">
      <c r="A395" s="29" t="n"/>
      <c r="B395" s="29" t="n"/>
      <c r="C395" s="29" t="n"/>
      <c r="D395" s="29" t="n"/>
      <c r="E395" s="31" t="n"/>
      <c r="F395" s="29" t="n"/>
      <c r="G395" s="29" t="n"/>
      <c r="H395" s="35">
        <f>IF($A395="","",SUMIF(tblAkis[KaynakKartId],$A395,tblAkis[Tutar]))</f>
        <v/>
      </c>
      <c r="I395" s="35">
        <f>IF($A395="","",IFERROR(AVERAGEIF(tblAkis[KaynakKartId],$A395,tblAkis[YasGun]),0))</f>
        <v/>
      </c>
    </row>
    <row r="396">
      <c r="A396" s="29" t="n"/>
      <c r="B396" s="29" t="n"/>
      <c r="C396" s="29" t="n"/>
      <c r="D396" s="29" t="n"/>
      <c r="E396" s="31" t="n"/>
      <c r="F396" s="29" t="n"/>
      <c r="G396" s="29" t="n"/>
      <c r="H396" s="35">
        <f>IF($A396="","",SUMIF(tblAkis[KaynakKartId],$A396,tblAkis[Tutar]))</f>
        <v/>
      </c>
      <c r="I396" s="35">
        <f>IF($A396="","",IFERROR(AVERAGEIF(tblAkis[KaynakKartId],$A396,tblAkis[YasGun]),0))</f>
        <v/>
      </c>
    </row>
    <row r="397">
      <c r="A397" s="29" t="n"/>
      <c r="B397" s="29" t="n"/>
      <c r="C397" s="29" t="n"/>
      <c r="D397" s="29" t="n"/>
      <c r="E397" s="31" t="n"/>
      <c r="F397" s="29" t="n"/>
      <c r="G397" s="29" t="n"/>
      <c r="H397" s="35">
        <f>IF($A397="","",SUMIF(tblAkis[KaynakKartId],$A397,tblAkis[Tutar]))</f>
        <v/>
      </c>
      <c r="I397" s="35">
        <f>IF($A397="","",IFERROR(AVERAGEIF(tblAkis[KaynakKartId],$A397,tblAkis[YasGun]),0))</f>
        <v/>
      </c>
    </row>
    <row r="398">
      <c r="A398" s="29" t="n"/>
      <c r="B398" s="29" t="n"/>
      <c r="C398" s="29" t="n"/>
      <c r="D398" s="29" t="n"/>
      <c r="E398" s="31" t="n"/>
      <c r="F398" s="29" t="n"/>
      <c r="G398" s="29" t="n"/>
      <c r="H398" s="35">
        <f>IF($A398="","",SUMIF(tblAkis[KaynakKartId],$A398,tblAkis[Tutar]))</f>
        <v/>
      </c>
      <c r="I398" s="35">
        <f>IF($A398="","",IFERROR(AVERAGEIF(tblAkis[KaynakKartId],$A398,tblAkis[YasGun]),0))</f>
        <v/>
      </c>
    </row>
    <row r="399">
      <c r="A399" s="29" t="n"/>
      <c r="B399" s="29" t="n"/>
      <c r="C399" s="29" t="n"/>
      <c r="D399" s="29" t="n"/>
      <c r="E399" s="31" t="n"/>
      <c r="F399" s="29" t="n"/>
      <c r="G399" s="29" t="n"/>
      <c r="H399" s="35">
        <f>IF($A399="","",SUMIF(tblAkis[KaynakKartId],$A399,tblAkis[Tutar]))</f>
        <v/>
      </c>
      <c r="I399" s="35">
        <f>IF($A399="","",IFERROR(AVERAGEIF(tblAkis[KaynakKartId],$A399,tblAkis[YasGun]),0))</f>
        <v/>
      </c>
    </row>
    <row r="400">
      <c r="A400" s="29" t="n"/>
      <c r="B400" s="29" t="n"/>
      <c r="C400" s="29" t="n"/>
      <c r="D400" s="29" t="n"/>
      <c r="E400" s="31" t="n"/>
      <c r="F400" s="29" t="n"/>
      <c r="G400" s="29" t="n"/>
      <c r="H400" s="35">
        <f>IF($A400="","",SUMIF(tblAkis[KaynakKartId],$A400,tblAkis[Tutar]))</f>
        <v/>
      </c>
      <c r="I400" s="35">
        <f>IF($A400="","",IFERROR(AVERAGEIF(tblAkis[KaynakKartId],$A400,tblAkis[YasGun]),0))</f>
        <v/>
      </c>
    </row>
    <row r="401">
      <c r="A401" s="29" t="n"/>
      <c r="B401" s="29" t="n"/>
      <c r="C401" s="29" t="n"/>
      <c r="D401" s="29" t="n"/>
      <c r="E401" s="31" t="n"/>
      <c r="F401" s="29" t="n"/>
      <c r="G401" s="29" t="n"/>
      <c r="H401" s="35">
        <f>IF($A401="","",SUMIF(tblAkis[KaynakKartId],$A401,tblAkis[Tutar]))</f>
        <v/>
      </c>
      <c r="I401" s="35">
        <f>IF($A401="","",IFERROR(AVERAGEIF(tblAkis[KaynakKartId],$A401,tblAkis[YasGun]),0))</f>
        <v/>
      </c>
    </row>
    <row r="402">
      <c r="A402" s="29" t="n"/>
      <c r="B402" s="29" t="n"/>
      <c r="C402" s="29" t="n"/>
      <c r="D402" s="29" t="n"/>
      <c r="E402" s="31" t="n"/>
      <c r="F402" s="29" t="n"/>
      <c r="G402" s="29" t="n"/>
      <c r="H402" s="35">
        <f>IF($A402="","",SUMIF(tblAkis[KaynakKartId],$A402,tblAkis[Tutar]))</f>
        <v/>
      </c>
      <c r="I402" s="35">
        <f>IF($A402="","",IFERROR(AVERAGEIF(tblAkis[KaynakKartId],$A402,tblAkis[YasGun]),0))</f>
        <v/>
      </c>
    </row>
    <row r="403">
      <c r="A403" s="29" t="n"/>
      <c r="B403" s="29" t="n"/>
      <c r="C403" s="29" t="n"/>
      <c r="D403" s="29" t="n"/>
      <c r="E403" s="31" t="n"/>
      <c r="F403" s="29" t="n"/>
      <c r="G403" s="29" t="n"/>
      <c r="H403" s="35">
        <f>IF($A403="","",SUMIF(tblAkis[KaynakKartId],$A403,tblAkis[Tutar]))</f>
        <v/>
      </c>
      <c r="I403" s="35">
        <f>IF($A403="","",IFERROR(AVERAGEIF(tblAkis[KaynakKartId],$A403,tblAkis[YasGun]),0))</f>
        <v/>
      </c>
    </row>
    <row r="404">
      <c r="A404" s="29" t="n"/>
      <c r="B404" s="29" t="n"/>
      <c r="C404" s="29" t="n"/>
      <c r="D404" s="29" t="n"/>
      <c r="E404" s="31" t="n"/>
      <c r="F404" s="29" t="n"/>
      <c r="G404" s="29" t="n"/>
      <c r="H404" s="35">
        <f>IF($A404="","",SUMIF(tblAkis[KaynakKartId],$A404,tblAkis[Tutar]))</f>
        <v/>
      </c>
      <c r="I404" s="35">
        <f>IF($A404="","",IFERROR(AVERAGEIF(tblAkis[KaynakKartId],$A404,tblAkis[YasGun]),0))</f>
        <v/>
      </c>
    </row>
    <row r="405">
      <c r="A405" s="29" t="n"/>
      <c r="B405" s="29" t="n"/>
      <c r="C405" s="29" t="n"/>
      <c r="D405" s="29" t="n"/>
      <c r="E405" s="31" t="n"/>
      <c r="F405" s="29" t="n"/>
      <c r="G405" s="29" t="n"/>
      <c r="H405" s="35">
        <f>IF($A405="","",SUMIF(tblAkis[KaynakKartId],$A405,tblAkis[Tutar]))</f>
        <v/>
      </c>
      <c r="I405" s="35">
        <f>IF($A405="","",IFERROR(AVERAGEIF(tblAkis[KaynakKartId],$A405,tblAkis[YasGun]),0))</f>
        <v/>
      </c>
    </row>
    <row r="406">
      <c r="A406" s="29" t="n"/>
      <c r="B406" s="29" t="n"/>
      <c r="C406" s="29" t="n"/>
      <c r="D406" s="29" t="n"/>
      <c r="E406" s="31" t="n"/>
      <c r="F406" s="29" t="n"/>
      <c r="G406" s="29" t="n"/>
      <c r="H406" s="35">
        <f>IF($A406="","",SUMIF(tblAkis[KaynakKartId],$A406,tblAkis[Tutar]))</f>
        <v/>
      </c>
      <c r="I406" s="35">
        <f>IF($A406="","",IFERROR(AVERAGEIF(tblAkis[KaynakKartId],$A406,tblAkis[YasGun]),0))</f>
        <v/>
      </c>
    </row>
    <row r="407">
      <c r="A407" s="29" t="n"/>
      <c r="B407" s="29" t="n"/>
      <c r="C407" s="29" t="n"/>
      <c r="D407" s="29" t="n"/>
      <c r="E407" s="31" t="n"/>
      <c r="F407" s="29" t="n"/>
      <c r="G407" s="29" t="n"/>
      <c r="H407" s="35">
        <f>IF($A407="","",SUMIF(tblAkis[KaynakKartId],$A407,tblAkis[Tutar]))</f>
        <v/>
      </c>
      <c r="I407" s="35">
        <f>IF($A407="","",IFERROR(AVERAGEIF(tblAkis[KaynakKartId],$A407,tblAkis[YasGun]),0))</f>
        <v/>
      </c>
    </row>
    <row r="408">
      <c r="A408" s="29" t="n"/>
      <c r="B408" s="29" t="n"/>
      <c r="C408" s="29" t="n"/>
      <c r="D408" s="29" t="n"/>
      <c r="E408" s="31" t="n"/>
      <c r="F408" s="29" t="n"/>
      <c r="G408" s="29" t="n"/>
      <c r="H408" s="35">
        <f>IF($A408="","",SUMIF(tblAkis[KaynakKartId],$A408,tblAkis[Tutar]))</f>
        <v/>
      </c>
      <c r="I408" s="35">
        <f>IF($A408="","",IFERROR(AVERAGEIF(tblAkis[KaynakKartId],$A408,tblAkis[YasGun]),0))</f>
        <v/>
      </c>
    </row>
    <row r="409">
      <c r="A409" s="29" t="n"/>
      <c r="B409" s="29" t="n"/>
      <c r="C409" s="29" t="n"/>
      <c r="D409" s="29" t="n"/>
      <c r="E409" s="31" t="n"/>
      <c r="F409" s="29" t="n"/>
      <c r="G409" s="29" t="n"/>
      <c r="H409" s="35">
        <f>IF($A409="","",SUMIF(tblAkis[KaynakKartId],$A409,tblAkis[Tutar]))</f>
        <v/>
      </c>
      <c r="I409" s="35">
        <f>IF($A409="","",IFERROR(AVERAGEIF(tblAkis[KaynakKartId],$A409,tblAkis[YasGun]),0))</f>
        <v/>
      </c>
    </row>
    <row r="410">
      <c r="A410" s="29" t="n"/>
      <c r="B410" s="29" t="n"/>
      <c r="C410" s="29" t="n"/>
      <c r="D410" s="29" t="n"/>
      <c r="E410" s="31" t="n"/>
      <c r="F410" s="29" t="n"/>
      <c r="G410" s="29" t="n"/>
      <c r="H410" s="35">
        <f>IF($A410="","",SUMIF(tblAkis[KaynakKartId],$A410,tblAkis[Tutar]))</f>
        <v/>
      </c>
      <c r="I410" s="35">
        <f>IF($A410="","",IFERROR(AVERAGEIF(tblAkis[KaynakKartId],$A410,tblAkis[YasGun]),0))</f>
        <v/>
      </c>
    </row>
    <row r="411">
      <c r="A411" s="29" t="n"/>
      <c r="B411" s="29" t="n"/>
      <c r="C411" s="29" t="n"/>
      <c r="D411" s="29" t="n"/>
      <c r="E411" s="31" t="n"/>
      <c r="F411" s="29" t="n"/>
      <c r="G411" s="29" t="n"/>
      <c r="H411" s="35">
        <f>IF($A411="","",SUMIF(tblAkis[KaynakKartId],$A411,tblAkis[Tutar]))</f>
        <v/>
      </c>
      <c r="I411" s="35">
        <f>IF($A411="","",IFERROR(AVERAGEIF(tblAkis[KaynakKartId],$A411,tblAkis[YasGun]),0))</f>
        <v/>
      </c>
    </row>
    <row r="412">
      <c r="A412" s="29" t="n"/>
      <c r="B412" s="29" t="n"/>
      <c r="C412" s="29" t="n"/>
      <c r="D412" s="29" t="n"/>
      <c r="E412" s="31" t="n"/>
      <c r="F412" s="29" t="n"/>
      <c r="G412" s="29" t="n"/>
      <c r="H412" s="35">
        <f>IF($A412="","",SUMIF(tblAkis[KaynakKartId],$A412,tblAkis[Tutar]))</f>
        <v/>
      </c>
      <c r="I412" s="35">
        <f>IF($A412="","",IFERROR(AVERAGEIF(tblAkis[KaynakKartId],$A412,tblAkis[YasGun]),0))</f>
        <v/>
      </c>
    </row>
    <row r="413">
      <c r="A413" s="29" t="n"/>
      <c r="B413" s="29" t="n"/>
      <c r="C413" s="29" t="n"/>
      <c r="D413" s="29" t="n"/>
      <c r="E413" s="31" t="n"/>
      <c r="F413" s="29" t="n"/>
      <c r="G413" s="29" t="n"/>
      <c r="H413" s="35">
        <f>IF($A413="","",SUMIF(tblAkis[KaynakKartId],$A413,tblAkis[Tutar]))</f>
        <v/>
      </c>
      <c r="I413" s="35">
        <f>IF($A413="","",IFERROR(AVERAGEIF(tblAkis[KaynakKartId],$A413,tblAkis[YasGun]),0))</f>
        <v/>
      </c>
    </row>
    <row r="414">
      <c r="A414" s="29" t="n"/>
      <c r="B414" s="29" t="n"/>
      <c r="C414" s="29" t="n"/>
      <c r="D414" s="29" t="n"/>
      <c r="E414" s="31" t="n"/>
      <c r="F414" s="29" t="n"/>
      <c r="G414" s="29" t="n"/>
      <c r="H414" s="35">
        <f>IF($A414="","",SUMIF(tblAkis[KaynakKartId],$A414,tblAkis[Tutar]))</f>
        <v/>
      </c>
      <c r="I414" s="35">
        <f>IF($A414="","",IFERROR(AVERAGEIF(tblAkis[KaynakKartId],$A414,tblAkis[YasGun]),0))</f>
        <v/>
      </c>
    </row>
    <row r="415">
      <c r="A415" s="29" t="n"/>
      <c r="B415" s="29" t="n"/>
      <c r="C415" s="29" t="n"/>
      <c r="D415" s="29" t="n"/>
      <c r="E415" s="31" t="n"/>
      <c r="F415" s="29" t="n"/>
      <c r="G415" s="29" t="n"/>
      <c r="H415" s="35">
        <f>IF($A415="","",SUMIF(tblAkis[KaynakKartId],$A415,tblAkis[Tutar]))</f>
        <v/>
      </c>
      <c r="I415" s="35">
        <f>IF($A415="","",IFERROR(AVERAGEIF(tblAkis[KaynakKartId],$A415,tblAkis[YasGun]),0))</f>
        <v/>
      </c>
    </row>
    <row r="416">
      <c r="A416" s="29" t="n"/>
      <c r="B416" s="29" t="n"/>
      <c r="C416" s="29" t="n"/>
      <c r="D416" s="29" t="n"/>
      <c r="E416" s="31" t="n"/>
      <c r="F416" s="29" t="n"/>
      <c r="G416" s="29" t="n"/>
      <c r="H416" s="35">
        <f>IF($A416="","",SUMIF(tblAkis[KaynakKartId],$A416,tblAkis[Tutar]))</f>
        <v/>
      </c>
      <c r="I416" s="35">
        <f>IF($A416="","",IFERROR(AVERAGEIF(tblAkis[KaynakKartId],$A416,tblAkis[YasGun]),0))</f>
        <v/>
      </c>
    </row>
    <row r="417">
      <c r="A417" s="29" t="n"/>
      <c r="B417" s="29" t="n"/>
      <c r="C417" s="29" t="n"/>
      <c r="D417" s="29" t="n"/>
      <c r="E417" s="31" t="n"/>
      <c r="F417" s="29" t="n"/>
      <c r="G417" s="29" t="n"/>
      <c r="H417" s="35">
        <f>IF($A417="","",SUMIF(tblAkis[KaynakKartId],$A417,tblAkis[Tutar]))</f>
        <v/>
      </c>
      <c r="I417" s="35">
        <f>IF($A417="","",IFERROR(AVERAGEIF(tblAkis[KaynakKartId],$A417,tblAkis[YasGun]),0))</f>
        <v/>
      </c>
    </row>
    <row r="418">
      <c r="A418" s="29" t="n"/>
      <c r="B418" s="29" t="n"/>
      <c r="C418" s="29" t="n"/>
      <c r="D418" s="29" t="n"/>
      <c r="E418" s="31" t="n"/>
      <c r="F418" s="29" t="n"/>
      <c r="G418" s="29" t="n"/>
      <c r="H418" s="35">
        <f>IF($A418="","",SUMIF(tblAkis[KaynakKartId],$A418,tblAkis[Tutar]))</f>
        <v/>
      </c>
      <c r="I418" s="35">
        <f>IF($A418="","",IFERROR(AVERAGEIF(tblAkis[KaynakKartId],$A418,tblAkis[YasGun]),0))</f>
        <v/>
      </c>
    </row>
    <row r="419">
      <c r="A419" s="29" t="n"/>
      <c r="B419" s="29" t="n"/>
      <c r="C419" s="29" t="n"/>
      <c r="D419" s="29" t="n"/>
      <c r="E419" s="31" t="n"/>
      <c r="F419" s="29" t="n"/>
      <c r="G419" s="29" t="n"/>
      <c r="H419" s="35">
        <f>IF($A419="","",SUMIF(tblAkis[KaynakKartId],$A419,tblAkis[Tutar]))</f>
        <v/>
      </c>
      <c r="I419" s="35">
        <f>IF($A419="","",IFERROR(AVERAGEIF(tblAkis[KaynakKartId],$A419,tblAkis[YasGun]),0))</f>
        <v/>
      </c>
    </row>
    <row r="420">
      <c r="A420" s="29" t="n"/>
      <c r="B420" s="29" t="n"/>
      <c r="C420" s="29" t="n"/>
      <c r="D420" s="29" t="n"/>
      <c r="E420" s="31" t="n"/>
      <c r="F420" s="29" t="n"/>
      <c r="G420" s="29" t="n"/>
      <c r="H420" s="35">
        <f>IF($A420="","",SUMIF(tblAkis[KaynakKartId],$A420,tblAkis[Tutar]))</f>
        <v/>
      </c>
      <c r="I420" s="35">
        <f>IF($A420="","",IFERROR(AVERAGEIF(tblAkis[KaynakKartId],$A420,tblAkis[YasGun]),0))</f>
        <v/>
      </c>
    </row>
    <row r="421">
      <c r="A421" s="29" t="n"/>
      <c r="B421" s="29" t="n"/>
      <c r="C421" s="29" t="n"/>
      <c r="D421" s="29" t="n"/>
      <c r="E421" s="31" t="n"/>
      <c r="F421" s="29" t="n"/>
      <c r="G421" s="29" t="n"/>
      <c r="H421" s="35">
        <f>IF($A421="","",SUMIF(tblAkis[KaynakKartId],$A421,tblAkis[Tutar]))</f>
        <v/>
      </c>
      <c r="I421" s="35">
        <f>IF($A421="","",IFERROR(AVERAGEIF(tblAkis[KaynakKartId],$A421,tblAkis[YasGun]),0))</f>
        <v/>
      </c>
    </row>
    <row r="422">
      <c r="A422" s="29" t="n"/>
      <c r="B422" s="29" t="n"/>
      <c r="C422" s="29" t="n"/>
      <c r="D422" s="29" t="n"/>
      <c r="E422" s="31" t="n"/>
      <c r="F422" s="29" t="n"/>
      <c r="G422" s="29" t="n"/>
      <c r="H422" s="35">
        <f>IF($A422="","",SUMIF(tblAkis[KaynakKartId],$A422,tblAkis[Tutar]))</f>
        <v/>
      </c>
      <c r="I422" s="35">
        <f>IF($A422="","",IFERROR(AVERAGEIF(tblAkis[KaynakKartId],$A422,tblAkis[YasGun]),0))</f>
        <v/>
      </c>
    </row>
    <row r="423">
      <c r="A423" s="29" t="n"/>
      <c r="B423" s="29" t="n"/>
      <c r="C423" s="29" t="n"/>
      <c r="D423" s="29" t="n"/>
      <c r="E423" s="31" t="n"/>
      <c r="F423" s="29" t="n"/>
      <c r="G423" s="29" t="n"/>
      <c r="H423" s="35">
        <f>IF($A423="","",SUMIF(tblAkis[KaynakKartId],$A423,tblAkis[Tutar]))</f>
        <v/>
      </c>
      <c r="I423" s="35">
        <f>IF($A423="","",IFERROR(AVERAGEIF(tblAkis[KaynakKartId],$A423,tblAkis[YasGun]),0))</f>
        <v/>
      </c>
    </row>
    <row r="424">
      <c r="A424" s="29" t="n"/>
      <c r="B424" s="29" t="n"/>
      <c r="C424" s="29" t="n"/>
      <c r="D424" s="29" t="n"/>
      <c r="E424" s="31" t="n"/>
      <c r="F424" s="29" t="n"/>
      <c r="G424" s="29" t="n"/>
      <c r="H424" s="35">
        <f>IF($A424="","",SUMIF(tblAkis[KaynakKartId],$A424,tblAkis[Tutar]))</f>
        <v/>
      </c>
      <c r="I424" s="35">
        <f>IF($A424="","",IFERROR(AVERAGEIF(tblAkis[KaynakKartId],$A424,tblAkis[YasGun]),0))</f>
        <v/>
      </c>
    </row>
    <row r="425">
      <c r="A425" s="29" t="n"/>
      <c r="B425" s="29" t="n"/>
      <c r="C425" s="29" t="n"/>
      <c r="D425" s="29" t="n"/>
      <c r="E425" s="31" t="n"/>
      <c r="F425" s="29" t="n"/>
      <c r="G425" s="29" t="n"/>
      <c r="H425" s="35">
        <f>IF($A425="","",SUMIF(tblAkis[KaynakKartId],$A425,tblAkis[Tutar]))</f>
        <v/>
      </c>
      <c r="I425" s="35">
        <f>IF($A425="","",IFERROR(AVERAGEIF(tblAkis[KaynakKartId],$A425,tblAkis[YasGun]),0))</f>
        <v/>
      </c>
    </row>
    <row r="426">
      <c r="A426" s="29" t="n"/>
      <c r="B426" s="29" t="n"/>
      <c r="C426" s="29" t="n"/>
      <c r="D426" s="29" t="n"/>
      <c r="E426" s="31" t="n"/>
      <c r="F426" s="29" t="n"/>
      <c r="G426" s="29" t="n"/>
      <c r="H426" s="35">
        <f>IF($A426="","",SUMIF(tblAkis[KaynakKartId],$A426,tblAkis[Tutar]))</f>
        <v/>
      </c>
      <c r="I426" s="35">
        <f>IF($A426="","",IFERROR(AVERAGEIF(tblAkis[KaynakKartId],$A426,tblAkis[YasGun]),0))</f>
        <v/>
      </c>
    </row>
    <row r="427">
      <c r="A427" s="29" t="n"/>
      <c r="B427" s="29" t="n"/>
      <c r="C427" s="29" t="n"/>
      <c r="D427" s="29" t="n"/>
      <c r="E427" s="31" t="n"/>
      <c r="F427" s="29" t="n"/>
      <c r="G427" s="29" t="n"/>
      <c r="H427" s="35">
        <f>IF($A427="","",SUMIF(tblAkis[KaynakKartId],$A427,tblAkis[Tutar]))</f>
        <v/>
      </c>
      <c r="I427" s="35">
        <f>IF($A427="","",IFERROR(AVERAGEIF(tblAkis[KaynakKartId],$A427,tblAkis[YasGun]),0))</f>
        <v/>
      </c>
    </row>
    <row r="428">
      <c r="A428" s="29" t="n"/>
      <c r="B428" s="29" t="n"/>
      <c r="C428" s="29" t="n"/>
      <c r="D428" s="29" t="n"/>
      <c r="E428" s="31" t="n"/>
      <c r="F428" s="29" t="n"/>
      <c r="G428" s="29" t="n"/>
      <c r="H428" s="35">
        <f>IF($A428="","",SUMIF(tblAkis[KaynakKartId],$A428,tblAkis[Tutar]))</f>
        <v/>
      </c>
      <c r="I428" s="35">
        <f>IF($A428="","",IFERROR(AVERAGEIF(tblAkis[KaynakKartId],$A428,tblAkis[YasGun]),0))</f>
        <v/>
      </c>
    </row>
    <row r="429">
      <c r="A429" s="29" t="n"/>
      <c r="B429" s="29" t="n"/>
      <c r="C429" s="29" t="n"/>
      <c r="D429" s="29" t="n"/>
      <c r="E429" s="31" t="n"/>
      <c r="F429" s="29" t="n"/>
      <c r="G429" s="29" t="n"/>
      <c r="H429" s="35">
        <f>IF($A429="","",SUMIF(tblAkis[KaynakKartId],$A429,tblAkis[Tutar]))</f>
        <v/>
      </c>
      <c r="I429" s="35">
        <f>IF($A429="","",IFERROR(AVERAGEIF(tblAkis[KaynakKartId],$A429,tblAkis[YasGun]),0))</f>
        <v/>
      </c>
    </row>
    <row r="430">
      <c r="A430" s="29" t="n"/>
      <c r="B430" s="29" t="n"/>
      <c r="C430" s="29" t="n"/>
      <c r="D430" s="29" t="n"/>
      <c r="E430" s="31" t="n"/>
      <c r="F430" s="29" t="n"/>
      <c r="G430" s="29" t="n"/>
      <c r="H430" s="35">
        <f>IF($A430="","",SUMIF(tblAkis[KaynakKartId],$A430,tblAkis[Tutar]))</f>
        <v/>
      </c>
      <c r="I430" s="35">
        <f>IF($A430="","",IFERROR(AVERAGEIF(tblAkis[KaynakKartId],$A430,tblAkis[YasGun]),0))</f>
        <v/>
      </c>
    </row>
    <row r="431">
      <c r="A431" s="29" t="n"/>
      <c r="B431" s="29" t="n"/>
      <c r="C431" s="29" t="n"/>
      <c r="D431" s="29" t="n"/>
      <c r="E431" s="31" t="n"/>
      <c r="F431" s="29" t="n"/>
      <c r="G431" s="29" t="n"/>
      <c r="H431" s="35">
        <f>IF($A431="","",SUMIF(tblAkis[KaynakKartId],$A431,tblAkis[Tutar]))</f>
        <v/>
      </c>
      <c r="I431" s="35">
        <f>IF($A431="","",IFERROR(AVERAGEIF(tblAkis[KaynakKartId],$A431,tblAkis[YasGun]),0))</f>
        <v/>
      </c>
    </row>
    <row r="432">
      <c r="A432" s="29" t="n"/>
      <c r="B432" s="29" t="n"/>
      <c r="C432" s="29" t="n"/>
      <c r="D432" s="29" t="n"/>
      <c r="E432" s="31" t="n"/>
      <c r="F432" s="29" t="n"/>
      <c r="G432" s="29" t="n"/>
      <c r="H432" s="35">
        <f>IF($A432="","",SUMIF(tblAkis[KaynakKartId],$A432,tblAkis[Tutar]))</f>
        <v/>
      </c>
      <c r="I432" s="35">
        <f>IF($A432="","",IFERROR(AVERAGEIF(tblAkis[KaynakKartId],$A432,tblAkis[YasGun]),0))</f>
        <v/>
      </c>
    </row>
    <row r="433">
      <c r="A433" s="29" t="n"/>
      <c r="B433" s="29" t="n"/>
      <c r="C433" s="29" t="n"/>
      <c r="D433" s="29" t="n"/>
      <c r="E433" s="31" t="n"/>
      <c r="F433" s="29" t="n"/>
      <c r="G433" s="29" t="n"/>
      <c r="H433" s="35">
        <f>IF($A433="","",SUMIF(tblAkis[KaynakKartId],$A433,tblAkis[Tutar]))</f>
        <v/>
      </c>
      <c r="I433" s="35">
        <f>IF($A433="","",IFERROR(AVERAGEIF(tblAkis[KaynakKartId],$A433,tblAkis[YasGun]),0))</f>
        <v/>
      </c>
    </row>
    <row r="434">
      <c r="A434" s="29" t="n"/>
      <c r="B434" s="29" t="n"/>
      <c r="C434" s="29" t="n"/>
      <c r="D434" s="29" t="n"/>
      <c r="E434" s="31" t="n"/>
      <c r="F434" s="29" t="n"/>
      <c r="G434" s="29" t="n"/>
      <c r="H434" s="35">
        <f>IF($A434="","",SUMIF(tblAkis[KaynakKartId],$A434,tblAkis[Tutar]))</f>
        <v/>
      </c>
      <c r="I434" s="35">
        <f>IF($A434="","",IFERROR(AVERAGEIF(tblAkis[KaynakKartId],$A434,tblAkis[YasGun]),0))</f>
        <v/>
      </c>
    </row>
    <row r="435">
      <c r="A435" s="29" t="n"/>
      <c r="B435" s="29" t="n"/>
      <c r="C435" s="29" t="n"/>
      <c r="D435" s="29" t="n"/>
      <c r="E435" s="31" t="n"/>
      <c r="F435" s="29" t="n"/>
      <c r="G435" s="29" t="n"/>
      <c r="H435" s="35">
        <f>IF($A435="","",SUMIF(tblAkis[KaynakKartId],$A435,tblAkis[Tutar]))</f>
        <v/>
      </c>
      <c r="I435" s="35">
        <f>IF($A435="","",IFERROR(AVERAGEIF(tblAkis[KaynakKartId],$A435,tblAkis[YasGun]),0))</f>
        <v/>
      </c>
    </row>
    <row r="436">
      <c r="A436" s="29" t="n"/>
      <c r="B436" s="29" t="n"/>
      <c r="C436" s="29" t="n"/>
      <c r="D436" s="29" t="n"/>
      <c r="E436" s="31" t="n"/>
      <c r="F436" s="29" t="n"/>
      <c r="G436" s="29" t="n"/>
      <c r="H436" s="35">
        <f>IF($A436="","",SUMIF(tblAkis[KaynakKartId],$A436,tblAkis[Tutar]))</f>
        <v/>
      </c>
      <c r="I436" s="35">
        <f>IF($A436="","",IFERROR(AVERAGEIF(tblAkis[KaynakKartId],$A436,tblAkis[YasGun]),0))</f>
        <v/>
      </c>
    </row>
    <row r="437">
      <c r="A437" s="29" t="n"/>
      <c r="B437" s="29" t="n"/>
      <c r="C437" s="29" t="n"/>
      <c r="D437" s="29" t="n"/>
      <c r="E437" s="31" t="n"/>
      <c r="F437" s="29" t="n"/>
      <c r="G437" s="29" t="n"/>
      <c r="H437" s="35">
        <f>IF($A437="","",SUMIF(tblAkis[KaynakKartId],$A437,tblAkis[Tutar]))</f>
        <v/>
      </c>
      <c r="I437" s="35">
        <f>IF($A437="","",IFERROR(AVERAGEIF(tblAkis[KaynakKartId],$A437,tblAkis[YasGun]),0))</f>
        <v/>
      </c>
    </row>
    <row r="438">
      <c r="A438" s="29" t="n"/>
      <c r="B438" s="29" t="n"/>
      <c r="C438" s="29" t="n"/>
      <c r="D438" s="29" t="n"/>
      <c r="E438" s="31" t="n"/>
      <c r="F438" s="29" t="n"/>
      <c r="G438" s="29" t="n"/>
      <c r="H438" s="35">
        <f>IF($A438="","",SUMIF(tblAkis[KaynakKartId],$A438,tblAkis[Tutar]))</f>
        <v/>
      </c>
      <c r="I438" s="35">
        <f>IF($A438="","",IFERROR(AVERAGEIF(tblAkis[KaynakKartId],$A438,tblAkis[YasGun]),0))</f>
        <v/>
      </c>
    </row>
    <row r="439">
      <c r="A439" s="29" t="n"/>
      <c r="B439" s="29" t="n"/>
      <c r="C439" s="29" t="n"/>
      <c r="D439" s="29" t="n"/>
      <c r="E439" s="31" t="n"/>
      <c r="F439" s="29" t="n"/>
      <c r="G439" s="29" t="n"/>
      <c r="H439" s="35">
        <f>IF($A439="","",SUMIF(tblAkis[KaynakKartId],$A439,tblAkis[Tutar]))</f>
        <v/>
      </c>
      <c r="I439" s="35">
        <f>IF($A439="","",IFERROR(AVERAGEIF(tblAkis[KaynakKartId],$A439,tblAkis[YasGun]),0))</f>
        <v/>
      </c>
    </row>
    <row r="440">
      <c r="A440" s="29" t="n"/>
      <c r="B440" s="29" t="n"/>
      <c r="C440" s="29" t="n"/>
      <c r="D440" s="29" t="n"/>
      <c r="E440" s="31" t="n"/>
      <c r="F440" s="29" t="n"/>
      <c r="G440" s="29" t="n"/>
      <c r="H440" s="35">
        <f>IF($A440="","",SUMIF(tblAkis[KaynakKartId],$A440,tblAkis[Tutar]))</f>
        <v/>
      </c>
      <c r="I440" s="35">
        <f>IF($A440="","",IFERROR(AVERAGEIF(tblAkis[KaynakKartId],$A440,tblAkis[YasGun]),0))</f>
        <v/>
      </c>
    </row>
    <row r="441">
      <c r="A441" s="29" t="n"/>
      <c r="B441" s="29" t="n"/>
      <c r="C441" s="29" t="n"/>
      <c r="D441" s="29" t="n"/>
      <c r="E441" s="31" t="n"/>
      <c r="F441" s="29" t="n"/>
      <c r="G441" s="29" t="n"/>
      <c r="H441" s="35">
        <f>IF($A441="","",SUMIF(tblAkis[KaynakKartId],$A441,tblAkis[Tutar]))</f>
        <v/>
      </c>
      <c r="I441" s="35">
        <f>IF($A441="","",IFERROR(AVERAGEIF(tblAkis[KaynakKartId],$A441,tblAkis[YasGun]),0))</f>
        <v/>
      </c>
    </row>
    <row r="442">
      <c r="A442" s="29" t="n"/>
      <c r="B442" s="29" t="n"/>
      <c r="C442" s="29" t="n"/>
      <c r="D442" s="29" t="n"/>
      <c r="E442" s="31" t="n"/>
      <c r="F442" s="29" t="n"/>
      <c r="G442" s="29" t="n"/>
      <c r="H442" s="35">
        <f>IF($A442="","",SUMIF(tblAkis[KaynakKartId],$A442,tblAkis[Tutar]))</f>
        <v/>
      </c>
      <c r="I442" s="35">
        <f>IF($A442="","",IFERROR(AVERAGEIF(tblAkis[KaynakKartId],$A442,tblAkis[YasGun]),0))</f>
        <v/>
      </c>
    </row>
    <row r="443">
      <c r="A443" s="29" t="n"/>
      <c r="B443" s="29" t="n"/>
      <c r="C443" s="29" t="n"/>
      <c r="D443" s="29" t="n"/>
      <c r="E443" s="31" t="n"/>
      <c r="F443" s="29" t="n"/>
      <c r="G443" s="29" t="n"/>
      <c r="H443" s="35">
        <f>IF($A443="","",SUMIF(tblAkis[KaynakKartId],$A443,tblAkis[Tutar]))</f>
        <v/>
      </c>
      <c r="I443" s="35">
        <f>IF($A443="","",IFERROR(AVERAGEIF(tblAkis[KaynakKartId],$A443,tblAkis[YasGun]),0))</f>
        <v/>
      </c>
    </row>
    <row r="444">
      <c r="A444" s="29" t="n"/>
      <c r="B444" s="29" t="n"/>
      <c r="C444" s="29" t="n"/>
      <c r="D444" s="29" t="n"/>
      <c r="E444" s="31" t="n"/>
      <c r="F444" s="29" t="n"/>
      <c r="G444" s="29" t="n"/>
      <c r="H444" s="35">
        <f>IF($A444="","",SUMIF(tblAkis[KaynakKartId],$A444,tblAkis[Tutar]))</f>
        <v/>
      </c>
      <c r="I444" s="35">
        <f>IF($A444="","",IFERROR(AVERAGEIF(tblAkis[KaynakKartId],$A444,tblAkis[YasGun]),0))</f>
        <v/>
      </c>
    </row>
    <row r="445">
      <c r="A445" s="29" t="n"/>
      <c r="B445" s="29" t="n"/>
      <c r="C445" s="29" t="n"/>
      <c r="D445" s="29" t="n"/>
      <c r="E445" s="31" t="n"/>
      <c r="F445" s="29" t="n"/>
      <c r="G445" s="29" t="n"/>
      <c r="H445" s="35">
        <f>IF($A445="","",SUMIF(tblAkis[KaynakKartId],$A445,tblAkis[Tutar]))</f>
        <v/>
      </c>
      <c r="I445" s="35">
        <f>IF($A445="","",IFERROR(AVERAGEIF(tblAkis[KaynakKartId],$A445,tblAkis[YasGun]),0))</f>
        <v/>
      </c>
    </row>
    <row r="446">
      <c r="A446" s="29" t="n"/>
      <c r="B446" s="29" t="n"/>
      <c r="C446" s="29" t="n"/>
      <c r="D446" s="29" t="n"/>
      <c r="E446" s="31" t="n"/>
      <c r="F446" s="29" t="n"/>
      <c r="G446" s="29" t="n"/>
      <c r="H446" s="35">
        <f>IF($A446="","",SUMIF(tblAkis[KaynakKartId],$A446,tblAkis[Tutar]))</f>
        <v/>
      </c>
      <c r="I446" s="35">
        <f>IF($A446="","",IFERROR(AVERAGEIF(tblAkis[KaynakKartId],$A446,tblAkis[YasGun]),0))</f>
        <v/>
      </c>
    </row>
    <row r="447">
      <c r="A447" s="29" t="n"/>
      <c r="B447" s="29" t="n"/>
      <c r="C447" s="29" t="n"/>
      <c r="D447" s="29" t="n"/>
      <c r="E447" s="31" t="n"/>
      <c r="F447" s="29" t="n"/>
      <c r="G447" s="29" t="n"/>
      <c r="H447" s="35">
        <f>IF($A447="","",SUMIF(tblAkis[KaynakKartId],$A447,tblAkis[Tutar]))</f>
        <v/>
      </c>
      <c r="I447" s="35">
        <f>IF($A447="","",IFERROR(AVERAGEIF(tblAkis[KaynakKartId],$A447,tblAkis[YasGun]),0))</f>
        <v/>
      </c>
    </row>
    <row r="448">
      <c r="A448" s="29" t="n"/>
      <c r="B448" s="29" t="n"/>
      <c r="C448" s="29" t="n"/>
      <c r="D448" s="29" t="n"/>
      <c r="E448" s="31" t="n"/>
      <c r="F448" s="29" t="n"/>
      <c r="G448" s="29" t="n"/>
      <c r="H448" s="35">
        <f>IF($A448="","",SUMIF(tblAkis[KaynakKartId],$A448,tblAkis[Tutar]))</f>
        <v/>
      </c>
      <c r="I448" s="35">
        <f>IF($A448="","",IFERROR(AVERAGEIF(tblAkis[KaynakKartId],$A448,tblAkis[YasGun]),0))</f>
        <v/>
      </c>
    </row>
    <row r="449">
      <c r="A449" s="29" t="n"/>
      <c r="B449" s="29" t="n"/>
      <c r="C449" s="29" t="n"/>
      <c r="D449" s="29" t="n"/>
      <c r="E449" s="31" t="n"/>
      <c r="F449" s="29" t="n"/>
      <c r="G449" s="29" t="n"/>
      <c r="H449" s="35">
        <f>IF($A449="","",SUMIF(tblAkis[KaynakKartId],$A449,tblAkis[Tutar]))</f>
        <v/>
      </c>
      <c r="I449" s="35">
        <f>IF($A449="","",IFERROR(AVERAGEIF(tblAkis[KaynakKartId],$A449,tblAkis[YasGun]),0))</f>
        <v/>
      </c>
    </row>
    <row r="450">
      <c r="A450" s="29" t="n"/>
      <c r="B450" s="29" t="n"/>
      <c r="C450" s="29" t="n"/>
      <c r="D450" s="29" t="n"/>
      <c r="E450" s="31" t="n"/>
      <c r="F450" s="29" t="n"/>
      <c r="G450" s="29" t="n"/>
      <c r="H450" s="35">
        <f>IF($A450="","",SUMIF(tblAkis[KaynakKartId],$A450,tblAkis[Tutar]))</f>
        <v/>
      </c>
      <c r="I450" s="35">
        <f>IF($A450="","",IFERROR(AVERAGEIF(tblAkis[KaynakKartId],$A450,tblAkis[YasGun]),0))</f>
        <v/>
      </c>
    </row>
    <row r="451">
      <c r="A451" s="29" t="n"/>
      <c r="B451" s="29" t="n"/>
      <c r="C451" s="29" t="n"/>
      <c r="D451" s="29" t="n"/>
      <c r="E451" s="31" t="n"/>
      <c r="F451" s="29" t="n"/>
      <c r="G451" s="29" t="n"/>
      <c r="H451" s="35">
        <f>IF($A451="","",SUMIF(tblAkis[KaynakKartId],$A451,tblAkis[Tutar]))</f>
        <v/>
      </c>
      <c r="I451" s="35">
        <f>IF($A451="","",IFERROR(AVERAGEIF(tblAkis[KaynakKartId],$A451,tblAkis[YasGun]),0))</f>
        <v/>
      </c>
    </row>
    <row r="452">
      <c r="A452" s="29" t="n"/>
      <c r="B452" s="29" t="n"/>
      <c r="C452" s="29" t="n"/>
      <c r="D452" s="29" t="n"/>
      <c r="E452" s="31" t="n"/>
      <c r="F452" s="29" t="n"/>
      <c r="G452" s="29" t="n"/>
      <c r="H452" s="35">
        <f>IF($A452="","",SUMIF(tblAkis[KaynakKartId],$A452,tblAkis[Tutar]))</f>
        <v/>
      </c>
      <c r="I452" s="35">
        <f>IF($A452="","",IFERROR(AVERAGEIF(tblAkis[KaynakKartId],$A452,tblAkis[YasGun]),0))</f>
        <v/>
      </c>
    </row>
    <row r="453">
      <c r="A453" s="29" t="n"/>
      <c r="B453" s="29" t="n"/>
      <c r="C453" s="29" t="n"/>
      <c r="D453" s="29" t="n"/>
      <c r="E453" s="31" t="n"/>
      <c r="F453" s="29" t="n"/>
      <c r="G453" s="29" t="n"/>
      <c r="H453" s="35">
        <f>IF($A453="","",SUMIF(tblAkis[KaynakKartId],$A453,tblAkis[Tutar]))</f>
        <v/>
      </c>
      <c r="I453" s="35">
        <f>IF($A453="","",IFERROR(AVERAGEIF(tblAkis[KaynakKartId],$A453,tblAkis[YasGun]),0))</f>
        <v/>
      </c>
    </row>
    <row r="454">
      <c r="A454" s="29" t="n"/>
      <c r="B454" s="29" t="n"/>
      <c r="C454" s="29" t="n"/>
      <c r="D454" s="29" t="n"/>
      <c r="E454" s="31" t="n"/>
      <c r="F454" s="29" t="n"/>
      <c r="G454" s="29" t="n"/>
      <c r="H454" s="35">
        <f>IF($A454="","",SUMIF(tblAkis[KaynakKartId],$A454,tblAkis[Tutar]))</f>
        <v/>
      </c>
      <c r="I454" s="35">
        <f>IF($A454="","",IFERROR(AVERAGEIF(tblAkis[KaynakKartId],$A454,tblAkis[YasGun]),0))</f>
        <v/>
      </c>
    </row>
    <row r="455">
      <c r="A455" s="29" t="n"/>
      <c r="B455" s="29" t="n"/>
      <c r="C455" s="29" t="n"/>
      <c r="D455" s="29" t="n"/>
      <c r="E455" s="31" t="n"/>
      <c r="F455" s="29" t="n"/>
      <c r="G455" s="29" t="n"/>
      <c r="H455" s="35">
        <f>IF($A455="","",SUMIF(tblAkis[KaynakKartId],$A455,tblAkis[Tutar]))</f>
        <v/>
      </c>
      <c r="I455" s="35">
        <f>IF($A455="","",IFERROR(AVERAGEIF(tblAkis[KaynakKartId],$A455,tblAkis[YasGun]),0))</f>
        <v/>
      </c>
    </row>
    <row r="456">
      <c r="A456" s="29" t="n"/>
      <c r="B456" s="29" t="n"/>
      <c r="C456" s="29" t="n"/>
      <c r="D456" s="29" t="n"/>
      <c r="E456" s="31" t="n"/>
      <c r="F456" s="29" t="n"/>
      <c r="G456" s="29" t="n"/>
      <c r="H456" s="35">
        <f>IF($A456="","",SUMIF(tblAkis[KaynakKartId],$A456,tblAkis[Tutar]))</f>
        <v/>
      </c>
      <c r="I456" s="35">
        <f>IF($A456="","",IFERROR(AVERAGEIF(tblAkis[KaynakKartId],$A456,tblAkis[YasGun]),0))</f>
        <v/>
      </c>
    </row>
    <row r="457">
      <c r="A457" s="29" t="n"/>
      <c r="B457" s="29" t="n"/>
      <c r="C457" s="29" t="n"/>
      <c r="D457" s="29" t="n"/>
      <c r="E457" s="31" t="n"/>
      <c r="F457" s="29" t="n"/>
      <c r="G457" s="29" t="n"/>
      <c r="H457" s="35">
        <f>IF($A457="","",SUMIF(tblAkis[KaynakKartId],$A457,tblAkis[Tutar]))</f>
        <v/>
      </c>
      <c r="I457" s="35">
        <f>IF($A457="","",IFERROR(AVERAGEIF(tblAkis[KaynakKartId],$A457,tblAkis[YasGun]),0))</f>
        <v/>
      </c>
    </row>
    <row r="458">
      <c r="A458" s="29" t="n"/>
      <c r="B458" s="29" t="n"/>
      <c r="C458" s="29" t="n"/>
      <c r="D458" s="29" t="n"/>
      <c r="E458" s="31" t="n"/>
      <c r="F458" s="29" t="n"/>
      <c r="G458" s="29" t="n"/>
      <c r="H458" s="35">
        <f>IF($A458="","",SUMIF(tblAkis[KaynakKartId],$A458,tblAkis[Tutar]))</f>
        <v/>
      </c>
      <c r="I458" s="35">
        <f>IF($A458="","",IFERROR(AVERAGEIF(tblAkis[KaynakKartId],$A458,tblAkis[YasGun]),0))</f>
        <v/>
      </c>
    </row>
    <row r="459">
      <c r="A459" s="29" t="n"/>
      <c r="B459" s="29" t="n"/>
      <c r="C459" s="29" t="n"/>
      <c r="D459" s="29" t="n"/>
      <c r="E459" s="31" t="n"/>
      <c r="F459" s="29" t="n"/>
      <c r="G459" s="29" t="n"/>
      <c r="H459" s="35">
        <f>IF($A459="","",SUMIF(tblAkis[KaynakKartId],$A459,tblAkis[Tutar]))</f>
        <v/>
      </c>
      <c r="I459" s="35">
        <f>IF($A459="","",IFERROR(AVERAGEIF(tblAkis[KaynakKartId],$A459,tblAkis[YasGun]),0))</f>
        <v/>
      </c>
    </row>
    <row r="460">
      <c r="A460" s="29" t="n"/>
      <c r="B460" s="29" t="n"/>
      <c r="C460" s="29" t="n"/>
      <c r="D460" s="29" t="n"/>
      <c r="E460" s="31" t="n"/>
      <c r="F460" s="29" t="n"/>
      <c r="G460" s="29" t="n"/>
      <c r="H460" s="35">
        <f>IF($A460="","",SUMIF(tblAkis[KaynakKartId],$A460,tblAkis[Tutar]))</f>
        <v/>
      </c>
      <c r="I460" s="35">
        <f>IF($A460="","",IFERROR(AVERAGEIF(tblAkis[KaynakKartId],$A460,tblAkis[YasGun]),0))</f>
        <v/>
      </c>
    </row>
    <row r="461">
      <c r="A461" s="29" t="n"/>
      <c r="B461" s="29" t="n"/>
      <c r="C461" s="29" t="n"/>
      <c r="D461" s="29" t="n"/>
      <c r="E461" s="31" t="n"/>
      <c r="F461" s="29" t="n"/>
      <c r="G461" s="29" t="n"/>
      <c r="H461" s="35">
        <f>IF($A461="","",SUMIF(tblAkis[KaynakKartId],$A461,tblAkis[Tutar]))</f>
        <v/>
      </c>
      <c r="I461" s="35">
        <f>IF($A461="","",IFERROR(AVERAGEIF(tblAkis[KaynakKartId],$A461,tblAkis[YasGun]),0))</f>
        <v/>
      </c>
    </row>
    <row r="462">
      <c r="A462" s="29" t="n"/>
      <c r="B462" s="29" t="n"/>
      <c r="C462" s="29" t="n"/>
      <c r="D462" s="29" t="n"/>
      <c r="E462" s="31" t="n"/>
      <c r="F462" s="29" t="n"/>
      <c r="G462" s="29" t="n"/>
      <c r="H462" s="35">
        <f>IF($A462="","",SUMIF(tblAkis[KaynakKartId],$A462,tblAkis[Tutar]))</f>
        <v/>
      </c>
      <c r="I462" s="35">
        <f>IF($A462="","",IFERROR(AVERAGEIF(tblAkis[KaynakKartId],$A462,tblAkis[YasGun]),0))</f>
        <v/>
      </c>
    </row>
    <row r="463">
      <c r="A463" s="29" t="n"/>
      <c r="B463" s="29" t="n"/>
      <c r="C463" s="29" t="n"/>
      <c r="D463" s="29" t="n"/>
      <c r="E463" s="31" t="n"/>
      <c r="F463" s="29" t="n"/>
      <c r="G463" s="29" t="n"/>
      <c r="H463" s="35">
        <f>IF($A463="","",SUMIF(tblAkis[KaynakKartId],$A463,tblAkis[Tutar]))</f>
        <v/>
      </c>
      <c r="I463" s="35">
        <f>IF($A463="","",IFERROR(AVERAGEIF(tblAkis[KaynakKartId],$A463,tblAkis[YasGun]),0))</f>
        <v/>
      </c>
    </row>
    <row r="464">
      <c r="A464" s="29" t="n"/>
      <c r="B464" s="29" t="n"/>
      <c r="C464" s="29" t="n"/>
      <c r="D464" s="29" t="n"/>
      <c r="E464" s="31" t="n"/>
      <c r="F464" s="29" t="n"/>
      <c r="G464" s="29" t="n"/>
      <c r="H464" s="35">
        <f>IF($A464="","",SUMIF(tblAkis[KaynakKartId],$A464,tblAkis[Tutar]))</f>
        <v/>
      </c>
      <c r="I464" s="35">
        <f>IF($A464="","",IFERROR(AVERAGEIF(tblAkis[KaynakKartId],$A464,tblAkis[YasGun]),0))</f>
        <v/>
      </c>
    </row>
    <row r="465">
      <c r="A465" s="29" t="n"/>
      <c r="B465" s="29" t="n"/>
      <c r="C465" s="29" t="n"/>
      <c r="D465" s="29" t="n"/>
      <c r="E465" s="31" t="n"/>
      <c r="F465" s="29" t="n"/>
      <c r="G465" s="29" t="n"/>
      <c r="H465" s="35">
        <f>IF($A465="","",SUMIF(tblAkis[KaynakKartId],$A465,tblAkis[Tutar]))</f>
        <v/>
      </c>
      <c r="I465" s="35">
        <f>IF($A465="","",IFERROR(AVERAGEIF(tblAkis[KaynakKartId],$A465,tblAkis[YasGun]),0))</f>
        <v/>
      </c>
    </row>
    <row r="466">
      <c r="A466" s="29" t="n"/>
      <c r="B466" s="29" t="n"/>
      <c r="C466" s="29" t="n"/>
      <c r="D466" s="29" t="n"/>
      <c r="E466" s="31" t="n"/>
      <c r="F466" s="29" t="n"/>
      <c r="G466" s="29" t="n"/>
      <c r="H466" s="35">
        <f>IF($A466="","",SUMIF(tblAkis[KaynakKartId],$A466,tblAkis[Tutar]))</f>
        <v/>
      </c>
      <c r="I466" s="35">
        <f>IF($A466="","",IFERROR(AVERAGEIF(tblAkis[KaynakKartId],$A466,tblAkis[YasGun]),0))</f>
        <v/>
      </c>
    </row>
    <row r="467">
      <c r="A467" s="29" t="n"/>
      <c r="B467" s="29" t="n"/>
      <c r="C467" s="29" t="n"/>
      <c r="D467" s="29" t="n"/>
      <c r="E467" s="31" t="n"/>
      <c r="F467" s="29" t="n"/>
      <c r="G467" s="29" t="n"/>
      <c r="H467" s="35">
        <f>IF($A467="","",SUMIF(tblAkis[KaynakKartId],$A467,tblAkis[Tutar]))</f>
        <v/>
      </c>
      <c r="I467" s="35">
        <f>IF($A467="","",IFERROR(AVERAGEIF(tblAkis[KaynakKartId],$A467,tblAkis[YasGun]),0))</f>
        <v/>
      </c>
    </row>
    <row r="468">
      <c r="A468" s="29" t="n"/>
      <c r="B468" s="29" t="n"/>
      <c r="C468" s="29" t="n"/>
      <c r="D468" s="29" t="n"/>
      <c r="E468" s="31" t="n"/>
      <c r="F468" s="29" t="n"/>
      <c r="G468" s="29" t="n"/>
      <c r="H468" s="35">
        <f>IF($A468="","",SUMIF(tblAkis[KaynakKartId],$A468,tblAkis[Tutar]))</f>
        <v/>
      </c>
      <c r="I468" s="35">
        <f>IF($A468="","",IFERROR(AVERAGEIF(tblAkis[KaynakKartId],$A468,tblAkis[YasGun]),0))</f>
        <v/>
      </c>
    </row>
    <row r="469">
      <c r="A469" s="29" t="n"/>
      <c r="B469" s="29" t="n"/>
      <c r="C469" s="29" t="n"/>
      <c r="D469" s="29" t="n"/>
      <c r="E469" s="31" t="n"/>
      <c r="F469" s="29" t="n"/>
      <c r="G469" s="29" t="n"/>
      <c r="H469" s="35">
        <f>IF($A469="","",SUMIF(tblAkis[KaynakKartId],$A469,tblAkis[Tutar]))</f>
        <v/>
      </c>
      <c r="I469" s="35">
        <f>IF($A469="","",IFERROR(AVERAGEIF(tblAkis[KaynakKartId],$A469,tblAkis[YasGun]),0))</f>
        <v/>
      </c>
    </row>
    <row r="470">
      <c r="A470" s="29" t="n"/>
      <c r="B470" s="29" t="n"/>
      <c r="C470" s="29" t="n"/>
      <c r="D470" s="29" t="n"/>
      <c r="E470" s="31" t="n"/>
      <c r="F470" s="29" t="n"/>
      <c r="G470" s="29" t="n"/>
      <c r="H470" s="35">
        <f>IF($A470="","",SUMIF(tblAkis[KaynakKartId],$A470,tblAkis[Tutar]))</f>
        <v/>
      </c>
      <c r="I470" s="35">
        <f>IF($A470="","",IFERROR(AVERAGEIF(tblAkis[KaynakKartId],$A470,tblAkis[YasGun]),0))</f>
        <v/>
      </c>
    </row>
    <row r="471">
      <c r="A471" s="29" t="n"/>
      <c r="B471" s="29" t="n"/>
      <c r="C471" s="29" t="n"/>
      <c r="D471" s="29" t="n"/>
      <c r="E471" s="31" t="n"/>
      <c r="F471" s="29" t="n"/>
      <c r="G471" s="29" t="n"/>
      <c r="H471" s="35">
        <f>IF($A471="","",SUMIF(tblAkis[KaynakKartId],$A471,tblAkis[Tutar]))</f>
        <v/>
      </c>
      <c r="I471" s="35">
        <f>IF($A471="","",IFERROR(AVERAGEIF(tblAkis[KaynakKartId],$A471,tblAkis[YasGun]),0))</f>
        <v/>
      </c>
    </row>
    <row r="472">
      <c r="A472" s="29" t="n"/>
      <c r="B472" s="29" t="n"/>
      <c r="C472" s="29" t="n"/>
      <c r="D472" s="29" t="n"/>
      <c r="E472" s="31" t="n"/>
      <c r="F472" s="29" t="n"/>
      <c r="G472" s="29" t="n"/>
      <c r="H472" s="35">
        <f>IF($A472="","",SUMIF(tblAkis[KaynakKartId],$A472,tblAkis[Tutar]))</f>
        <v/>
      </c>
      <c r="I472" s="35">
        <f>IF($A472="","",IFERROR(AVERAGEIF(tblAkis[KaynakKartId],$A472,tblAkis[YasGun]),0))</f>
        <v/>
      </c>
    </row>
    <row r="473">
      <c r="A473" s="29" t="n"/>
      <c r="B473" s="29" t="n"/>
      <c r="C473" s="29" t="n"/>
      <c r="D473" s="29" t="n"/>
      <c r="E473" s="31" t="n"/>
      <c r="F473" s="29" t="n"/>
      <c r="G473" s="29" t="n"/>
      <c r="H473" s="35">
        <f>IF($A473="","",SUMIF(tblAkis[KaynakKartId],$A473,tblAkis[Tutar]))</f>
        <v/>
      </c>
      <c r="I473" s="35">
        <f>IF($A473="","",IFERROR(AVERAGEIF(tblAkis[KaynakKartId],$A473,tblAkis[YasGun]),0))</f>
        <v/>
      </c>
    </row>
    <row r="474">
      <c r="A474" s="29" t="n"/>
      <c r="B474" s="29" t="n"/>
      <c r="C474" s="29" t="n"/>
      <c r="D474" s="29" t="n"/>
      <c r="E474" s="31" t="n"/>
      <c r="F474" s="29" t="n"/>
      <c r="G474" s="29" t="n"/>
      <c r="H474" s="35">
        <f>IF($A474="","",SUMIF(tblAkis[KaynakKartId],$A474,tblAkis[Tutar]))</f>
        <v/>
      </c>
      <c r="I474" s="35">
        <f>IF($A474="","",IFERROR(AVERAGEIF(tblAkis[KaynakKartId],$A474,tblAkis[YasGun]),0))</f>
        <v/>
      </c>
    </row>
    <row r="475">
      <c r="A475" s="29" t="n"/>
      <c r="B475" s="29" t="n"/>
      <c r="C475" s="29" t="n"/>
      <c r="D475" s="29" t="n"/>
      <c r="E475" s="31" t="n"/>
      <c r="F475" s="29" t="n"/>
      <c r="G475" s="29" t="n"/>
      <c r="H475" s="35">
        <f>IF($A475="","",SUMIF(tblAkis[KaynakKartId],$A475,tblAkis[Tutar]))</f>
        <v/>
      </c>
      <c r="I475" s="35">
        <f>IF($A475="","",IFERROR(AVERAGEIF(tblAkis[KaynakKartId],$A475,tblAkis[YasGun]),0))</f>
        <v/>
      </c>
    </row>
    <row r="476">
      <c r="A476" s="29" t="n"/>
      <c r="B476" s="29" t="n"/>
      <c r="C476" s="29" t="n"/>
      <c r="D476" s="29" t="n"/>
      <c r="E476" s="31" t="n"/>
      <c r="F476" s="29" t="n"/>
      <c r="G476" s="29" t="n"/>
      <c r="H476" s="35">
        <f>IF($A476="","",SUMIF(tblAkis[KaynakKartId],$A476,tblAkis[Tutar]))</f>
        <v/>
      </c>
      <c r="I476" s="35">
        <f>IF($A476="","",IFERROR(AVERAGEIF(tblAkis[KaynakKartId],$A476,tblAkis[YasGun]),0))</f>
        <v/>
      </c>
    </row>
    <row r="477">
      <c r="A477" s="29" t="n"/>
      <c r="B477" s="29" t="n"/>
      <c r="C477" s="29" t="n"/>
      <c r="D477" s="29" t="n"/>
      <c r="E477" s="31" t="n"/>
      <c r="F477" s="29" t="n"/>
      <c r="G477" s="29" t="n"/>
      <c r="H477" s="35">
        <f>IF($A477="","",SUMIF(tblAkis[KaynakKartId],$A477,tblAkis[Tutar]))</f>
        <v/>
      </c>
      <c r="I477" s="35">
        <f>IF($A477="","",IFERROR(AVERAGEIF(tblAkis[KaynakKartId],$A477,tblAkis[YasGun]),0))</f>
        <v/>
      </c>
    </row>
    <row r="478">
      <c r="A478" s="29" t="n"/>
      <c r="B478" s="29" t="n"/>
      <c r="C478" s="29" t="n"/>
      <c r="D478" s="29" t="n"/>
      <c r="E478" s="31" t="n"/>
      <c r="F478" s="29" t="n"/>
      <c r="G478" s="29" t="n"/>
      <c r="H478" s="35">
        <f>IF($A478="","",SUMIF(tblAkis[KaynakKartId],$A478,tblAkis[Tutar]))</f>
        <v/>
      </c>
      <c r="I478" s="35">
        <f>IF($A478="","",IFERROR(AVERAGEIF(tblAkis[KaynakKartId],$A478,tblAkis[YasGun]),0))</f>
        <v/>
      </c>
    </row>
    <row r="479">
      <c r="A479" s="29" t="n"/>
      <c r="B479" s="29" t="n"/>
      <c r="C479" s="29" t="n"/>
      <c r="D479" s="29" t="n"/>
      <c r="E479" s="31" t="n"/>
      <c r="F479" s="29" t="n"/>
      <c r="G479" s="29" t="n"/>
      <c r="H479" s="35">
        <f>IF($A479="","",SUMIF(tblAkis[KaynakKartId],$A479,tblAkis[Tutar]))</f>
        <v/>
      </c>
      <c r="I479" s="35">
        <f>IF($A479="","",IFERROR(AVERAGEIF(tblAkis[KaynakKartId],$A479,tblAkis[YasGun]),0))</f>
        <v/>
      </c>
    </row>
    <row r="480">
      <c r="A480" s="29" t="n"/>
      <c r="B480" s="29" t="n"/>
      <c r="C480" s="29" t="n"/>
      <c r="D480" s="29" t="n"/>
      <c r="E480" s="31" t="n"/>
      <c r="F480" s="29" t="n"/>
      <c r="G480" s="29" t="n"/>
      <c r="H480" s="35">
        <f>IF($A480="","",SUMIF(tblAkis[KaynakKartId],$A480,tblAkis[Tutar]))</f>
        <v/>
      </c>
      <c r="I480" s="35">
        <f>IF($A480="","",IFERROR(AVERAGEIF(tblAkis[KaynakKartId],$A480,tblAkis[YasGun]),0))</f>
        <v/>
      </c>
    </row>
    <row r="481">
      <c r="A481" s="29" t="n"/>
      <c r="B481" s="29" t="n"/>
      <c r="C481" s="29" t="n"/>
      <c r="D481" s="29" t="n"/>
      <c r="E481" s="31" t="n"/>
      <c r="F481" s="29" t="n"/>
      <c r="G481" s="29" t="n"/>
      <c r="H481" s="35">
        <f>IF($A481="","",SUMIF(tblAkis[KaynakKartId],$A481,tblAkis[Tutar]))</f>
        <v/>
      </c>
      <c r="I481" s="35">
        <f>IF($A481="","",IFERROR(AVERAGEIF(tblAkis[KaynakKartId],$A481,tblAkis[YasGun]),0))</f>
        <v/>
      </c>
    </row>
    <row r="482">
      <c r="A482" s="29" t="n"/>
      <c r="B482" s="29" t="n"/>
      <c r="C482" s="29" t="n"/>
      <c r="D482" s="29" t="n"/>
      <c r="E482" s="31" t="n"/>
      <c r="F482" s="29" t="n"/>
      <c r="G482" s="29" t="n"/>
      <c r="H482" s="35">
        <f>IF($A482="","",SUMIF(tblAkis[KaynakKartId],$A482,tblAkis[Tutar]))</f>
        <v/>
      </c>
      <c r="I482" s="35">
        <f>IF($A482="","",IFERROR(AVERAGEIF(tblAkis[KaynakKartId],$A482,tblAkis[YasGun]),0))</f>
        <v/>
      </c>
    </row>
    <row r="483">
      <c r="A483" s="29" t="n"/>
      <c r="B483" s="29" t="n"/>
      <c r="C483" s="29" t="n"/>
      <c r="D483" s="29" t="n"/>
      <c r="E483" s="31" t="n"/>
      <c r="F483" s="29" t="n"/>
      <c r="G483" s="29" t="n"/>
      <c r="H483" s="35">
        <f>IF($A483="","",SUMIF(tblAkis[KaynakKartId],$A483,tblAkis[Tutar]))</f>
        <v/>
      </c>
      <c r="I483" s="35">
        <f>IF($A483="","",IFERROR(AVERAGEIF(tblAkis[KaynakKartId],$A483,tblAkis[YasGun]),0))</f>
        <v/>
      </c>
    </row>
    <row r="484">
      <c r="A484" s="29" t="n"/>
      <c r="B484" s="29" t="n"/>
      <c r="C484" s="29" t="n"/>
      <c r="D484" s="29" t="n"/>
      <c r="E484" s="31" t="n"/>
      <c r="F484" s="29" t="n"/>
      <c r="G484" s="29" t="n"/>
      <c r="H484" s="35">
        <f>IF($A484="","",SUMIF(tblAkis[KaynakKartId],$A484,tblAkis[Tutar]))</f>
        <v/>
      </c>
      <c r="I484" s="35">
        <f>IF($A484="","",IFERROR(AVERAGEIF(tblAkis[KaynakKartId],$A484,tblAkis[YasGun]),0))</f>
        <v/>
      </c>
    </row>
    <row r="485">
      <c r="A485" s="29" t="n"/>
      <c r="B485" s="29" t="n"/>
      <c r="C485" s="29" t="n"/>
      <c r="D485" s="29" t="n"/>
      <c r="E485" s="31" t="n"/>
      <c r="F485" s="29" t="n"/>
      <c r="G485" s="29" t="n"/>
      <c r="H485" s="35">
        <f>IF($A485="","",SUMIF(tblAkis[KaynakKartId],$A485,tblAkis[Tutar]))</f>
        <v/>
      </c>
      <c r="I485" s="35">
        <f>IF($A485="","",IFERROR(AVERAGEIF(tblAkis[KaynakKartId],$A485,tblAkis[YasGun]),0))</f>
        <v/>
      </c>
    </row>
    <row r="486">
      <c r="A486" s="29" t="n"/>
      <c r="B486" s="29" t="n"/>
      <c r="C486" s="29" t="n"/>
      <c r="D486" s="29" t="n"/>
      <c r="E486" s="31" t="n"/>
      <c r="F486" s="29" t="n"/>
      <c r="G486" s="29" t="n"/>
      <c r="H486" s="35">
        <f>IF($A486="","",SUMIF(tblAkis[KaynakKartId],$A486,tblAkis[Tutar]))</f>
        <v/>
      </c>
      <c r="I486" s="35">
        <f>IF($A486="","",IFERROR(AVERAGEIF(tblAkis[KaynakKartId],$A486,tblAkis[YasGun]),0))</f>
        <v/>
      </c>
    </row>
    <row r="487">
      <c r="A487" s="29" t="n"/>
      <c r="B487" s="29" t="n"/>
      <c r="C487" s="29" t="n"/>
      <c r="D487" s="29" t="n"/>
      <c r="E487" s="31" t="n"/>
      <c r="F487" s="29" t="n"/>
      <c r="G487" s="29" t="n"/>
      <c r="H487" s="35">
        <f>IF($A487="","",SUMIF(tblAkis[KaynakKartId],$A487,tblAkis[Tutar]))</f>
        <v/>
      </c>
      <c r="I487" s="35">
        <f>IF($A487="","",IFERROR(AVERAGEIF(tblAkis[KaynakKartId],$A487,tblAkis[YasGun]),0))</f>
        <v/>
      </c>
    </row>
    <row r="488">
      <c r="A488" s="29" t="n"/>
      <c r="B488" s="29" t="n"/>
      <c r="C488" s="29" t="n"/>
      <c r="D488" s="29" t="n"/>
      <c r="E488" s="31" t="n"/>
      <c r="F488" s="29" t="n"/>
      <c r="G488" s="29" t="n"/>
      <c r="H488" s="35">
        <f>IF($A488="","",SUMIF(tblAkis[KaynakKartId],$A488,tblAkis[Tutar]))</f>
        <v/>
      </c>
      <c r="I488" s="35">
        <f>IF($A488="","",IFERROR(AVERAGEIF(tblAkis[KaynakKartId],$A488,tblAkis[YasGun]),0))</f>
        <v/>
      </c>
    </row>
    <row r="489">
      <c r="A489" s="29" t="n"/>
      <c r="B489" s="29" t="n"/>
      <c r="C489" s="29" t="n"/>
      <c r="D489" s="29" t="n"/>
      <c r="E489" s="31" t="n"/>
      <c r="F489" s="29" t="n"/>
      <c r="G489" s="29" t="n"/>
      <c r="H489" s="35">
        <f>IF($A489="","",SUMIF(tblAkis[KaynakKartId],$A489,tblAkis[Tutar]))</f>
        <v/>
      </c>
      <c r="I489" s="35">
        <f>IF($A489="","",IFERROR(AVERAGEIF(tblAkis[KaynakKartId],$A489,tblAkis[YasGun]),0))</f>
        <v/>
      </c>
    </row>
    <row r="490">
      <c r="A490" s="29" t="n"/>
      <c r="B490" s="29" t="n"/>
      <c r="C490" s="29" t="n"/>
      <c r="D490" s="29" t="n"/>
      <c r="E490" s="31" t="n"/>
      <c r="F490" s="29" t="n"/>
      <c r="G490" s="29" t="n"/>
      <c r="H490" s="35">
        <f>IF($A490="","",SUMIF(tblAkis[KaynakKartId],$A490,tblAkis[Tutar]))</f>
        <v/>
      </c>
      <c r="I490" s="35">
        <f>IF($A490="","",IFERROR(AVERAGEIF(tblAkis[KaynakKartId],$A490,tblAkis[YasGun]),0))</f>
        <v/>
      </c>
    </row>
    <row r="491">
      <c r="A491" s="29" t="n"/>
      <c r="B491" s="29" t="n"/>
      <c r="C491" s="29" t="n"/>
      <c r="D491" s="29" t="n"/>
      <c r="E491" s="31" t="n"/>
      <c r="F491" s="29" t="n"/>
      <c r="G491" s="29" t="n"/>
      <c r="H491" s="35">
        <f>IF($A491="","",SUMIF(tblAkis[KaynakKartId],$A491,tblAkis[Tutar]))</f>
        <v/>
      </c>
      <c r="I491" s="35">
        <f>IF($A491="","",IFERROR(AVERAGEIF(tblAkis[KaynakKartId],$A491,tblAkis[YasGun]),0))</f>
        <v/>
      </c>
    </row>
    <row r="492">
      <c r="A492" s="29" t="n"/>
      <c r="B492" s="29" t="n"/>
      <c r="C492" s="29" t="n"/>
      <c r="D492" s="29" t="n"/>
      <c r="E492" s="31" t="n"/>
      <c r="F492" s="29" t="n"/>
      <c r="G492" s="29" t="n"/>
      <c r="H492" s="35">
        <f>IF($A492="","",SUMIF(tblAkis[KaynakKartId],$A492,tblAkis[Tutar]))</f>
        <v/>
      </c>
      <c r="I492" s="35">
        <f>IF($A492="","",IFERROR(AVERAGEIF(tblAkis[KaynakKartId],$A492,tblAkis[YasGun]),0))</f>
        <v/>
      </c>
    </row>
    <row r="493">
      <c r="A493" s="29" t="n"/>
      <c r="B493" s="29" t="n"/>
      <c r="C493" s="29" t="n"/>
      <c r="D493" s="29" t="n"/>
      <c r="E493" s="31" t="n"/>
      <c r="F493" s="29" t="n"/>
      <c r="G493" s="29" t="n"/>
      <c r="H493" s="35">
        <f>IF($A493="","",SUMIF(tblAkis[KaynakKartId],$A493,tblAkis[Tutar]))</f>
        <v/>
      </c>
      <c r="I493" s="35">
        <f>IF($A493="","",IFERROR(AVERAGEIF(tblAkis[KaynakKartId],$A493,tblAkis[YasGun]),0))</f>
        <v/>
      </c>
    </row>
    <row r="494">
      <c r="A494" s="29" t="n"/>
      <c r="B494" s="29" t="n"/>
      <c r="C494" s="29" t="n"/>
      <c r="D494" s="29" t="n"/>
      <c r="E494" s="31" t="n"/>
      <c r="F494" s="29" t="n"/>
      <c r="G494" s="29" t="n"/>
      <c r="H494" s="35">
        <f>IF($A494="","",SUMIF(tblAkis[KaynakKartId],$A494,tblAkis[Tutar]))</f>
        <v/>
      </c>
      <c r="I494" s="35">
        <f>IF($A494="","",IFERROR(AVERAGEIF(tblAkis[KaynakKartId],$A494,tblAkis[YasGun]),0))</f>
        <v/>
      </c>
    </row>
    <row r="495">
      <c r="A495" s="29" t="n"/>
      <c r="B495" s="29" t="n"/>
      <c r="C495" s="29" t="n"/>
      <c r="D495" s="29" t="n"/>
      <c r="E495" s="31" t="n"/>
      <c r="F495" s="29" t="n"/>
      <c r="G495" s="29" t="n"/>
      <c r="H495" s="35">
        <f>IF($A495="","",SUMIF(tblAkis[KaynakKartId],$A495,tblAkis[Tutar]))</f>
        <v/>
      </c>
      <c r="I495" s="35">
        <f>IF($A495="","",IFERROR(AVERAGEIF(tblAkis[KaynakKartId],$A495,tblAkis[YasGun]),0))</f>
        <v/>
      </c>
    </row>
    <row r="496">
      <c r="A496" s="29" t="n"/>
      <c r="B496" s="29" t="n"/>
      <c r="C496" s="29" t="n"/>
      <c r="D496" s="29" t="n"/>
      <c r="E496" s="31" t="n"/>
      <c r="F496" s="29" t="n"/>
      <c r="G496" s="29" t="n"/>
      <c r="H496" s="35">
        <f>IF($A496="","",SUMIF(tblAkis[KaynakKartId],$A496,tblAkis[Tutar]))</f>
        <v/>
      </c>
      <c r="I496" s="35">
        <f>IF($A496="","",IFERROR(AVERAGEIF(tblAkis[KaynakKartId],$A496,tblAkis[YasGun]),0))</f>
        <v/>
      </c>
    </row>
    <row r="497">
      <c r="A497" s="29" t="n"/>
      <c r="B497" s="29" t="n"/>
      <c r="C497" s="29" t="n"/>
      <c r="D497" s="29" t="n"/>
      <c r="E497" s="31" t="n"/>
      <c r="F497" s="29" t="n"/>
      <c r="G497" s="29" t="n"/>
      <c r="H497" s="35">
        <f>IF($A497="","",SUMIF(tblAkis[KaynakKartId],$A497,tblAkis[Tutar]))</f>
        <v/>
      </c>
      <c r="I497" s="35">
        <f>IF($A497="","",IFERROR(AVERAGEIF(tblAkis[KaynakKartId],$A497,tblAkis[YasGun]),0))</f>
        <v/>
      </c>
    </row>
    <row r="498">
      <c r="A498" s="29" t="n"/>
      <c r="B498" s="29" t="n"/>
      <c r="C498" s="29" t="n"/>
      <c r="D498" s="29" t="n"/>
      <c r="E498" s="31" t="n"/>
      <c r="F498" s="29" t="n"/>
      <c r="G498" s="29" t="n"/>
      <c r="H498" s="35">
        <f>IF($A498="","",SUMIF(tblAkis[KaynakKartId],$A498,tblAkis[Tutar]))</f>
        <v/>
      </c>
      <c r="I498" s="35">
        <f>IF($A498="","",IFERROR(AVERAGEIF(tblAkis[KaynakKartId],$A498,tblAkis[YasGun]),0))</f>
        <v/>
      </c>
    </row>
    <row r="499">
      <c r="A499" s="29" t="n"/>
      <c r="B499" s="29" t="n"/>
      <c r="C499" s="29" t="n"/>
      <c r="D499" s="29" t="n"/>
      <c r="E499" s="31" t="n"/>
      <c r="F499" s="29" t="n"/>
      <c r="G499" s="29" t="n"/>
      <c r="H499" s="35">
        <f>IF($A499="","",SUMIF(tblAkis[KaynakKartId],$A499,tblAkis[Tutar]))</f>
        <v/>
      </c>
      <c r="I499" s="35">
        <f>IF($A499="","",IFERROR(AVERAGEIF(tblAkis[KaynakKartId],$A499,tblAkis[YasGun]),0))</f>
        <v/>
      </c>
    </row>
    <row r="500">
      <c r="A500" s="29" t="n"/>
      <c r="B500" s="29" t="n"/>
      <c r="C500" s="29" t="n"/>
      <c r="D500" s="29" t="n"/>
      <c r="E500" s="31" t="n"/>
      <c r="F500" s="29" t="n"/>
      <c r="G500" s="29" t="n"/>
      <c r="H500" s="35">
        <f>IF($A500="","",SUMIF(tblAkis[KaynakKartId],$A500,tblAkis[Tutar]))</f>
        <v/>
      </c>
      <c r="I500" s="35">
        <f>IF($A500="","",IFERROR(AVERAGEIF(tblAkis[KaynakKartId],$A500,tblAkis[YasGun]),0))</f>
        <v/>
      </c>
    </row>
    <row r="501">
      <c r="A501" s="29" t="n"/>
      <c r="B501" s="29" t="n"/>
      <c r="C501" s="29" t="n"/>
      <c r="D501" s="29" t="n"/>
      <c r="E501" s="31" t="n"/>
      <c r="F501" s="29" t="n"/>
      <c r="G501" s="29" t="n"/>
      <c r="H501" s="35">
        <f>IF($A501="","",SUMIF(tblAkis[KaynakKartId],$A501,tblAkis[Tutar]))</f>
        <v/>
      </c>
      <c r="I501" s="35">
        <f>IF($A501="","",IFERROR(AVERAGEIF(tblAkis[KaynakKartId],$A501,tblAkis[YasGun]),0))</f>
        <v/>
      </c>
    </row>
    <row r="502">
      <c r="A502" s="29" t="n"/>
      <c r="B502" s="29" t="n"/>
      <c r="C502" s="29" t="n"/>
      <c r="D502" s="29" t="n"/>
      <c r="E502" s="31" t="n"/>
      <c r="F502" s="29" t="n"/>
      <c r="G502" s="29" t="n"/>
      <c r="H502" s="35">
        <f>IF($A502="","",SUMIF(tblAkis[KaynakKartId],$A502,tblAkis[Tutar]))</f>
        <v/>
      </c>
      <c r="I502" s="35">
        <f>IF($A502="","",IFERROR(AVERAGEIF(tblAkis[KaynakKartId],$A502,tblAkis[YasGun]),0))</f>
        <v/>
      </c>
    </row>
    <row r="503">
      <c r="A503" s="29" t="n"/>
      <c r="B503" s="29" t="n"/>
      <c r="C503" s="29" t="n"/>
      <c r="D503" s="29" t="n"/>
      <c r="E503" s="31" t="n"/>
      <c r="F503" s="29" t="n"/>
      <c r="G503" s="29" t="n"/>
      <c r="H503" s="35">
        <f>IF($A503="","",SUMIF(tblAkis[KaynakKartId],$A503,tblAkis[Tutar]))</f>
        <v/>
      </c>
      <c r="I503" s="35">
        <f>IF($A503="","",IFERROR(AVERAGEIF(tblAkis[KaynakKartId],$A503,tblAkis[YasGun]),0))</f>
        <v/>
      </c>
    </row>
    <row r="504">
      <c r="A504" s="29" t="n"/>
      <c r="B504" s="29" t="n"/>
      <c r="C504" s="29" t="n"/>
      <c r="D504" s="29" t="n"/>
      <c r="E504" s="31" t="n"/>
      <c r="F504" s="29" t="n"/>
      <c r="G504" s="29" t="n"/>
      <c r="H504" s="35">
        <f>IF($A504="","",SUMIF(tblAkis[KaynakKartId],$A504,tblAkis[Tutar]))</f>
        <v/>
      </c>
      <c r="I504" s="35">
        <f>IF($A504="","",IFERROR(AVERAGEIF(tblAkis[KaynakKartId],$A504,tblAkis[YasGun]),0))</f>
        <v/>
      </c>
    </row>
    <row r="505">
      <c r="A505" s="29" t="n"/>
      <c r="B505" s="29" t="n"/>
      <c r="C505" s="29" t="n"/>
      <c r="D505" s="29" t="n"/>
      <c r="E505" s="31" t="n"/>
      <c r="F505" s="29" t="n"/>
      <c r="G505" s="29" t="n"/>
      <c r="H505" s="35">
        <f>IF($A505="","",SUMIF(tblAkis[KaynakKartId],$A505,tblAkis[Tutar]))</f>
        <v/>
      </c>
      <c r="I505" s="35">
        <f>IF($A505="","",IFERROR(AVERAGEIF(tblAkis[KaynakKartId],$A505,tblAkis[YasGun]),0))</f>
        <v/>
      </c>
    </row>
    <row r="506">
      <c r="A506" s="29" t="n"/>
      <c r="B506" s="29" t="n"/>
      <c r="C506" s="29" t="n"/>
      <c r="D506" s="29" t="n"/>
      <c r="E506" s="31" t="n"/>
      <c r="F506" s="29" t="n"/>
      <c r="G506" s="29" t="n"/>
      <c r="H506" s="35">
        <f>IF($A506="","",SUMIF(tblAkis[KaynakKartId],$A506,tblAkis[Tutar]))</f>
        <v/>
      </c>
      <c r="I506" s="35">
        <f>IF($A506="","",IFERROR(AVERAGEIF(tblAkis[KaynakKartId],$A506,tblAkis[YasGun]),0))</f>
        <v/>
      </c>
    </row>
    <row r="507">
      <c r="A507" s="29" t="n"/>
      <c r="B507" s="29" t="n"/>
      <c r="C507" s="29" t="n"/>
      <c r="D507" s="29" t="n"/>
      <c r="E507" s="31" t="n"/>
      <c r="F507" s="29" t="n"/>
      <c r="G507" s="29" t="n"/>
      <c r="H507" s="35">
        <f>IF($A507="","",SUMIF(tblAkis[KaynakKartId],$A507,tblAkis[Tutar]))</f>
        <v/>
      </c>
      <c r="I507" s="35">
        <f>IF($A507="","",IFERROR(AVERAGEIF(tblAkis[KaynakKartId],$A507,tblAkis[YasGun]),0))</f>
        <v/>
      </c>
    </row>
    <row r="508">
      <c r="A508" s="29" t="n"/>
      <c r="B508" s="29" t="n"/>
      <c r="C508" s="29" t="n"/>
      <c r="D508" s="29" t="n"/>
      <c r="E508" s="31" t="n"/>
      <c r="F508" s="29" t="n"/>
      <c r="G508" s="29" t="n"/>
      <c r="H508" s="35">
        <f>IF($A508="","",SUMIF(tblAkis[KaynakKartId],$A508,tblAkis[Tutar]))</f>
        <v/>
      </c>
      <c r="I508" s="35">
        <f>IF($A508="","",IFERROR(AVERAGEIF(tblAkis[KaynakKartId],$A508,tblAkis[YasGun]),0))</f>
        <v/>
      </c>
    </row>
    <row r="509">
      <c r="A509" s="29" t="n"/>
      <c r="B509" s="29" t="n"/>
      <c r="C509" s="29" t="n"/>
      <c r="D509" s="29" t="n"/>
      <c r="E509" s="31" t="n"/>
      <c r="F509" s="29" t="n"/>
      <c r="G509" s="29" t="n"/>
      <c r="H509" s="35">
        <f>IF($A509="","",SUMIF(tblAkis[KaynakKartId],$A509,tblAkis[Tutar]))</f>
        <v/>
      </c>
      <c r="I509" s="35">
        <f>IF($A509="","",IFERROR(AVERAGEIF(tblAkis[KaynakKartId],$A509,tblAkis[YasGun]),0))</f>
        <v/>
      </c>
    </row>
    <row r="510">
      <c r="A510" s="29" t="n"/>
      <c r="B510" s="29" t="n"/>
      <c r="C510" s="29" t="n"/>
      <c r="D510" s="29" t="n"/>
      <c r="E510" s="31" t="n"/>
      <c r="F510" s="29" t="n"/>
      <c r="G510" s="29" t="n"/>
      <c r="H510" s="35">
        <f>IF($A510="","",SUMIF(tblAkis[KaynakKartId],$A510,tblAkis[Tutar]))</f>
        <v/>
      </c>
      <c r="I510" s="35">
        <f>IF($A510="","",IFERROR(AVERAGEIF(tblAkis[KaynakKartId],$A510,tblAkis[YasGun]),0))</f>
        <v/>
      </c>
    </row>
    <row r="511">
      <c r="A511" s="29" t="n"/>
      <c r="B511" s="29" t="n"/>
      <c r="C511" s="29" t="n"/>
      <c r="D511" s="29" t="n"/>
      <c r="E511" s="31" t="n"/>
      <c r="F511" s="29" t="n"/>
      <c r="G511" s="29" t="n"/>
      <c r="H511" s="35">
        <f>IF($A511="","",SUMIF(tblAkis[KaynakKartId],$A511,tblAkis[Tutar]))</f>
        <v/>
      </c>
      <c r="I511" s="35">
        <f>IF($A511="","",IFERROR(AVERAGEIF(tblAkis[KaynakKartId],$A511,tblAkis[YasGun]),0))</f>
        <v/>
      </c>
    </row>
    <row r="512">
      <c r="A512" s="29" t="n"/>
      <c r="B512" s="29" t="n"/>
      <c r="C512" s="29" t="n"/>
      <c r="D512" s="29" t="n"/>
      <c r="E512" s="31" t="n"/>
      <c r="F512" s="29" t="n"/>
      <c r="G512" s="29" t="n"/>
      <c r="H512" s="35">
        <f>IF($A512="","",SUMIF(tblAkis[KaynakKartId],$A512,tblAkis[Tutar]))</f>
        <v/>
      </c>
      <c r="I512" s="35">
        <f>IF($A512="","",IFERROR(AVERAGEIF(tblAkis[KaynakKartId],$A512,tblAkis[YasGun]),0))</f>
        <v/>
      </c>
    </row>
    <row r="513">
      <c r="A513" s="29" t="n"/>
      <c r="B513" s="29" t="n"/>
      <c r="C513" s="29" t="n"/>
      <c r="D513" s="29" t="n"/>
      <c r="E513" s="31" t="n"/>
      <c r="F513" s="29" t="n"/>
      <c r="G513" s="29" t="n"/>
      <c r="H513" s="35">
        <f>IF($A513="","",SUMIF(tblAkis[KaynakKartId],$A513,tblAkis[Tutar]))</f>
        <v/>
      </c>
      <c r="I513" s="35">
        <f>IF($A513="","",IFERROR(AVERAGEIF(tblAkis[KaynakKartId],$A513,tblAkis[YasGun]),0))</f>
        <v/>
      </c>
    </row>
    <row r="514">
      <c r="A514" s="29" t="n"/>
      <c r="B514" s="29" t="n"/>
      <c r="C514" s="29" t="n"/>
      <c r="D514" s="29" t="n"/>
      <c r="E514" s="31" t="n"/>
      <c r="F514" s="29" t="n"/>
      <c r="G514" s="29" t="n"/>
      <c r="H514" s="35">
        <f>IF($A514="","",SUMIF(tblAkis[KaynakKartId],$A514,tblAkis[Tutar]))</f>
        <v/>
      </c>
      <c r="I514" s="35">
        <f>IF($A514="","",IFERROR(AVERAGEIF(tblAkis[KaynakKartId],$A514,tblAkis[YasGun]),0))</f>
        <v/>
      </c>
    </row>
    <row r="515">
      <c r="A515" s="29" t="n"/>
      <c r="B515" s="29" t="n"/>
      <c r="C515" s="29" t="n"/>
      <c r="D515" s="29" t="n"/>
      <c r="E515" s="31" t="n"/>
      <c r="F515" s="29" t="n"/>
      <c r="G515" s="29" t="n"/>
      <c r="H515" s="35">
        <f>IF($A515="","",SUMIF(tblAkis[KaynakKartId],$A515,tblAkis[Tutar]))</f>
        <v/>
      </c>
      <c r="I515" s="35">
        <f>IF($A515="","",IFERROR(AVERAGEIF(tblAkis[KaynakKartId],$A515,tblAkis[YasGun]),0))</f>
        <v/>
      </c>
    </row>
    <row r="516">
      <c r="A516" s="29" t="n"/>
      <c r="B516" s="29" t="n"/>
      <c r="C516" s="29" t="n"/>
      <c r="D516" s="29" t="n"/>
      <c r="E516" s="31" t="n"/>
      <c r="F516" s="29" t="n"/>
      <c r="G516" s="29" t="n"/>
      <c r="H516" s="35">
        <f>IF($A516="","",SUMIF(tblAkis[KaynakKartId],$A516,tblAkis[Tutar]))</f>
        <v/>
      </c>
      <c r="I516" s="35">
        <f>IF($A516="","",IFERROR(AVERAGEIF(tblAkis[KaynakKartId],$A516,tblAkis[YasGun]),0))</f>
        <v/>
      </c>
    </row>
    <row r="517">
      <c r="A517" s="29" t="n"/>
      <c r="B517" s="29" t="n"/>
      <c r="C517" s="29" t="n"/>
      <c r="D517" s="29" t="n"/>
      <c r="E517" s="31" t="n"/>
      <c r="F517" s="29" t="n"/>
      <c r="G517" s="29" t="n"/>
      <c r="H517" s="35">
        <f>IF($A517="","",SUMIF(tblAkis[KaynakKartId],$A517,tblAkis[Tutar]))</f>
        <v/>
      </c>
      <c r="I517" s="35">
        <f>IF($A517="","",IFERROR(AVERAGEIF(tblAkis[KaynakKartId],$A517,tblAkis[YasGun]),0))</f>
        <v/>
      </c>
    </row>
    <row r="518">
      <c r="A518" s="29" t="n"/>
      <c r="B518" s="29" t="n"/>
      <c r="C518" s="29" t="n"/>
      <c r="D518" s="29" t="n"/>
      <c r="E518" s="31" t="n"/>
      <c r="F518" s="29" t="n"/>
      <c r="G518" s="29" t="n"/>
      <c r="H518" s="35">
        <f>IF($A518="","",SUMIF(tblAkis[KaynakKartId],$A518,tblAkis[Tutar]))</f>
        <v/>
      </c>
      <c r="I518" s="35">
        <f>IF($A518="","",IFERROR(AVERAGEIF(tblAkis[KaynakKartId],$A518,tblAkis[YasGun]),0))</f>
        <v/>
      </c>
    </row>
    <row r="519">
      <c r="A519" s="29" t="n"/>
      <c r="B519" s="29" t="n"/>
      <c r="C519" s="29" t="n"/>
      <c r="D519" s="29" t="n"/>
      <c r="E519" s="31" t="n"/>
      <c r="F519" s="29" t="n"/>
      <c r="G519" s="29" t="n"/>
      <c r="H519" s="35">
        <f>IF($A519="","",SUMIF(tblAkis[KaynakKartId],$A519,tblAkis[Tutar]))</f>
        <v/>
      </c>
      <c r="I519" s="35">
        <f>IF($A519="","",IFERROR(AVERAGEIF(tblAkis[KaynakKartId],$A519,tblAkis[YasGun]),0))</f>
        <v/>
      </c>
    </row>
    <row r="520">
      <c r="A520" s="29" t="n"/>
      <c r="B520" s="29" t="n"/>
      <c r="C520" s="29" t="n"/>
      <c r="D520" s="29" t="n"/>
      <c r="E520" s="31" t="n"/>
      <c r="F520" s="29" t="n"/>
      <c r="G520" s="29" t="n"/>
      <c r="H520" s="35">
        <f>IF($A520="","",SUMIF(tblAkis[KaynakKartId],$A520,tblAkis[Tutar]))</f>
        <v/>
      </c>
      <c r="I520" s="35">
        <f>IF($A520="","",IFERROR(AVERAGEIF(tblAkis[KaynakKartId],$A520,tblAkis[YasGun]),0))</f>
        <v/>
      </c>
    </row>
    <row r="521">
      <c r="A521" s="29" t="n"/>
      <c r="B521" s="29" t="n"/>
      <c r="C521" s="29" t="n"/>
      <c r="D521" s="29" t="n"/>
      <c r="E521" s="31" t="n"/>
      <c r="F521" s="29" t="n"/>
      <c r="G521" s="29" t="n"/>
      <c r="H521" s="35">
        <f>IF($A521="","",SUMIF(tblAkis[KaynakKartId],$A521,tblAkis[Tutar]))</f>
        <v/>
      </c>
      <c r="I521" s="35">
        <f>IF($A521="","",IFERROR(AVERAGEIF(tblAkis[KaynakKartId],$A521,tblAkis[YasGun]),0))</f>
        <v/>
      </c>
    </row>
    <row r="522">
      <c r="A522" s="29" t="n"/>
      <c r="B522" s="29" t="n"/>
      <c r="C522" s="29" t="n"/>
      <c r="D522" s="29" t="n"/>
      <c r="E522" s="31" t="n"/>
      <c r="F522" s="29" t="n"/>
      <c r="G522" s="29" t="n"/>
      <c r="H522" s="35">
        <f>IF($A522="","",SUMIF(tblAkis[KaynakKartId],$A522,tblAkis[Tutar]))</f>
        <v/>
      </c>
      <c r="I522" s="35">
        <f>IF($A522="","",IFERROR(AVERAGEIF(tblAkis[KaynakKartId],$A522,tblAkis[YasGun]),0))</f>
        <v/>
      </c>
    </row>
    <row r="523">
      <c r="A523" s="29" t="n"/>
      <c r="B523" s="29" t="n"/>
      <c r="C523" s="29" t="n"/>
      <c r="D523" s="29" t="n"/>
      <c r="E523" s="31" t="n"/>
      <c r="F523" s="29" t="n"/>
      <c r="G523" s="29" t="n"/>
      <c r="H523" s="35">
        <f>IF($A523="","",SUMIF(tblAkis[KaynakKartId],$A523,tblAkis[Tutar]))</f>
        <v/>
      </c>
      <c r="I523" s="35">
        <f>IF($A523="","",IFERROR(AVERAGEIF(tblAkis[KaynakKartId],$A523,tblAkis[YasGun]),0))</f>
        <v/>
      </c>
    </row>
    <row r="524">
      <c r="A524" s="29" t="n"/>
      <c r="B524" s="29" t="n"/>
      <c r="C524" s="29" t="n"/>
      <c r="D524" s="29" t="n"/>
      <c r="E524" s="31" t="n"/>
      <c r="F524" s="29" t="n"/>
      <c r="G524" s="29" t="n"/>
      <c r="H524" s="35">
        <f>IF($A524="","",SUMIF(tblAkis[KaynakKartId],$A524,tblAkis[Tutar]))</f>
        <v/>
      </c>
      <c r="I524" s="35">
        <f>IF($A524="","",IFERROR(AVERAGEIF(tblAkis[KaynakKartId],$A524,tblAkis[YasGun]),0))</f>
        <v/>
      </c>
    </row>
    <row r="525">
      <c r="A525" s="29" t="n"/>
      <c r="B525" s="29" t="n"/>
      <c r="C525" s="29" t="n"/>
      <c r="D525" s="29" t="n"/>
      <c r="E525" s="31" t="n"/>
      <c r="F525" s="29" t="n"/>
      <c r="G525" s="29" t="n"/>
      <c r="H525" s="35">
        <f>IF($A525="","",SUMIF(tblAkis[KaynakKartId],$A525,tblAkis[Tutar]))</f>
        <v/>
      </c>
      <c r="I525" s="35">
        <f>IF($A525="","",IFERROR(AVERAGEIF(tblAkis[KaynakKartId],$A525,tblAkis[YasGun]),0))</f>
        <v/>
      </c>
    </row>
    <row r="526">
      <c r="A526" s="29" t="n"/>
      <c r="B526" s="29" t="n"/>
      <c r="C526" s="29" t="n"/>
      <c r="D526" s="29" t="n"/>
      <c r="E526" s="31" t="n"/>
      <c r="F526" s="29" t="n"/>
      <c r="G526" s="29" t="n"/>
      <c r="H526" s="35">
        <f>IF($A526="","",SUMIF(tblAkis[KaynakKartId],$A526,tblAkis[Tutar]))</f>
        <v/>
      </c>
      <c r="I526" s="35">
        <f>IF($A526="","",IFERROR(AVERAGEIF(tblAkis[KaynakKartId],$A526,tblAkis[YasGun]),0))</f>
        <v/>
      </c>
    </row>
    <row r="527">
      <c r="A527" s="29" t="n"/>
      <c r="B527" s="29" t="n"/>
      <c r="C527" s="29" t="n"/>
      <c r="D527" s="29" t="n"/>
      <c r="E527" s="31" t="n"/>
      <c r="F527" s="29" t="n"/>
      <c r="G527" s="29" t="n"/>
      <c r="H527" s="35">
        <f>IF($A527="","",SUMIF(tblAkis[KaynakKartId],$A527,tblAkis[Tutar]))</f>
        <v/>
      </c>
      <c r="I527" s="35">
        <f>IF($A527="","",IFERROR(AVERAGEIF(tblAkis[KaynakKartId],$A527,tblAkis[YasGun]),0))</f>
        <v/>
      </c>
    </row>
    <row r="528">
      <c r="A528" s="29" t="n"/>
      <c r="B528" s="29" t="n"/>
      <c r="C528" s="29" t="n"/>
      <c r="D528" s="29" t="n"/>
      <c r="E528" s="31" t="n"/>
      <c r="F528" s="29" t="n"/>
      <c r="G528" s="29" t="n"/>
      <c r="H528" s="35">
        <f>IF($A528="","",SUMIF(tblAkis[KaynakKartId],$A528,tblAkis[Tutar]))</f>
        <v/>
      </c>
      <c r="I528" s="35">
        <f>IF($A528="","",IFERROR(AVERAGEIF(tblAkis[KaynakKartId],$A528,tblAkis[YasGun]),0))</f>
        <v/>
      </c>
    </row>
    <row r="529">
      <c r="A529" s="29" t="n"/>
      <c r="B529" s="29" t="n"/>
      <c r="C529" s="29" t="n"/>
      <c r="D529" s="29" t="n"/>
      <c r="E529" s="31" t="n"/>
      <c r="F529" s="29" t="n"/>
      <c r="G529" s="29" t="n"/>
      <c r="H529" s="35">
        <f>IF($A529="","",SUMIF(tblAkis[KaynakKartId],$A529,tblAkis[Tutar]))</f>
        <v/>
      </c>
      <c r="I529" s="35">
        <f>IF($A529="","",IFERROR(AVERAGEIF(tblAkis[KaynakKartId],$A529,tblAkis[YasGun]),0))</f>
        <v/>
      </c>
    </row>
    <row r="530">
      <c r="A530" s="29" t="n"/>
      <c r="B530" s="29" t="n"/>
      <c r="C530" s="29" t="n"/>
      <c r="D530" s="29" t="n"/>
      <c r="E530" s="31" t="n"/>
      <c r="F530" s="29" t="n"/>
      <c r="G530" s="29" t="n"/>
      <c r="H530" s="35">
        <f>IF($A530="","",SUMIF(tblAkis[KaynakKartId],$A530,tblAkis[Tutar]))</f>
        <v/>
      </c>
      <c r="I530" s="35">
        <f>IF($A530="","",IFERROR(AVERAGEIF(tblAkis[KaynakKartId],$A530,tblAkis[YasGun]),0))</f>
        <v/>
      </c>
    </row>
    <row r="531">
      <c r="A531" s="29" t="n"/>
      <c r="B531" s="29" t="n"/>
      <c r="C531" s="29" t="n"/>
      <c r="D531" s="29" t="n"/>
      <c r="E531" s="31" t="n"/>
      <c r="F531" s="29" t="n"/>
      <c r="G531" s="29" t="n"/>
      <c r="H531" s="35">
        <f>IF($A531="","",SUMIF(tblAkis[KaynakKartId],$A531,tblAkis[Tutar]))</f>
        <v/>
      </c>
      <c r="I531" s="35">
        <f>IF($A531="","",IFERROR(AVERAGEIF(tblAkis[KaynakKartId],$A531,tblAkis[YasGun]),0))</f>
        <v/>
      </c>
    </row>
    <row r="532">
      <c r="A532" s="29" t="n"/>
      <c r="B532" s="29" t="n"/>
      <c r="C532" s="29" t="n"/>
      <c r="D532" s="29" t="n"/>
      <c r="E532" s="31" t="n"/>
      <c r="F532" s="29" t="n"/>
      <c r="G532" s="29" t="n"/>
      <c r="H532" s="35">
        <f>IF($A532="","",SUMIF(tblAkis[KaynakKartId],$A532,tblAkis[Tutar]))</f>
        <v/>
      </c>
      <c r="I532" s="35">
        <f>IF($A532="","",IFERROR(AVERAGEIF(tblAkis[KaynakKartId],$A532,tblAkis[YasGun]),0))</f>
        <v/>
      </c>
    </row>
    <row r="533">
      <c r="A533" s="29" t="n"/>
      <c r="B533" s="29" t="n"/>
      <c r="C533" s="29" t="n"/>
      <c r="D533" s="29" t="n"/>
      <c r="E533" s="31" t="n"/>
      <c r="F533" s="29" t="n"/>
      <c r="G533" s="29" t="n"/>
      <c r="H533" s="35">
        <f>IF($A533="","",SUMIF(tblAkis[KaynakKartId],$A533,tblAkis[Tutar]))</f>
        <v/>
      </c>
      <c r="I533" s="35">
        <f>IF($A533="","",IFERROR(AVERAGEIF(tblAkis[KaynakKartId],$A533,tblAkis[YasGun]),0))</f>
        <v/>
      </c>
    </row>
    <row r="534">
      <c r="A534" s="29" t="n"/>
      <c r="B534" s="29" t="n"/>
      <c r="C534" s="29" t="n"/>
      <c r="D534" s="29" t="n"/>
      <c r="E534" s="31" t="n"/>
      <c r="F534" s="29" t="n"/>
      <c r="G534" s="29" t="n"/>
      <c r="H534" s="35">
        <f>IF($A534="","",SUMIF(tblAkis[KaynakKartId],$A534,tblAkis[Tutar]))</f>
        <v/>
      </c>
      <c r="I534" s="35">
        <f>IF($A534="","",IFERROR(AVERAGEIF(tblAkis[KaynakKartId],$A534,tblAkis[YasGun]),0))</f>
        <v/>
      </c>
    </row>
    <row r="535">
      <c r="A535" s="29" t="n"/>
      <c r="B535" s="29" t="n"/>
      <c r="C535" s="29" t="n"/>
      <c r="D535" s="29" t="n"/>
      <c r="E535" s="31" t="n"/>
      <c r="F535" s="29" t="n"/>
      <c r="G535" s="29" t="n"/>
      <c r="H535" s="35">
        <f>IF($A535="","",SUMIF(tblAkis[KaynakKartId],$A535,tblAkis[Tutar]))</f>
        <v/>
      </c>
      <c r="I535" s="35">
        <f>IF($A535="","",IFERROR(AVERAGEIF(tblAkis[KaynakKartId],$A535,tblAkis[YasGun]),0))</f>
        <v/>
      </c>
    </row>
    <row r="536">
      <c r="A536" s="29" t="n"/>
      <c r="B536" s="29" t="n"/>
      <c r="C536" s="29" t="n"/>
      <c r="D536" s="29" t="n"/>
      <c r="E536" s="31" t="n"/>
      <c r="F536" s="29" t="n"/>
      <c r="G536" s="29" t="n"/>
      <c r="H536" s="35">
        <f>IF($A536="","",SUMIF(tblAkis[KaynakKartId],$A536,tblAkis[Tutar]))</f>
        <v/>
      </c>
      <c r="I536" s="35">
        <f>IF($A536="","",IFERROR(AVERAGEIF(tblAkis[KaynakKartId],$A536,tblAkis[YasGun]),0))</f>
        <v/>
      </c>
    </row>
    <row r="537">
      <c r="A537" s="29" t="n"/>
      <c r="B537" s="29" t="n"/>
      <c r="C537" s="29" t="n"/>
      <c r="D537" s="29" t="n"/>
      <c r="E537" s="31" t="n"/>
      <c r="F537" s="29" t="n"/>
      <c r="G537" s="29" t="n"/>
      <c r="H537" s="35">
        <f>IF($A537="","",SUMIF(tblAkis[KaynakKartId],$A537,tblAkis[Tutar]))</f>
        <v/>
      </c>
      <c r="I537" s="35">
        <f>IF($A537="","",IFERROR(AVERAGEIF(tblAkis[KaynakKartId],$A537,tblAkis[YasGun]),0))</f>
        <v/>
      </c>
    </row>
    <row r="538">
      <c r="A538" s="29" t="n"/>
      <c r="B538" s="29" t="n"/>
      <c r="C538" s="29" t="n"/>
      <c r="D538" s="29" t="n"/>
      <c r="E538" s="31" t="n"/>
      <c r="F538" s="29" t="n"/>
      <c r="G538" s="29" t="n"/>
      <c r="H538" s="35">
        <f>IF($A538="","",SUMIF(tblAkis[KaynakKartId],$A538,tblAkis[Tutar]))</f>
        <v/>
      </c>
      <c r="I538" s="35">
        <f>IF($A538="","",IFERROR(AVERAGEIF(tblAkis[KaynakKartId],$A538,tblAkis[YasGun]),0))</f>
        <v/>
      </c>
    </row>
    <row r="539">
      <c r="A539" s="29" t="n"/>
      <c r="B539" s="29" t="n"/>
      <c r="C539" s="29" t="n"/>
      <c r="D539" s="29" t="n"/>
      <c r="E539" s="31" t="n"/>
      <c r="F539" s="29" t="n"/>
      <c r="G539" s="29" t="n"/>
      <c r="H539" s="35">
        <f>IF($A539="","",SUMIF(tblAkis[KaynakKartId],$A539,tblAkis[Tutar]))</f>
        <v/>
      </c>
      <c r="I539" s="35">
        <f>IF($A539="","",IFERROR(AVERAGEIF(tblAkis[KaynakKartId],$A539,tblAkis[YasGun]),0))</f>
        <v/>
      </c>
    </row>
    <row r="540">
      <c r="A540" s="29" t="n"/>
      <c r="B540" s="29" t="n"/>
      <c r="C540" s="29" t="n"/>
      <c r="D540" s="29" t="n"/>
      <c r="E540" s="31" t="n"/>
      <c r="F540" s="29" t="n"/>
      <c r="G540" s="29" t="n"/>
      <c r="H540" s="35">
        <f>IF($A540="","",SUMIF(tblAkis[KaynakKartId],$A540,tblAkis[Tutar]))</f>
        <v/>
      </c>
      <c r="I540" s="35">
        <f>IF($A540="","",IFERROR(AVERAGEIF(tblAkis[KaynakKartId],$A540,tblAkis[YasGun]),0))</f>
        <v/>
      </c>
    </row>
    <row r="541">
      <c r="A541" s="29" t="n"/>
      <c r="B541" s="29" t="n"/>
      <c r="C541" s="29" t="n"/>
      <c r="D541" s="29" t="n"/>
      <c r="E541" s="31" t="n"/>
      <c r="F541" s="29" t="n"/>
      <c r="G541" s="29" t="n"/>
      <c r="H541" s="35">
        <f>IF($A541="","",SUMIF(tblAkis[KaynakKartId],$A541,tblAkis[Tutar]))</f>
        <v/>
      </c>
      <c r="I541" s="35">
        <f>IF($A541="","",IFERROR(AVERAGEIF(tblAkis[KaynakKartId],$A541,tblAkis[YasGun]),0))</f>
        <v/>
      </c>
    </row>
    <row r="542">
      <c r="A542" s="29" t="n"/>
      <c r="B542" s="29" t="n"/>
      <c r="C542" s="29" t="n"/>
      <c r="D542" s="29" t="n"/>
      <c r="E542" s="31" t="n"/>
      <c r="F542" s="29" t="n"/>
      <c r="G542" s="29" t="n"/>
      <c r="H542" s="35">
        <f>IF($A542="","",SUMIF(tblAkis[KaynakKartId],$A542,tblAkis[Tutar]))</f>
        <v/>
      </c>
      <c r="I542" s="35">
        <f>IF($A542="","",IFERROR(AVERAGEIF(tblAkis[KaynakKartId],$A542,tblAkis[YasGun]),0))</f>
        <v/>
      </c>
    </row>
    <row r="543">
      <c r="A543" s="29" t="n"/>
      <c r="B543" s="29" t="n"/>
      <c r="C543" s="29" t="n"/>
      <c r="D543" s="29" t="n"/>
      <c r="E543" s="31" t="n"/>
      <c r="F543" s="29" t="n"/>
      <c r="G543" s="29" t="n"/>
      <c r="H543" s="35">
        <f>IF($A543="","",SUMIF(tblAkis[KaynakKartId],$A543,tblAkis[Tutar]))</f>
        <v/>
      </c>
      <c r="I543" s="35">
        <f>IF($A543="","",IFERROR(AVERAGEIF(tblAkis[KaynakKartId],$A543,tblAkis[YasGun]),0))</f>
        <v/>
      </c>
    </row>
    <row r="544">
      <c r="A544" s="29" t="n"/>
      <c r="B544" s="29" t="n"/>
      <c r="C544" s="29" t="n"/>
      <c r="D544" s="29" t="n"/>
      <c r="E544" s="31" t="n"/>
      <c r="F544" s="29" t="n"/>
      <c r="G544" s="29" t="n"/>
      <c r="H544" s="35">
        <f>IF($A544="","",SUMIF(tblAkis[KaynakKartId],$A544,tblAkis[Tutar]))</f>
        <v/>
      </c>
      <c r="I544" s="35">
        <f>IF($A544="","",IFERROR(AVERAGEIF(tblAkis[KaynakKartId],$A544,tblAkis[YasGun]),0))</f>
        <v/>
      </c>
    </row>
    <row r="545">
      <c r="A545" s="29" t="n"/>
      <c r="B545" s="29" t="n"/>
      <c r="C545" s="29" t="n"/>
      <c r="D545" s="29" t="n"/>
      <c r="E545" s="31" t="n"/>
      <c r="F545" s="29" t="n"/>
      <c r="G545" s="29" t="n"/>
      <c r="H545" s="35">
        <f>IF($A545="","",SUMIF(tblAkis[KaynakKartId],$A545,tblAkis[Tutar]))</f>
        <v/>
      </c>
      <c r="I545" s="35">
        <f>IF($A545="","",IFERROR(AVERAGEIF(tblAkis[KaynakKartId],$A545,tblAkis[YasGun]),0))</f>
        <v/>
      </c>
    </row>
    <row r="546">
      <c r="A546" s="29" t="n"/>
      <c r="B546" s="29" t="n"/>
      <c r="C546" s="29" t="n"/>
      <c r="D546" s="29" t="n"/>
      <c r="E546" s="31" t="n"/>
      <c r="F546" s="29" t="n"/>
      <c r="G546" s="29" t="n"/>
      <c r="H546" s="35">
        <f>IF($A546="","",SUMIF(tblAkis[KaynakKartId],$A546,tblAkis[Tutar]))</f>
        <v/>
      </c>
      <c r="I546" s="35">
        <f>IF($A546="","",IFERROR(AVERAGEIF(tblAkis[KaynakKartId],$A546,tblAkis[YasGun]),0))</f>
        <v/>
      </c>
    </row>
    <row r="547">
      <c r="A547" s="29" t="n"/>
      <c r="B547" s="29" t="n"/>
      <c r="C547" s="29" t="n"/>
      <c r="D547" s="29" t="n"/>
      <c r="E547" s="31" t="n"/>
      <c r="F547" s="29" t="n"/>
      <c r="G547" s="29" t="n"/>
      <c r="H547" s="35">
        <f>IF($A547="","",SUMIF(tblAkis[KaynakKartId],$A547,tblAkis[Tutar]))</f>
        <v/>
      </c>
      <c r="I547" s="35">
        <f>IF($A547="","",IFERROR(AVERAGEIF(tblAkis[KaynakKartId],$A547,tblAkis[YasGun]),0))</f>
        <v/>
      </c>
    </row>
    <row r="548">
      <c r="A548" s="29" t="n"/>
      <c r="B548" s="29" t="n"/>
      <c r="C548" s="29" t="n"/>
      <c r="D548" s="29" t="n"/>
      <c r="E548" s="31" t="n"/>
      <c r="F548" s="29" t="n"/>
      <c r="G548" s="29" t="n"/>
      <c r="H548" s="35">
        <f>IF($A548="","",SUMIF(tblAkis[KaynakKartId],$A548,tblAkis[Tutar]))</f>
        <v/>
      </c>
      <c r="I548" s="35">
        <f>IF($A548="","",IFERROR(AVERAGEIF(tblAkis[KaynakKartId],$A548,tblAkis[YasGun]),0))</f>
        <v/>
      </c>
    </row>
    <row r="549">
      <c r="A549" s="29" t="n"/>
      <c r="B549" s="29" t="n"/>
      <c r="C549" s="29" t="n"/>
      <c r="D549" s="29" t="n"/>
      <c r="E549" s="31" t="n"/>
      <c r="F549" s="29" t="n"/>
      <c r="G549" s="29" t="n"/>
      <c r="H549" s="35">
        <f>IF($A549="","",SUMIF(tblAkis[KaynakKartId],$A549,tblAkis[Tutar]))</f>
        <v/>
      </c>
      <c r="I549" s="35">
        <f>IF($A549="","",IFERROR(AVERAGEIF(tblAkis[KaynakKartId],$A549,tblAkis[YasGun]),0))</f>
        <v/>
      </c>
    </row>
    <row r="550">
      <c r="A550" s="29" t="n"/>
      <c r="B550" s="29" t="n"/>
      <c r="C550" s="29" t="n"/>
      <c r="D550" s="29" t="n"/>
      <c r="E550" s="31" t="n"/>
      <c r="F550" s="29" t="n"/>
      <c r="G550" s="29" t="n"/>
      <c r="H550" s="35">
        <f>IF($A550="","",SUMIF(tblAkis[KaynakKartId],$A550,tblAkis[Tutar]))</f>
        <v/>
      </c>
      <c r="I550" s="35">
        <f>IF($A550="","",IFERROR(AVERAGEIF(tblAkis[KaynakKartId],$A550,tblAkis[YasGun]),0))</f>
        <v/>
      </c>
    </row>
    <row r="551">
      <c r="A551" s="29" t="n"/>
      <c r="B551" s="29" t="n"/>
      <c r="C551" s="29" t="n"/>
      <c r="D551" s="29" t="n"/>
      <c r="E551" s="31" t="n"/>
      <c r="F551" s="29" t="n"/>
      <c r="G551" s="29" t="n"/>
      <c r="H551" s="35">
        <f>IF($A551="","",SUMIF(tblAkis[KaynakKartId],$A551,tblAkis[Tutar]))</f>
        <v/>
      </c>
      <c r="I551" s="35">
        <f>IF($A551="","",IFERROR(AVERAGEIF(tblAkis[KaynakKartId],$A551,tblAkis[YasGun]),0))</f>
        <v/>
      </c>
    </row>
    <row r="552">
      <c r="A552" s="29" t="n"/>
      <c r="B552" s="29" t="n"/>
      <c r="C552" s="29" t="n"/>
      <c r="D552" s="29" t="n"/>
      <c r="E552" s="31" t="n"/>
      <c r="F552" s="29" t="n"/>
      <c r="G552" s="29" t="n"/>
      <c r="H552" s="35">
        <f>IF($A552="","",SUMIF(tblAkis[KaynakKartId],$A552,tblAkis[Tutar]))</f>
        <v/>
      </c>
      <c r="I552" s="35">
        <f>IF($A552="","",IFERROR(AVERAGEIF(tblAkis[KaynakKartId],$A552,tblAkis[YasGun]),0))</f>
        <v/>
      </c>
    </row>
    <row r="553">
      <c r="A553" s="29" t="n"/>
      <c r="B553" s="29" t="n"/>
      <c r="C553" s="29" t="n"/>
      <c r="D553" s="29" t="n"/>
      <c r="E553" s="31" t="n"/>
      <c r="F553" s="29" t="n"/>
      <c r="G553" s="29" t="n"/>
      <c r="H553" s="35">
        <f>IF($A553="","",SUMIF(tblAkis[KaynakKartId],$A553,tblAkis[Tutar]))</f>
        <v/>
      </c>
      <c r="I553" s="35">
        <f>IF($A553="","",IFERROR(AVERAGEIF(tblAkis[KaynakKartId],$A553,tblAkis[YasGun]),0))</f>
        <v/>
      </c>
    </row>
    <row r="554">
      <c r="A554" s="29" t="n"/>
      <c r="B554" s="29" t="n"/>
      <c r="C554" s="29" t="n"/>
      <c r="D554" s="29" t="n"/>
      <c r="E554" s="31" t="n"/>
      <c r="F554" s="29" t="n"/>
      <c r="G554" s="29" t="n"/>
      <c r="H554" s="35">
        <f>IF($A554="","",SUMIF(tblAkis[KaynakKartId],$A554,tblAkis[Tutar]))</f>
        <v/>
      </c>
      <c r="I554" s="35">
        <f>IF($A554="","",IFERROR(AVERAGEIF(tblAkis[KaynakKartId],$A554,tblAkis[YasGun]),0))</f>
        <v/>
      </c>
    </row>
    <row r="555">
      <c r="A555" s="29" t="n"/>
      <c r="B555" s="29" t="n"/>
      <c r="C555" s="29" t="n"/>
      <c r="D555" s="29" t="n"/>
      <c r="E555" s="31" t="n"/>
      <c r="F555" s="29" t="n"/>
      <c r="G555" s="29" t="n"/>
      <c r="H555" s="35">
        <f>IF($A555="","",SUMIF(tblAkis[KaynakKartId],$A555,tblAkis[Tutar]))</f>
        <v/>
      </c>
      <c r="I555" s="35">
        <f>IF($A555="","",IFERROR(AVERAGEIF(tblAkis[KaynakKartId],$A555,tblAkis[YasGun]),0))</f>
        <v/>
      </c>
    </row>
    <row r="556">
      <c r="A556" s="29" t="n"/>
      <c r="B556" s="29" t="n"/>
      <c r="C556" s="29" t="n"/>
      <c r="D556" s="29" t="n"/>
      <c r="E556" s="31" t="n"/>
      <c r="F556" s="29" t="n"/>
      <c r="G556" s="29" t="n"/>
      <c r="H556" s="35">
        <f>IF($A556="","",SUMIF(tblAkis[KaynakKartId],$A556,tblAkis[Tutar]))</f>
        <v/>
      </c>
      <c r="I556" s="35">
        <f>IF($A556="","",IFERROR(AVERAGEIF(tblAkis[KaynakKartId],$A556,tblAkis[YasGun]),0))</f>
        <v/>
      </c>
    </row>
    <row r="557">
      <c r="A557" s="29" t="n"/>
      <c r="B557" s="29" t="n"/>
      <c r="C557" s="29" t="n"/>
      <c r="D557" s="29" t="n"/>
      <c r="E557" s="31" t="n"/>
      <c r="F557" s="29" t="n"/>
      <c r="G557" s="29" t="n"/>
      <c r="H557" s="35">
        <f>IF($A557="","",SUMIF(tblAkis[KaynakKartId],$A557,tblAkis[Tutar]))</f>
        <v/>
      </c>
      <c r="I557" s="35">
        <f>IF($A557="","",IFERROR(AVERAGEIF(tblAkis[KaynakKartId],$A557,tblAkis[YasGun]),0))</f>
        <v/>
      </c>
    </row>
    <row r="558">
      <c r="A558" s="29" t="n"/>
      <c r="B558" s="29" t="n"/>
      <c r="C558" s="29" t="n"/>
      <c r="D558" s="29" t="n"/>
      <c r="E558" s="31" t="n"/>
      <c r="F558" s="29" t="n"/>
      <c r="G558" s="29" t="n"/>
      <c r="H558" s="35">
        <f>IF($A558="","",SUMIF(tblAkis[KaynakKartId],$A558,tblAkis[Tutar]))</f>
        <v/>
      </c>
      <c r="I558" s="35">
        <f>IF($A558="","",IFERROR(AVERAGEIF(tblAkis[KaynakKartId],$A558,tblAkis[YasGun]),0))</f>
        <v/>
      </c>
    </row>
    <row r="559">
      <c r="A559" s="29" t="n"/>
      <c r="B559" s="29" t="n"/>
      <c r="C559" s="29" t="n"/>
      <c r="D559" s="29" t="n"/>
      <c r="E559" s="31" t="n"/>
      <c r="F559" s="29" t="n"/>
      <c r="G559" s="29" t="n"/>
      <c r="H559" s="35">
        <f>IF($A559="","",SUMIF(tblAkis[KaynakKartId],$A559,tblAkis[Tutar]))</f>
        <v/>
      </c>
      <c r="I559" s="35">
        <f>IF($A559="","",IFERROR(AVERAGEIF(tblAkis[KaynakKartId],$A559,tblAkis[YasGun]),0))</f>
        <v/>
      </c>
    </row>
    <row r="560">
      <c r="A560" s="29" t="n"/>
      <c r="B560" s="29" t="n"/>
      <c r="C560" s="29" t="n"/>
      <c r="D560" s="29" t="n"/>
      <c r="E560" s="31" t="n"/>
      <c r="F560" s="29" t="n"/>
      <c r="G560" s="29" t="n"/>
      <c r="H560" s="35">
        <f>IF($A560="","",SUMIF(tblAkis[KaynakKartId],$A560,tblAkis[Tutar]))</f>
        <v/>
      </c>
      <c r="I560" s="35">
        <f>IF($A560="","",IFERROR(AVERAGEIF(tblAkis[KaynakKartId],$A560,tblAkis[YasGun]),0))</f>
        <v/>
      </c>
    </row>
    <row r="561">
      <c r="A561" s="29" t="n"/>
      <c r="B561" s="29" t="n"/>
      <c r="C561" s="29" t="n"/>
      <c r="D561" s="29" t="n"/>
      <c r="E561" s="31" t="n"/>
      <c r="F561" s="29" t="n"/>
      <c r="G561" s="29" t="n"/>
      <c r="H561" s="35">
        <f>IF($A561="","",SUMIF(tblAkis[KaynakKartId],$A561,tblAkis[Tutar]))</f>
        <v/>
      </c>
      <c r="I561" s="35">
        <f>IF($A561="","",IFERROR(AVERAGEIF(tblAkis[KaynakKartId],$A561,tblAkis[YasGun]),0))</f>
        <v/>
      </c>
    </row>
    <row r="562">
      <c r="A562" s="29" t="n"/>
      <c r="B562" s="29" t="n"/>
      <c r="C562" s="29" t="n"/>
      <c r="D562" s="29" t="n"/>
      <c r="E562" s="31" t="n"/>
      <c r="F562" s="29" t="n"/>
      <c r="G562" s="29" t="n"/>
      <c r="H562" s="35">
        <f>IF($A562="","",SUMIF(tblAkis[KaynakKartId],$A562,tblAkis[Tutar]))</f>
        <v/>
      </c>
      <c r="I562" s="35">
        <f>IF($A562="","",IFERROR(AVERAGEIF(tblAkis[KaynakKartId],$A562,tblAkis[YasGun]),0))</f>
        <v/>
      </c>
    </row>
    <row r="563">
      <c r="A563" s="29" t="n"/>
      <c r="B563" s="29" t="n"/>
      <c r="C563" s="29" t="n"/>
      <c r="D563" s="29" t="n"/>
      <c r="E563" s="31" t="n"/>
      <c r="F563" s="29" t="n"/>
      <c r="G563" s="29" t="n"/>
      <c r="H563" s="35">
        <f>IF($A563="","",SUMIF(tblAkis[KaynakKartId],$A563,tblAkis[Tutar]))</f>
        <v/>
      </c>
      <c r="I563" s="35">
        <f>IF($A563="","",IFERROR(AVERAGEIF(tblAkis[KaynakKartId],$A563,tblAkis[YasGun]),0))</f>
        <v/>
      </c>
    </row>
    <row r="564">
      <c r="A564" s="29" t="n"/>
      <c r="B564" s="29" t="n"/>
      <c r="C564" s="29" t="n"/>
      <c r="D564" s="29" t="n"/>
      <c r="E564" s="31" t="n"/>
      <c r="F564" s="29" t="n"/>
      <c r="G564" s="29" t="n"/>
      <c r="H564" s="35">
        <f>IF($A564="","",SUMIF(tblAkis[KaynakKartId],$A564,tblAkis[Tutar]))</f>
        <v/>
      </c>
      <c r="I564" s="35">
        <f>IF($A564="","",IFERROR(AVERAGEIF(tblAkis[KaynakKartId],$A564,tblAkis[YasGun]),0))</f>
        <v/>
      </c>
    </row>
    <row r="565">
      <c r="A565" s="29" t="n"/>
      <c r="B565" s="29" t="n"/>
      <c r="C565" s="29" t="n"/>
      <c r="D565" s="29" t="n"/>
      <c r="E565" s="31" t="n"/>
      <c r="F565" s="29" t="n"/>
      <c r="G565" s="29" t="n"/>
      <c r="H565" s="35">
        <f>IF($A565="","",SUMIF(tblAkis[KaynakKartId],$A565,tblAkis[Tutar]))</f>
        <v/>
      </c>
      <c r="I565" s="35">
        <f>IF($A565="","",IFERROR(AVERAGEIF(tblAkis[KaynakKartId],$A565,tblAkis[YasGun]),0))</f>
        <v/>
      </c>
    </row>
    <row r="566">
      <c r="A566" s="29" t="n"/>
      <c r="B566" s="29" t="n"/>
      <c r="C566" s="29" t="n"/>
      <c r="D566" s="29" t="n"/>
      <c r="E566" s="31" t="n"/>
      <c r="F566" s="29" t="n"/>
      <c r="G566" s="29" t="n"/>
      <c r="H566" s="35">
        <f>IF($A566="","",SUMIF(tblAkis[KaynakKartId],$A566,tblAkis[Tutar]))</f>
        <v/>
      </c>
      <c r="I566" s="35">
        <f>IF($A566="","",IFERROR(AVERAGEIF(tblAkis[KaynakKartId],$A566,tblAkis[YasGun]),0))</f>
        <v/>
      </c>
    </row>
    <row r="567">
      <c r="A567" s="29" t="n"/>
      <c r="B567" s="29" t="n"/>
      <c r="C567" s="29" t="n"/>
      <c r="D567" s="29" t="n"/>
      <c r="E567" s="31" t="n"/>
      <c r="F567" s="29" t="n"/>
      <c r="G567" s="29" t="n"/>
      <c r="H567" s="35">
        <f>IF($A567="","",SUMIF(tblAkis[KaynakKartId],$A567,tblAkis[Tutar]))</f>
        <v/>
      </c>
      <c r="I567" s="35">
        <f>IF($A567="","",IFERROR(AVERAGEIF(tblAkis[KaynakKartId],$A567,tblAkis[YasGun]),0))</f>
        <v/>
      </c>
    </row>
    <row r="568">
      <c r="A568" s="29" t="n"/>
      <c r="B568" s="29" t="n"/>
      <c r="C568" s="29" t="n"/>
      <c r="D568" s="29" t="n"/>
      <c r="E568" s="31" t="n"/>
      <c r="F568" s="29" t="n"/>
      <c r="G568" s="29" t="n"/>
      <c r="H568" s="35">
        <f>IF($A568="","",SUMIF(tblAkis[KaynakKartId],$A568,tblAkis[Tutar]))</f>
        <v/>
      </c>
      <c r="I568" s="35">
        <f>IF($A568="","",IFERROR(AVERAGEIF(tblAkis[KaynakKartId],$A568,tblAkis[YasGun]),0))</f>
        <v/>
      </c>
    </row>
    <row r="569">
      <c r="A569" s="29" t="n"/>
      <c r="B569" s="29" t="n"/>
      <c r="C569" s="29" t="n"/>
      <c r="D569" s="29" t="n"/>
      <c r="E569" s="31" t="n"/>
      <c r="F569" s="29" t="n"/>
      <c r="G569" s="29" t="n"/>
      <c r="H569" s="35">
        <f>IF($A569="","",SUMIF(tblAkis[KaynakKartId],$A569,tblAkis[Tutar]))</f>
        <v/>
      </c>
      <c r="I569" s="35">
        <f>IF($A569="","",IFERROR(AVERAGEIF(tblAkis[KaynakKartId],$A569,tblAkis[YasGun]),0))</f>
        <v/>
      </c>
    </row>
    <row r="570">
      <c r="A570" s="29" t="n"/>
      <c r="B570" s="29" t="n"/>
      <c r="C570" s="29" t="n"/>
      <c r="D570" s="29" t="n"/>
      <c r="E570" s="31" t="n"/>
      <c r="F570" s="29" t="n"/>
      <c r="G570" s="29" t="n"/>
      <c r="H570" s="35">
        <f>IF($A570="","",SUMIF(tblAkis[KaynakKartId],$A570,tblAkis[Tutar]))</f>
        <v/>
      </c>
      <c r="I570" s="35">
        <f>IF($A570="","",IFERROR(AVERAGEIF(tblAkis[KaynakKartId],$A570,tblAkis[YasGun]),0))</f>
        <v/>
      </c>
    </row>
    <row r="571">
      <c r="A571" s="29" t="n"/>
      <c r="B571" s="29" t="n"/>
      <c r="C571" s="29" t="n"/>
      <c r="D571" s="29" t="n"/>
      <c r="E571" s="31" t="n"/>
      <c r="F571" s="29" t="n"/>
      <c r="G571" s="29" t="n"/>
      <c r="H571" s="35">
        <f>IF($A571="","",SUMIF(tblAkis[KaynakKartId],$A571,tblAkis[Tutar]))</f>
        <v/>
      </c>
      <c r="I571" s="35">
        <f>IF($A571="","",IFERROR(AVERAGEIF(tblAkis[KaynakKartId],$A571,tblAkis[YasGun]),0))</f>
        <v/>
      </c>
    </row>
    <row r="572">
      <c r="A572" s="29" t="n"/>
      <c r="B572" s="29" t="n"/>
      <c r="C572" s="29" t="n"/>
      <c r="D572" s="29" t="n"/>
      <c r="E572" s="31" t="n"/>
      <c r="F572" s="29" t="n"/>
      <c r="G572" s="29" t="n"/>
      <c r="H572" s="35">
        <f>IF($A572="","",SUMIF(tblAkis[KaynakKartId],$A572,tblAkis[Tutar]))</f>
        <v/>
      </c>
      <c r="I572" s="35">
        <f>IF($A572="","",IFERROR(AVERAGEIF(tblAkis[KaynakKartId],$A572,tblAkis[YasGun]),0))</f>
        <v/>
      </c>
    </row>
    <row r="573">
      <c r="A573" s="29" t="n"/>
      <c r="B573" s="29" t="n"/>
      <c r="C573" s="29" t="n"/>
      <c r="D573" s="29" t="n"/>
      <c r="E573" s="31" t="n"/>
      <c r="F573" s="29" t="n"/>
      <c r="G573" s="29" t="n"/>
      <c r="H573" s="35">
        <f>IF($A573="","",SUMIF(tblAkis[KaynakKartId],$A573,tblAkis[Tutar]))</f>
        <v/>
      </c>
      <c r="I573" s="35">
        <f>IF($A573="","",IFERROR(AVERAGEIF(tblAkis[KaynakKartId],$A573,tblAkis[YasGun]),0))</f>
        <v/>
      </c>
    </row>
    <row r="574">
      <c r="A574" s="29" t="n"/>
      <c r="B574" s="29" t="n"/>
      <c r="C574" s="29" t="n"/>
      <c r="D574" s="29" t="n"/>
      <c r="E574" s="31" t="n"/>
      <c r="F574" s="29" t="n"/>
      <c r="G574" s="29" t="n"/>
      <c r="H574" s="35">
        <f>IF($A574="","",SUMIF(tblAkis[KaynakKartId],$A574,tblAkis[Tutar]))</f>
        <v/>
      </c>
      <c r="I574" s="35">
        <f>IF($A574="","",IFERROR(AVERAGEIF(tblAkis[KaynakKartId],$A574,tblAkis[YasGun]),0))</f>
        <v/>
      </c>
    </row>
    <row r="575">
      <c r="A575" s="29" t="n"/>
      <c r="B575" s="29" t="n"/>
      <c r="C575" s="29" t="n"/>
      <c r="D575" s="29" t="n"/>
      <c r="E575" s="31" t="n"/>
      <c r="F575" s="29" t="n"/>
      <c r="G575" s="29" t="n"/>
      <c r="H575" s="35">
        <f>IF($A575="","",SUMIF(tblAkis[KaynakKartId],$A575,tblAkis[Tutar]))</f>
        <v/>
      </c>
      <c r="I575" s="35">
        <f>IF($A575="","",IFERROR(AVERAGEIF(tblAkis[KaynakKartId],$A575,tblAkis[YasGun]),0))</f>
        <v/>
      </c>
    </row>
    <row r="576">
      <c r="A576" s="29" t="n"/>
      <c r="B576" s="29" t="n"/>
      <c r="C576" s="29" t="n"/>
      <c r="D576" s="29" t="n"/>
      <c r="E576" s="31" t="n"/>
      <c r="F576" s="29" t="n"/>
      <c r="G576" s="29" t="n"/>
      <c r="H576" s="35">
        <f>IF($A576="","",SUMIF(tblAkis[KaynakKartId],$A576,tblAkis[Tutar]))</f>
        <v/>
      </c>
      <c r="I576" s="35">
        <f>IF($A576="","",IFERROR(AVERAGEIF(tblAkis[KaynakKartId],$A576,tblAkis[YasGun]),0))</f>
        <v/>
      </c>
    </row>
    <row r="577">
      <c r="A577" s="29" t="n"/>
      <c r="B577" s="29" t="n"/>
      <c r="C577" s="29" t="n"/>
      <c r="D577" s="29" t="n"/>
      <c r="E577" s="31" t="n"/>
      <c r="F577" s="29" t="n"/>
      <c r="G577" s="29" t="n"/>
      <c r="H577" s="35">
        <f>IF($A577="","",SUMIF(tblAkis[KaynakKartId],$A577,tblAkis[Tutar]))</f>
        <v/>
      </c>
      <c r="I577" s="35">
        <f>IF($A577="","",IFERROR(AVERAGEIF(tblAkis[KaynakKartId],$A577,tblAkis[YasGun]),0))</f>
        <v/>
      </c>
    </row>
    <row r="578">
      <c r="A578" s="29" t="n"/>
      <c r="B578" s="29" t="n"/>
      <c r="C578" s="29" t="n"/>
      <c r="D578" s="29" t="n"/>
      <c r="E578" s="31" t="n"/>
      <c r="F578" s="29" t="n"/>
      <c r="G578" s="29" t="n"/>
      <c r="H578" s="35">
        <f>IF($A578="","",SUMIF(tblAkis[KaynakKartId],$A578,tblAkis[Tutar]))</f>
        <v/>
      </c>
      <c r="I578" s="35">
        <f>IF($A578="","",IFERROR(AVERAGEIF(tblAkis[KaynakKartId],$A578,tblAkis[YasGun]),0))</f>
        <v/>
      </c>
    </row>
    <row r="579">
      <c r="A579" s="29" t="n"/>
      <c r="B579" s="29" t="n"/>
      <c r="C579" s="29" t="n"/>
      <c r="D579" s="29" t="n"/>
      <c r="E579" s="31" t="n"/>
      <c r="F579" s="29" t="n"/>
      <c r="G579" s="29" t="n"/>
      <c r="H579" s="35">
        <f>IF($A579="","",SUMIF(tblAkis[KaynakKartId],$A579,tblAkis[Tutar]))</f>
        <v/>
      </c>
      <c r="I579" s="35">
        <f>IF($A579="","",IFERROR(AVERAGEIF(tblAkis[KaynakKartId],$A579,tblAkis[YasGun]),0))</f>
        <v/>
      </c>
    </row>
    <row r="580">
      <c r="A580" s="29" t="n"/>
      <c r="B580" s="29" t="n"/>
      <c r="C580" s="29" t="n"/>
      <c r="D580" s="29" t="n"/>
      <c r="E580" s="31" t="n"/>
      <c r="F580" s="29" t="n"/>
      <c r="G580" s="29" t="n"/>
      <c r="H580" s="35">
        <f>IF($A580="","",SUMIF(tblAkis[KaynakKartId],$A580,tblAkis[Tutar]))</f>
        <v/>
      </c>
      <c r="I580" s="35">
        <f>IF($A580="","",IFERROR(AVERAGEIF(tblAkis[KaynakKartId],$A580,tblAkis[YasGun]),0))</f>
        <v/>
      </c>
    </row>
    <row r="581">
      <c r="A581" s="29" t="n"/>
      <c r="B581" s="29" t="n"/>
      <c r="C581" s="29" t="n"/>
      <c r="D581" s="29" t="n"/>
      <c r="E581" s="31" t="n"/>
      <c r="F581" s="29" t="n"/>
      <c r="G581" s="29" t="n"/>
      <c r="H581" s="35">
        <f>IF($A581="","",SUMIF(tblAkis[KaynakKartId],$A581,tblAkis[Tutar]))</f>
        <v/>
      </c>
      <c r="I581" s="35">
        <f>IF($A581="","",IFERROR(AVERAGEIF(tblAkis[KaynakKartId],$A581,tblAkis[YasGun]),0))</f>
        <v/>
      </c>
    </row>
    <row r="582">
      <c r="A582" s="29" t="n"/>
      <c r="B582" s="29" t="n"/>
      <c r="C582" s="29" t="n"/>
      <c r="D582" s="29" t="n"/>
      <c r="E582" s="31" t="n"/>
      <c r="F582" s="29" t="n"/>
      <c r="G582" s="29" t="n"/>
      <c r="H582" s="35">
        <f>IF($A582="","",SUMIF(tblAkis[KaynakKartId],$A582,tblAkis[Tutar]))</f>
        <v/>
      </c>
      <c r="I582" s="35">
        <f>IF($A582="","",IFERROR(AVERAGEIF(tblAkis[KaynakKartId],$A582,tblAkis[YasGun]),0))</f>
        <v/>
      </c>
    </row>
    <row r="583">
      <c r="A583" s="29" t="n"/>
      <c r="B583" s="29" t="n"/>
      <c r="C583" s="29" t="n"/>
      <c r="D583" s="29" t="n"/>
      <c r="E583" s="31" t="n"/>
      <c r="F583" s="29" t="n"/>
      <c r="G583" s="29" t="n"/>
      <c r="H583" s="35">
        <f>IF($A583="","",SUMIF(tblAkis[KaynakKartId],$A583,tblAkis[Tutar]))</f>
        <v/>
      </c>
      <c r="I583" s="35">
        <f>IF($A583="","",IFERROR(AVERAGEIF(tblAkis[KaynakKartId],$A583,tblAkis[YasGun]),0))</f>
        <v/>
      </c>
    </row>
    <row r="584">
      <c r="A584" s="29" t="n"/>
      <c r="B584" s="29" t="n"/>
      <c r="C584" s="29" t="n"/>
      <c r="D584" s="29" t="n"/>
      <c r="E584" s="31" t="n"/>
      <c r="F584" s="29" t="n"/>
      <c r="G584" s="29" t="n"/>
      <c r="H584" s="35">
        <f>IF($A584="","",SUMIF(tblAkis[KaynakKartId],$A584,tblAkis[Tutar]))</f>
        <v/>
      </c>
      <c r="I584" s="35">
        <f>IF($A584="","",IFERROR(AVERAGEIF(tblAkis[KaynakKartId],$A584,tblAkis[YasGun]),0))</f>
        <v/>
      </c>
    </row>
    <row r="585">
      <c r="A585" s="29" t="n"/>
      <c r="B585" s="29" t="n"/>
      <c r="C585" s="29" t="n"/>
      <c r="D585" s="29" t="n"/>
      <c r="E585" s="31" t="n"/>
      <c r="F585" s="29" t="n"/>
      <c r="G585" s="29" t="n"/>
      <c r="H585" s="35">
        <f>IF($A585="","",SUMIF(tblAkis[KaynakKartId],$A585,tblAkis[Tutar]))</f>
        <v/>
      </c>
      <c r="I585" s="35">
        <f>IF($A585="","",IFERROR(AVERAGEIF(tblAkis[KaynakKartId],$A585,tblAkis[YasGun]),0))</f>
        <v/>
      </c>
    </row>
    <row r="586">
      <c r="A586" s="29" t="n"/>
      <c r="B586" s="29" t="n"/>
      <c r="C586" s="29" t="n"/>
      <c r="D586" s="29" t="n"/>
      <c r="E586" s="31" t="n"/>
      <c r="F586" s="29" t="n"/>
      <c r="G586" s="29" t="n"/>
      <c r="H586" s="35">
        <f>IF($A586="","",SUMIF(tblAkis[KaynakKartId],$A586,tblAkis[Tutar]))</f>
        <v/>
      </c>
      <c r="I586" s="35">
        <f>IF($A586="","",IFERROR(AVERAGEIF(tblAkis[KaynakKartId],$A586,tblAkis[YasGun]),0))</f>
        <v/>
      </c>
    </row>
    <row r="587">
      <c r="A587" s="29" t="n"/>
      <c r="B587" s="29" t="n"/>
      <c r="C587" s="29" t="n"/>
      <c r="D587" s="29" t="n"/>
      <c r="E587" s="31" t="n"/>
      <c r="F587" s="29" t="n"/>
      <c r="G587" s="29" t="n"/>
      <c r="H587" s="35">
        <f>IF($A587="","",SUMIF(tblAkis[KaynakKartId],$A587,tblAkis[Tutar]))</f>
        <v/>
      </c>
      <c r="I587" s="35">
        <f>IF($A587="","",IFERROR(AVERAGEIF(tblAkis[KaynakKartId],$A587,tblAkis[YasGun]),0))</f>
        <v/>
      </c>
    </row>
    <row r="588">
      <c r="A588" s="29" t="n"/>
      <c r="B588" s="29" t="n"/>
      <c r="C588" s="29" t="n"/>
      <c r="D588" s="29" t="n"/>
      <c r="E588" s="31" t="n"/>
      <c r="F588" s="29" t="n"/>
      <c r="G588" s="29" t="n"/>
      <c r="H588" s="35">
        <f>IF($A588="","",SUMIF(tblAkis[KaynakKartId],$A588,tblAkis[Tutar]))</f>
        <v/>
      </c>
      <c r="I588" s="35">
        <f>IF($A588="","",IFERROR(AVERAGEIF(tblAkis[KaynakKartId],$A588,tblAkis[YasGun]),0))</f>
        <v/>
      </c>
    </row>
    <row r="589">
      <c r="A589" s="29" t="n"/>
      <c r="B589" s="29" t="n"/>
      <c r="C589" s="29" t="n"/>
      <c r="D589" s="29" t="n"/>
      <c r="E589" s="31" t="n"/>
      <c r="F589" s="29" t="n"/>
      <c r="G589" s="29" t="n"/>
      <c r="H589" s="35">
        <f>IF($A589="","",SUMIF(tblAkis[KaynakKartId],$A589,tblAkis[Tutar]))</f>
        <v/>
      </c>
      <c r="I589" s="35">
        <f>IF($A589="","",IFERROR(AVERAGEIF(tblAkis[KaynakKartId],$A589,tblAkis[YasGun]),0))</f>
        <v/>
      </c>
    </row>
    <row r="590">
      <c r="A590" s="29" t="n"/>
      <c r="B590" s="29" t="n"/>
      <c r="C590" s="29" t="n"/>
      <c r="D590" s="29" t="n"/>
      <c r="E590" s="31" t="n"/>
      <c r="F590" s="29" t="n"/>
      <c r="G590" s="29" t="n"/>
      <c r="H590" s="35">
        <f>IF($A590="","",SUMIF(tblAkis[KaynakKartId],$A590,tblAkis[Tutar]))</f>
        <v/>
      </c>
      <c r="I590" s="35">
        <f>IF($A590="","",IFERROR(AVERAGEIF(tblAkis[KaynakKartId],$A590,tblAkis[YasGun]),0))</f>
        <v/>
      </c>
    </row>
    <row r="591">
      <c r="A591" s="29" t="n"/>
      <c r="B591" s="29" t="n"/>
      <c r="C591" s="29" t="n"/>
      <c r="D591" s="29" t="n"/>
      <c r="E591" s="31" t="n"/>
      <c r="F591" s="29" t="n"/>
      <c r="G591" s="29" t="n"/>
      <c r="H591" s="35">
        <f>IF($A591="","",SUMIF(tblAkis[KaynakKartId],$A591,tblAkis[Tutar]))</f>
        <v/>
      </c>
      <c r="I591" s="35">
        <f>IF($A591="","",IFERROR(AVERAGEIF(tblAkis[KaynakKartId],$A591,tblAkis[YasGun]),0))</f>
        <v/>
      </c>
    </row>
    <row r="592">
      <c r="A592" s="29" t="n"/>
      <c r="B592" s="29" t="n"/>
      <c r="C592" s="29" t="n"/>
      <c r="D592" s="29" t="n"/>
      <c r="E592" s="31" t="n"/>
      <c r="F592" s="29" t="n"/>
      <c r="G592" s="29" t="n"/>
      <c r="H592" s="35">
        <f>IF($A592="","",SUMIF(tblAkis[KaynakKartId],$A592,tblAkis[Tutar]))</f>
        <v/>
      </c>
      <c r="I592" s="35">
        <f>IF($A592="","",IFERROR(AVERAGEIF(tblAkis[KaynakKartId],$A592,tblAkis[YasGun]),0))</f>
        <v/>
      </c>
    </row>
    <row r="593">
      <c r="A593" s="29" t="n"/>
      <c r="B593" s="29" t="n"/>
      <c r="C593" s="29" t="n"/>
      <c r="D593" s="29" t="n"/>
      <c r="E593" s="31" t="n"/>
      <c r="F593" s="29" t="n"/>
      <c r="G593" s="29" t="n"/>
      <c r="H593" s="35">
        <f>IF($A593="","",SUMIF(tblAkis[KaynakKartId],$A593,tblAkis[Tutar]))</f>
        <v/>
      </c>
      <c r="I593" s="35">
        <f>IF($A593="","",IFERROR(AVERAGEIF(tblAkis[KaynakKartId],$A593,tblAkis[YasGun]),0))</f>
        <v/>
      </c>
    </row>
    <row r="594">
      <c r="A594" s="29" t="n"/>
      <c r="B594" s="29" t="n"/>
      <c r="C594" s="29" t="n"/>
      <c r="D594" s="29" t="n"/>
      <c r="E594" s="31" t="n"/>
      <c r="F594" s="29" t="n"/>
      <c r="G594" s="29" t="n"/>
      <c r="H594" s="35">
        <f>IF($A594="","",SUMIF(tblAkis[KaynakKartId],$A594,tblAkis[Tutar]))</f>
        <v/>
      </c>
      <c r="I594" s="35">
        <f>IF($A594="","",IFERROR(AVERAGEIF(tblAkis[KaynakKartId],$A594,tblAkis[YasGun]),0))</f>
        <v/>
      </c>
    </row>
    <row r="595">
      <c r="A595" s="29" t="n"/>
      <c r="B595" s="29" t="n"/>
      <c r="C595" s="29" t="n"/>
      <c r="D595" s="29" t="n"/>
      <c r="E595" s="31" t="n"/>
      <c r="F595" s="29" t="n"/>
      <c r="G595" s="29" t="n"/>
      <c r="H595" s="35">
        <f>IF($A595="","",SUMIF(tblAkis[KaynakKartId],$A595,tblAkis[Tutar]))</f>
        <v/>
      </c>
      <c r="I595" s="35">
        <f>IF($A595="","",IFERROR(AVERAGEIF(tblAkis[KaynakKartId],$A595,tblAkis[YasGun]),0))</f>
        <v/>
      </c>
    </row>
    <row r="596">
      <c r="A596" s="29" t="n"/>
      <c r="B596" s="29" t="n"/>
      <c r="C596" s="29" t="n"/>
      <c r="D596" s="29" t="n"/>
      <c r="E596" s="31" t="n"/>
      <c r="F596" s="29" t="n"/>
      <c r="G596" s="29" t="n"/>
      <c r="H596" s="35">
        <f>IF($A596="","",SUMIF(tblAkis[KaynakKartId],$A596,tblAkis[Tutar]))</f>
        <v/>
      </c>
      <c r="I596" s="35">
        <f>IF($A596="","",IFERROR(AVERAGEIF(tblAkis[KaynakKartId],$A596,tblAkis[YasGun]),0))</f>
        <v/>
      </c>
    </row>
    <row r="597">
      <c r="A597" s="29" t="n"/>
      <c r="B597" s="29" t="n"/>
      <c r="C597" s="29" t="n"/>
      <c r="D597" s="29" t="n"/>
      <c r="E597" s="31" t="n"/>
      <c r="F597" s="29" t="n"/>
      <c r="G597" s="29" t="n"/>
      <c r="H597" s="35">
        <f>IF($A597="","",SUMIF(tblAkis[KaynakKartId],$A597,tblAkis[Tutar]))</f>
        <v/>
      </c>
      <c r="I597" s="35">
        <f>IF($A597="","",IFERROR(AVERAGEIF(tblAkis[KaynakKartId],$A597,tblAkis[YasGun]),0))</f>
        <v/>
      </c>
    </row>
    <row r="598">
      <c r="A598" s="29" t="n"/>
      <c r="B598" s="29" t="n"/>
      <c r="C598" s="29" t="n"/>
      <c r="D598" s="29" t="n"/>
      <c r="E598" s="31" t="n"/>
      <c r="F598" s="29" t="n"/>
      <c r="G598" s="29" t="n"/>
      <c r="H598" s="35">
        <f>IF($A598="","",SUMIF(tblAkis[KaynakKartId],$A598,tblAkis[Tutar]))</f>
        <v/>
      </c>
      <c r="I598" s="35">
        <f>IF($A598="","",IFERROR(AVERAGEIF(tblAkis[KaynakKartId],$A598,tblAkis[YasGun]),0))</f>
        <v/>
      </c>
    </row>
    <row r="599">
      <c r="A599" s="29" t="n"/>
      <c r="B599" s="29" t="n"/>
      <c r="C599" s="29" t="n"/>
      <c r="D599" s="29" t="n"/>
      <c r="E599" s="31" t="n"/>
      <c r="F599" s="29" t="n"/>
      <c r="G599" s="29" t="n"/>
      <c r="H599" s="35">
        <f>IF($A599="","",SUMIF(tblAkis[KaynakKartId],$A599,tblAkis[Tutar]))</f>
        <v/>
      </c>
      <c r="I599" s="35">
        <f>IF($A599="","",IFERROR(AVERAGEIF(tblAkis[KaynakKartId],$A599,tblAkis[YasGun]),0))</f>
        <v/>
      </c>
    </row>
    <row r="600">
      <c r="A600" s="29" t="n"/>
      <c r="B600" s="29" t="n"/>
      <c r="C600" s="29" t="n"/>
      <c r="D600" s="29" t="n"/>
      <c r="E600" s="31" t="n"/>
      <c r="F600" s="29" t="n"/>
      <c r="G600" s="29" t="n"/>
      <c r="H600" s="35">
        <f>IF($A600="","",SUMIF(tblAkis[KaynakKartId],$A600,tblAkis[Tutar]))</f>
        <v/>
      </c>
      <c r="I600" s="35">
        <f>IF($A600="","",IFERROR(AVERAGEIF(tblAkis[KaynakKartId],$A600,tblAkis[YasGun]),0))</f>
        <v/>
      </c>
    </row>
    <row r="601">
      <c r="A601" s="29" t="n"/>
      <c r="B601" s="29" t="n"/>
      <c r="C601" s="29" t="n"/>
      <c r="D601" s="29" t="n"/>
      <c r="E601" s="31" t="n"/>
      <c r="F601" s="29" t="n"/>
      <c r="G601" s="29" t="n"/>
      <c r="H601" s="35">
        <f>IF($A601="","",SUMIF(tblAkis[KaynakKartId],$A601,tblAkis[Tutar]))</f>
        <v/>
      </c>
      <c r="I601" s="35">
        <f>IF($A601="","",IFERROR(AVERAGEIF(tblAkis[KaynakKartId],$A601,tblAkis[YasGun]),0))</f>
        <v/>
      </c>
    </row>
    <row r="602">
      <c r="A602" s="29" t="n"/>
      <c r="B602" s="29" t="n"/>
      <c r="C602" s="29" t="n"/>
      <c r="D602" s="29" t="n"/>
      <c r="E602" s="31" t="n"/>
      <c r="F602" s="29" t="n"/>
      <c r="G602" s="29" t="n"/>
      <c r="H602" s="35">
        <f>IF($A602="","",SUMIF(tblAkis[KaynakKartId],$A602,tblAkis[Tutar]))</f>
        <v/>
      </c>
      <c r="I602" s="35">
        <f>IF($A602="","",IFERROR(AVERAGEIF(tblAkis[KaynakKartId],$A602,tblAkis[YasGun]),0))</f>
        <v/>
      </c>
    </row>
    <row r="603">
      <c r="A603" s="29" t="n"/>
      <c r="B603" s="29" t="n"/>
      <c r="C603" s="29" t="n"/>
      <c r="D603" s="29" t="n"/>
      <c r="E603" s="31" t="n"/>
      <c r="F603" s="29" t="n"/>
      <c r="G603" s="29" t="n"/>
      <c r="H603" s="35">
        <f>IF($A603="","",SUMIF(tblAkis[KaynakKartId],$A603,tblAkis[Tutar]))</f>
        <v/>
      </c>
      <c r="I603" s="35">
        <f>IF($A603="","",IFERROR(AVERAGEIF(tblAkis[KaynakKartId],$A603,tblAkis[YasGun]),0))</f>
        <v/>
      </c>
    </row>
    <row r="604">
      <c r="A604" s="29" t="n"/>
      <c r="B604" s="29" t="n"/>
      <c r="C604" s="29" t="n"/>
      <c r="D604" s="29" t="n"/>
      <c r="E604" s="31" t="n"/>
      <c r="F604" s="29" t="n"/>
      <c r="G604" s="29" t="n"/>
      <c r="H604" s="35">
        <f>IF($A604="","",SUMIF(tblAkis[KaynakKartId],$A604,tblAkis[Tutar]))</f>
        <v/>
      </c>
      <c r="I604" s="35">
        <f>IF($A604="","",IFERROR(AVERAGEIF(tblAkis[KaynakKartId],$A604,tblAkis[YasGun]),0))</f>
        <v/>
      </c>
    </row>
    <row r="605">
      <c r="A605" s="29" t="n"/>
      <c r="B605" s="29" t="n"/>
      <c r="C605" s="29" t="n"/>
      <c r="D605" s="29" t="n"/>
      <c r="E605" s="31" t="n"/>
      <c r="F605" s="29" t="n"/>
      <c r="G605" s="29" t="n"/>
      <c r="H605" s="35">
        <f>IF($A605="","",SUMIF(tblAkis[KaynakKartId],$A605,tblAkis[Tutar]))</f>
        <v/>
      </c>
      <c r="I605" s="35">
        <f>IF($A605="","",IFERROR(AVERAGEIF(tblAkis[KaynakKartId],$A605,tblAkis[YasGun]),0))</f>
        <v/>
      </c>
    </row>
    <row r="606">
      <c r="A606" s="29" t="n"/>
      <c r="B606" s="29" t="n"/>
      <c r="C606" s="29" t="n"/>
      <c r="D606" s="29" t="n"/>
      <c r="E606" s="31" t="n"/>
      <c r="F606" s="29" t="n"/>
      <c r="G606" s="29" t="n"/>
      <c r="H606" s="35">
        <f>IF($A606="","",SUMIF(tblAkis[KaynakKartId],$A606,tblAkis[Tutar]))</f>
        <v/>
      </c>
      <c r="I606" s="35">
        <f>IF($A606="","",IFERROR(AVERAGEIF(tblAkis[KaynakKartId],$A606,tblAkis[YasGun]),0))</f>
        <v/>
      </c>
    </row>
    <row r="607">
      <c r="A607" s="29" t="n"/>
      <c r="B607" s="29" t="n"/>
      <c r="C607" s="29" t="n"/>
      <c r="D607" s="29" t="n"/>
      <c r="E607" s="31" t="n"/>
      <c r="F607" s="29" t="n"/>
      <c r="G607" s="29" t="n"/>
      <c r="H607" s="35">
        <f>IF($A607="","",SUMIF(tblAkis[KaynakKartId],$A607,tblAkis[Tutar]))</f>
        <v/>
      </c>
      <c r="I607" s="35">
        <f>IF($A607="","",IFERROR(AVERAGEIF(tblAkis[KaynakKartId],$A607,tblAkis[YasGun]),0))</f>
        <v/>
      </c>
    </row>
    <row r="608">
      <c r="A608" s="29" t="n"/>
      <c r="B608" s="29" t="n"/>
      <c r="C608" s="29" t="n"/>
      <c r="D608" s="29" t="n"/>
      <c r="E608" s="31" t="n"/>
      <c r="F608" s="29" t="n"/>
      <c r="G608" s="29" t="n"/>
      <c r="H608" s="35">
        <f>IF($A608="","",SUMIF(tblAkis[KaynakKartId],$A608,tblAkis[Tutar]))</f>
        <v/>
      </c>
      <c r="I608" s="35">
        <f>IF($A608="","",IFERROR(AVERAGEIF(tblAkis[KaynakKartId],$A608,tblAkis[YasGun]),0))</f>
        <v/>
      </c>
    </row>
    <row r="609">
      <c r="A609" s="29" t="n"/>
      <c r="B609" s="29" t="n"/>
      <c r="C609" s="29" t="n"/>
      <c r="D609" s="29" t="n"/>
      <c r="E609" s="31" t="n"/>
      <c r="F609" s="29" t="n"/>
      <c r="G609" s="29" t="n"/>
      <c r="H609" s="35">
        <f>IF($A609="","",SUMIF(tblAkis[KaynakKartId],$A609,tblAkis[Tutar]))</f>
        <v/>
      </c>
      <c r="I609" s="35">
        <f>IF($A609="","",IFERROR(AVERAGEIF(tblAkis[KaynakKartId],$A609,tblAkis[YasGun]),0))</f>
        <v/>
      </c>
    </row>
    <row r="610">
      <c r="A610" s="29" t="n"/>
      <c r="B610" s="29" t="n"/>
      <c r="C610" s="29" t="n"/>
      <c r="D610" s="29" t="n"/>
      <c r="E610" s="31" t="n"/>
      <c r="F610" s="29" t="n"/>
      <c r="G610" s="29" t="n"/>
      <c r="H610" s="35">
        <f>IF($A610="","",SUMIF(tblAkis[KaynakKartId],$A610,tblAkis[Tutar]))</f>
        <v/>
      </c>
      <c r="I610" s="35">
        <f>IF($A610="","",IFERROR(AVERAGEIF(tblAkis[KaynakKartId],$A610,tblAkis[YasGun]),0))</f>
        <v/>
      </c>
    </row>
    <row r="611">
      <c r="A611" s="29" t="n"/>
      <c r="B611" s="29" t="n"/>
      <c r="C611" s="29" t="n"/>
      <c r="D611" s="29" t="n"/>
      <c r="E611" s="31" t="n"/>
      <c r="F611" s="29" t="n"/>
      <c r="G611" s="29" t="n"/>
      <c r="H611" s="35">
        <f>IF($A611="","",SUMIF(tblAkis[KaynakKartId],$A611,tblAkis[Tutar]))</f>
        <v/>
      </c>
      <c r="I611" s="35">
        <f>IF($A611="","",IFERROR(AVERAGEIF(tblAkis[KaynakKartId],$A611,tblAkis[YasGun]),0))</f>
        <v/>
      </c>
    </row>
    <row r="612">
      <c r="A612" s="29" t="n"/>
      <c r="B612" s="29" t="n"/>
      <c r="C612" s="29" t="n"/>
      <c r="D612" s="29" t="n"/>
      <c r="E612" s="31" t="n"/>
      <c r="F612" s="29" t="n"/>
      <c r="G612" s="29" t="n"/>
      <c r="H612" s="35">
        <f>IF($A612="","",SUMIF(tblAkis[KaynakKartId],$A612,tblAkis[Tutar]))</f>
        <v/>
      </c>
      <c r="I612" s="35">
        <f>IF($A612="","",IFERROR(AVERAGEIF(tblAkis[KaynakKartId],$A612,tblAkis[YasGun]),0))</f>
        <v/>
      </c>
    </row>
    <row r="613">
      <c r="A613" s="29" t="n"/>
      <c r="B613" s="29" t="n"/>
      <c r="C613" s="29" t="n"/>
      <c r="D613" s="29" t="n"/>
      <c r="E613" s="31" t="n"/>
      <c r="F613" s="29" t="n"/>
      <c r="G613" s="29" t="n"/>
      <c r="H613" s="35">
        <f>IF($A613="","",SUMIF(tblAkis[KaynakKartId],$A613,tblAkis[Tutar]))</f>
        <v/>
      </c>
      <c r="I613" s="35">
        <f>IF($A613="","",IFERROR(AVERAGEIF(tblAkis[KaynakKartId],$A613,tblAkis[YasGun]),0))</f>
        <v/>
      </c>
    </row>
    <row r="614">
      <c r="A614" s="29" t="n"/>
      <c r="B614" s="29" t="n"/>
      <c r="C614" s="29" t="n"/>
      <c r="D614" s="29" t="n"/>
      <c r="E614" s="31" t="n"/>
      <c r="F614" s="29" t="n"/>
      <c r="G614" s="29" t="n"/>
      <c r="H614" s="35">
        <f>IF($A614="","",SUMIF(tblAkis[KaynakKartId],$A614,tblAkis[Tutar]))</f>
        <v/>
      </c>
      <c r="I614" s="35">
        <f>IF($A614="","",IFERROR(AVERAGEIF(tblAkis[KaynakKartId],$A614,tblAkis[YasGun]),0))</f>
        <v/>
      </c>
    </row>
    <row r="615">
      <c r="A615" s="29" t="n"/>
      <c r="B615" s="29" t="n"/>
      <c r="C615" s="29" t="n"/>
      <c r="D615" s="29" t="n"/>
      <c r="E615" s="31" t="n"/>
      <c r="F615" s="29" t="n"/>
      <c r="G615" s="29" t="n"/>
      <c r="H615" s="35">
        <f>IF($A615="","",SUMIF(tblAkis[KaynakKartId],$A615,tblAkis[Tutar]))</f>
        <v/>
      </c>
      <c r="I615" s="35">
        <f>IF($A615="","",IFERROR(AVERAGEIF(tblAkis[KaynakKartId],$A615,tblAkis[YasGun]),0))</f>
        <v/>
      </c>
    </row>
    <row r="616">
      <c r="A616" s="29" t="n"/>
      <c r="B616" s="29" t="n"/>
      <c r="C616" s="29" t="n"/>
      <c r="D616" s="29" t="n"/>
      <c r="E616" s="31" t="n"/>
      <c r="F616" s="29" t="n"/>
      <c r="G616" s="29" t="n"/>
      <c r="H616" s="35">
        <f>IF($A616="","",SUMIF(tblAkis[KaynakKartId],$A616,tblAkis[Tutar]))</f>
        <v/>
      </c>
      <c r="I616" s="35">
        <f>IF($A616="","",IFERROR(AVERAGEIF(tblAkis[KaynakKartId],$A616,tblAkis[YasGun]),0))</f>
        <v/>
      </c>
    </row>
    <row r="617">
      <c r="A617" s="29" t="n"/>
      <c r="B617" s="29" t="n"/>
      <c r="C617" s="29" t="n"/>
      <c r="D617" s="29" t="n"/>
      <c r="E617" s="31" t="n"/>
      <c r="F617" s="29" t="n"/>
      <c r="G617" s="29" t="n"/>
      <c r="H617" s="35">
        <f>IF($A617="","",SUMIF(tblAkis[KaynakKartId],$A617,tblAkis[Tutar]))</f>
        <v/>
      </c>
      <c r="I617" s="35">
        <f>IF($A617="","",IFERROR(AVERAGEIF(tblAkis[KaynakKartId],$A617,tblAkis[YasGun]),0))</f>
        <v/>
      </c>
    </row>
    <row r="618">
      <c r="A618" s="29" t="n"/>
      <c r="B618" s="29" t="n"/>
      <c r="C618" s="29" t="n"/>
      <c r="D618" s="29" t="n"/>
      <c r="E618" s="31" t="n"/>
      <c r="F618" s="29" t="n"/>
      <c r="G618" s="29" t="n"/>
      <c r="H618" s="35">
        <f>IF($A618="","",SUMIF(tblAkis[KaynakKartId],$A618,tblAkis[Tutar]))</f>
        <v/>
      </c>
      <c r="I618" s="35">
        <f>IF($A618="","",IFERROR(AVERAGEIF(tblAkis[KaynakKartId],$A618,tblAkis[YasGun]),0))</f>
        <v/>
      </c>
    </row>
    <row r="619">
      <c r="A619" s="29" t="n"/>
      <c r="B619" s="29" t="n"/>
      <c r="C619" s="29" t="n"/>
      <c r="D619" s="29" t="n"/>
      <c r="E619" s="31" t="n"/>
      <c r="F619" s="29" t="n"/>
      <c r="G619" s="29" t="n"/>
      <c r="H619" s="35">
        <f>IF($A619="","",SUMIF(tblAkis[KaynakKartId],$A619,tblAkis[Tutar]))</f>
        <v/>
      </c>
      <c r="I619" s="35">
        <f>IF($A619="","",IFERROR(AVERAGEIF(tblAkis[KaynakKartId],$A619,tblAkis[YasGun]),0))</f>
        <v/>
      </c>
    </row>
    <row r="620">
      <c r="A620" s="29" t="n"/>
      <c r="B620" s="29" t="n"/>
      <c r="C620" s="29" t="n"/>
      <c r="D620" s="29" t="n"/>
      <c r="E620" s="31" t="n"/>
      <c r="F620" s="29" t="n"/>
      <c r="G620" s="29" t="n"/>
      <c r="H620" s="35">
        <f>IF($A620="","",SUMIF(tblAkis[KaynakKartId],$A620,tblAkis[Tutar]))</f>
        <v/>
      </c>
      <c r="I620" s="35">
        <f>IF($A620="","",IFERROR(AVERAGEIF(tblAkis[KaynakKartId],$A620,tblAkis[YasGun]),0))</f>
        <v/>
      </c>
    </row>
    <row r="621">
      <c r="A621" s="29" t="n"/>
      <c r="B621" s="29" t="n"/>
      <c r="C621" s="29" t="n"/>
      <c r="D621" s="29" t="n"/>
      <c r="E621" s="31" t="n"/>
      <c r="F621" s="29" t="n"/>
      <c r="G621" s="29" t="n"/>
      <c r="H621" s="35">
        <f>IF($A621="","",SUMIF(tblAkis[KaynakKartId],$A621,tblAkis[Tutar]))</f>
        <v/>
      </c>
      <c r="I621" s="35">
        <f>IF($A621="","",IFERROR(AVERAGEIF(tblAkis[KaynakKartId],$A621,tblAkis[YasGun]),0))</f>
        <v/>
      </c>
    </row>
    <row r="622">
      <c r="A622" s="29" t="n"/>
      <c r="B622" s="29" t="n"/>
      <c r="C622" s="29" t="n"/>
      <c r="D622" s="29" t="n"/>
      <c r="E622" s="31" t="n"/>
      <c r="F622" s="29" t="n"/>
      <c r="G622" s="29" t="n"/>
      <c r="H622" s="35">
        <f>IF($A622="","",SUMIF(tblAkis[KaynakKartId],$A622,tblAkis[Tutar]))</f>
        <v/>
      </c>
      <c r="I622" s="35">
        <f>IF($A622="","",IFERROR(AVERAGEIF(tblAkis[KaynakKartId],$A622,tblAkis[YasGun]),0))</f>
        <v/>
      </c>
    </row>
    <row r="623">
      <c r="A623" s="29" t="n"/>
      <c r="B623" s="29" t="n"/>
      <c r="C623" s="29" t="n"/>
      <c r="D623" s="29" t="n"/>
      <c r="E623" s="31" t="n"/>
      <c r="F623" s="29" t="n"/>
      <c r="G623" s="29" t="n"/>
      <c r="H623" s="35">
        <f>IF($A623="","",SUMIF(tblAkis[KaynakKartId],$A623,tblAkis[Tutar]))</f>
        <v/>
      </c>
      <c r="I623" s="35">
        <f>IF($A623="","",IFERROR(AVERAGEIF(tblAkis[KaynakKartId],$A623,tblAkis[YasGun]),0))</f>
        <v/>
      </c>
    </row>
    <row r="624">
      <c r="A624" s="29" t="n"/>
      <c r="B624" s="29" t="n"/>
      <c r="C624" s="29" t="n"/>
      <c r="D624" s="29" t="n"/>
      <c r="E624" s="31" t="n"/>
      <c r="F624" s="29" t="n"/>
      <c r="G624" s="29" t="n"/>
      <c r="H624" s="35">
        <f>IF($A624="","",SUMIF(tblAkis[KaynakKartId],$A624,tblAkis[Tutar]))</f>
        <v/>
      </c>
      <c r="I624" s="35">
        <f>IF($A624="","",IFERROR(AVERAGEIF(tblAkis[KaynakKartId],$A624,tblAkis[YasGun]),0))</f>
        <v/>
      </c>
    </row>
    <row r="625">
      <c r="A625" s="29" t="n"/>
      <c r="B625" s="29" t="n"/>
      <c r="C625" s="29" t="n"/>
      <c r="D625" s="29" t="n"/>
      <c r="E625" s="31" t="n"/>
      <c r="F625" s="29" t="n"/>
      <c r="G625" s="29" t="n"/>
      <c r="H625" s="35">
        <f>IF($A625="","",SUMIF(tblAkis[KaynakKartId],$A625,tblAkis[Tutar]))</f>
        <v/>
      </c>
      <c r="I625" s="35">
        <f>IF($A625="","",IFERROR(AVERAGEIF(tblAkis[KaynakKartId],$A625,tblAkis[YasGun]),0))</f>
        <v/>
      </c>
    </row>
    <row r="626">
      <c r="A626" s="29" t="n"/>
      <c r="B626" s="29" t="n"/>
      <c r="C626" s="29" t="n"/>
      <c r="D626" s="29" t="n"/>
      <c r="E626" s="31" t="n"/>
      <c r="F626" s="29" t="n"/>
      <c r="G626" s="29" t="n"/>
      <c r="H626" s="35">
        <f>IF($A626="","",SUMIF(tblAkis[KaynakKartId],$A626,tblAkis[Tutar]))</f>
        <v/>
      </c>
      <c r="I626" s="35">
        <f>IF($A626="","",IFERROR(AVERAGEIF(tblAkis[KaynakKartId],$A626,tblAkis[YasGun]),0))</f>
        <v/>
      </c>
    </row>
    <row r="627">
      <c r="A627" s="29" t="n"/>
      <c r="B627" s="29" t="n"/>
      <c r="C627" s="29" t="n"/>
      <c r="D627" s="29" t="n"/>
      <c r="E627" s="31" t="n"/>
      <c r="F627" s="29" t="n"/>
      <c r="G627" s="29" t="n"/>
      <c r="H627" s="35">
        <f>IF($A627="","",SUMIF(tblAkis[KaynakKartId],$A627,tblAkis[Tutar]))</f>
        <v/>
      </c>
      <c r="I627" s="35">
        <f>IF($A627="","",IFERROR(AVERAGEIF(tblAkis[KaynakKartId],$A627,tblAkis[YasGun]),0))</f>
        <v/>
      </c>
    </row>
    <row r="628">
      <c r="A628" s="29" t="n"/>
      <c r="B628" s="29" t="n"/>
      <c r="C628" s="29" t="n"/>
      <c r="D628" s="29" t="n"/>
      <c r="E628" s="31" t="n"/>
      <c r="F628" s="29" t="n"/>
      <c r="G628" s="29" t="n"/>
      <c r="H628" s="35">
        <f>IF($A628="","",SUMIF(tblAkis[KaynakKartId],$A628,tblAkis[Tutar]))</f>
        <v/>
      </c>
      <c r="I628" s="35">
        <f>IF($A628="","",IFERROR(AVERAGEIF(tblAkis[KaynakKartId],$A628,tblAkis[YasGun]),0))</f>
        <v/>
      </c>
    </row>
    <row r="629">
      <c r="A629" s="29" t="n"/>
      <c r="B629" s="29" t="n"/>
      <c r="C629" s="29" t="n"/>
      <c r="D629" s="29" t="n"/>
      <c r="E629" s="31" t="n"/>
      <c r="F629" s="29" t="n"/>
      <c r="G629" s="29" t="n"/>
      <c r="H629" s="35">
        <f>IF($A629="","",SUMIF(tblAkis[KaynakKartId],$A629,tblAkis[Tutar]))</f>
        <v/>
      </c>
      <c r="I629" s="35">
        <f>IF($A629="","",IFERROR(AVERAGEIF(tblAkis[KaynakKartId],$A629,tblAkis[YasGun]),0))</f>
        <v/>
      </c>
    </row>
    <row r="630">
      <c r="A630" s="29" t="n"/>
      <c r="B630" s="29" t="n"/>
      <c r="C630" s="29" t="n"/>
      <c r="D630" s="29" t="n"/>
      <c r="E630" s="31" t="n"/>
      <c r="F630" s="29" t="n"/>
      <c r="G630" s="29" t="n"/>
      <c r="H630" s="35">
        <f>IF($A630="","",SUMIF(tblAkis[KaynakKartId],$A630,tblAkis[Tutar]))</f>
        <v/>
      </c>
      <c r="I630" s="35">
        <f>IF($A630="","",IFERROR(AVERAGEIF(tblAkis[KaynakKartId],$A630,tblAkis[YasGun]),0))</f>
        <v/>
      </c>
    </row>
    <row r="631">
      <c r="A631" s="29" t="n"/>
      <c r="B631" s="29" t="n"/>
      <c r="C631" s="29" t="n"/>
      <c r="D631" s="29" t="n"/>
      <c r="E631" s="31" t="n"/>
      <c r="F631" s="29" t="n"/>
      <c r="G631" s="29" t="n"/>
      <c r="H631" s="35">
        <f>IF($A631="","",SUMIF(tblAkis[KaynakKartId],$A631,tblAkis[Tutar]))</f>
        <v/>
      </c>
      <c r="I631" s="35">
        <f>IF($A631="","",IFERROR(AVERAGEIF(tblAkis[KaynakKartId],$A631,tblAkis[YasGun]),0))</f>
        <v/>
      </c>
    </row>
    <row r="632">
      <c r="A632" s="29" t="n"/>
      <c r="B632" s="29" t="n"/>
      <c r="C632" s="29" t="n"/>
      <c r="D632" s="29" t="n"/>
      <c r="E632" s="31" t="n"/>
      <c r="F632" s="29" t="n"/>
      <c r="G632" s="29" t="n"/>
      <c r="H632" s="35">
        <f>IF($A632="","",SUMIF(tblAkis[KaynakKartId],$A632,tblAkis[Tutar]))</f>
        <v/>
      </c>
      <c r="I632" s="35">
        <f>IF($A632="","",IFERROR(AVERAGEIF(tblAkis[KaynakKartId],$A632,tblAkis[YasGun]),0))</f>
        <v/>
      </c>
    </row>
    <row r="633">
      <c r="A633" s="29" t="n"/>
      <c r="B633" s="29" t="n"/>
      <c r="C633" s="29" t="n"/>
      <c r="D633" s="29" t="n"/>
      <c r="E633" s="31" t="n"/>
      <c r="F633" s="29" t="n"/>
      <c r="G633" s="29" t="n"/>
      <c r="H633" s="35">
        <f>IF($A633="","",SUMIF(tblAkis[KaynakKartId],$A633,tblAkis[Tutar]))</f>
        <v/>
      </c>
      <c r="I633" s="35">
        <f>IF($A633="","",IFERROR(AVERAGEIF(tblAkis[KaynakKartId],$A633,tblAkis[YasGun]),0))</f>
        <v/>
      </c>
    </row>
    <row r="634">
      <c r="A634" s="29" t="n"/>
      <c r="B634" s="29" t="n"/>
      <c r="C634" s="29" t="n"/>
      <c r="D634" s="29" t="n"/>
      <c r="E634" s="31" t="n"/>
      <c r="F634" s="29" t="n"/>
      <c r="G634" s="29" t="n"/>
      <c r="H634" s="35">
        <f>IF($A634="","",SUMIF(tblAkis[KaynakKartId],$A634,tblAkis[Tutar]))</f>
        <v/>
      </c>
      <c r="I634" s="35">
        <f>IF($A634="","",IFERROR(AVERAGEIF(tblAkis[KaynakKartId],$A634,tblAkis[YasGun]),0))</f>
        <v/>
      </c>
    </row>
    <row r="635">
      <c r="A635" s="29" t="n"/>
      <c r="B635" s="29" t="n"/>
      <c r="C635" s="29" t="n"/>
      <c r="D635" s="29" t="n"/>
      <c r="E635" s="31" t="n"/>
      <c r="F635" s="29" t="n"/>
      <c r="G635" s="29" t="n"/>
      <c r="H635" s="35">
        <f>IF($A635="","",SUMIF(tblAkis[KaynakKartId],$A635,tblAkis[Tutar]))</f>
        <v/>
      </c>
      <c r="I635" s="35">
        <f>IF($A635="","",IFERROR(AVERAGEIF(tblAkis[KaynakKartId],$A635,tblAkis[YasGun]),0))</f>
        <v/>
      </c>
    </row>
    <row r="636">
      <c r="A636" s="29" t="n"/>
      <c r="B636" s="29" t="n"/>
      <c r="C636" s="29" t="n"/>
      <c r="D636" s="29" t="n"/>
      <c r="E636" s="31" t="n"/>
      <c r="F636" s="29" t="n"/>
      <c r="G636" s="29" t="n"/>
      <c r="H636" s="35">
        <f>IF($A636="","",SUMIF(tblAkis[KaynakKartId],$A636,tblAkis[Tutar]))</f>
        <v/>
      </c>
      <c r="I636" s="35">
        <f>IF($A636="","",IFERROR(AVERAGEIF(tblAkis[KaynakKartId],$A636,tblAkis[YasGun]),0))</f>
        <v/>
      </c>
    </row>
    <row r="637">
      <c r="A637" s="29" t="n"/>
      <c r="B637" s="29" t="n"/>
      <c r="C637" s="29" t="n"/>
      <c r="D637" s="29" t="n"/>
      <c r="E637" s="31" t="n"/>
      <c r="F637" s="29" t="n"/>
      <c r="G637" s="29" t="n"/>
      <c r="H637" s="35">
        <f>IF($A637="","",SUMIF(tblAkis[KaynakKartId],$A637,tblAkis[Tutar]))</f>
        <v/>
      </c>
      <c r="I637" s="35">
        <f>IF($A637="","",IFERROR(AVERAGEIF(tblAkis[KaynakKartId],$A637,tblAkis[YasGun]),0))</f>
        <v/>
      </c>
    </row>
    <row r="638">
      <c r="A638" s="29" t="n"/>
      <c r="B638" s="29" t="n"/>
      <c r="C638" s="29" t="n"/>
      <c r="D638" s="29" t="n"/>
      <c r="E638" s="31" t="n"/>
      <c r="F638" s="29" t="n"/>
      <c r="G638" s="29" t="n"/>
      <c r="H638" s="35">
        <f>IF($A638="","",SUMIF(tblAkis[KaynakKartId],$A638,tblAkis[Tutar]))</f>
        <v/>
      </c>
      <c r="I638" s="35">
        <f>IF($A638="","",IFERROR(AVERAGEIF(tblAkis[KaynakKartId],$A638,tblAkis[YasGun]),0))</f>
        <v/>
      </c>
    </row>
    <row r="639">
      <c r="A639" s="29" t="n"/>
      <c r="B639" s="29" t="n"/>
      <c r="C639" s="29" t="n"/>
      <c r="D639" s="29" t="n"/>
      <c r="E639" s="31" t="n"/>
      <c r="F639" s="29" t="n"/>
      <c r="G639" s="29" t="n"/>
      <c r="H639" s="35">
        <f>IF($A639="","",SUMIF(tblAkis[KaynakKartId],$A639,tblAkis[Tutar]))</f>
        <v/>
      </c>
      <c r="I639" s="35">
        <f>IF($A639="","",IFERROR(AVERAGEIF(tblAkis[KaynakKartId],$A639,tblAkis[YasGun]),0))</f>
        <v/>
      </c>
    </row>
    <row r="640">
      <c r="A640" s="29" t="n"/>
      <c r="B640" s="29" t="n"/>
      <c r="C640" s="29" t="n"/>
      <c r="D640" s="29" t="n"/>
      <c r="E640" s="31" t="n"/>
      <c r="F640" s="29" t="n"/>
      <c r="G640" s="29" t="n"/>
      <c r="H640" s="35">
        <f>IF($A640="","",SUMIF(tblAkis[KaynakKartId],$A640,tblAkis[Tutar]))</f>
        <v/>
      </c>
      <c r="I640" s="35">
        <f>IF($A640="","",IFERROR(AVERAGEIF(tblAkis[KaynakKartId],$A640,tblAkis[YasGun]),0))</f>
        <v/>
      </c>
    </row>
    <row r="641">
      <c r="A641" s="29" t="n"/>
      <c r="B641" s="29" t="n"/>
      <c r="C641" s="29" t="n"/>
      <c r="D641" s="29" t="n"/>
      <c r="E641" s="31" t="n"/>
      <c r="F641" s="29" t="n"/>
      <c r="G641" s="29" t="n"/>
      <c r="H641" s="35">
        <f>IF($A641="","",SUMIF(tblAkis[KaynakKartId],$A641,tblAkis[Tutar]))</f>
        <v/>
      </c>
      <c r="I641" s="35">
        <f>IF($A641="","",IFERROR(AVERAGEIF(tblAkis[KaynakKartId],$A641,tblAkis[YasGun]),0))</f>
        <v/>
      </c>
    </row>
    <row r="642">
      <c r="A642" s="29" t="n"/>
      <c r="B642" s="29" t="n"/>
      <c r="C642" s="29" t="n"/>
      <c r="D642" s="29" t="n"/>
      <c r="E642" s="31" t="n"/>
      <c r="F642" s="29" t="n"/>
      <c r="G642" s="29" t="n"/>
      <c r="H642" s="35">
        <f>IF($A642="","",SUMIF(tblAkis[KaynakKartId],$A642,tblAkis[Tutar]))</f>
        <v/>
      </c>
      <c r="I642" s="35">
        <f>IF($A642="","",IFERROR(AVERAGEIF(tblAkis[KaynakKartId],$A642,tblAkis[YasGun]),0))</f>
        <v/>
      </c>
    </row>
    <row r="643">
      <c r="A643" s="29" t="n"/>
      <c r="B643" s="29" t="n"/>
      <c r="C643" s="29" t="n"/>
      <c r="D643" s="29" t="n"/>
      <c r="E643" s="31" t="n"/>
      <c r="F643" s="29" t="n"/>
      <c r="G643" s="29" t="n"/>
      <c r="H643" s="35">
        <f>IF($A643="","",SUMIF(tblAkis[KaynakKartId],$A643,tblAkis[Tutar]))</f>
        <v/>
      </c>
      <c r="I643" s="35">
        <f>IF($A643="","",IFERROR(AVERAGEIF(tblAkis[KaynakKartId],$A643,tblAkis[YasGun]),0))</f>
        <v/>
      </c>
    </row>
    <row r="644">
      <c r="A644" s="29" t="n"/>
      <c r="B644" s="29" t="n"/>
      <c r="C644" s="29" t="n"/>
      <c r="D644" s="29" t="n"/>
      <c r="E644" s="31" t="n"/>
      <c r="F644" s="29" t="n"/>
      <c r="G644" s="29" t="n"/>
      <c r="H644" s="35">
        <f>IF($A644="","",SUMIF(tblAkis[KaynakKartId],$A644,tblAkis[Tutar]))</f>
        <v/>
      </c>
      <c r="I644" s="35">
        <f>IF($A644="","",IFERROR(AVERAGEIF(tblAkis[KaynakKartId],$A644,tblAkis[YasGun]),0))</f>
        <v/>
      </c>
    </row>
    <row r="645">
      <c r="A645" s="29" t="n"/>
      <c r="B645" s="29" t="n"/>
      <c r="C645" s="29" t="n"/>
      <c r="D645" s="29" t="n"/>
      <c r="E645" s="31" t="n"/>
      <c r="F645" s="29" t="n"/>
      <c r="G645" s="29" t="n"/>
      <c r="H645" s="35">
        <f>IF($A645="","",SUMIF(tblAkis[KaynakKartId],$A645,tblAkis[Tutar]))</f>
        <v/>
      </c>
      <c r="I645" s="35">
        <f>IF($A645="","",IFERROR(AVERAGEIF(tblAkis[KaynakKartId],$A645,tblAkis[YasGun]),0))</f>
        <v/>
      </c>
    </row>
    <row r="646">
      <c r="A646" s="29" t="n"/>
      <c r="B646" s="29" t="n"/>
      <c r="C646" s="29" t="n"/>
      <c r="D646" s="29" t="n"/>
      <c r="E646" s="31" t="n"/>
      <c r="F646" s="29" t="n"/>
      <c r="G646" s="29" t="n"/>
      <c r="H646" s="35">
        <f>IF($A646="","",SUMIF(tblAkis[KaynakKartId],$A646,tblAkis[Tutar]))</f>
        <v/>
      </c>
      <c r="I646" s="35">
        <f>IF($A646="","",IFERROR(AVERAGEIF(tblAkis[KaynakKartId],$A646,tblAkis[YasGun]),0))</f>
        <v/>
      </c>
    </row>
    <row r="647">
      <c r="A647" s="29" t="n"/>
      <c r="B647" s="29" t="n"/>
      <c r="C647" s="29" t="n"/>
      <c r="D647" s="29" t="n"/>
      <c r="E647" s="31" t="n"/>
      <c r="F647" s="29" t="n"/>
      <c r="G647" s="29" t="n"/>
      <c r="H647" s="35">
        <f>IF($A647="","",SUMIF(tblAkis[KaynakKartId],$A647,tblAkis[Tutar]))</f>
        <v/>
      </c>
      <c r="I647" s="35">
        <f>IF($A647="","",IFERROR(AVERAGEIF(tblAkis[KaynakKartId],$A647,tblAkis[YasGun]),0))</f>
        <v/>
      </c>
    </row>
    <row r="648">
      <c r="A648" s="29" t="n"/>
      <c r="B648" s="29" t="n"/>
      <c r="C648" s="29" t="n"/>
      <c r="D648" s="29" t="n"/>
      <c r="E648" s="31" t="n"/>
      <c r="F648" s="29" t="n"/>
      <c r="G648" s="29" t="n"/>
      <c r="H648" s="35">
        <f>IF($A648="","",SUMIF(tblAkis[KaynakKartId],$A648,tblAkis[Tutar]))</f>
        <v/>
      </c>
      <c r="I648" s="35">
        <f>IF($A648="","",IFERROR(AVERAGEIF(tblAkis[KaynakKartId],$A648,tblAkis[YasGun]),0))</f>
        <v/>
      </c>
    </row>
    <row r="649">
      <c r="A649" s="29" t="n"/>
      <c r="B649" s="29" t="n"/>
      <c r="C649" s="29" t="n"/>
      <c r="D649" s="29" t="n"/>
      <c r="E649" s="31" t="n"/>
      <c r="F649" s="29" t="n"/>
      <c r="G649" s="29" t="n"/>
      <c r="H649" s="35">
        <f>IF($A649="","",SUMIF(tblAkis[KaynakKartId],$A649,tblAkis[Tutar]))</f>
        <v/>
      </c>
      <c r="I649" s="35">
        <f>IF($A649="","",IFERROR(AVERAGEIF(tblAkis[KaynakKartId],$A649,tblAkis[YasGun]),0))</f>
        <v/>
      </c>
    </row>
    <row r="650">
      <c r="A650" s="29" t="n"/>
      <c r="B650" s="29" t="n"/>
      <c r="C650" s="29" t="n"/>
      <c r="D650" s="29" t="n"/>
      <c r="E650" s="31" t="n"/>
      <c r="F650" s="29" t="n"/>
      <c r="G650" s="29" t="n"/>
      <c r="H650" s="35">
        <f>IF($A650="","",SUMIF(tblAkis[KaynakKartId],$A650,tblAkis[Tutar]))</f>
        <v/>
      </c>
      <c r="I650" s="35">
        <f>IF($A650="","",IFERROR(AVERAGEIF(tblAkis[KaynakKartId],$A650,tblAkis[YasGun]),0))</f>
        <v/>
      </c>
    </row>
    <row r="651">
      <c r="A651" s="29" t="n"/>
      <c r="B651" s="29" t="n"/>
      <c r="C651" s="29" t="n"/>
      <c r="D651" s="29" t="n"/>
      <c r="E651" s="31" t="n"/>
      <c r="F651" s="29" t="n"/>
      <c r="G651" s="29" t="n"/>
      <c r="H651" s="35">
        <f>IF($A651="","",SUMIF(tblAkis[KaynakKartId],$A651,tblAkis[Tutar]))</f>
        <v/>
      </c>
      <c r="I651" s="35">
        <f>IF($A651="","",IFERROR(AVERAGEIF(tblAkis[KaynakKartId],$A651,tblAkis[YasGun]),0))</f>
        <v/>
      </c>
    </row>
    <row r="652">
      <c r="A652" s="29" t="n"/>
      <c r="B652" s="29" t="n"/>
      <c r="C652" s="29" t="n"/>
      <c r="D652" s="29" t="n"/>
      <c r="E652" s="31" t="n"/>
      <c r="F652" s="29" t="n"/>
      <c r="G652" s="29" t="n"/>
      <c r="H652" s="35">
        <f>IF($A652="","",SUMIF(tblAkis[KaynakKartId],$A652,tblAkis[Tutar]))</f>
        <v/>
      </c>
      <c r="I652" s="35">
        <f>IF($A652="","",IFERROR(AVERAGEIF(tblAkis[KaynakKartId],$A652,tblAkis[YasGun]),0))</f>
        <v/>
      </c>
    </row>
    <row r="653">
      <c r="A653" s="29" t="n"/>
      <c r="B653" s="29" t="n"/>
      <c r="C653" s="29" t="n"/>
      <c r="D653" s="29" t="n"/>
      <c r="E653" s="31" t="n"/>
      <c r="F653" s="29" t="n"/>
      <c r="G653" s="29" t="n"/>
      <c r="H653" s="35">
        <f>IF($A653="","",SUMIF(tblAkis[KaynakKartId],$A653,tblAkis[Tutar]))</f>
        <v/>
      </c>
      <c r="I653" s="35">
        <f>IF($A653="","",IFERROR(AVERAGEIF(tblAkis[KaynakKartId],$A653,tblAkis[YasGun]),0))</f>
        <v/>
      </c>
    </row>
    <row r="654">
      <c r="A654" s="29" t="n"/>
      <c r="B654" s="29" t="n"/>
      <c r="C654" s="29" t="n"/>
      <c r="D654" s="29" t="n"/>
      <c r="E654" s="31" t="n"/>
      <c r="F654" s="29" t="n"/>
      <c r="G654" s="29" t="n"/>
      <c r="H654" s="35">
        <f>IF($A654="","",SUMIF(tblAkis[KaynakKartId],$A654,tblAkis[Tutar]))</f>
        <v/>
      </c>
      <c r="I654" s="35">
        <f>IF($A654="","",IFERROR(AVERAGEIF(tblAkis[KaynakKartId],$A654,tblAkis[YasGun]),0))</f>
        <v/>
      </c>
    </row>
    <row r="655">
      <c r="A655" s="29" t="n"/>
      <c r="B655" s="29" t="n"/>
      <c r="C655" s="29" t="n"/>
      <c r="D655" s="29" t="n"/>
      <c r="E655" s="31" t="n"/>
      <c r="F655" s="29" t="n"/>
      <c r="G655" s="29" t="n"/>
      <c r="H655" s="35">
        <f>IF($A655="","",SUMIF(tblAkis[KaynakKartId],$A655,tblAkis[Tutar]))</f>
        <v/>
      </c>
      <c r="I655" s="35">
        <f>IF($A655="","",IFERROR(AVERAGEIF(tblAkis[KaynakKartId],$A655,tblAkis[YasGun]),0))</f>
        <v/>
      </c>
    </row>
    <row r="656">
      <c r="A656" s="29" t="n"/>
      <c r="B656" s="29" t="n"/>
      <c r="C656" s="29" t="n"/>
      <c r="D656" s="29" t="n"/>
      <c r="E656" s="31" t="n"/>
      <c r="F656" s="29" t="n"/>
      <c r="G656" s="29" t="n"/>
      <c r="H656" s="35">
        <f>IF($A656="","",SUMIF(tblAkis[KaynakKartId],$A656,tblAkis[Tutar]))</f>
        <v/>
      </c>
      <c r="I656" s="35">
        <f>IF($A656="","",IFERROR(AVERAGEIF(tblAkis[KaynakKartId],$A656,tblAkis[YasGun]),0))</f>
        <v/>
      </c>
    </row>
    <row r="657">
      <c r="A657" s="29" t="n"/>
      <c r="B657" s="29" t="n"/>
      <c r="C657" s="29" t="n"/>
      <c r="D657" s="29" t="n"/>
      <c r="E657" s="31" t="n"/>
      <c r="F657" s="29" t="n"/>
      <c r="G657" s="29" t="n"/>
      <c r="H657" s="35">
        <f>IF($A657="","",SUMIF(tblAkis[KaynakKartId],$A657,tblAkis[Tutar]))</f>
        <v/>
      </c>
      <c r="I657" s="35">
        <f>IF($A657="","",IFERROR(AVERAGEIF(tblAkis[KaynakKartId],$A657,tblAkis[YasGun]),0))</f>
        <v/>
      </c>
    </row>
    <row r="658">
      <c r="A658" s="29" t="n"/>
      <c r="B658" s="29" t="n"/>
      <c r="C658" s="29" t="n"/>
      <c r="D658" s="29" t="n"/>
      <c r="E658" s="31" t="n"/>
      <c r="F658" s="29" t="n"/>
      <c r="G658" s="29" t="n"/>
      <c r="H658" s="35">
        <f>IF($A658="","",SUMIF(tblAkis[KaynakKartId],$A658,tblAkis[Tutar]))</f>
        <v/>
      </c>
      <c r="I658" s="35">
        <f>IF($A658="","",IFERROR(AVERAGEIF(tblAkis[KaynakKartId],$A658,tblAkis[YasGun]),0))</f>
        <v/>
      </c>
    </row>
    <row r="659">
      <c r="A659" s="29" t="n"/>
      <c r="B659" s="29" t="n"/>
      <c r="C659" s="29" t="n"/>
      <c r="D659" s="29" t="n"/>
      <c r="E659" s="31" t="n"/>
      <c r="F659" s="29" t="n"/>
      <c r="G659" s="29" t="n"/>
      <c r="H659" s="35">
        <f>IF($A659="","",SUMIF(tblAkis[KaynakKartId],$A659,tblAkis[Tutar]))</f>
        <v/>
      </c>
      <c r="I659" s="35">
        <f>IF($A659="","",IFERROR(AVERAGEIF(tblAkis[KaynakKartId],$A659,tblAkis[YasGun]),0))</f>
        <v/>
      </c>
    </row>
    <row r="660">
      <c r="A660" s="29" t="n"/>
      <c r="B660" s="29" t="n"/>
      <c r="C660" s="29" t="n"/>
      <c r="D660" s="29" t="n"/>
      <c r="E660" s="31" t="n"/>
      <c r="F660" s="29" t="n"/>
      <c r="G660" s="29" t="n"/>
      <c r="H660" s="35">
        <f>IF($A660="","",SUMIF(tblAkis[KaynakKartId],$A660,tblAkis[Tutar]))</f>
        <v/>
      </c>
      <c r="I660" s="35">
        <f>IF($A660="","",IFERROR(AVERAGEIF(tblAkis[KaynakKartId],$A660,tblAkis[YasGun]),0))</f>
        <v/>
      </c>
    </row>
    <row r="661">
      <c r="A661" s="29" t="n"/>
      <c r="B661" s="29" t="n"/>
      <c r="C661" s="29" t="n"/>
      <c r="D661" s="29" t="n"/>
      <c r="E661" s="31" t="n"/>
      <c r="F661" s="29" t="n"/>
      <c r="G661" s="29" t="n"/>
      <c r="H661" s="35">
        <f>IF($A661="","",SUMIF(tblAkis[KaynakKartId],$A661,tblAkis[Tutar]))</f>
        <v/>
      </c>
      <c r="I661" s="35">
        <f>IF($A661="","",IFERROR(AVERAGEIF(tblAkis[KaynakKartId],$A661,tblAkis[YasGun]),0))</f>
        <v/>
      </c>
    </row>
    <row r="662">
      <c r="A662" s="29" t="n"/>
      <c r="B662" s="29" t="n"/>
      <c r="C662" s="29" t="n"/>
      <c r="D662" s="29" t="n"/>
      <c r="E662" s="31" t="n"/>
      <c r="F662" s="29" t="n"/>
      <c r="G662" s="29" t="n"/>
      <c r="H662" s="35">
        <f>IF($A662="","",SUMIF(tblAkis[KaynakKartId],$A662,tblAkis[Tutar]))</f>
        <v/>
      </c>
      <c r="I662" s="35">
        <f>IF($A662="","",IFERROR(AVERAGEIF(tblAkis[KaynakKartId],$A662,tblAkis[YasGun]),0))</f>
        <v/>
      </c>
    </row>
    <row r="663">
      <c r="A663" s="29" t="n"/>
      <c r="B663" s="29" t="n"/>
      <c r="C663" s="29" t="n"/>
      <c r="D663" s="29" t="n"/>
      <c r="E663" s="31" t="n"/>
      <c r="F663" s="29" t="n"/>
      <c r="G663" s="29" t="n"/>
      <c r="H663" s="35">
        <f>IF($A663="","",SUMIF(tblAkis[KaynakKartId],$A663,tblAkis[Tutar]))</f>
        <v/>
      </c>
      <c r="I663" s="35">
        <f>IF($A663="","",IFERROR(AVERAGEIF(tblAkis[KaynakKartId],$A663,tblAkis[YasGun]),0))</f>
        <v/>
      </c>
    </row>
    <row r="664">
      <c r="A664" s="29" t="n"/>
      <c r="B664" s="29" t="n"/>
      <c r="C664" s="29" t="n"/>
      <c r="D664" s="29" t="n"/>
      <c r="E664" s="31" t="n"/>
      <c r="F664" s="29" t="n"/>
      <c r="G664" s="29" t="n"/>
      <c r="H664" s="35">
        <f>IF($A664="","",SUMIF(tblAkis[KaynakKartId],$A664,tblAkis[Tutar]))</f>
        <v/>
      </c>
      <c r="I664" s="35">
        <f>IF($A664="","",IFERROR(AVERAGEIF(tblAkis[KaynakKartId],$A664,tblAkis[YasGun]),0))</f>
        <v/>
      </c>
    </row>
    <row r="665">
      <c r="A665" s="29" t="n"/>
      <c r="B665" s="29" t="n"/>
      <c r="C665" s="29" t="n"/>
      <c r="D665" s="29" t="n"/>
      <c r="E665" s="31" t="n"/>
      <c r="F665" s="29" t="n"/>
      <c r="G665" s="29" t="n"/>
      <c r="H665" s="35">
        <f>IF($A665="","",SUMIF(tblAkis[KaynakKartId],$A665,tblAkis[Tutar]))</f>
        <v/>
      </c>
      <c r="I665" s="35">
        <f>IF($A665="","",IFERROR(AVERAGEIF(tblAkis[KaynakKartId],$A665,tblAkis[YasGun]),0))</f>
        <v/>
      </c>
    </row>
    <row r="666">
      <c r="A666" s="29" t="n"/>
      <c r="B666" s="29" t="n"/>
      <c r="C666" s="29" t="n"/>
      <c r="D666" s="29" t="n"/>
      <c r="E666" s="31" t="n"/>
      <c r="F666" s="29" t="n"/>
      <c r="G666" s="29" t="n"/>
      <c r="H666" s="35">
        <f>IF($A666="","",SUMIF(tblAkis[KaynakKartId],$A666,tblAkis[Tutar]))</f>
        <v/>
      </c>
      <c r="I666" s="35">
        <f>IF($A666="","",IFERROR(AVERAGEIF(tblAkis[KaynakKartId],$A666,tblAkis[YasGun]),0))</f>
        <v/>
      </c>
    </row>
    <row r="667">
      <c r="A667" s="29" t="n"/>
      <c r="B667" s="29" t="n"/>
      <c r="C667" s="29" t="n"/>
      <c r="D667" s="29" t="n"/>
      <c r="E667" s="31" t="n"/>
      <c r="F667" s="29" t="n"/>
      <c r="G667" s="29" t="n"/>
      <c r="H667" s="35">
        <f>IF($A667="","",SUMIF(tblAkis[KaynakKartId],$A667,tblAkis[Tutar]))</f>
        <v/>
      </c>
      <c r="I667" s="35">
        <f>IF($A667="","",IFERROR(AVERAGEIF(tblAkis[KaynakKartId],$A667,tblAkis[YasGun]),0))</f>
        <v/>
      </c>
    </row>
    <row r="668">
      <c r="A668" s="29" t="n"/>
      <c r="B668" s="29" t="n"/>
      <c r="C668" s="29" t="n"/>
      <c r="D668" s="29" t="n"/>
      <c r="E668" s="31" t="n"/>
      <c r="F668" s="29" t="n"/>
      <c r="G668" s="29" t="n"/>
      <c r="H668" s="35">
        <f>IF($A668="","",SUMIF(tblAkis[KaynakKartId],$A668,tblAkis[Tutar]))</f>
        <v/>
      </c>
      <c r="I668" s="35">
        <f>IF($A668="","",IFERROR(AVERAGEIF(tblAkis[KaynakKartId],$A668,tblAkis[YasGun]),0))</f>
        <v/>
      </c>
    </row>
    <row r="669">
      <c r="A669" s="29" t="n"/>
      <c r="B669" s="29" t="n"/>
      <c r="C669" s="29" t="n"/>
      <c r="D669" s="29" t="n"/>
      <c r="E669" s="31" t="n"/>
      <c r="F669" s="29" t="n"/>
      <c r="G669" s="29" t="n"/>
      <c r="H669" s="35">
        <f>IF($A669="","",SUMIF(tblAkis[KaynakKartId],$A669,tblAkis[Tutar]))</f>
        <v/>
      </c>
      <c r="I669" s="35">
        <f>IF($A669="","",IFERROR(AVERAGEIF(tblAkis[KaynakKartId],$A669,tblAkis[YasGun]),0))</f>
        <v/>
      </c>
    </row>
    <row r="670">
      <c r="A670" s="29" t="n"/>
      <c r="B670" s="29" t="n"/>
      <c r="C670" s="29" t="n"/>
      <c r="D670" s="29" t="n"/>
      <c r="E670" s="31" t="n"/>
      <c r="F670" s="29" t="n"/>
      <c r="G670" s="29" t="n"/>
      <c r="H670" s="35">
        <f>IF($A670="","",SUMIF(tblAkis[KaynakKartId],$A670,tblAkis[Tutar]))</f>
        <v/>
      </c>
      <c r="I670" s="35">
        <f>IF($A670="","",IFERROR(AVERAGEIF(tblAkis[KaynakKartId],$A670,tblAkis[YasGun]),0))</f>
        <v/>
      </c>
    </row>
    <row r="671">
      <c r="A671" s="29" t="n"/>
      <c r="B671" s="29" t="n"/>
      <c r="C671" s="29" t="n"/>
      <c r="D671" s="29" t="n"/>
      <c r="E671" s="31" t="n"/>
      <c r="F671" s="29" t="n"/>
      <c r="G671" s="29" t="n"/>
      <c r="H671" s="35">
        <f>IF($A671="","",SUMIF(tblAkis[KaynakKartId],$A671,tblAkis[Tutar]))</f>
        <v/>
      </c>
      <c r="I671" s="35">
        <f>IF($A671="","",IFERROR(AVERAGEIF(tblAkis[KaynakKartId],$A671,tblAkis[YasGun]),0))</f>
        <v/>
      </c>
    </row>
    <row r="672">
      <c r="A672" s="29" t="n"/>
      <c r="B672" s="29" t="n"/>
      <c r="C672" s="29" t="n"/>
      <c r="D672" s="29" t="n"/>
      <c r="E672" s="31" t="n"/>
      <c r="F672" s="29" t="n"/>
      <c r="G672" s="29" t="n"/>
      <c r="H672" s="35">
        <f>IF($A672="","",SUMIF(tblAkis[KaynakKartId],$A672,tblAkis[Tutar]))</f>
        <v/>
      </c>
      <c r="I672" s="35">
        <f>IF($A672="","",IFERROR(AVERAGEIF(tblAkis[KaynakKartId],$A672,tblAkis[YasGun]),0))</f>
        <v/>
      </c>
    </row>
    <row r="673">
      <c r="A673" s="29" t="n"/>
      <c r="B673" s="29" t="n"/>
      <c r="C673" s="29" t="n"/>
      <c r="D673" s="29" t="n"/>
      <c r="E673" s="31" t="n"/>
      <c r="F673" s="29" t="n"/>
      <c r="G673" s="29" t="n"/>
      <c r="H673" s="35">
        <f>IF($A673="","",SUMIF(tblAkis[KaynakKartId],$A673,tblAkis[Tutar]))</f>
        <v/>
      </c>
      <c r="I673" s="35">
        <f>IF($A673="","",IFERROR(AVERAGEIF(tblAkis[KaynakKartId],$A673,tblAkis[YasGun]),0))</f>
        <v/>
      </c>
    </row>
    <row r="674">
      <c r="A674" s="29" t="n"/>
      <c r="B674" s="29" t="n"/>
      <c r="C674" s="29" t="n"/>
      <c r="D674" s="29" t="n"/>
      <c r="E674" s="31" t="n"/>
      <c r="F674" s="29" t="n"/>
      <c r="G674" s="29" t="n"/>
      <c r="H674" s="35">
        <f>IF($A674="","",SUMIF(tblAkis[KaynakKartId],$A674,tblAkis[Tutar]))</f>
        <v/>
      </c>
      <c r="I674" s="35">
        <f>IF($A674="","",IFERROR(AVERAGEIF(tblAkis[KaynakKartId],$A674,tblAkis[YasGun]),0))</f>
        <v/>
      </c>
    </row>
    <row r="675">
      <c r="A675" s="29" t="n"/>
      <c r="B675" s="29" t="n"/>
      <c r="C675" s="29" t="n"/>
      <c r="D675" s="29" t="n"/>
      <c r="E675" s="31" t="n"/>
      <c r="F675" s="29" t="n"/>
      <c r="G675" s="29" t="n"/>
      <c r="H675" s="35">
        <f>IF($A675="","",SUMIF(tblAkis[KaynakKartId],$A675,tblAkis[Tutar]))</f>
        <v/>
      </c>
      <c r="I675" s="35">
        <f>IF($A675="","",IFERROR(AVERAGEIF(tblAkis[KaynakKartId],$A675,tblAkis[YasGun]),0))</f>
        <v/>
      </c>
    </row>
    <row r="676">
      <c r="A676" s="29" t="n"/>
      <c r="B676" s="29" t="n"/>
      <c r="C676" s="29" t="n"/>
      <c r="D676" s="29" t="n"/>
      <c r="E676" s="31" t="n"/>
      <c r="F676" s="29" t="n"/>
      <c r="G676" s="29" t="n"/>
      <c r="H676" s="35">
        <f>IF($A676="","",SUMIF(tblAkis[KaynakKartId],$A676,tblAkis[Tutar]))</f>
        <v/>
      </c>
      <c r="I676" s="35">
        <f>IF($A676="","",IFERROR(AVERAGEIF(tblAkis[KaynakKartId],$A676,tblAkis[YasGun]),0))</f>
        <v/>
      </c>
    </row>
    <row r="677">
      <c r="A677" s="29" t="n"/>
      <c r="B677" s="29" t="n"/>
      <c r="C677" s="29" t="n"/>
      <c r="D677" s="29" t="n"/>
      <c r="E677" s="31" t="n"/>
      <c r="F677" s="29" t="n"/>
      <c r="G677" s="29" t="n"/>
      <c r="H677" s="35">
        <f>IF($A677="","",SUMIF(tblAkis[KaynakKartId],$A677,tblAkis[Tutar]))</f>
        <v/>
      </c>
      <c r="I677" s="35">
        <f>IF($A677="","",IFERROR(AVERAGEIF(tblAkis[KaynakKartId],$A677,tblAkis[YasGun]),0))</f>
        <v/>
      </c>
    </row>
    <row r="678">
      <c r="A678" s="29" t="n"/>
      <c r="B678" s="29" t="n"/>
      <c r="C678" s="29" t="n"/>
      <c r="D678" s="29" t="n"/>
      <c r="E678" s="31" t="n"/>
      <c r="F678" s="29" t="n"/>
      <c r="G678" s="29" t="n"/>
      <c r="H678" s="35">
        <f>IF($A678="","",SUMIF(tblAkis[KaynakKartId],$A678,tblAkis[Tutar]))</f>
        <v/>
      </c>
      <c r="I678" s="35">
        <f>IF($A678="","",IFERROR(AVERAGEIF(tblAkis[KaynakKartId],$A678,tblAkis[YasGun]),0))</f>
        <v/>
      </c>
    </row>
    <row r="679">
      <c r="A679" s="29" t="n"/>
      <c r="B679" s="29" t="n"/>
      <c r="C679" s="29" t="n"/>
      <c r="D679" s="29" t="n"/>
      <c r="E679" s="31" t="n"/>
      <c r="F679" s="29" t="n"/>
      <c r="G679" s="29" t="n"/>
      <c r="H679" s="35">
        <f>IF($A679="","",SUMIF(tblAkis[KaynakKartId],$A679,tblAkis[Tutar]))</f>
        <v/>
      </c>
      <c r="I679" s="35">
        <f>IF($A679="","",IFERROR(AVERAGEIF(tblAkis[KaynakKartId],$A679,tblAkis[YasGun]),0))</f>
        <v/>
      </c>
    </row>
    <row r="680">
      <c r="A680" s="29" t="n"/>
      <c r="B680" s="29" t="n"/>
      <c r="C680" s="29" t="n"/>
      <c r="D680" s="29" t="n"/>
      <c r="E680" s="31" t="n"/>
      <c r="F680" s="29" t="n"/>
      <c r="G680" s="29" t="n"/>
      <c r="H680" s="35">
        <f>IF($A680="","",SUMIF(tblAkis[KaynakKartId],$A680,tblAkis[Tutar]))</f>
        <v/>
      </c>
      <c r="I680" s="35">
        <f>IF($A680="","",IFERROR(AVERAGEIF(tblAkis[KaynakKartId],$A680,tblAkis[YasGun]),0))</f>
        <v/>
      </c>
    </row>
    <row r="681">
      <c r="A681" s="29" t="n"/>
      <c r="B681" s="29" t="n"/>
      <c r="C681" s="29" t="n"/>
      <c r="D681" s="29" t="n"/>
      <c r="E681" s="31" t="n"/>
      <c r="F681" s="29" t="n"/>
      <c r="G681" s="29" t="n"/>
      <c r="H681" s="35">
        <f>IF($A681="","",SUMIF(tblAkis[KaynakKartId],$A681,tblAkis[Tutar]))</f>
        <v/>
      </c>
      <c r="I681" s="35">
        <f>IF($A681="","",IFERROR(AVERAGEIF(tblAkis[KaynakKartId],$A681,tblAkis[YasGun]),0))</f>
        <v/>
      </c>
    </row>
    <row r="682">
      <c r="A682" s="29" t="n"/>
      <c r="B682" s="29" t="n"/>
      <c r="C682" s="29" t="n"/>
      <c r="D682" s="29" t="n"/>
      <c r="E682" s="31" t="n"/>
      <c r="F682" s="29" t="n"/>
      <c r="G682" s="29" t="n"/>
      <c r="H682" s="35">
        <f>IF($A682="","",SUMIF(tblAkis[KaynakKartId],$A682,tblAkis[Tutar]))</f>
        <v/>
      </c>
      <c r="I682" s="35">
        <f>IF($A682="","",IFERROR(AVERAGEIF(tblAkis[KaynakKartId],$A682,tblAkis[YasGun]),0))</f>
        <v/>
      </c>
    </row>
    <row r="683">
      <c r="A683" s="29" t="n"/>
      <c r="B683" s="29" t="n"/>
      <c r="C683" s="29" t="n"/>
      <c r="D683" s="29" t="n"/>
      <c r="E683" s="31" t="n"/>
      <c r="F683" s="29" t="n"/>
      <c r="G683" s="29" t="n"/>
      <c r="H683" s="35">
        <f>IF($A683="","",SUMIF(tblAkis[KaynakKartId],$A683,tblAkis[Tutar]))</f>
        <v/>
      </c>
      <c r="I683" s="35">
        <f>IF($A683="","",IFERROR(AVERAGEIF(tblAkis[KaynakKartId],$A683,tblAkis[YasGun]),0))</f>
        <v/>
      </c>
    </row>
    <row r="684">
      <c r="A684" s="29" t="n"/>
      <c r="B684" s="29" t="n"/>
      <c r="C684" s="29" t="n"/>
      <c r="D684" s="29" t="n"/>
      <c r="E684" s="31" t="n"/>
      <c r="F684" s="29" t="n"/>
      <c r="G684" s="29" t="n"/>
      <c r="H684" s="35">
        <f>IF($A684="","",SUMIF(tblAkis[KaynakKartId],$A684,tblAkis[Tutar]))</f>
        <v/>
      </c>
      <c r="I684" s="35">
        <f>IF($A684="","",IFERROR(AVERAGEIF(tblAkis[KaynakKartId],$A684,tblAkis[YasGun]),0))</f>
        <v/>
      </c>
    </row>
    <row r="685">
      <c r="A685" s="29" t="n"/>
      <c r="B685" s="29" t="n"/>
      <c r="C685" s="29" t="n"/>
      <c r="D685" s="29" t="n"/>
      <c r="E685" s="31" t="n"/>
      <c r="F685" s="29" t="n"/>
      <c r="G685" s="29" t="n"/>
      <c r="H685" s="35">
        <f>IF($A685="","",SUMIF(tblAkis[KaynakKartId],$A685,tblAkis[Tutar]))</f>
        <v/>
      </c>
      <c r="I685" s="35">
        <f>IF($A685="","",IFERROR(AVERAGEIF(tblAkis[KaynakKartId],$A685,tblAkis[YasGun]),0))</f>
        <v/>
      </c>
    </row>
    <row r="686">
      <c r="A686" s="29" t="n"/>
      <c r="B686" s="29" t="n"/>
      <c r="C686" s="29" t="n"/>
      <c r="D686" s="29" t="n"/>
      <c r="E686" s="31" t="n"/>
      <c r="F686" s="29" t="n"/>
      <c r="G686" s="29" t="n"/>
      <c r="H686" s="35">
        <f>IF($A686="","",SUMIF(tblAkis[KaynakKartId],$A686,tblAkis[Tutar]))</f>
        <v/>
      </c>
      <c r="I686" s="35">
        <f>IF($A686="","",IFERROR(AVERAGEIF(tblAkis[KaynakKartId],$A686,tblAkis[YasGun]),0))</f>
        <v/>
      </c>
    </row>
    <row r="687">
      <c r="A687" s="29" t="n"/>
      <c r="B687" s="29" t="n"/>
      <c r="C687" s="29" t="n"/>
      <c r="D687" s="29" t="n"/>
      <c r="E687" s="31" t="n"/>
      <c r="F687" s="29" t="n"/>
      <c r="G687" s="29" t="n"/>
      <c r="H687" s="35">
        <f>IF($A687="","",SUMIF(tblAkis[KaynakKartId],$A687,tblAkis[Tutar]))</f>
        <v/>
      </c>
      <c r="I687" s="35">
        <f>IF($A687="","",IFERROR(AVERAGEIF(tblAkis[KaynakKartId],$A687,tblAkis[YasGun]),0))</f>
        <v/>
      </c>
    </row>
    <row r="688">
      <c r="A688" s="29" t="n"/>
      <c r="B688" s="29" t="n"/>
      <c r="C688" s="29" t="n"/>
      <c r="D688" s="29" t="n"/>
      <c r="E688" s="31" t="n"/>
      <c r="F688" s="29" t="n"/>
      <c r="G688" s="29" t="n"/>
      <c r="H688" s="35">
        <f>IF($A688="","",SUMIF(tblAkis[KaynakKartId],$A688,tblAkis[Tutar]))</f>
        <v/>
      </c>
      <c r="I688" s="35">
        <f>IF($A688="","",IFERROR(AVERAGEIF(tblAkis[KaynakKartId],$A688,tblAkis[YasGun]),0))</f>
        <v/>
      </c>
    </row>
    <row r="689">
      <c r="A689" s="29" t="n"/>
      <c r="B689" s="29" t="n"/>
      <c r="C689" s="29" t="n"/>
      <c r="D689" s="29" t="n"/>
      <c r="E689" s="31" t="n"/>
      <c r="F689" s="29" t="n"/>
      <c r="G689" s="29" t="n"/>
      <c r="H689" s="35">
        <f>IF($A689="","",SUMIF(tblAkis[KaynakKartId],$A689,tblAkis[Tutar]))</f>
        <v/>
      </c>
      <c r="I689" s="35">
        <f>IF($A689="","",IFERROR(AVERAGEIF(tblAkis[KaynakKartId],$A689,tblAkis[YasGun]),0))</f>
        <v/>
      </c>
    </row>
    <row r="690">
      <c r="A690" s="29" t="n"/>
      <c r="B690" s="29" t="n"/>
      <c r="C690" s="29" t="n"/>
      <c r="D690" s="29" t="n"/>
      <c r="E690" s="31" t="n"/>
      <c r="F690" s="29" t="n"/>
      <c r="G690" s="29" t="n"/>
      <c r="H690" s="35">
        <f>IF($A690="","",SUMIF(tblAkis[KaynakKartId],$A690,tblAkis[Tutar]))</f>
        <v/>
      </c>
      <c r="I690" s="35">
        <f>IF($A690="","",IFERROR(AVERAGEIF(tblAkis[KaynakKartId],$A690,tblAkis[YasGun]),0))</f>
        <v/>
      </c>
    </row>
    <row r="691">
      <c r="A691" s="29" t="n"/>
      <c r="B691" s="29" t="n"/>
      <c r="C691" s="29" t="n"/>
      <c r="D691" s="29" t="n"/>
      <c r="E691" s="31" t="n"/>
      <c r="F691" s="29" t="n"/>
      <c r="G691" s="29" t="n"/>
      <c r="H691" s="35">
        <f>IF($A691="","",SUMIF(tblAkis[KaynakKartId],$A691,tblAkis[Tutar]))</f>
        <v/>
      </c>
      <c r="I691" s="35">
        <f>IF($A691="","",IFERROR(AVERAGEIF(tblAkis[KaynakKartId],$A691,tblAkis[YasGun]),0))</f>
        <v/>
      </c>
    </row>
    <row r="692">
      <c r="A692" s="29" t="n"/>
      <c r="B692" s="29" t="n"/>
      <c r="C692" s="29" t="n"/>
      <c r="D692" s="29" t="n"/>
      <c r="E692" s="31" t="n"/>
      <c r="F692" s="29" t="n"/>
      <c r="G692" s="29" t="n"/>
      <c r="H692" s="35">
        <f>IF($A692="","",SUMIF(tblAkis[KaynakKartId],$A692,tblAkis[Tutar]))</f>
        <v/>
      </c>
      <c r="I692" s="35">
        <f>IF($A692="","",IFERROR(AVERAGEIF(tblAkis[KaynakKartId],$A692,tblAkis[YasGun]),0))</f>
        <v/>
      </c>
    </row>
    <row r="693">
      <c r="A693" s="29" t="n"/>
      <c r="B693" s="29" t="n"/>
      <c r="C693" s="29" t="n"/>
      <c r="D693" s="29" t="n"/>
      <c r="E693" s="31" t="n"/>
      <c r="F693" s="29" t="n"/>
      <c r="G693" s="29" t="n"/>
      <c r="H693" s="35">
        <f>IF($A693="","",SUMIF(tblAkis[KaynakKartId],$A693,tblAkis[Tutar]))</f>
        <v/>
      </c>
      <c r="I693" s="35">
        <f>IF($A693="","",IFERROR(AVERAGEIF(tblAkis[KaynakKartId],$A693,tblAkis[YasGun]),0))</f>
        <v/>
      </c>
    </row>
    <row r="694">
      <c r="A694" s="29" t="n"/>
      <c r="B694" s="29" t="n"/>
      <c r="C694" s="29" t="n"/>
      <c r="D694" s="29" t="n"/>
      <c r="E694" s="31" t="n"/>
      <c r="F694" s="29" t="n"/>
      <c r="G694" s="29" t="n"/>
      <c r="H694" s="35">
        <f>IF($A694="","",SUMIF(tblAkis[KaynakKartId],$A694,tblAkis[Tutar]))</f>
        <v/>
      </c>
      <c r="I694" s="35">
        <f>IF($A694="","",IFERROR(AVERAGEIF(tblAkis[KaynakKartId],$A694,tblAkis[YasGun]),0))</f>
        <v/>
      </c>
    </row>
    <row r="695">
      <c r="A695" s="29" t="n"/>
      <c r="B695" s="29" t="n"/>
      <c r="C695" s="29" t="n"/>
      <c r="D695" s="29" t="n"/>
      <c r="E695" s="31" t="n"/>
      <c r="F695" s="29" t="n"/>
      <c r="G695" s="29" t="n"/>
      <c r="H695" s="35">
        <f>IF($A695="","",SUMIF(tblAkis[KaynakKartId],$A695,tblAkis[Tutar]))</f>
        <v/>
      </c>
      <c r="I695" s="35">
        <f>IF($A695="","",IFERROR(AVERAGEIF(tblAkis[KaynakKartId],$A695,tblAkis[YasGun]),0))</f>
        <v/>
      </c>
    </row>
    <row r="696">
      <c r="A696" s="29" t="n"/>
      <c r="B696" s="29" t="n"/>
      <c r="C696" s="29" t="n"/>
      <c r="D696" s="29" t="n"/>
      <c r="E696" s="31" t="n"/>
      <c r="F696" s="29" t="n"/>
      <c r="G696" s="29" t="n"/>
      <c r="H696" s="35">
        <f>IF($A696="","",SUMIF(tblAkis[KaynakKartId],$A696,tblAkis[Tutar]))</f>
        <v/>
      </c>
      <c r="I696" s="35">
        <f>IF($A696="","",IFERROR(AVERAGEIF(tblAkis[KaynakKartId],$A696,tblAkis[YasGun]),0))</f>
        <v/>
      </c>
    </row>
    <row r="697">
      <c r="A697" s="29" t="n"/>
      <c r="B697" s="29" t="n"/>
      <c r="C697" s="29" t="n"/>
      <c r="D697" s="29" t="n"/>
      <c r="E697" s="31" t="n"/>
      <c r="F697" s="29" t="n"/>
      <c r="G697" s="29" t="n"/>
      <c r="H697" s="35">
        <f>IF($A697="","",SUMIF(tblAkis[KaynakKartId],$A697,tblAkis[Tutar]))</f>
        <v/>
      </c>
      <c r="I697" s="35">
        <f>IF($A697="","",IFERROR(AVERAGEIF(tblAkis[KaynakKartId],$A697,tblAkis[YasGun]),0))</f>
        <v/>
      </c>
    </row>
    <row r="698">
      <c r="A698" s="29" t="n"/>
      <c r="B698" s="29" t="n"/>
      <c r="C698" s="29" t="n"/>
      <c r="D698" s="29" t="n"/>
      <c r="E698" s="31" t="n"/>
      <c r="F698" s="29" t="n"/>
      <c r="G698" s="29" t="n"/>
      <c r="H698" s="35">
        <f>IF($A698="","",SUMIF(tblAkis[KaynakKartId],$A698,tblAkis[Tutar]))</f>
        <v/>
      </c>
      <c r="I698" s="35">
        <f>IF($A698="","",IFERROR(AVERAGEIF(tblAkis[KaynakKartId],$A698,tblAkis[YasGun]),0))</f>
        <v/>
      </c>
    </row>
    <row r="699">
      <c r="A699" s="29" t="n"/>
      <c r="B699" s="29" t="n"/>
      <c r="C699" s="29" t="n"/>
      <c r="D699" s="29" t="n"/>
      <c r="E699" s="31" t="n"/>
      <c r="F699" s="29" t="n"/>
      <c r="G699" s="29" t="n"/>
      <c r="H699" s="35">
        <f>IF($A699="","",SUMIF(tblAkis[KaynakKartId],$A699,tblAkis[Tutar]))</f>
        <v/>
      </c>
      <c r="I699" s="35">
        <f>IF($A699="","",IFERROR(AVERAGEIF(tblAkis[KaynakKartId],$A699,tblAkis[YasGun]),0))</f>
        <v/>
      </c>
    </row>
    <row r="700">
      <c r="A700" s="29" t="n"/>
      <c r="B700" s="29" t="n"/>
      <c r="C700" s="29" t="n"/>
      <c r="D700" s="29" t="n"/>
      <c r="E700" s="31" t="n"/>
      <c r="F700" s="29" t="n"/>
      <c r="G700" s="29" t="n"/>
      <c r="H700" s="35">
        <f>IF($A700="","",SUMIF(tblAkis[KaynakKartId],$A700,tblAkis[Tutar]))</f>
        <v/>
      </c>
      <c r="I700" s="35">
        <f>IF($A700="","",IFERROR(AVERAGEIF(tblAkis[KaynakKartId],$A700,tblAkis[YasGun]),0))</f>
        <v/>
      </c>
    </row>
    <row r="701">
      <c r="A701" s="29" t="n"/>
      <c r="B701" s="29" t="n"/>
      <c r="C701" s="29" t="n"/>
      <c r="D701" s="29" t="n"/>
      <c r="E701" s="31" t="n"/>
      <c r="F701" s="29" t="n"/>
      <c r="G701" s="29" t="n"/>
      <c r="H701" s="35">
        <f>IF($A701="","",SUMIF(tblAkis[KaynakKartId],$A701,tblAkis[Tutar]))</f>
        <v/>
      </c>
      <c r="I701" s="35">
        <f>IF($A701="","",IFERROR(AVERAGEIF(tblAkis[KaynakKartId],$A701,tblAkis[YasGun]),0))</f>
        <v/>
      </c>
    </row>
    <row r="702">
      <c r="A702" s="29" t="n"/>
      <c r="B702" s="29" t="n"/>
      <c r="C702" s="29" t="n"/>
      <c r="D702" s="29" t="n"/>
      <c r="E702" s="31" t="n"/>
      <c r="F702" s="29" t="n"/>
      <c r="G702" s="29" t="n"/>
      <c r="H702" s="35">
        <f>IF($A702="","",SUMIF(tblAkis[KaynakKartId],$A702,tblAkis[Tutar]))</f>
        <v/>
      </c>
      <c r="I702" s="35">
        <f>IF($A702="","",IFERROR(AVERAGEIF(tblAkis[KaynakKartId],$A702,tblAkis[YasGun]),0))</f>
        <v/>
      </c>
    </row>
    <row r="703">
      <c r="A703" s="29" t="n"/>
      <c r="B703" s="29" t="n"/>
      <c r="C703" s="29" t="n"/>
      <c r="D703" s="29" t="n"/>
      <c r="E703" s="31" t="n"/>
      <c r="F703" s="29" t="n"/>
      <c r="G703" s="29" t="n"/>
      <c r="H703" s="35">
        <f>IF($A703="","",SUMIF(tblAkis[KaynakKartId],$A703,tblAkis[Tutar]))</f>
        <v/>
      </c>
      <c r="I703" s="35">
        <f>IF($A703="","",IFERROR(AVERAGEIF(tblAkis[KaynakKartId],$A703,tblAkis[YasGun]),0))</f>
        <v/>
      </c>
    </row>
    <row r="704">
      <c r="A704" s="29" t="n"/>
      <c r="B704" s="29" t="n"/>
      <c r="C704" s="29" t="n"/>
      <c r="D704" s="29" t="n"/>
      <c r="E704" s="31" t="n"/>
      <c r="F704" s="29" t="n"/>
      <c r="G704" s="29" t="n"/>
      <c r="H704" s="35">
        <f>IF($A704="","",SUMIF(tblAkis[KaynakKartId],$A704,tblAkis[Tutar]))</f>
        <v/>
      </c>
      <c r="I704" s="35">
        <f>IF($A704="","",IFERROR(AVERAGEIF(tblAkis[KaynakKartId],$A704,tblAkis[YasGun]),0))</f>
        <v/>
      </c>
    </row>
    <row r="705">
      <c r="A705" s="29" t="n"/>
      <c r="B705" s="29" t="n"/>
      <c r="C705" s="29" t="n"/>
      <c r="D705" s="29" t="n"/>
      <c r="E705" s="31" t="n"/>
      <c r="F705" s="29" t="n"/>
      <c r="G705" s="29" t="n"/>
      <c r="H705" s="35">
        <f>IF($A705="","",SUMIF(tblAkis[KaynakKartId],$A705,tblAkis[Tutar]))</f>
        <v/>
      </c>
      <c r="I705" s="35">
        <f>IF($A705="","",IFERROR(AVERAGEIF(tblAkis[KaynakKartId],$A705,tblAkis[YasGun]),0))</f>
        <v/>
      </c>
    </row>
    <row r="706">
      <c r="A706" s="29" t="n"/>
      <c r="B706" s="29" t="n"/>
      <c r="C706" s="29" t="n"/>
      <c r="D706" s="29" t="n"/>
      <c r="E706" s="31" t="n"/>
      <c r="F706" s="29" t="n"/>
      <c r="G706" s="29" t="n"/>
      <c r="H706" s="35">
        <f>IF($A706="","",SUMIF(tblAkis[KaynakKartId],$A706,tblAkis[Tutar]))</f>
        <v/>
      </c>
      <c r="I706" s="35">
        <f>IF($A706="","",IFERROR(AVERAGEIF(tblAkis[KaynakKartId],$A706,tblAkis[YasGun]),0))</f>
        <v/>
      </c>
    </row>
    <row r="707">
      <c r="A707" s="29" t="n"/>
      <c r="B707" s="29" t="n"/>
      <c r="C707" s="29" t="n"/>
      <c r="D707" s="29" t="n"/>
      <c r="E707" s="31" t="n"/>
      <c r="F707" s="29" t="n"/>
      <c r="G707" s="29" t="n"/>
      <c r="H707" s="35">
        <f>IF($A707="","",SUMIF(tblAkis[KaynakKartId],$A707,tblAkis[Tutar]))</f>
        <v/>
      </c>
      <c r="I707" s="35">
        <f>IF($A707="","",IFERROR(AVERAGEIF(tblAkis[KaynakKartId],$A707,tblAkis[YasGun]),0))</f>
        <v/>
      </c>
    </row>
    <row r="708">
      <c r="A708" s="29" t="n"/>
      <c r="B708" s="29" t="n"/>
      <c r="C708" s="29" t="n"/>
      <c r="D708" s="29" t="n"/>
      <c r="E708" s="31" t="n"/>
      <c r="F708" s="29" t="n"/>
      <c r="G708" s="29" t="n"/>
      <c r="H708" s="35">
        <f>IF($A708="","",SUMIF(tblAkis[KaynakKartId],$A708,tblAkis[Tutar]))</f>
        <v/>
      </c>
      <c r="I708" s="35">
        <f>IF($A708="","",IFERROR(AVERAGEIF(tblAkis[KaynakKartId],$A708,tblAkis[YasGun]),0))</f>
        <v/>
      </c>
    </row>
    <row r="709">
      <c r="A709" s="29" t="n"/>
      <c r="B709" s="29" t="n"/>
      <c r="C709" s="29" t="n"/>
      <c r="D709" s="29" t="n"/>
      <c r="E709" s="31" t="n"/>
      <c r="F709" s="29" t="n"/>
      <c r="G709" s="29" t="n"/>
      <c r="H709" s="35">
        <f>IF($A709="","",SUMIF(tblAkis[KaynakKartId],$A709,tblAkis[Tutar]))</f>
        <v/>
      </c>
      <c r="I709" s="35">
        <f>IF($A709="","",IFERROR(AVERAGEIF(tblAkis[KaynakKartId],$A709,tblAkis[YasGun]),0))</f>
        <v/>
      </c>
    </row>
    <row r="710">
      <c r="A710" s="29" t="n"/>
      <c r="B710" s="29" t="n"/>
      <c r="C710" s="29" t="n"/>
      <c r="D710" s="29" t="n"/>
      <c r="E710" s="31" t="n"/>
      <c r="F710" s="29" t="n"/>
      <c r="G710" s="29" t="n"/>
      <c r="H710" s="35">
        <f>IF($A710="","",SUMIF(tblAkis[KaynakKartId],$A710,tblAkis[Tutar]))</f>
        <v/>
      </c>
      <c r="I710" s="35">
        <f>IF($A710="","",IFERROR(AVERAGEIF(tblAkis[KaynakKartId],$A710,tblAkis[YasGun]),0))</f>
        <v/>
      </c>
    </row>
    <row r="711">
      <c r="A711" s="29" t="n"/>
      <c r="B711" s="29" t="n"/>
      <c r="C711" s="29" t="n"/>
      <c r="D711" s="29" t="n"/>
      <c r="E711" s="31" t="n"/>
      <c r="F711" s="29" t="n"/>
      <c r="G711" s="29" t="n"/>
      <c r="H711" s="35">
        <f>IF($A711="","",SUMIF(tblAkis[KaynakKartId],$A711,tblAkis[Tutar]))</f>
        <v/>
      </c>
      <c r="I711" s="35">
        <f>IF($A711="","",IFERROR(AVERAGEIF(tblAkis[KaynakKartId],$A711,tblAkis[YasGun]),0))</f>
        <v/>
      </c>
    </row>
    <row r="712">
      <c r="A712" s="29" t="n"/>
      <c r="B712" s="29" t="n"/>
      <c r="C712" s="29" t="n"/>
      <c r="D712" s="29" t="n"/>
      <c r="E712" s="31" t="n"/>
      <c r="F712" s="29" t="n"/>
      <c r="G712" s="29" t="n"/>
      <c r="H712" s="35">
        <f>IF($A712="","",SUMIF(tblAkis[KaynakKartId],$A712,tblAkis[Tutar]))</f>
        <v/>
      </c>
      <c r="I712" s="35">
        <f>IF($A712="","",IFERROR(AVERAGEIF(tblAkis[KaynakKartId],$A712,tblAkis[YasGun]),0))</f>
        <v/>
      </c>
    </row>
    <row r="713">
      <c r="A713" s="29" t="n"/>
      <c r="B713" s="29" t="n"/>
      <c r="C713" s="29" t="n"/>
      <c r="D713" s="29" t="n"/>
      <c r="E713" s="31" t="n"/>
      <c r="F713" s="29" t="n"/>
      <c r="G713" s="29" t="n"/>
      <c r="H713" s="35">
        <f>IF($A713="","",SUMIF(tblAkis[KaynakKartId],$A713,tblAkis[Tutar]))</f>
        <v/>
      </c>
      <c r="I713" s="35">
        <f>IF($A713="","",IFERROR(AVERAGEIF(tblAkis[KaynakKartId],$A713,tblAkis[YasGun]),0))</f>
        <v/>
      </c>
    </row>
    <row r="714">
      <c r="A714" s="29" t="n"/>
      <c r="B714" s="29" t="n"/>
      <c r="C714" s="29" t="n"/>
      <c r="D714" s="29" t="n"/>
      <c r="E714" s="31" t="n"/>
      <c r="F714" s="29" t="n"/>
      <c r="G714" s="29" t="n"/>
      <c r="H714" s="35">
        <f>IF($A714="","",SUMIF(tblAkis[KaynakKartId],$A714,tblAkis[Tutar]))</f>
        <v/>
      </c>
      <c r="I714" s="35">
        <f>IF($A714="","",IFERROR(AVERAGEIF(tblAkis[KaynakKartId],$A714,tblAkis[YasGun]),0))</f>
        <v/>
      </c>
    </row>
    <row r="715">
      <c r="A715" s="29" t="n"/>
      <c r="B715" s="29" t="n"/>
      <c r="C715" s="29" t="n"/>
      <c r="D715" s="29" t="n"/>
      <c r="E715" s="31" t="n"/>
      <c r="F715" s="29" t="n"/>
      <c r="G715" s="29" t="n"/>
      <c r="H715" s="35">
        <f>IF($A715="","",SUMIF(tblAkis[KaynakKartId],$A715,tblAkis[Tutar]))</f>
        <v/>
      </c>
      <c r="I715" s="35">
        <f>IF($A715="","",IFERROR(AVERAGEIF(tblAkis[KaynakKartId],$A715,tblAkis[YasGun]),0))</f>
        <v/>
      </c>
    </row>
    <row r="716">
      <c r="A716" s="29" t="n"/>
      <c r="B716" s="29" t="n"/>
      <c r="C716" s="29" t="n"/>
      <c r="D716" s="29" t="n"/>
      <c r="E716" s="31" t="n"/>
      <c r="F716" s="29" t="n"/>
      <c r="G716" s="29" t="n"/>
      <c r="H716" s="35">
        <f>IF($A716="","",SUMIF(tblAkis[KaynakKartId],$A716,tblAkis[Tutar]))</f>
        <v/>
      </c>
      <c r="I716" s="35">
        <f>IF($A716="","",IFERROR(AVERAGEIF(tblAkis[KaynakKartId],$A716,tblAkis[YasGun]),0))</f>
        <v/>
      </c>
    </row>
    <row r="717">
      <c r="A717" s="29" t="n"/>
      <c r="B717" s="29" t="n"/>
      <c r="C717" s="29" t="n"/>
      <c r="D717" s="29" t="n"/>
      <c r="E717" s="31" t="n"/>
      <c r="F717" s="29" t="n"/>
      <c r="G717" s="29" t="n"/>
      <c r="H717" s="35">
        <f>IF($A717="","",SUMIF(tblAkis[KaynakKartId],$A717,tblAkis[Tutar]))</f>
        <v/>
      </c>
      <c r="I717" s="35">
        <f>IF($A717="","",IFERROR(AVERAGEIF(tblAkis[KaynakKartId],$A717,tblAkis[YasGun]),0))</f>
        <v/>
      </c>
    </row>
    <row r="718">
      <c r="A718" s="29" t="n"/>
      <c r="B718" s="29" t="n"/>
      <c r="C718" s="29" t="n"/>
      <c r="D718" s="29" t="n"/>
      <c r="E718" s="31" t="n"/>
      <c r="F718" s="29" t="n"/>
      <c r="G718" s="29" t="n"/>
      <c r="H718" s="35">
        <f>IF($A718="","",SUMIF(tblAkis[KaynakKartId],$A718,tblAkis[Tutar]))</f>
        <v/>
      </c>
      <c r="I718" s="35">
        <f>IF($A718="","",IFERROR(AVERAGEIF(tblAkis[KaynakKartId],$A718,tblAkis[YasGun]),0))</f>
        <v/>
      </c>
    </row>
    <row r="719">
      <c r="A719" s="29" t="n"/>
      <c r="B719" s="29" t="n"/>
      <c r="C719" s="29" t="n"/>
      <c r="D719" s="29" t="n"/>
      <c r="E719" s="31" t="n"/>
      <c r="F719" s="29" t="n"/>
      <c r="G719" s="29" t="n"/>
      <c r="H719" s="35">
        <f>IF($A719="","",SUMIF(tblAkis[KaynakKartId],$A719,tblAkis[Tutar]))</f>
        <v/>
      </c>
      <c r="I719" s="35">
        <f>IF($A719="","",IFERROR(AVERAGEIF(tblAkis[KaynakKartId],$A719,tblAkis[YasGun]),0))</f>
        <v/>
      </c>
    </row>
    <row r="720">
      <c r="A720" s="29" t="n"/>
      <c r="B720" s="29" t="n"/>
      <c r="C720" s="29" t="n"/>
      <c r="D720" s="29" t="n"/>
      <c r="E720" s="31" t="n"/>
      <c r="F720" s="29" t="n"/>
      <c r="G720" s="29" t="n"/>
      <c r="H720" s="35">
        <f>IF($A720="","",SUMIF(tblAkis[KaynakKartId],$A720,tblAkis[Tutar]))</f>
        <v/>
      </c>
      <c r="I720" s="35">
        <f>IF($A720="","",IFERROR(AVERAGEIF(tblAkis[KaynakKartId],$A720,tblAkis[YasGun]),0))</f>
        <v/>
      </c>
    </row>
    <row r="721">
      <c r="A721" s="29" t="n"/>
      <c r="B721" s="29" t="n"/>
      <c r="C721" s="29" t="n"/>
      <c r="D721" s="29" t="n"/>
      <c r="E721" s="31" t="n"/>
      <c r="F721" s="29" t="n"/>
      <c r="G721" s="29" t="n"/>
      <c r="H721" s="35">
        <f>IF($A721="","",SUMIF(tblAkis[KaynakKartId],$A721,tblAkis[Tutar]))</f>
        <v/>
      </c>
      <c r="I721" s="35">
        <f>IF($A721="","",IFERROR(AVERAGEIF(tblAkis[KaynakKartId],$A721,tblAkis[YasGun]),0))</f>
        <v/>
      </c>
    </row>
    <row r="722">
      <c r="A722" s="29" t="n"/>
      <c r="B722" s="29" t="n"/>
      <c r="C722" s="29" t="n"/>
      <c r="D722" s="29" t="n"/>
      <c r="E722" s="31" t="n"/>
      <c r="F722" s="29" t="n"/>
      <c r="G722" s="29" t="n"/>
      <c r="H722" s="35">
        <f>IF($A722="","",SUMIF(tblAkis[KaynakKartId],$A722,tblAkis[Tutar]))</f>
        <v/>
      </c>
      <c r="I722" s="35">
        <f>IF($A722="","",IFERROR(AVERAGEIF(tblAkis[KaynakKartId],$A722,tblAkis[YasGun]),0))</f>
        <v/>
      </c>
    </row>
    <row r="723">
      <c r="A723" s="29" t="n"/>
      <c r="B723" s="29" t="n"/>
      <c r="C723" s="29" t="n"/>
      <c r="D723" s="29" t="n"/>
      <c r="E723" s="31" t="n"/>
      <c r="F723" s="29" t="n"/>
      <c r="G723" s="29" t="n"/>
      <c r="H723" s="35">
        <f>IF($A723="","",SUMIF(tblAkis[KaynakKartId],$A723,tblAkis[Tutar]))</f>
        <v/>
      </c>
      <c r="I723" s="35">
        <f>IF($A723="","",IFERROR(AVERAGEIF(tblAkis[KaynakKartId],$A723,tblAkis[YasGun]),0))</f>
        <v/>
      </c>
    </row>
    <row r="724">
      <c r="A724" s="29" t="n"/>
      <c r="B724" s="29" t="n"/>
      <c r="C724" s="29" t="n"/>
      <c r="D724" s="29" t="n"/>
      <c r="E724" s="31" t="n"/>
      <c r="F724" s="29" t="n"/>
      <c r="G724" s="29" t="n"/>
      <c r="H724" s="35">
        <f>IF($A724="","",SUMIF(tblAkis[KaynakKartId],$A724,tblAkis[Tutar]))</f>
        <v/>
      </c>
      <c r="I724" s="35">
        <f>IF($A724="","",IFERROR(AVERAGEIF(tblAkis[KaynakKartId],$A724,tblAkis[YasGun]),0))</f>
        <v/>
      </c>
    </row>
    <row r="725">
      <c r="A725" s="29" t="n"/>
      <c r="B725" s="29" t="n"/>
      <c r="C725" s="29" t="n"/>
      <c r="D725" s="29" t="n"/>
      <c r="E725" s="31" t="n"/>
      <c r="F725" s="29" t="n"/>
      <c r="G725" s="29" t="n"/>
      <c r="H725" s="35">
        <f>IF($A725="","",SUMIF(tblAkis[KaynakKartId],$A725,tblAkis[Tutar]))</f>
        <v/>
      </c>
      <c r="I725" s="35">
        <f>IF($A725="","",IFERROR(AVERAGEIF(tblAkis[KaynakKartId],$A725,tblAkis[YasGun]),0))</f>
        <v/>
      </c>
    </row>
    <row r="726">
      <c r="A726" s="29" t="n"/>
      <c r="B726" s="29" t="n"/>
      <c r="C726" s="29" t="n"/>
      <c r="D726" s="29" t="n"/>
      <c r="E726" s="31" t="n"/>
      <c r="F726" s="29" t="n"/>
      <c r="G726" s="29" t="n"/>
      <c r="H726" s="35">
        <f>IF($A726="","",SUMIF(tblAkis[KaynakKartId],$A726,tblAkis[Tutar]))</f>
        <v/>
      </c>
      <c r="I726" s="35">
        <f>IF($A726="","",IFERROR(AVERAGEIF(tblAkis[KaynakKartId],$A726,tblAkis[YasGun]),0))</f>
        <v/>
      </c>
    </row>
    <row r="727">
      <c r="A727" s="29" t="n"/>
      <c r="B727" s="29" t="n"/>
      <c r="C727" s="29" t="n"/>
      <c r="D727" s="29" t="n"/>
      <c r="E727" s="31" t="n"/>
      <c r="F727" s="29" t="n"/>
      <c r="G727" s="29" t="n"/>
      <c r="H727" s="35">
        <f>IF($A727="","",SUMIF(tblAkis[KaynakKartId],$A727,tblAkis[Tutar]))</f>
        <v/>
      </c>
      <c r="I727" s="35">
        <f>IF($A727="","",IFERROR(AVERAGEIF(tblAkis[KaynakKartId],$A727,tblAkis[YasGun]),0))</f>
        <v/>
      </c>
    </row>
    <row r="728">
      <c r="A728" s="29" t="n"/>
      <c r="B728" s="29" t="n"/>
      <c r="C728" s="29" t="n"/>
      <c r="D728" s="29" t="n"/>
      <c r="E728" s="31" t="n"/>
      <c r="F728" s="29" t="n"/>
      <c r="G728" s="29" t="n"/>
      <c r="H728" s="35">
        <f>IF($A728="","",SUMIF(tblAkis[KaynakKartId],$A728,tblAkis[Tutar]))</f>
        <v/>
      </c>
      <c r="I728" s="35">
        <f>IF($A728="","",IFERROR(AVERAGEIF(tblAkis[KaynakKartId],$A728,tblAkis[YasGun]),0))</f>
        <v/>
      </c>
    </row>
    <row r="729">
      <c r="A729" s="29" t="n"/>
      <c r="B729" s="29" t="n"/>
      <c r="C729" s="29" t="n"/>
      <c r="D729" s="29" t="n"/>
      <c r="E729" s="31" t="n"/>
      <c r="F729" s="29" t="n"/>
      <c r="G729" s="29" t="n"/>
      <c r="H729" s="35">
        <f>IF($A729="","",SUMIF(tblAkis[KaynakKartId],$A729,tblAkis[Tutar]))</f>
        <v/>
      </c>
      <c r="I729" s="35">
        <f>IF($A729="","",IFERROR(AVERAGEIF(tblAkis[KaynakKartId],$A729,tblAkis[YasGun]),0))</f>
        <v/>
      </c>
    </row>
    <row r="730">
      <c r="A730" s="29" t="n"/>
      <c r="B730" s="29" t="n"/>
      <c r="C730" s="29" t="n"/>
      <c r="D730" s="29" t="n"/>
      <c r="E730" s="31" t="n"/>
      <c r="F730" s="29" t="n"/>
      <c r="G730" s="29" t="n"/>
      <c r="H730" s="35">
        <f>IF($A730="","",SUMIF(tblAkis[KaynakKartId],$A730,tblAkis[Tutar]))</f>
        <v/>
      </c>
      <c r="I730" s="35">
        <f>IF($A730="","",IFERROR(AVERAGEIF(tblAkis[KaynakKartId],$A730,tblAkis[YasGun]),0))</f>
        <v/>
      </c>
    </row>
    <row r="731">
      <c r="A731" s="29" t="n"/>
      <c r="B731" s="29" t="n"/>
      <c r="C731" s="29" t="n"/>
      <c r="D731" s="29" t="n"/>
      <c r="E731" s="31" t="n"/>
      <c r="F731" s="29" t="n"/>
      <c r="G731" s="29" t="n"/>
      <c r="H731" s="35">
        <f>IF($A731="","",SUMIF(tblAkis[KaynakKartId],$A731,tblAkis[Tutar]))</f>
        <v/>
      </c>
      <c r="I731" s="35">
        <f>IF($A731="","",IFERROR(AVERAGEIF(tblAkis[KaynakKartId],$A731,tblAkis[YasGun]),0))</f>
        <v/>
      </c>
    </row>
    <row r="732">
      <c r="A732" s="29" t="n"/>
      <c r="B732" s="29" t="n"/>
      <c r="C732" s="29" t="n"/>
      <c r="D732" s="29" t="n"/>
      <c r="E732" s="31" t="n"/>
      <c r="F732" s="29" t="n"/>
      <c r="G732" s="29" t="n"/>
      <c r="H732" s="35">
        <f>IF($A732="","",SUMIF(tblAkis[KaynakKartId],$A732,tblAkis[Tutar]))</f>
        <v/>
      </c>
      <c r="I732" s="35">
        <f>IF($A732="","",IFERROR(AVERAGEIF(tblAkis[KaynakKartId],$A732,tblAkis[YasGun]),0))</f>
        <v/>
      </c>
    </row>
    <row r="733">
      <c r="A733" s="29" t="n"/>
      <c r="B733" s="29" t="n"/>
      <c r="C733" s="29" t="n"/>
      <c r="D733" s="29" t="n"/>
      <c r="E733" s="31" t="n"/>
      <c r="F733" s="29" t="n"/>
      <c r="G733" s="29" t="n"/>
      <c r="H733" s="35">
        <f>IF($A733="","",SUMIF(tblAkis[KaynakKartId],$A733,tblAkis[Tutar]))</f>
        <v/>
      </c>
      <c r="I733" s="35">
        <f>IF($A733="","",IFERROR(AVERAGEIF(tblAkis[KaynakKartId],$A733,tblAkis[YasGun]),0))</f>
        <v/>
      </c>
    </row>
    <row r="734">
      <c r="A734" s="29" t="n"/>
      <c r="B734" s="29" t="n"/>
      <c r="C734" s="29" t="n"/>
      <c r="D734" s="29" t="n"/>
      <c r="E734" s="31" t="n"/>
      <c r="F734" s="29" t="n"/>
      <c r="G734" s="29" t="n"/>
      <c r="H734" s="35">
        <f>IF($A734="","",SUMIF(tblAkis[KaynakKartId],$A734,tblAkis[Tutar]))</f>
        <v/>
      </c>
      <c r="I734" s="35">
        <f>IF($A734="","",IFERROR(AVERAGEIF(tblAkis[KaynakKartId],$A734,tblAkis[YasGun]),0))</f>
        <v/>
      </c>
    </row>
    <row r="735">
      <c r="A735" s="29" t="n"/>
      <c r="B735" s="29" t="n"/>
      <c r="C735" s="29" t="n"/>
      <c r="D735" s="29" t="n"/>
      <c r="E735" s="31" t="n"/>
      <c r="F735" s="29" t="n"/>
      <c r="G735" s="29" t="n"/>
      <c r="H735" s="35">
        <f>IF($A735="","",SUMIF(tblAkis[KaynakKartId],$A735,tblAkis[Tutar]))</f>
        <v/>
      </c>
      <c r="I735" s="35">
        <f>IF($A735="","",IFERROR(AVERAGEIF(tblAkis[KaynakKartId],$A735,tblAkis[YasGun]),0))</f>
        <v/>
      </c>
    </row>
    <row r="736">
      <c r="A736" s="29" t="n"/>
      <c r="B736" s="29" t="n"/>
      <c r="C736" s="29" t="n"/>
      <c r="D736" s="29" t="n"/>
      <c r="E736" s="31" t="n"/>
      <c r="F736" s="29" t="n"/>
      <c r="G736" s="29" t="n"/>
      <c r="H736" s="35">
        <f>IF($A736="","",SUMIF(tblAkis[KaynakKartId],$A736,tblAkis[Tutar]))</f>
        <v/>
      </c>
      <c r="I736" s="35">
        <f>IF($A736="","",IFERROR(AVERAGEIF(tblAkis[KaynakKartId],$A736,tblAkis[YasGun]),0))</f>
        <v/>
      </c>
    </row>
    <row r="737">
      <c r="A737" s="29" t="n"/>
      <c r="B737" s="29" t="n"/>
      <c r="C737" s="29" t="n"/>
      <c r="D737" s="29" t="n"/>
      <c r="E737" s="31" t="n"/>
      <c r="F737" s="29" t="n"/>
      <c r="G737" s="29" t="n"/>
      <c r="H737" s="35">
        <f>IF($A737="","",SUMIF(tblAkis[KaynakKartId],$A737,tblAkis[Tutar]))</f>
        <v/>
      </c>
      <c r="I737" s="35">
        <f>IF($A737="","",IFERROR(AVERAGEIF(tblAkis[KaynakKartId],$A737,tblAkis[YasGun]),0))</f>
        <v/>
      </c>
    </row>
    <row r="738">
      <c r="A738" s="29" t="n"/>
      <c r="B738" s="29" t="n"/>
      <c r="C738" s="29" t="n"/>
      <c r="D738" s="29" t="n"/>
      <c r="E738" s="31" t="n"/>
      <c r="F738" s="29" t="n"/>
      <c r="G738" s="29" t="n"/>
      <c r="H738" s="35">
        <f>IF($A738="","",SUMIF(tblAkis[KaynakKartId],$A738,tblAkis[Tutar]))</f>
        <v/>
      </c>
      <c r="I738" s="35">
        <f>IF($A738="","",IFERROR(AVERAGEIF(tblAkis[KaynakKartId],$A738,tblAkis[YasGun]),0))</f>
        <v/>
      </c>
    </row>
    <row r="739">
      <c r="A739" s="29" t="n"/>
      <c r="B739" s="29" t="n"/>
      <c r="C739" s="29" t="n"/>
      <c r="D739" s="29" t="n"/>
      <c r="E739" s="31" t="n"/>
      <c r="F739" s="29" t="n"/>
      <c r="G739" s="29" t="n"/>
      <c r="H739" s="35">
        <f>IF($A739="","",SUMIF(tblAkis[KaynakKartId],$A739,tblAkis[Tutar]))</f>
        <v/>
      </c>
      <c r="I739" s="35">
        <f>IF($A739="","",IFERROR(AVERAGEIF(tblAkis[KaynakKartId],$A739,tblAkis[YasGun]),0))</f>
        <v/>
      </c>
    </row>
    <row r="740">
      <c r="A740" s="29" t="n"/>
      <c r="B740" s="29" t="n"/>
      <c r="C740" s="29" t="n"/>
      <c r="D740" s="29" t="n"/>
      <c r="E740" s="31" t="n"/>
      <c r="F740" s="29" t="n"/>
      <c r="G740" s="29" t="n"/>
      <c r="H740" s="35">
        <f>IF($A740="","",SUMIF(tblAkis[KaynakKartId],$A740,tblAkis[Tutar]))</f>
        <v/>
      </c>
      <c r="I740" s="35">
        <f>IF($A740="","",IFERROR(AVERAGEIF(tblAkis[KaynakKartId],$A740,tblAkis[YasGun]),0))</f>
        <v/>
      </c>
    </row>
    <row r="741">
      <c r="A741" s="29" t="n"/>
      <c r="B741" s="29" t="n"/>
      <c r="C741" s="29" t="n"/>
      <c r="D741" s="29" t="n"/>
      <c r="E741" s="31" t="n"/>
      <c r="F741" s="29" t="n"/>
      <c r="G741" s="29" t="n"/>
      <c r="H741" s="35">
        <f>IF($A741="","",SUMIF(tblAkis[KaynakKartId],$A741,tblAkis[Tutar]))</f>
        <v/>
      </c>
      <c r="I741" s="35">
        <f>IF($A741="","",IFERROR(AVERAGEIF(tblAkis[KaynakKartId],$A741,tblAkis[YasGun]),0))</f>
        <v/>
      </c>
    </row>
    <row r="742">
      <c r="A742" s="29" t="n"/>
      <c r="B742" s="29" t="n"/>
      <c r="C742" s="29" t="n"/>
      <c r="D742" s="29" t="n"/>
      <c r="E742" s="31" t="n"/>
      <c r="F742" s="29" t="n"/>
      <c r="G742" s="29" t="n"/>
      <c r="H742" s="35">
        <f>IF($A742="","",SUMIF(tblAkis[KaynakKartId],$A742,tblAkis[Tutar]))</f>
        <v/>
      </c>
      <c r="I742" s="35">
        <f>IF($A742="","",IFERROR(AVERAGEIF(tblAkis[KaynakKartId],$A742,tblAkis[YasGun]),0))</f>
        <v/>
      </c>
    </row>
    <row r="743">
      <c r="A743" s="29" t="n"/>
      <c r="B743" s="29" t="n"/>
      <c r="C743" s="29" t="n"/>
      <c r="D743" s="29" t="n"/>
      <c r="E743" s="31" t="n"/>
      <c r="F743" s="29" t="n"/>
      <c r="G743" s="29" t="n"/>
      <c r="H743" s="35">
        <f>IF($A743="","",SUMIF(tblAkis[KaynakKartId],$A743,tblAkis[Tutar]))</f>
        <v/>
      </c>
      <c r="I743" s="35">
        <f>IF($A743="","",IFERROR(AVERAGEIF(tblAkis[KaynakKartId],$A743,tblAkis[YasGun]),0))</f>
        <v/>
      </c>
    </row>
    <row r="744">
      <c r="A744" s="29" t="n"/>
      <c r="B744" s="29" t="n"/>
      <c r="C744" s="29" t="n"/>
      <c r="D744" s="29" t="n"/>
      <c r="E744" s="31" t="n"/>
      <c r="F744" s="29" t="n"/>
      <c r="G744" s="29" t="n"/>
      <c r="H744" s="35">
        <f>IF($A744="","",SUMIF(tblAkis[KaynakKartId],$A744,tblAkis[Tutar]))</f>
        <v/>
      </c>
      <c r="I744" s="35">
        <f>IF($A744="","",IFERROR(AVERAGEIF(tblAkis[KaynakKartId],$A744,tblAkis[YasGun]),0))</f>
        <v/>
      </c>
    </row>
    <row r="745">
      <c r="A745" s="29" t="n"/>
      <c r="B745" s="29" t="n"/>
      <c r="C745" s="29" t="n"/>
      <c r="D745" s="29" t="n"/>
      <c r="E745" s="31" t="n"/>
      <c r="F745" s="29" t="n"/>
      <c r="G745" s="29" t="n"/>
      <c r="H745" s="35">
        <f>IF($A745="","",SUMIF(tblAkis[KaynakKartId],$A745,tblAkis[Tutar]))</f>
        <v/>
      </c>
      <c r="I745" s="35">
        <f>IF($A745="","",IFERROR(AVERAGEIF(tblAkis[KaynakKartId],$A745,tblAkis[YasGun]),0))</f>
        <v/>
      </c>
    </row>
    <row r="746">
      <c r="A746" s="29" t="n"/>
      <c r="B746" s="29" t="n"/>
      <c r="C746" s="29" t="n"/>
      <c r="D746" s="29" t="n"/>
      <c r="E746" s="31" t="n"/>
      <c r="F746" s="29" t="n"/>
      <c r="G746" s="29" t="n"/>
      <c r="H746" s="35">
        <f>IF($A746="","",SUMIF(tblAkis[KaynakKartId],$A746,tblAkis[Tutar]))</f>
        <v/>
      </c>
      <c r="I746" s="35">
        <f>IF($A746="","",IFERROR(AVERAGEIF(tblAkis[KaynakKartId],$A746,tblAkis[YasGun]),0))</f>
        <v/>
      </c>
    </row>
    <row r="747">
      <c r="A747" s="29" t="n"/>
      <c r="B747" s="29" t="n"/>
      <c r="C747" s="29" t="n"/>
      <c r="D747" s="29" t="n"/>
      <c r="E747" s="31" t="n"/>
      <c r="F747" s="29" t="n"/>
      <c r="G747" s="29" t="n"/>
      <c r="H747" s="35">
        <f>IF($A747="","",SUMIF(tblAkis[KaynakKartId],$A747,tblAkis[Tutar]))</f>
        <v/>
      </c>
      <c r="I747" s="35">
        <f>IF($A747="","",IFERROR(AVERAGEIF(tblAkis[KaynakKartId],$A747,tblAkis[YasGun]),0))</f>
        <v/>
      </c>
    </row>
    <row r="748">
      <c r="A748" s="29" t="n"/>
      <c r="B748" s="29" t="n"/>
      <c r="C748" s="29" t="n"/>
      <c r="D748" s="29" t="n"/>
      <c r="E748" s="31" t="n"/>
      <c r="F748" s="29" t="n"/>
      <c r="G748" s="29" t="n"/>
      <c r="H748" s="35">
        <f>IF($A748="","",SUMIF(tblAkis[KaynakKartId],$A748,tblAkis[Tutar]))</f>
        <v/>
      </c>
      <c r="I748" s="35">
        <f>IF($A748="","",IFERROR(AVERAGEIF(tblAkis[KaynakKartId],$A748,tblAkis[YasGun]),0))</f>
        <v/>
      </c>
    </row>
    <row r="749">
      <c r="A749" s="29" t="n"/>
      <c r="B749" s="29" t="n"/>
      <c r="C749" s="29" t="n"/>
      <c r="D749" s="29" t="n"/>
      <c r="E749" s="31" t="n"/>
      <c r="F749" s="29" t="n"/>
      <c r="G749" s="29" t="n"/>
      <c r="H749" s="35">
        <f>IF($A749="","",SUMIF(tblAkis[KaynakKartId],$A749,tblAkis[Tutar]))</f>
        <v/>
      </c>
      <c r="I749" s="35">
        <f>IF($A749="","",IFERROR(AVERAGEIF(tblAkis[KaynakKartId],$A749,tblAkis[YasGun]),0))</f>
        <v/>
      </c>
    </row>
    <row r="750">
      <c r="A750" s="29" t="n"/>
      <c r="B750" s="29" t="n"/>
      <c r="C750" s="29" t="n"/>
      <c r="D750" s="29" t="n"/>
      <c r="E750" s="31" t="n"/>
      <c r="F750" s="29" t="n"/>
      <c r="G750" s="29" t="n"/>
      <c r="H750" s="35">
        <f>IF($A750="","",SUMIF(tblAkis[KaynakKartId],$A750,tblAkis[Tutar]))</f>
        <v/>
      </c>
      <c r="I750" s="35">
        <f>IF($A750="","",IFERROR(AVERAGEIF(tblAkis[KaynakKartId],$A750,tblAkis[YasGun]),0))</f>
        <v/>
      </c>
    </row>
    <row r="751">
      <c r="A751" s="29" t="n"/>
      <c r="B751" s="29" t="n"/>
      <c r="C751" s="29" t="n"/>
      <c r="D751" s="29" t="n"/>
      <c r="E751" s="31" t="n"/>
      <c r="F751" s="29" t="n"/>
      <c r="G751" s="29" t="n"/>
      <c r="H751" s="35">
        <f>IF($A751="","",SUMIF(tblAkis[KaynakKartId],$A751,tblAkis[Tutar]))</f>
        <v/>
      </c>
      <c r="I751" s="35">
        <f>IF($A751="","",IFERROR(AVERAGEIF(tblAkis[KaynakKartId],$A751,tblAkis[YasGun]),0))</f>
        <v/>
      </c>
    </row>
    <row r="752">
      <c r="A752" s="29" t="n"/>
      <c r="B752" s="29" t="n"/>
      <c r="C752" s="29" t="n"/>
      <c r="D752" s="29" t="n"/>
      <c r="E752" s="31" t="n"/>
      <c r="F752" s="29" t="n"/>
      <c r="G752" s="29" t="n"/>
      <c r="H752" s="35">
        <f>IF($A752="","",SUMIF(tblAkis[KaynakKartId],$A752,tblAkis[Tutar]))</f>
        <v/>
      </c>
      <c r="I752" s="35">
        <f>IF($A752="","",IFERROR(AVERAGEIF(tblAkis[KaynakKartId],$A752,tblAkis[YasGun]),0))</f>
        <v/>
      </c>
    </row>
    <row r="753">
      <c r="A753" s="29" t="n"/>
      <c r="B753" s="29" t="n"/>
      <c r="C753" s="29" t="n"/>
      <c r="D753" s="29" t="n"/>
      <c r="E753" s="31" t="n"/>
      <c r="F753" s="29" t="n"/>
      <c r="G753" s="29" t="n"/>
      <c r="H753" s="35">
        <f>IF($A753="","",SUMIF(tblAkis[KaynakKartId],$A753,tblAkis[Tutar]))</f>
        <v/>
      </c>
      <c r="I753" s="35">
        <f>IF($A753="","",IFERROR(AVERAGEIF(tblAkis[KaynakKartId],$A753,tblAkis[YasGun]),0))</f>
        <v/>
      </c>
    </row>
    <row r="754">
      <c r="A754" s="29" t="n"/>
      <c r="B754" s="29" t="n"/>
      <c r="C754" s="29" t="n"/>
      <c r="D754" s="29" t="n"/>
      <c r="E754" s="31" t="n"/>
      <c r="F754" s="29" t="n"/>
      <c r="G754" s="29" t="n"/>
      <c r="H754" s="35">
        <f>IF($A754="","",SUMIF(tblAkis[KaynakKartId],$A754,tblAkis[Tutar]))</f>
        <v/>
      </c>
      <c r="I754" s="35">
        <f>IF($A754="","",IFERROR(AVERAGEIF(tblAkis[KaynakKartId],$A754,tblAkis[YasGun]),0))</f>
        <v/>
      </c>
    </row>
    <row r="755">
      <c r="A755" s="29" t="n"/>
      <c r="B755" s="29" t="n"/>
      <c r="C755" s="29" t="n"/>
      <c r="D755" s="29" t="n"/>
      <c r="E755" s="31" t="n"/>
      <c r="F755" s="29" t="n"/>
      <c r="G755" s="29" t="n"/>
      <c r="H755" s="35">
        <f>IF($A755="","",SUMIF(tblAkis[KaynakKartId],$A755,tblAkis[Tutar]))</f>
        <v/>
      </c>
      <c r="I755" s="35">
        <f>IF($A755="","",IFERROR(AVERAGEIF(tblAkis[KaynakKartId],$A755,tblAkis[YasGun]),0))</f>
        <v/>
      </c>
    </row>
    <row r="756">
      <c r="A756" s="29" t="n"/>
      <c r="B756" s="29" t="n"/>
      <c r="C756" s="29" t="n"/>
      <c r="D756" s="29" t="n"/>
      <c r="E756" s="31" t="n"/>
      <c r="F756" s="29" t="n"/>
      <c r="G756" s="29" t="n"/>
      <c r="H756" s="35">
        <f>IF($A756="","",SUMIF(tblAkis[KaynakKartId],$A756,tblAkis[Tutar]))</f>
        <v/>
      </c>
      <c r="I756" s="35">
        <f>IF($A756="","",IFERROR(AVERAGEIF(tblAkis[KaynakKartId],$A756,tblAkis[YasGun]),0))</f>
        <v/>
      </c>
    </row>
    <row r="757">
      <c r="A757" s="29" t="n"/>
      <c r="B757" s="29" t="n"/>
      <c r="C757" s="29" t="n"/>
      <c r="D757" s="29" t="n"/>
      <c r="E757" s="31" t="n"/>
      <c r="F757" s="29" t="n"/>
      <c r="G757" s="29" t="n"/>
      <c r="H757" s="35">
        <f>IF($A757="","",SUMIF(tblAkis[KaynakKartId],$A757,tblAkis[Tutar]))</f>
        <v/>
      </c>
      <c r="I757" s="35">
        <f>IF($A757="","",IFERROR(AVERAGEIF(tblAkis[KaynakKartId],$A757,tblAkis[YasGun]),0))</f>
        <v/>
      </c>
    </row>
    <row r="758">
      <c r="A758" s="29" t="n"/>
      <c r="B758" s="29" t="n"/>
      <c r="C758" s="29" t="n"/>
      <c r="D758" s="29" t="n"/>
      <c r="E758" s="31" t="n"/>
      <c r="F758" s="29" t="n"/>
      <c r="G758" s="29" t="n"/>
      <c r="H758" s="35">
        <f>IF($A758="","",SUMIF(tblAkis[KaynakKartId],$A758,tblAkis[Tutar]))</f>
        <v/>
      </c>
      <c r="I758" s="35">
        <f>IF($A758="","",IFERROR(AVERAGEIF(tblAkis[KaynakKartId],$A758,tblAkis[YasGun]),0))</f>
        <v/>
      </c>
    </row>
    <row r="759">
      <c r="A759" s="29" t="n"/>
      <c r="B759" s="29" t="n"/>
      <c r="C759" s="29" t="n"/>
      <c r="D759" s="29" t="n"/>
      <c r="E759" s="31" t="n"/>
      <c r="F759" s="29" t="n"/>
      <c r="G759" s="29" t="n"/>
      <c r="H759" s="35">
        <f>IF($A759="","",SUMIF(tblAkis[KaynakKartId],$A759,tblAkis[Tutar]))</f>
        <v/>
      </c>
      <c r="I759" s="35">
        <f>IF($A759="","",IFERROR(AVERAGEIF(tblAkis[KaynakKartId],$A759,tblAkis[YasGun]),0))</f>
        <v/>
      </c>
    </row>
    <row r="760">
      <c r="A760" s="29" t="n"/>
      <c r="B760" s="29" t="n"/>
      <c r="C760" s="29" t="n"/>
      <c r="D760" s="29" t="n"/>
      <c r="E760" s="31" t="n"/>
      <c r="F760" s="29" t="n"/>
      <c r="G760" s="29" t="n"/>
      <c r="H760" s="35">
        <f>IF($A760="","",SUMIF(tblAkis[KaynakKartId],$A760,tblAkis[Tutar]))</f>
        <v/>
      </c>
      <c r="I760" s="35">
        <f>IF($A760="","",IFERROR(AVERAGEIF(tblAkis[KaynakKartId],$A760,tblAkis[YasGun]),0))</f>
        <v/>
      </c>
    </row>
    <row r="761">
      <c r="A761" s="29" t="n"/>
      <c r="B761" s="29" t="n"/>
      <c r="C761" s="29" t="n"/>
      <c r="D761" s="29" t="n"/>
      <c r="E761" s="31" t="n"/>
      <c r="F761" s="29" t="n"/>
      <c r="G761" s="29" t="n"/>
      <c r="H761" s="35">
        <f>IF($A761="","",SUMIF(tblAkis[KaynakKartId],$A761,tblAkis[Tutar]))</f>
        <v/>
      </c>
      <c r="I761" s="35">
        <f>IF($A761="","",IFERROR(AVERAGEIF(tblAkis[KaynakKartId],$A761,tblAkis[YasGun]),0))</f>
        <v/>
      </c>
    </row>
    <row r="762">
      <c r="A762" s="29" t="n"/>
      <c r="B762" s="29" t="n"/>
      <c r="C762" s="29" t="n"/>
      <c r="D762" s="29" t="n"/>
      <c r="E762" s="31" t="n"/>
      <c r="F762" s="29" t="n"/>
      <c r="G762" s="29" t="n"/>
      <c r="H762" s="35">
        <f>IF($A762="","",SUMIF(tblAkis[KaynakKartId],$A762,tblAkis[Tutar]))</f>
        <v/>
      </c>
      <c r="I762" s="35">
        <f>IF($A762="","",IFERROR(AVERAGEIF(tblAkis[KaynakKartId],$A762,tblAkis[YasGun]),0))</f>
        <v/>
      </c>
    </row>
    <row r="763">
      <c r="A763" s="29" t="n"/>
      <c r="B763" s="29" t="n"/>
      <c r="C763" s="29" t="n"/>
      <c r="D763" s="29" t="n"/>
      <c r="E763" s="31" t="n"/>
      <c r="F763" s="29" t="n"/>
      <c r="G763" s="29" t="n"/>
      <c r="H763" s="35">
        <f>IF($A763="","",SUMIF(tblAkis[KaynakKartId],$A763,tblAkis[Tutar]))</f>
        <v/>
      </c>
      <c r="I763" s="35">
        <f>IF($A763="","",IFERROR(AVERAGEIF(tblAkis[KaynakKartId],$A763,tblAkis[YasGun]),0))</f>
        <v/>
      </c>
    </row>
    <row r="764">
      <c r="A764" s="29" t="n"/>
      <c r="B764" s="29" t="n"/>
      <c r="C764" s="29" t="n"/>
      <c r="D764" s="29" t="n"/>
      <c r="E764" s="31" t="n"/>
      <c r="F764" s="29" t="n"/>
      <c r="G764" s="29" t="n"/>
      <c r="H764" s="35">
        <f>IF($A764="","",SUMIF(tblAkis[KaynakKartId],$A764,tblAkis[Tutar]))</f>
        <v/>
      </c>
      <c r="I764" s="35">
        <f>IF($A764="","",IFERROR(AVERAGEIF(tblAkis[KaynakKartId],$A764,tblAkis[YasGun]),0))</f>
        <v/>
      </c>
    </row>
    <row r="765">
      <c r="A765" s="29" t="n"/>
      <c r="B765" s="29" t="n"/>
      <c r="C765" s="29" t="n"/>
      <c r="D765" s="29" t="n"/>
      <c r="E765" s="31" t="n"/>
      <c r="F765" s="29" t="n"/>
      <c r="G765" s="29" t="n"/>
      <c r="H765" s="35">
        <f>IF($A765="","",SUMIF(tblAkis[KaynakKartId],$A765,tblAkis[Tutar]))</f>
        <v/>
      </c>
      <c r="I765" s="35">
        <f>IF($A765="","",IFERROR(AVERAGEIF(tblAkis[KaynakKartId],$A765,tblAkis[YasGun]),0))</f>
        <v/>
      </c>
    </row>
    <row r="766">
      <c r="A766" s="29" t="n"/>
      <c r="B766" s="29" t="n"/>
      <c r="C766" s="29" t="n"/>
      <c r="D766" s="29" t="n"/>
      <c r="E766" s="31" t="n"/>
      <c r="F766" s="29" t="n"/>
      <c r="G766" s="29" t="n"/>
      <c r="H766" s="35">
        <f>IF($A766="","",SUMIF(tblAkis[KaynakKartId],$A766,tblAkis[Tutar]))</f>
        <v/>
      </c>
      <c r="I766" s="35">
        <f>IF($A766="","",IFERROR(AVERAGEIF(tblAkis[KaynakKartId],$A766,tblAkis[YasGun]),0))</f>
        <v/>
      </c>
    </row>
    <row r="767">
      <c r="A767" s="29" t="n"/>
      <c r="B767" s="29" t="n"/>
      <c r="C767" s="29" t="n"/>
      <c r="D767" s="29" t="n"/>
      <c r="E767" s="31" t="n"/>
      <c r="F767" s="29" t="n"/>
      <c r="G767" s="29" t="n"/>
      <c r="H767" s="35">
        <f>IF($A767="","",SUMIF(tblAkis[KaynakKartId],$A767,tblAkis[Tutar]))</f>
        <v/>
      </c>
      <c r="I767" s="35">
        <f>IF($A767="","",IFERROR(AVERAGEIF(tblAkis[KaynakKartId],$A767,tblAkis[YasGun]),0))</f>
        <v/>
      </c>
    </row>
    <row r="768">
      <c r="A768" s="29" t="n"/>
      <c r="B768" s="29" t="n"/>
      <c r="C768" s="29" t="n"/>
      <c r="D768" s="29" t="n"/>
      <c r="E768" s="31" t="n"/>
      <c r="F768" s="29" t="n"/>
      <c r="G768" s="29" t="n"/>
      <c r="H768" s="35">
        <f>IF($A768="","",SUMIF(tblAkis[KaynakKartId],$A768,tblAkis[Tutar]))</f>
        <v/>
      </c>
      <c r="I768" s="35">
        <f>IF($A768="","",IFERROR(AVERAGEIF(tblAkis[KaynakKartId],$A768,tblAkis[YasGun]),0))</f>
        <v/>
      </c>
    </row>
    <row r="769">
      <c r="A769" s="29" t="n"/>
      <c r="B769" s="29" t="n"/>
      <c r="C769" s="29" t="n"/>
      <c r="D769" s="29" t="n"/>
      <c r="E769" s="31" t="n"/>
      <c r="F769" s="29" t="n"/>
      <c r="G769" s="29" t="n"/>
      <c r="H769" s="35">
        <f>IF($A769="","",SUMIF(tblAkis[KaynakKartId],$A769,tblAkis[Tutar]))</f>
        <v/>
      </c>
      <c r="I769" s="35">
        <f>IF($A769="","",IFERROR(AVERAGEIF(tblAkis[KaynakKartId],$A769,tblAkis[YasGun]),0))</f>
        <v/>
      </c>
    </row>
    <row r="770">
      <c r="A770" s="29" t="n"/>
      <c r="B770" s="29" t="n"/>
      <c r="C770" s="29" t="n"/>
      <c r="D770" s="29" t="n"/>
      <c r="E770" s="31" t="n"/>
      <c r="F770" s="29" t="n"/>
      <c r="G770" s="29" t="n"/>
      <c r="H770" s="35">
        <f>IF($A770="","",SUMIF(tblAkis[KaynakKartId],$A770,tblAkis[Tutar]))</f>
        <v/>
      </c>
      <c r="I770" s="35">
        <f>IF($A770="","",IFERROR(AVERAGEIF(tblAkis[KaynakKartId],$A770,tblAkis[YasGun]),0))</f>
        <v/>
      </c>
    </row>
    <row r="771">
      <c r="A771" s="29" t="n"/>
      <c r="B771" s="29" t="n"/>
      <c r="C771" s="29" t="n"/>
      <c r="D771" s="29" t="n"/>
      <c r="E771" s="31" t="n"/>
      <c r="F771" s="29" t="n"/>
      <c r="G771" s="29" t="n"/>
      <c r="H771" s="35">
        <f>IF($A771="","",SUMIF(tblAkis[KaynakKartId],$A771,tblAkis[Tutar]))</f>
        <v/>
      </c>
      <c r="I771" s="35">
        <f>IF($A771="","",IFERROR(AVERAGEIF(tblAkis[KaynakKartId],$A771,tblAkis[YasGun]),0))</f>
        <v/>
      </c>
    </row>
    <row r="772">
      <c r="A772" s="29" t="n"/>
      <c r="B772" s="29" t="n"/>
      <c r="C772" s="29" t="n"/>
      <c r="D772" s="29" t="n"/>
      <c r="E772" s="31" t="n"/>
      <c r="F772" s="29" t="n"/>
      <c r="G772" s="29" t="n"/>
      <c r="H772" s="35">
        <f>IF($A772="","",SUMIF(tblAkis[KaynakKartId],$A772,tblAkis[Tutar]))</f>
        <v/>
      </c>
      <c r="I772" s="35">
        <f>IF($A772="","",IFERROR(AVERAGEIF(tblAkis[KaynakKartId],$A772,tblAkis[YasGun]),0))</f>
        <v/>
      </c>
    </row>
    <row r="773">
      <c r="A773" s="29" t="n"/>
      <c r="B773" s="29" t="n"/>
      <c r="C773" s="29" t="n"/>
      <c r="D773" s="29" t="n"/>
      <c r="E773" s="31" t="n"/>
      <c r="F773" s="29" t="n"/>
      <c r="G773" s="29" t="n"/>
      <c r="H773" s="35">
        <f>IF($A773="","",SUMIF(tblAkis[KaynakKartId],$A773,tblAkis[Tutar]))</f>
        <v/>
      </c>
      <c r="I773" s="35">
        <f>IF($A773="","",IFERROR(AVERAGEIF(tblAkis[KaynakKartId],$A773,tblAkis[YasGun]),0))</f>
        <v/>
      </c>
    </row>
    <row r="774">
      <c r="A774" s="29" t="n"/>
      <c r="B774" s="29" t="n"/>
      <c r="C774" s="29" t="n"/>
      <c r="D774" s="29" t="n"/>
      <c r="E774" s="31" t="n"/>
      <c r="F774" s="29" t="n"/>
      <c r="G774" s="29" t="n"/>
      <c r="H774" s="35">
        <f>IF($A774="","",SUMIF(tblAkis[KaynakKartId],$A774,tblAkis[Tutar]))</f>
        <v/>
      </c>
      <c r="I774" s="35">
        <f>IF($A774="","",IFERROR(AVERAGEIF(tblAkis[KaynakKartId],$A774,tblAkis[YasGun]),0))</f>
        <v/>
      </c>
    </row>
    <row r="775">
      <c r="A775" s="29" t="n"/>
      <c r="B775" s="29" t="n"/>
      <c r="C775" s="29" t="n"/>
      <c r="D775" s="29" t="n"/>
      <c r="E775" s="31" t="n"/>
      <c r="F775" s="29" t="n"/>
      <c r="G775" s="29" t="n"/>
      <c r="H775" s="35">
        <f>IF($A775="","",SUMIF(tblAkis[KaynakKartId],$A775,tblAkis[Tutar]))</f>
        <v/>
      </c>
      <c r="I775" s="35">
        <f>IF($A775="","",IFERROR(AVERAGEIF(tblAkis[KaynakKartId],$A775,tblAkis[YasGun]),0))</f>
        <v/>
      </c>
    </row>
    <row r="776">
      <c r="A776" s="29" t="n"/>
      <c r="B776" s="29" t="n"/>
      <c r="C776" s="29" t="n"/>
      <c r="D776" s="29" t="n"/>
      <c r="E776" s="31" t="n"/>
      <c r="F776" s="29" t="n"/>
      <c r="G776" s="29" t="n"/>
      <c r="H776" s="35">
        <f>IF($A776="","",SUMIF(tblAkis[KaynakKartId],$A776,tblAkis[Tutar]))</f>
        <v/>
      </c>
      <c r="I776" s="35">
        <f>IF($A776="","",IFERROR(AVERAGEIF(tblAkis[KaynakKartId],$A776,tblAkis[YasGun]),0))</f>
        <v/>
      </c>
    </row>
    <row r="777">
      <c r="A777" s="29" t="n"/>
      <c r="B777" s="29" t="n"/>
      <c r="C777" s="29" t="n"/>
      <c r="D777" s="29" t="n"/>
      <c r="E777" s="31" t="n"/>
      <c r="F777" s="29" t="n"/>
      <c r="G777" s="29" t="n"/>
      <c r="H777" s="35">
        <f>IF($A777="","",SUMIF(tblAkis[KaynakKartId],$A777,tblAkis[Tutar]))</f>
        <v/>
      </c>
      <c r="I777" s="35">
        <f>IF($A777="","",IFERROR(AVERAGEIF(tblAkis[KaynakKartId],$A777,tblAkis[YasGun]),0))</f>
        <v/>
      </c>
    </row>
    <row r="778">
      <c r="A778" s="29" t="n"/>
      <c r="B778" s="29" t="n"/>
      <c r="C778" s="29" t="n"/>
      <c r="D778" s="29" t="n"/>
      <c r="E778" s="31" t="n"/>
      <c r="F778" s="29" t="n"/>
      <c r="G778" s="29" t="n"/>
      <c r="H778" s="35">
        <f>IF($A778="","",SUMIF(tblAkis[KaynakKartId],$A778,tblAkis[Tutar]))</f>
        <v/>
      </c>
      <c r="I778" s="35">
        <f>IF($A778="","",IFERROR(AVERAGEIF(tblAkis[KaynakKartId],$A778,tblAkis[YasGun]),0))</f>
        <v/>
      </c>
    </row>
    <row r="779">
      <c r="A779" s="29" t="n"/>
      <c r="B779" s="29" t="n"/>
      <c r="C779" s="29" t="n"/>
      <c r="D779" s="29" t="n"/>
      <c r="E779" s="31" t="n"/>
      <c r="F779" s="29" t="n"/>
      <c r="G779" s="29" t="n"/>
      <c r="H779" s="35">
        <f>IF($A779="","",SUMIF(tblAkis[KaynakKartId],$A779,tblAkis[Tutar]))</f>
        <v/>
      </c>
      <c r="I779" s="35">
        <f>IF($A779="","",IFERROR(AVERAGEIF(tblAkis[KaynakKartId],$A779,tblAkis[YasGun]),0))</f>
        <v/>
      </c>
    </row>
    <row r="780">
      <c r="A780" s="29" t="n"/>
      <c r="B780" s="29" t="n"/>
      <c r="C780" s="29" t="n"/>
      <c r="D780" s="29" t="n"/>
      <c r="E780" s="31" t="n"/>
      <c r="F780" s="29" t="n"/>
      <c r="G780" s="29" t="n"/>
      <c r="H780" s="35">
        <f>IF($A780="","",SUMIF(tblAkis[KaynakKartId],$A780,tblAkis[Tutar]))</f>
        <v/>
      </c>
      <c r="I780" s="35">
        <f>IF($A780="","",IFERROR(AVERAGEIF(tblAkis[KaynakKartId],$A780,tblAkis[YasGun]),0))</f>
        <v/>
      </c>
    </row>
    <row r="781">
      <c r="A781" s="29" t="n"/>
      <c r="B781" s="29" t="n"/>
      <c r="C781" s="29" t="n"/>
      <c r="D781" s="29" t="n"/>
      <c r="E781" s="31" t="n"/>
      <c r="F781" s="29" t="n"/>
      <c r="G781" s="29" t="n"/>
      <c r="H781" s="35">
        <f>IF($A781="","",SUMIF(tblAkis[KaynakKartId],$A781,tblAkis[Tutar]))</f>
        <v/>
      </c>
      <c r="I781" s="35">
        <f>IF($A781="","",IFERROR(AVERAGEIF(tblAkis[KaynakKartId],$A781,tblAkis[YasGun]),0))</f>
        <v/>
      </c>
    </row>
    <row r="782">
      <c r="A782" s="29" t="n"/>
      <c r="B782" s="29" t="n"/>
      <c r="C782" s="29" t="n"/>
      <c r="D782" s="29" t="n"/>
      <c r="E782" s="31" t="n"/>
      <c r="F782" s="29" t="n"/>
      <c r="G782" s="29" t="n"/>
      <c r="H782" s="35">
        <f>IF($A782="","",SUMIF(tblAkis[KaynakKartId],$A782,tblAkis[Tutar]))</f>
        <v/>
      </c>
      <c r="I782" s="35">
        <f>IF($A782="","",IFERROR(AVERAGEIF(tblAkis[KaynakKartId],$A782,tblAkis[YasGun]),0))</f>
        <v/>
      </c>
    </row>
    <row r="783">
      <c r="A783" s="29" t="n"/>
      <c r="B783" s="29" t="n"/>
      <c r="C783" s="29" t="n"/>
      <c r="D783" s="29" t="n"/>
      <c r="E783" s="31" t="n"/>
      <c r="F783" s="29" t="n"/>
      <c r="G783" s="29" t="n"/>
      <c r="H783" s="35">
        <f>IF($A783="","",SUMIF(tblAkis[KaynakKartId],$A783,tblAkis[Tutar]))</f>
        <v/>
      </c>
      <c r="I783" s="35">
        <f>IF($A783="","",IFERROR(AVERAGEIF(tblAkis[KaynakKartId],$A783,tblAkis[YasGun]),0))</f>
        <v/>
      </c>
    </row>
    <row r="784">
      <c r="A784" s="29" t="n"/>
      <c r="B784" s="29" t="n"/>
      <c r="C784" s="29" t="n"/>
      <c r="D784" s="29" t="n"/>
      <c r="E784" s="31" t="n"/>
      <c r="F784" s="29" t="n"/>
      <c r="G784" s="29" t="n"/>
      <c r="H784" s="35">
        <f>IF($A784="","",SUMIF(tblAkis[KaynakKartId],$A784,tblAkis[Tutar]))</f>
        <v/>
      </c>
      <c r="I784" s="35">
        <f>IF($A784="","",IFERROR(AVERAGEIF(tblAkis[KaynakKartId],$A784,tblAkis[YasGun]),0))</f>
        <v/>
      </c>
    </row>
    <row r="785">
      <c r="A785" s="29" t="n"/>
      <c r="B785" s="29" t="n"/>
      <c r="C785" s="29" t="n"/>
      <c r="D785" s="29" t="n"/>
      <c r="E785" s="31" t="n"/>
      <c r="F785" s="29" t="n"/>
      <c r="G785" s="29" t="n"/>
      <c r="H785" s="35">
        <f>IF($A785="","",SUMIF(tblAkis[KaynakKartId],$A785,tblAkis[Tutar]))</f>
        <v/>
      </c>
      <c r="I785" s="35">
        <f>IF($A785="","",IFERROR(AVERAGEIF(tblAkis[KaynakKartId],$A785,tblAkis[YasGun]),0))</f>
        <v/>
      </c>
    </row>
    <row r="786">
      <c r="A786" s="29" t="n"/>
      <c r="B786" s="29" t="n"/>
      <c r="C786" s="29" t="n"/>
      <c r="D786" s="29" t="n"/>
      <c r="E786" s="31" t="n"/>
      <c r="F786" s="29" t="n"/>
      <c r="G786" s="29" t="n"/>
      <c r="H786" s="35">
        <f>IF($A786="","",SUMIF(tblAkis[KaynakKartId],$A786,tblAkis[Tutar]))</f>
        <v/>
      </c>
      <c r="I786" s="35">
        <f>IF($A786="","",IFERROR(AVERAGEIF(tblAkis[KaynakKartId],$A786,tblAkis[YasGun]),0))</f>
        <v/>
      </c>
    </row>
    <row r="787">
      <c r="A787" s="29" t="n"/>
      <c r="B787" s="29" t="n"/>
      <c r="C787" s="29" t="n"/>
      <c r="D787" s="29" t="n"/>
      <c r="E787" s="31" t="n"/>
      <c r="F787" s="29" t="n"/>
      <c r="G787" s="29" t="n"/>
      <c r="H787" s="35">
        <f>IF($A787="","",SUMIF(tblAkis[KaynakKartId],$A787,tblAkis[Tutar]))</f>
        <v/>
      </c>
      <c r="I787" s="35">
        <f>IF($A787="","",IFERROR(AVERAGEIF(tblAkis[KaynakKartId],$A787,tblAkis[YasGun]),0))</f>
        <v/>
      </c>
    </row>
    <row r="788">
      <c r="A788" s="29" t="n"/>
      <c r="B788" s="29" t="n"/>
      <c r="C788" s="29" t="n"/>
      <c r="D788" s="29" t="n"/>
      <c r="E788" s="31" t="n"/>
      <c r="F788" s="29" t="n"/>
      <c r="G788" s="29" t="n"/>
      <c r="H788" s="35">
        <f>IF($A788="","",SUMIF(tblAkis[KaynakKartId],$A788,tblAkis[Tutar]))</f>
        <v/>
      </c>
      <c r="I788" s="35">
        <f>IF($A788="","",IFERROR(AVERAGEIF(tblAkis[KaynakKartId],$A788,tblAkis[YasGun]),0))</f>
        <v/>
      </c>
    </row>
    <row r="789">
      <c r="A789" s="29" t="n"/>
      <c r="B789" s="29" t="n"/>
      <c r="C789" s="29" t="n"/>
      <c r="D789" s="29" t="n"/>
      <c r="E789" s="31" t="n"/>
      <c r="F789" s="29" t="n"/>
      <c r="G789" s="29" t="n"/>
      <c r="H789" s="35">
        <f>IF($A789="","",SUMIF(tblAkis[KaynakKartId],$A789,tblAkis[Tutar]))</f>
        <v/>
      </c>
      <c r="I789" s="35">
        <f>IF($A789="","",IFERROR(AVERAGEIF(tblAkis[KaynakKartId],$A789,tblAkis[YasGun]),0))</f>
        <v/>
      </c>
    </row>
    <row r="790">
      <c r="A790" s="29" t="n"/>
      <c r="B790" s="29" t="n"/>
      <c r="C790" s="29" t="n"/>
      <c r="D790" s="29" t="n"/>
      <c r="E790" s="31" t="n"/>
      <c r="F790" s="29" t="n"/>
      <c r="G790" s="29" t="n"/>
      <c r="H790" s="35">
        <f>IF($A790="","",SUMIF(tblAkis[KaynakKartId],$A790,tblAkis[Tutar]))</f>
        <v/>
      </c>
      <c r="I790" s="35">
        <f>IF($A790="","",IFERROR(AVERAGEIF(tblAkis[KaynakKartId],$A790,tblAkis[YasGun]),0))</f>
        <v/>
      </c>
    </row>
    <row r="791">
      <c r="A791" s="29" t="n"/>
      <c r="B791" s="29" t="n"/>
      <c r="C791" s="29" t="n"/>
      <c r="D791" s="29" t="n"/>
      <c r="E791" s="31" t="n"/>
      <c r="F791" s="29" t="n"/>
      <c r="G791" s="29" t="n"/>
      <c r="H791" s="35">
        <f>IF($A791="","",SUMIF(tblAkis[KaynakKartId],$A791,tblAkis[Tutar]))</f>
        <v/>
      </c>
      <c r="I791" s="35">
        <f>IF($A791="","",IFERROR(AVERAGEIF(tblAkis[KaynakKartId],$A791,tblAkis[YasGun]),0))</f>
        <v/>
      </c>
    </row>
    <row r="792">
      <c r="A792" s="29" t="n"/>
      <c r="B792" s="29" t="n"/>
      <c r="C792" s="29" t="n"/>
      <c r="D792" s="29" t="n"/>
      <c r="E792" s="31" t="n"/>
      <c r="F792" s="29" t="n"/>
      <c r="G792" s="29" t="n"/>
      <c r="H792" s="35">
        <f>IF($A792="","",SUMIF(tblAkis[KaynakKartId],$A792,tblAkis[Tutar]))</f>
        <v/>
      </c>
      <c r="I792" s="35">
        <f>IF($A792="","",IFERROR(AVERAGEIF(tblAkis[KaynakKartId],$A792,tblAkis[YasGun]),0))</f>
        <v/>
      </c>
    </row>
    <row r="793">
      <c r="A793" s="29" t="n"/>
      <c r="B793" s="29" t="n"/>
      <c r="C793" s="29" t="n"/>
      <c r="D793" s="29" t="n"/>
      <c r="E793" s="31" t="n"/>
      <c r="F793" s="29" t="n"/>
      <c r="G793" s="29" t="n"/>
      <c r="H793" s="35">
        <f>IF($A793="","",SUMIF(tblAkis[KaynakKartId],$A793,tblAkis[Tutar]))</f>
        <v/>
      </c>
      <c r="I793" s="35">
        <f>IF($A793="","",IFERROR(AVERAGEIF(tblAkis[KaynakKartId],$A793,tblAkis[YasGun]),0))</f>
        <v/>
      </c>
    </row>
    <row r="794">
      <c r="A794" s="29" t="n"/>
      <c r="B794" s="29" t="n"/>
      <c r="C794" s="29" t="n"/>
      <c r="D794" s="29" t="n"/>
      <c r="E794" s="31" t="n"/>
      <c r="F794" s="29" t="n"/>
      <c r="G794" s="29" t="n"/>
      <c r="H794" s="35">
        <f>IF($A794="","",SUMIF(tblAkis[KaynakKartId],$A794,tblAkis[Tutar]))</f>
        <v/>
      </c>
      <c r="I794" s="35">
        <f>IF($A794="","",IFERROR(AVERAGEIF(tblAkis[KaynakKartId],$A794,tblAkis[YasGun]),0))</f>
        <v/>
      </c>
    </row>
    <row r="795">
      <c r="A795" s="29" t="n"/>
      <c r="B795" s="29" t="n"/>
      <c r="C795" s="29" t="n"/>
      <c r="D795" s="29" t="n"/>
      <c r="E795" s="31" t="n"/>
      <c r="F795" s="29" t="n"/>
      <c r="G795" s="29" t="n"/>
      <c r="H795" s="35">
        <f>IF($A795="","",SUMIF(tblAkis[KaynakKartId],$A795,tblAkis[Tutar]))</f>
        <v/>
      </c>
      <c r="I795" s="35">
        <f>IF($A795="","",IFERROR(AVERAGEIF(tblAkis[KaynakKartId],$A795,tblAkis[YasGun]),0))</f>
        <v/>
      </c>
    </row>
    <row r="796">
      <c r="A796" s="29" t="n"/>
      <c r="B796" s="29" t="n"/>
      <c r="C796" s="29" t="n"/>
      <c r="D796" s="29" t="n"/>
      <c r="E796" s="31" t="n"/>
      <c r="F796" s="29" t="n"/>
      <c r="G796" s="29" t="n"/>
      <c r="H796" s="35">
        <f>IF($A796="","",SUMIF(tblAkis[KaynakKartId],$A796,tblAkis[Tutar]))</f>
        <v/>
      </c>
      <c r="I796" s="35">
        <f>IF($A796="","",IFERROR(AVERAGEIF(tblAkis[KaynakKartId],$A796,tblAkis[YasGun]),0))</f>
        <v/>
      </c>
    </row>
    <row r="797">
      <c r="A797" s="29" t="n"/>
      <c r="B797" s="29" t="n"/>
      <c r="C797" s="29" t="n"/>
      <c r="D797" s="29" t="n"/>
      <c r="E797" s="31" t="n"/>
      <c r="F797" s="29" t="n"/>
      <c r="G797" s="29" t="n"/>
      <c r="H797" s="35">
        <f>IF($A797="","",SUMIF(tblAkis[KaynakKartId],$A797,tblAkis[Tutar]))</f>
        <v/>
      </c>
      <c r="I797" s="35">
        <f>IF($A797="","",IFERROR(AVERAGEIF(tblAkis[KaynakKartId],$A797,tblAkis[YasGun]),0))</f>
        <v/>
      </c>
    </row>
    <row r="798">
      <c r="A798" s="29" t="n"/>
      <c r="B798" s="29" t="n"/>
      <c r="C798" s="29" t="n"/>
      <c r="D798" s="29" t="n"/>
      <c r="E798" s="31" t="n"/>
      <c r="F798" s="29" t="n"/>
      <c r="G798" s="29" t="n"/>
      <c r="H798" s="35">
        <f>IF($A798="","",SUMIF(tblAkis[KaynakKartId],$A798,tblAkis[Tutar]))</f>
        <v/>
      </c>
      <c r="I798" s="35">
        <f>IF($A798="","",IFERROR(AVERAGEIF(tblAkis[KaynakKartId],$A798,tblAkis[YasGun]),0))</f>
        <v/>
      </c>
    </row>
    <row r="799">
      <c r="A799" s="29" t="n"/>
      <c r="B799" s="29" t="n"/>
      <c r="C799" s="29" t="n"/>
      <c r="D799" s="29" t="n"/>
      <c r="E799" s="31" t="n"/>
      <c r="F799" s="29" t="n"/>
      <c r="G799" s="29" t="n"/>
      <c r="H799" s="35">
        <f>IF($A799="","",SUMIF(tblAkis[KaynakKartId],$A799,tblAkis[Tutar]))</f>
        <v/>
      </c>
      <c r="I799" s="35">
        <f>IF($A799="","",IFERROR(AVERAGEIF(tblAkis[KaynakKartId],$A799,tblAkis[YasGun]),0))</f>
        <v/>
      </c>
    </row>
    <row r="800">
      <c r="A800" s="29" t="n"/>
      <c r="B800" s="29" t="n"/>
      <c r="C800" s="29" t="n"/>
      <c r="D800" s="29" t="n"/>
      <c r="E800" s="31" t="n"/>
      <c r="F800" s="29" t="n"/>
      <c r="G800" s="29" t="n"/>
      <c r="H800" s="35">
        <f>IF($A800="","",SUMIF(tblAkis[KaynakKartId],$A800,tblAkis[Tutar]))</f>
        <v/>
      </c>
      <c r="I800" s="35">
        <f>IF($A800="","",IFERROR(AVERAGEIF(tblAkis[KaynakKartId],$A800,tblAkis[YasGun]),0))</f>
        <v/>
      </c>
    </row>
    <row r="801">
      <c r="A801" s="29" t="n"/>
      <c r="B801" s="29" t="n"/>
      <c r="C801" s="29" t="n"/>
      <c r="D801" s="29" t="n"/>
      <c r="E801" s="31" t="n"/>
      <c r="F801" s="29" t="n"/>
      <c r="G801" s="29" t="n"/>
      <c r="H801" s="35">
        <f>IF($A801="","",SUMIF(tblAkis[KaynakKartId],$A801,tblAkis[Tutar]))</f>
        <v/>
      </c>
      <c r="I801" s="35">
        <f>IF($A801="","",IFERROR(AVERAGEIF(tblAkis[KaynakKartId],$A801,tblAkis[YasGun]),0))</f>
        <v/>
      </c>
    </row>
    <row r="802">
      <c r="A802" s="29" t="n"/>
      <c r="B802" s="29" t="n"/>
      <c r="C802" s="29" t="n"/>
      <c r="D802" s="29" t="n"/>
      <c r="E802" s="31" t="n"/>
      <c r="F802" s="29" t="n"/>
      <c r="G802" s="29" t="n"/>
      <c r="H802" s="35">
        <f>IF($A802="","",SUMIF(tblAkis[KaynakKartId],$A802,tblAkis[Tutar]))</f>
        <v/>
      </c>
      <c r="I802" s="35">
        <f>IF($A802="","",IFERROR(AVERAGEIF(tblAkis[KaynakKartId],$A802,tblAkis[YasGun]),0))</f>
        <v/>
      </c>
    </row>
    <row r="803">
      <c r="A803" s="29" t="n"/>
      <c r="B803" s="29" t="n"/>
      <c r="C803" s="29" t="n"/>
      <c r="D803" s="29" t="n"/>
      <c r="E803" s="31" t="n"/>
      <c r="F803" s="29" t="n"/>
      <c r="G803" s="29" t="n"/>
      <c r="H803" s="35">
        <f>IF($A803="","",SUMIF(tblAkis[KaynakKartId],$A803,tblAkis[Tutar]))</f>
        <v/>
      </c>
      <c r="I803" s="35">
        <f>IF($A803="","",IFERROR(AVERAGEIF(tblAkis[KaynakKartId],$A803,tblAkis[YasGun]),0))</f>
        <v/>
      </c>
    </row>
    <row r="804">
      <c r="A804" s="29" t="n"/>
      <c r="B804" s="29" t="n"/>
      <c r="C804" s="29" t="n"/>
      <c r="D804" s="29" t="n"/>
      <c r="E804" s="31" t="n"/>
      <c r="F804" s="29" t="n"/>
      <c r="G804" s="29" t="n"/>
      <c r="H804" s="35">
        <f>IF($A804="","",SUMIF(tblAkis[KaynakKartId],$A804,tblAkis[Tutar]))</f>
        <v/>
      </c>
      <c r="I804" s="35">
        <f>IF($A804="","",IFERROR(AVERAGEIF(tblAkis[KaynakKartId],$A804,tblAkis[YasGun]),0))</f>
        <v/>
      </c>
    </row>
    <row r="805">
      <c r="A805" s="29" t="n"/>
      <c r="B805" s="29" t="n"/>
      <c r="C805" s="29" t="n"/>
      <c r="D805" s="29" t="n"/>
      <c r="E805" s="31" t="n"/>
      <c r="F805" s="29" t="n"/>
      <c r="G805" s="29" t="n"/>
      <c r="H805" s="35">
        <f>IF($A805="","",SUMIF(tblAkis[KaynakKartId],$A805,tblAkis[Tutar]))</f>
        <v/>
      </c>
      <c r="I805" s="35">
        <f>IF($A805="","",IFERROR(AVERAGEIF(tblAkis[KaynakKartId],$A805,tblAkis[YasGun]),0))</f>
        <v/>
      </c>
    </row>
    <row r="806">
      <c r="A806" s="29" t="n"/>
      <c r="B806" s="29" t="n"/>
      <c r="C806" s="29" t="n"/>
      <c r="D806" s="29" t="n"/>
      <c r="E806" s="31" t="n"/>
      <c r="F806" s="29" t="n"/>
      <c r="G806" s="29" t="n"/>
      <c r="H806" s="35">
        <f>IF($A806="","",SUMIF(tblAkis[KaynakKartId],$A806,tblAkis[Tutar]))</f>
        <v/>
      </c>
      <c r="I806" s="35">
        <f>IF($A806="","",IFERROR(AVERAGEIF(tblAkis[KaynakKartId],$A806,tblAkis[YasGun]),0))</f>
        <v/>
      </c>
    </row>
    <row r="807">
      <c r="A807" s="29" t="n"/>
      <c r="B807" s="29" t="n"/>
      <c r="C807" s="29" t="n"/>
      <c r="D807" s="29" t="n"/>
      <c r="E807" s="31" t="n"/>
      <c r="F807" s="29" t="n"/>
      <c r="G807" s="29" t="n"/>
      <c r="H807" s="35">
        <f>IF($A807="","",SUMIF(tblAkis[KaynakKartId],$A807,tblAkis[Tutar]))</f>
        <v/>
      </c>
      <c r="I807" s="35">
        <f>IF($A807="","",IFERROR(AVERAGEIF(tblAkis[KaynakKartId],$A807,tblAkis[YasGun]),0))</f>
        <v/>
      </c>
    </row>
    <row r="808">
      <c r="A808" s="29" t="n"/>
      <c r="B808" s="29" t="n"/>
      <c r="C808" s="29" t="n"/>
      <c r="D808" s="29" t="n"/>
      <c r="E808" s="31" t="n"/>
      <c r="F808" s="29" t="n"/>
      <c r="G808" s="29" t="n"/>
      <c r="H808" s="35">
        <f>IF($A808="","",SUMIF(tblAkis[KaynakKartId],$A808,tblAkis[Tutar]))</f>
        <v/>
      </c>
      <c r="I808" s="35">
        <f>IF($A808="","",IFERROR(AVERAGEIF(tblAkis[KaynakKartId],$A808,tblAkis[YasGun]),0))</f>
        <v/>
      </c>
    </row>
    <row r="809">
      <c r="A809" s="29" t="n"/>
      <c r="B809" s="29" t="n"/>
      <c r="C809" s="29" t="n"/>
      <c r="D809" s="29" t="n"/>
      <c r="E809" s="31" t="n"/>
      <c r="F809" s="29" t="n"/>
      <c r="G809" s="29" t="n"/>
      <c r="H809" s="35">
        <f>IF($A809="","",SUMIF(tblAkis[KaynakKartId],$A809,tblAkis[Tutar]))</f>
        <v/>
      </c>
      <c r="I809" s="35">
        <f>IF($A809="","",IFERROR(AVERAGEIF(tblAkis[KaynakKartId],$A809,tblAkis[YasGun]),0))</f>
        <v/>
      </c>
    </row>
    <row r="810">
      <c r="A810" s="29" t="n"/>
      <c r="B810" s="29" t="n"/>
      <c r="C810" s="29" t="n"/>
      <c r="D810" s="29" t="n"/>
      <c r="E810" s="31" t="n"/>
      <c r="F810" s="29" t="n"/>
      <c r="G810" s="29" t="n"/>
      <c r="H810" s="35">
        <f>IF($A810="","",SUMIF(tblAkis[KaynakKartId],$A810,tblAkis[Tutar]))</f>
        <v/>
      </c>
      <c r="I810" s="35">
        <f>IF($A810="","",IFERROR(AVERAGEIF(tblAkis[KaynakKartId],$A810,tblAkis[YasGun]),0))</f>
        <v/>
      </c>
    </row>
    <row r="811">
      <c r="A811" s="29" t="n"/>
      <c r="B811" s="29" t="n"/>
      <c r="C811" s="29" t="n"/>
      <c r="D811" s="29" t="n"/>
      <c r="E811" s="31" t="n"/>
      <c r="F811" s="29" t="n"/>
      <c r="G811" s="29" t="n"/>
      <c r="H811" s="35">
        <f>IF($A811="","",SUMIF(tblAkis[KaynakKartId],$A811,tblAkis[Tutar]))</f>
        <v/>
      </c>
      <c r="I811" s="35">
        <f>IF($A811="","",IFERROR(AVERAGEIF(tblAkis[KaynakKartId],$A811,tblAkis[YasGun]),0))</f>
        <v/>
      </c>
    </row>
    <row r="812">
      <c r="A812" s="29" t="n"/>
      <c r="B812" s="29" t="n"/>
      <c r="C812" s="29" t="n"/>
      <c r="D812" s="29" t="n"/>
      <c r="E812" s="31" t="n"/>
      <c r="F812" s="29" t="n"/>
      <c r="G812" s="29" t="n"/>
      <c r="H812" s="35">
        <f>IF($A812="","",SUMIF(tblAkis[KaynakKartId],$A812,tblAkis[Tutar]))</f>
        <v/>
      </c>
      <c r="I812" s="35">
        <f>IF($A812="","",IFERROR(AVERAGEIF(tblAkis[KaynakKartId],$A812,tblAkis[YasGun]),0))</f>
        <v/>
      </c>
    </row>
    <row r="813">
      <c r="A813" s="29" t="n"/>
      <c r="B813" s="29" t="n"/>
      <c r="C813" s="29" t="n"/>
      <c r="D813" s="29" t="n"/>
      <c r="E813" s="31" t="n"/>
      <c r="F813" s="29" t="n"/>
      <c r="G813" s="29" t="n"/>
      <c r="H813" s="35">
        <f>IF($A813="","",SUMIF(tblAkis[KaynakKartId],$A813,tblAkis[Tutar]))</f>
        <v/>
      </c>
      <c r="I813" s="35">
        <f>IF($A813="","",IFERROR(AVERAGEIF(tblAkis[KaynakKartId],$A813,tblAkis[YasGun]),0))</f>
        <v/>
      </c>
    </row>
    <row r="814">
      <c r="A814" s="29" t="n"/>
      <c r="B814" s="29" t="n"/>
      <c r="C814" s="29" t="n"/>
      <c r="D814" s="29" t="n"/>
      <c r="E814" s="31" t="n"/>
      <c r="F814" s="29" t="n"/>
      <c r="G814" s="29" t="n"/>
      <c r="H814" s="35">
        <f>IF($A814="","",SUMIF(tblAkis[KaynakKartId],$A814,tblAkis[Tutar]))</f>
        <v/>
      </c>
      <c r="I814" s="35">
        <f>IF($A814="","",IFERROR(AVERAGEIF(tblAkis[KaynakKartId],$A814,tblAkis[YasGun]),0))</f>
        <v/>
      </c>
    </row>
    <row r="815">
      <c r="A815" s="29" t="n"/>
      <c r="B815" s="29" t="n"/>
      <c r="C815" s="29" t="n"/>
      <c r="D815" s="29" t="n"/>
      <c r="E815" s="31" t="n"/>
      <c r="F815" s="29" t="n"/>
      <c r="G815" s="29" t="n"/>
      <c r="H815" s="35">
        <f>IF($A815="","",SUMIF(tblAkis[KaynakKartId],$A815,tblAkis[Tutar]))</f>
        <v/>
      </c>
      <c r="I815" s="35">
        <f>IF($A815="","",IFERROR(AVERAGEIF(tblAkis[KaynakKartId],$A815,tblAkis[YasGun]),0))</f>
        <v/>
      </c>
    </row>
    <row r="816">
      <c r="A816" s="29" t="n"/>
      <c r="B816" s="29" t="n"/>
      <c r="C816" s="29" t="n"/>
      <c r="D816" s="29" t="n"/>
      <c r="E816" s="31" t="n"/>
      <c r="F816" s="29" t="n"/>
      <c r="G816" s="29" t="n"/>
      <c r="H816" s="35">
        <f>IF($A816="","",SUMIF(tblAkis[KaynakKartId],$A816,tblAkis[Tutar]))</f>
        <v/>
      </c>
      <c r="I816" s="35">
        <f>IF($A816="","",IFERROR(AVERAGEIF(tblAkis[KaynakKartId],$A816,tblAkis[YasGun]),0))</f>
        <v/>
      </c>
    </row>
    <row r="817">
      <c r="A817" s="29" t="n"/>
      <c r="B817" s="29" t="n"/>
      <c r="C817" s="29" t="n"/>
      <c r="D817" s="29" t="n"/>
      <c r="E817" s="31" t="n"/>
      <c r="F817" s="29" t="n"/>
      <c r="G817" s="29" t="n"/>
      <c r="H817" s="35">
        <f>IF($A817="","",SUMIF(tblAkis[KaynakKartId],$A817,tblAkis[Tutar]))</f>
        <v/>
      </c>
      <c r="I817" s="35">
        <f>IF($A817="","",IFERROR(AVERAGEIF(tblAkis[KaynakKartId],$A817,tblAkis[YasGun]),0))</f>
        <v/>
      </c>
    </row>
    <row r="818">
      <c r="A818" s="29" t="n"/>
      <c r="B818" s="29" t="n"/>
      <c r="C818" s="29" t="n"/>
      <c r="D818" s="29" t="n"/>
      <c r="E818" s="31" t="n"/>
      <c r="F818" s="29" t="n"/>
      <c r="G818" s="29" t="n"/>
      <c r="H818" s="35">
        <f>IF($A818="","",SUMIF(tblAkis[KaynakKartId],$A818,tblAkis[Tutar]))</f>
        <v/>
      </c>
      <c r="I818" s="35">
        <f>IF($A818="","",IFERROR(AVERAGEIF(tblAkis[KaynakKartId],$A818,tblAkis[YasGun]),0))</f>
        <v/>
      </c>
    </row>
    <row r="819">
      <c r="A819" s="29" t="n"/>
      <c r="B819" s="29" t="n"/>
      <c r="C819" s="29" t="n"/>
      <c r="D819" s="29" t="n"/>
      <c r="E819" s="31" t="n"/>
      <c r="F819" s="29" t="n"/>
      <c r="G819" s="29" t="n"/>
      <c r="H819" s="35">
        <f>IF($A819="","",SUMIF(tblAkis[KaynakKartId],$A819,tblAkis[Tutar]))</f>
        <v/>
      </c>
      <c r="I819" s="35">
        <f>IF($A819="","",IFERROR(AVERAGEIF(tblAkis[KaynakKartId],$A819,tblAkis[YasGun]),0))</f>
        <v/>
      </c>
    </row>
    <row r="820">
      <c r="A820" s="29" t="n"/>
      <c r="B820" s="29" t="n"/>
      <c r="C820" s="29" t="n"/>
      <c r="D820" s="29" t="n"/>
      <c r="E820" s="31" t="n"/>
      <c r="F820" s="29" t="n"/>
      <c r="G820" s="29" t="n"/>
      <c r="H820" s="35">
        <f>IF($A820="","",SUMIF(tblAkis[KaynakKartId],$A820,tblAkis[Tutar]))</f>
        <v/>
      </c>
      <c r="I820" s="35">
        <f>IF($A820="","",IFERROR(AVERAGEIF(tblAkis[KaynakKartId],$A820,tblAkis[YasGun]),0))</f>
        <v/>
      </c>
    </row>
    <row r="821">
      <c r="A821" s="29" t="n"/>
      <c r="B821" s="29" t="n"/>
      <c r="C821" s="29" t="n"/>
      <c r="D821" s="29" t="n"/>
      <c r="E821" s="31" t="n"/>
      <c r="F821" s="29" t="n"/>
      <c r="G821" s="29" t="n"/>
      <c r="H821" s="35">
        <f>IF($A821="","",SUMIF(tblAkis[KaynakKartId],$A821,tblAkis[Tutar]))</f>
        <v/>
      </c>
      <c r="I821" s="35">
        <f>IF($A821="","",IFERROR(AVERAGEIF(tblAkis[KaynakKartId],$A821,tblAkis[YasGun]),0))</f>
        <v/>
      </c>
    </row>
    <row r="822">
      <c r="A822" s="29" t="n"/>
      <c r="B822" s="29" t="n"/>
      <c r="C822" s="29" t="n"/>
      <c r="D822" s="29" t="n"/>
      <c r="E822" s="31" t="n"/>
      <c r="F822" s="29" t="n"/>
      <c r="G822" s="29" t="n"/>
      <c r="H822" s="35">
        <f>IF($A822="","",SUMIF(tblAkis[KaynakKartId],$A822,tblAkis[Tutar]))</f>
        <v/>
      </c>
      <c r="I822" s="35">
        <f>IF($A822="","",IFERROR(AVERAGEIF(tblAkis[KaynakKartId],$A822,tblAkis[YasGun]),0))</f>
        <v/>
      </c>
    </row>
    <row r="823">
      <c r="A823" s="29" t="n"/>
      <c r="B823" s="29" t="n"/>
      <c r="C823" s="29" t="n"/>
      <c r="D823" s="29" t="n"/>
      <c r="E823" s="31" t="n"/>
      <c r="F823" s="29" t="n"/>
      <c r="G823" s="29" t="n"/>
      <c r="H823" s="35">
        <f>IF($A823="","",SUMIF(tblAkis[KaynakKartId],$A823,tblAkis[Tutar]))</f>
        <v/>
      </c>
      <c r="I823" s="35">
        <f>IF($A823="","",IFERROR(AVERAGEIF(tblAkis[KaynakKartId],$A823,tblAkis[YasGun]),0))</f>
        <v/>
      </c>
    </row>
    <row r="824">
      <c r="A824" s="29" t="n"/>
      <c r="B824" s="29" t="n"/>
      <c r="C824" s="29" t="n"/>
      <c r="D824" s="29" t="n"/>
      <c r="E824" s="31" t="n"/>
      <c r="F824" s="29" t="n"/>
      <c r="G824" s="29" t="n"/>
      <c r="H824" s="35">
        <f>IF($A824="","",SUMIF(tblAkis[KaynakKartId],$A824,tblAkis[Tutar]))</f>
        <v/>
      </c>
      <c r="I824" s="35">
        <f>IF($A824="","",IFERROR(AVERAGEIF(tblAkis[KaynakKartId],$A824,tblAkis[YasGun]),0))</f>
        <v/>
      </c>
    </row>
    <row r="825">
      <c r="A825" s="29" t="n"/>
      <c r="B825" s="29" t="n"/>
      <c r="C825" s="29" t="n"/>
      <c r="D825" s="29" t="n"/>
      <c r="E825" s="31" t="n"/>
      <c r="F825" s="29" t="n"/>
      <c r="G825" s="29" t="n"/>
      <c r="H825" s="35">
        <f>IF($A825="","",SUMIF(tblAkis[KaynakKartId],$A825,tblAkis[Tutar]))</f>
        <v/>
      </c>
      <c r="I825" s="35">
        <f>IF($A825="","",IFERROR(AVERAGEIF(tblAkis[KaynakKartId],$A825,tblAkis[YasGun]),0))</f>
        <v/>
      </c>
    </row>
    <row r="826">
      <c r="A826" s="29" t="n"/>
      <c r="B826" s="29" t="n"/>
      <c r="C826" s="29" t="n"/>
      <c r="D826" s="29" t="n"/>
      <c r="E826" s="31" t="n"/>
      <c r="F826" s="29" t="n"/>
      <c r="G826" s="29" t="n"/>
      <c r="H826" s="35">
        <f>IF($A826="","",SUMIF(tblAkis[KaynakKartId],$A826,tblAkis[Tutar]))</f>
        <v/>
      </c>
      <c r="I826" s="35">
        <f>IF($A826="","",IFERROR(AVERAGEIF(tblAkis[KaynakKartId],$A826,tblAkis[YasGun]),0))</f>
        <v/>
      </c>
    </row>
    <row r="827">
      <c r="A827" s="29" t="n"/>
      <c r="B827" s="29" t="n"/>
      <c r="C827" s="29" t="n"/>
      <c r="D827" s="29" t="n"/>
      <c r="E827" s="31" t="n"/>
      <c r="F827" s="29" t="n"/>
      <c r="G827" s="29" t="n"/>
      <c r="H827" s="35">
        <f>IF($A827="","",SUMIF(tblAkis[KaynakKartId],$A827,tblAkis[Tutar]))</f>
        <v/>
      </c>
      <c r="I827" s="35">
        <f>IF($A827="","",IFERROR(AVERAGEIF(tblAkis[KaynakKartId],$A827,tblAkis[YasGun]),0))</f>
        <v/>
      </c>
    </row>
    <row r="828">
      <c r="A828" s="29" t="n"/>
      <c r="B828" s="29" t="n"/>
      <c r="C828" s="29" t="n"/>
      <c r="D828" s="29" t="n"/>
      <c r="E828" s="31" t="n"/>
      <c r="F828" s="29" t="n"/>
      <c r="G828" s="29" t="n"/>
      <c r="H828" s="35">
        <f>IF($A828="","",SUMIF(tblAkis[KaynakKartId],$A828,tblAkis[Tutar]))</f>
        <v/>
      </c>
      <c r="I828" s="35">
        <f>IF($A828="","",IFERROR(AVERAGEIF(tblAkis[KaynakKartId],$A828,tblAkis[YasGun]),0))</f>
        <v/>
      </c>
    </row>
    <row r="829">
      <c r="A829" s="29" t="n"/>
      <c r="B829" s="29" t="n"/>
      <c r="C829" s="29" t="n"/>
      <c r="D829" s="29" t="n"/>
      <c r="E829" s="31" t="n"/>
      <c r="F829" s="29" t="n"/>
      <c r="G829" s="29" t="n"/>
      <c r="H829" s="35">
        <f>IF($A829="","",SUMIF(tblAkis[KaynakKartId],$A829,tblAkis[Tutar]))</f>
        <v/>
      </c>
      <c r="I829" s="35">
        <f>IF($A829="","",IFERROR(AVERAGEIF(tblAkis[KaynakKartId],$A829,tblAkis[YasGun]),0))</f>
        <v/>
      </c>
    </row>
    <row r="830">
      <c r="A830" s="29" t="n"/>
      <c r="B830" s="29" t="n"/>
      <c r="C830" s="29" t="n"/>
      <c r="D830" s="29" t="n"/>
      <c r="E830" s="31" t="n"/>
      <c r="F830" s="29" t="n"/>
      <c r="G830" s="29" t="n"/>
      <c r="H830" s="35">
        <f>IF($A830="","",SUMIF(tblAkis[KaynakKartId],$A830,tblAkis[Tutar]))</f>
        <v/>
      </c>
      <c r="I830" s="35">
        <f>IF($A830="","",IFERROR(AVERAGEIF(tblAkis[KaynakKartId],$A830,tblAkis[YasGun]),0))</f>
        <v/>
      </c>
    </row>
    <row r="831">
      <c r="A831" s="29" t="n"/>
      <c r="B831" s="29" t="n"/>
      <c r="C831" s="29" t="n"/>
      <c r="D831" s="29" t="n"/>
      <c r="E831" s="31" t="n"/>
      <c r="F831" s="29" t="n"/>
      <c r="G831" s="29" t="n"/>
      <c r="H831" s="35">
        <f>IF($A831="","",SUMIF(tblAkis[KaynakKartId],$A831,tblAkis[Tutar]))</f>
        <v/>
      </c>
      <c r="I831" s="35">
        <f>IF($A831="","",IFERROR(AVERAGEIF(tblAkis[KaynakKartId],$A831,tblAkis[YasGun]),0))</f>
        <v/>
      </c>
    </row>
    <row r="832">
      <c r="A832" s="29" t="n"/>
      <c r="B832" s="29" t="n"/>
      <c r="C832" s="29" t="n"/>
      <c r="D832" s="29" t="n"/>
      <c r="E832" s="31" t="n"/>
      <c r="F832" s="29" t="n"/>
      <c r="G832" s="29" t="n"/>
      <c r="H832" s="35">
        <f>IF($A832="","",SUMIF(tblAkis[KaynakKartId],$A832,tblAkis[Tutar]))</f>
        <v/>
      </c>
      <c r="I832" s="35">
        <f>IF($A832="","",IFERROR(AVERAGEIF(tblAkis[KaynakKartId],$A832,tblAkis[YasGun]),0))</f>
        <v/>
      </c>
    </row>
    <row r="833">
      <c r="A833" s="29" t="n"/>
      <c r="B833" s="29" t="n"/>
      <c r="C833" s="29" t="n"/>
      <c r="D833" s="29" t="n"/>
      <c r="E833" s="31" t="n"/>
      <c r="F833" s="29" t="n"/>
      <c r="G833" s="29" t="n"/>
      <c r="H833" s="35">
        <f>IF($A833="","",SUMIF(tblAkis[KaynakKartId],$A833,tblAkis[Tutar]))</f>
        <v/>
      </c>
      <c r="I833" s="35">
        <f>IF($A833="","",IFERROR(AVERAGEIF(tblAkis[KaynakKartId],$A833,tblAkis[YasGun]),0))</f>
        <v/>
      </c>
    </row>
    <row r="834">
      <c r="A834" s="29" t="n"/>
      <c r="B834" s="29" t="n"/>
      <c r="C834" s="29" t="n"/>
      <c r="D834" s="29" t="n"/>
      <c r="E834" s="31" t="n"/>
      <c r="F834" s="29" t="n"/>
      <c r="G834" s="29" t="n"/>
      <c r="H834" s="35">
        <f>IF($A834="","",SUMIF(tblAkis[KaynakKartId],$A834,tblAkis[Tutar]))</f>
        <v/>
      </c>
      <c r="I834" s="35">
        <f>IF($A834="","",IFERROR(AVERAGEIF(tblAkis[KaynakKartId],$A834,tblAkis[YasGun]),0))</f>
        <v/>
      </c>
    </row>
    <row r="835">
      <c r="A835" s="29" t="n"/>
      <c r="B835" s="29" t="n"/>
      <c r="C835" s="29" t="n"/>
      <c r="D835" s="29" t="n"/>
      <c r="E835" s="31" t="n"/>
      <c r="F835" s="29" t="n"/>
      <c r="G835" s="29" t="n"/>
      <c r="H835" s="35">
        <f>IF($A835="","",SUMIF(tblAkis[KaynakKartId],$A835,tblAkis[Tutar]))</f>
        <v/>
      </c>
      <c r="I835" s="35">
        <f>IF($A835="","",IFERROR(AVERAGEIF(tblAkis[KaynakKartId],$A835,tblAkis[YasGun]),0))</f>
        <v/>
      </c>
    </row>
    <row r="836">
      <c r="A836" s="29" t="n"/>
      <c r="B836" s="29" t="n"/>
      <c r="C836" s="29" t="n"/>
      <c r="D836" s="29" t="n"/>
      <c r="E836" s="31" t="n"/>
      <c r="F836" s="29" t="n"/>
      <c r="G836" s="29" t="n"/>
      <c r="H836" s="35">
        <f>IF($A836="","",SUMIF(tblAkis[KaynakKartId],$A836,tblAkis[Tutar]))</f>
        <v/>
      </c>
      <c r="I836" s="35">
        <f>IF($A836="","",IFERROR(AVERAGEIF(tblAkis[KaynakKartId],$A836,tblAkis[YasGun]),0))</f>
        <v/>
      </c>
    </row>
    <row r="837">
      <c r="A837" s="29" t="n"/>
      <c r="B837" s="29" t="n"/>
      <c r="C837" s="29" t="n"/>
      <c r="D837" s="29" t="n"/>
      <c r="E837" s="31" t="n"/>
      <c r="F837" s="29" t="n"/>
      <c r="G837" s="29" t="n"/>
      <c r="H837" s="35">
        <f>IF($A837="","",SUMIF(tblAkis[KaynakKartId],$A837,tblAkis[Tutar]))</f>
        <v/>
      </c>
      <c r="I837" s="35">
        <f>IF($A837="","",IFERROR(AVERAGEIF(tblAkis[KaynakKartId],$A837,tblAkis[YasGun]),0))</f>
        <v/>
      </c>
    </row>
    <row r="838">
      <c r="A838" s="29" t="n"/>
      <c r="B838" s="29" t="n"/>
      <c r="C838" s="29" t="n"/>
      <c r="D838" s="29" t="n"/>
      <c r="E838" s="31" t="n"/>
      <c r="F838" s="29" t="n"/>
      <c r="G838" s="29" t="n"/>
      <c r="H838" s="35">
        <f>IF($A838="","",SUMIF(tblAkis[KaynakKartId],$A838,tblAkis[Tutar]))</f>
        <v/>
      </c>
      <c r="I838" s="35">
        <f>IF($A838="","",IFERROR(AVERAGEIF(tblAkis[KaynakKartId],$A838,tblAkis[YasGun]),0))</f>
        <v/>
      </c>
    </row>
    <row r="839">
      <c r="A839" s="29" t="n"/>
      <c r="B839" s="29" t="n"/>
      <c r="C839" s="29" t="n"/>
      <c r="D839" s="29" t="n"/>
      <c r="E839" s="31" t="n"/>
      <c r="F839" s="29" t="n"/>
      <c r="G839" s="29" t="n"/>
      <c r="H839" s="35">
        <f>IF($A839="","",SUMIF(tblAkis[KaynakKartId],$A839,tblAkis[Tutar]))</f>
        <v/>
      </c>
      <c r="I839" s="35">
        <f>IF($A839="","",IFERROR(AVERAGEIF(tblAkis[KaynakKartId],$A839,tblAkis[YasGun]),0))</f>
        <v/>
      </c>
    </row>
    <row r="840">
      <c r="A840" s="29" t="n"/>
      <c r="B840" s="29" t="n"/>
      <c r="C840" s="29" t="n"/>
      <c r="D840" s="29" t="n"/>
      <c r="E840" s="31" t="n"/>
      <c r="F840" s="29" t="n"/>
      <c r="G840" s="29" t="n"/>
      <c r="H840" s="35">
        <f>IF($A840="","",SUMIF(tblAkis[KaynakKartId],$A840,tblAkis[Tutar]))</f>
        <v/>
      </c>
      <c r="I840" s="35">
        <f>IF($A840="","",IFERROR(AVERAGEIF(tblAkis[KaynakKartId],$A840,tblAkis[YasGun]),0))</f>
        <v/>
      </c>
    </row>
    <row r="841">
      <c r="A841" s="29" t="n"/>
      <c r="B841" s="29" t="n"/>
      <c r="C841" s="29" t="n"/>
      <c r="D841" s="29" t="n"/>
      <c r="E841" s="31" t="n"/>
      <c r="F841" s="29" t="n"/>
      <c r="G841" s="29" t="n"/>
      <c r="H841" s="35">
        <f>IF($A841="","",SUMIF(tblAkis[KaynakKartId],$A841,tblAkis[Tutar]))</f>
        <v/>
      </c>
      <c r="I841" s="35">
        <f>IF($A841="","",IFERROR(AVERAGEIF(tblAkis[KaynakKartId],$A841,tblAkis[YasGun]),0))</f>
        <v/>
      </c>
    </row>
    <row r="842">
      <c r="A842" s="29" t="n"/>
      <c r="B842" s="29" t="n"/>
      <c r="C842" s="29" t="n"/>
      <c r="D842" s="29" t="n"/>
      <c r="E842" s="31" t="n"/>
      <c r="F842" s="29" t="n"/>
      <c r="G842" s="29" t="n"/>
      <c r="H842" s="35">
        <f>IF($A842="","",SUMIF(tblAkis[KaynakKartId],$A842,tblAkis[Tutar]))</f>
        <v/>
      </c>
      <c r="I842" s="35">
        <f>IF($A842="","",IFERROR(AVERAGEIF(tblAkis[KaynakKartId],$A842,tblAkis[YasGun]),0))</f>
        <v/>
      </c>
    </row>
    <row r="843">
      <c r="A843" s="29" t="n"/>
      <c r="B843" s="29" t="n"/>
      <c r="C843" s="29" t="n"/>
      <c r="D843" s="29" t="n"/>
      <c r="E843" s="31" t="n"/>
      <c r="F843" s="29" t="n"/>
      <c r="G843" s="29" t="n"/>
      <c r="H843" s="35">
        <f>IF($A843="","",SUMIF(tblAkis[KaynakKartId],$A843,tblAkis[Tutar]))</f>
        <v/>
      </c>
      <c r="I843" s="35">
        <f>IF($A843="","",IFERROR(AVERAGEIF(tblAkis[KaynakKartId],$A843,tblAkis[YasGun]),0))</f>
        <v/>
      </c>
    </row>
    <row r="844">
      <c r="A844" s="29" t="n"/>
      <c r="B844" s="29" t="n"/>
      <c r="C844" s="29" t="n"/>
      <c r="D844" s="29" t="n"/>
      <c r="E844" s="31" t="n"/>
      <c r="F844" s="29" t="n"/>
      <c r="G844" s="29" t="n"/>
      <c r="H844" s="35">
        <f>IF($A844="","",SUMIF(tblAkis[KaynakKartId],$A844,tblAkis[Tutar]))</f>
        <v/>
      </c>
      <c r="I844" s="35">
        <f>IF($A844="","",IFERROR(AVERAGEIF(tblAkis[KaynakKartId],$A844,tblAkis[YasGun]),0))</f>
        <v/>
      </c>
    </row>
    <row r="845">
      <c r="A845" s="29" t="n"/>
      <c r="B845" s="29" t="n"/>
      <c r="C845" s="29" t="n"/>
      <c r="D845" s="29" t="n"/>
      <c r="E845" s="31" t="n"/>
      <c r="F845" s="29" t="n"/>
      <c r="G845" s="29" t="n"/>
      <c r="H845" s="35">
        <f>IF($A845="","",SUMIF(tblAkis[KaynakKartId],$A845,tblAkis[Tutar]))</f>
        <v/>
      </c>
      <c r="I845" s="35">
        <f>IF($A845="","",IFERROR(AVERAGEIF(tblAkis[KaynakKartId],$A845,tblAkis[YasGun]),0))</f>
        <v/>
      </c>
    </row>
    <row r="846">
      <c r="A846" s="29" t="n"/>
      <c r="B846" s="29" t="n"/>
      <c r="C846" s="29" t="n"/>
      <c r="D846" s="29" t="n"/>
      <c r="E846" s="31" t="n"/>
      <c r="F846" s="29" t="n"/>
      <c r="G846" s="29" t="n"/>
      <c r="H846" s="35">
        <f>IF($A846="","",SUMIF(tblAkis[KaynakKartId],$A846,tblAkis[Tutar]))</f>
        <v/>
      </c>
      <c r="I846" s="35">
        <f>IF($A846="","",IFERROR(AVERAGEIF(tblAkis[KaynakKartId],$A846,tblAkis[YasGun]),0))</f>
        <v/>
      </c>
    </row>
    <row r="847">
      <c r="A847" s="29" t="n"/>
      <c r="B847" s="29" t="n"/>
      <c r="C847" s="29" t="n"/>
      <c r="D847" s="29" t="n"/>
      <c r="E847" s="31" t="n"/>
      <c r="F847" s="29" t="n"/>
      <c r="G847" s="29" t="n"/>
      <c r="H847" s="35">
        <f>IF($A847="","",SUMIF(tblAkis[KaynakKartId],$A847,tblAkis[Tutar]))</f>
        <v/>
      </c>
      <c r="I847" s="35">
        <f>IF($A847="","",IFERROR(AVERAGEIF(tblAkis[KaynakKartId],$A847,tblAkis[YasGun]),0))</f>
        <v/>
      </c>
    </row>
    <row r="848">
      <c r="A848" s="29" t="n"/>
      <c r="B848" s="29" t="n"/>
      <c r="C848" s="29" t="n"/>
      <c r="D848" s="29" t="n"/>
      <c r="E848" s="31" t="n"/>
      <c r="F848" s="29" t="n"/>
      <c r="G848" s="29" t="n"/>
      <c r="H848" s="35">
        <f>IF($A848="","",SUMIF(tblAkis[KaynakKartId],$A848,tblAkis[Tutar]))</f>
        <v/>
      </c>
      <c r="I848" s="35">
        <f>IF($A848="","",IFERROR(AVERAGEIF(tblAkis[KaynakKartId],$A848,tblAkis[YasGun]),0))</f>
        <v/>
      </c>
    </row>
    <row r="849">
      <c r="A849" s="29" t="n"/>
      <c r="B849" s="29" t="n"/>
      <c r="C849" s="29" t="n"/>
      <c r="D849" s="29" t="n"/>
      <c r="E849" s="31" t="n"/>
      <c r="F849" s="29" t="n"/>
      <c r="G849" s="29" t="n"/>
      <c r="H849" s="35">
        <f>IF($A849="","",SUMIF(tblAkis[KaynakKartId],$A849,tblAkis[Tutar]))</f>
        <v/>
      </c>
      <c r="I849" s="35">
        <f>IF($A849="","",IFERROR(AVERAGEIF(tblAkis[KaynakKartId],$A849,tblAkis[YasGun]),0))</f>
        <v/>
      </c>
    </row>
    <row r="850">
      <c r="A850" s="29" t="n"/>
      <c r="B850" s="29" t="n"/>
      <c r="C850" s="29" t="n"/>
      <c r="D850" s="29" t="n"/>
      <c r="E850" s="31" t="n"/>
      <c r="F850" s="29" t="n"/>
      <c r="G850" s="29" t="n"/>
      <c r="H850" s="35">
        <f>IF($A850="","",SUMIF(tblAkis[KaynakKartId],$A850,tblAkis[Tutar]))</f>
        <v/>
      </c>
      <c r="I850" s="35">
        <f>IF($A850="","",IFERROR(AVERAGEIF(tblAkis[KaynakKartId],$A850,tblAkis[YasGun]),0))</f>
        <v/>
      </c>
    </row>
    <row r="851">
      <c r="A851" s="29" t="n"/>
      <c r="B851" s="29" t="n"/>
      <c r="C851" s="29" t="n"/>
      <c r="D851" s="29" t="n"/>
      <c r="E851" s="31" t="n"/>
      <c r="F851" s="29" t="n"/>
      <c r="G851" s="29" t="n"/>
      <c r="H851" s="35">
        <f>IF($A851="","",SUMIF(tblAkis[KaynakKartId],$A851,tblAkis[Tutar]))</f>
        <v/>
      </c>
      <c r="I851" s="35">
        <f>IF($A851="","",IFERROR(AVERAGEIF(tblAkis[KaynakKartId],$A851,tblAkis[YasGun]),0))</f>
        <v/>
      </c>
    </row>
    <row r="852">
      <c r="A852" s="29" t="n"/>
      <c r="B852" s="29" t="n"/>
      <c r="C852" s="29" t="n"/>
      <c r="D852" s="29" t="n"/>
      <c r="E852" s="31" t="n"/>
      <c r="F852" s="29" t="n"/>
      <c r="G852" s="29" t="n"/>
      <c r="H852" s="35">
        <f>IF($A852="","",SUMIF(tblAkis[KaynakKartId],$A852,tblAkis[Tutar]))</f>
        <v/>
      </c>
      <c r="I852" s="35">
        <f>IF($A852="","",IFERROR(AVERAGEIF(tblAkis[KaynakKartId],$A852,tblAkis[YasGun]),0))</f>
        <v/>
      </c>
    </row>
    <row r="853">
      <c r="A853" s="29" t="n"/>
      <c r="B853" s="29" t="n"/>
      <c r="C853" s="29" t="n"/>
      <c r="D853" s="29" t="n"/>
      <c r="E853" s="31" t="n"/>
      <c r="F853" s="29" t="n"/>
      <c r="G853" s="29" t="n"/>
      <c r="H853" s="35">
        <f>IF($A853="","",SUMIF(tblAkis[KaynakKartId],$A853,tblAkis[Tutar]))</f>
        <v/>
      </c>
      <c r="I853" s="35">
        <f>IF($A853="","",IFERROR(AVERAGEIF(tblAkis[KaynakKartId],$A853,tblAkis[YasGun]),0))</f>
        <v/>
      </c>
    </row>
    <row r="854">
      <c r="A854" s="29" t="n"/>
      <c r="B854" s="29" t="n"/>
      <c r="C854" s="29" t="n"/>
      <c r="D854" s="29" t="n"/>
      <c r="E854" s="31" t="n"/>
      <c r="F854" s="29" t="n"/>
      <c r="G854" s="29" t="n"/>
      <c r="H854" s="35">
        <f>IF($A854="","",SUMIF(tblAkis[KaynakKartId],$A854,tblAkis[Tutar]))</f>
        <v/>
      </c>
      <c r="I854" s="35">
        <f>IF($A854="","",IFERROR(AVERAGEIF(tblAkis[KaynakKartId],$A854,tblAkis[YasGun]),0))</f>
        <v/>
      </c>
    </row>
    <row r="855">
      <c r="A855" s="29" t="n"/>
      <c r="B855" s="29" t="n"/>
      <c r="C855" s="29" t="n"/>
      <c r="D855" s="29" t="n"/>
      <c r="E855" s="31" t="n"/>
      <c r="F855" s="29" t="n"/>
      <c r="G855" s="29" t="n"/>
      <c r="H855" s="35">
        <f>IF($A855="","",SUMIF(tblAkis[KaynakKartId],$A855,tblAkis[Tutar]))</f>
        <v/>
      </c>
      <c r="I855" s="35">
        <f>IF($A855="","",IFERROR(AVERAGEIF(tblAkis[KaynakKartId],$A855,tblAkis[YasGun]),0))</f>
        <v/>
      </c>
    </row>
    <row r="856">
      <c r="A856" s="29" t="n"/>
      <c r="B856" s="29" t="n"/>
      <c r="C856" s="29" t="n"/>
      <c r="D856" s="29" t="n"/>
      <c r="E856" s="31" t="n"/>
      <c r="F856" s="29" t="n"/>
      <c r="G856" s="29" t="n"/>
      <c r="H856" s="35">
        <f>IF($A856="","",SUMIF(tblAkis[KaynakKartId],$A856,tblAkis[Tutar]))</f>
        <v/>
      </c>
      <c r="I856" s="35">
        <f>IF($A856="","",IFERROR(AVERAGEIF(tblAkis[KaynakKartId],$A856,tblAkis[YasGun]),0))</f>
        <v/>
      </c>
    </row>
    <row r="857">
      <c r="A857" s="29" t="n"/>
      <c r="B857" s="29" t="n"/>
      <c r="C857" s="29" t="n"/>
      <c r="D857" s="29" t="n"/>
      <c r="E857" s="31" t="n"/>
      <c r="F857" s="29" t="n"/>
      <c r="G857" s="29" t="n"/>
      <c r="H857" s="35">
        <f>IF($A857="","",SUMIF(tblAkis[KaynakKartId],$A857,tblAkis[Tutar]))</f>
        <v/>
      </c>
      <c r="I857" s="35">
        <f>IF($A857="","",IFERROR(AVERAGEIF(tblAkis[KaynakKartId],$A857,tblAkis[YasGun]),0))</f>
        <v/>
      </c>
    </row>
    <row r="858">
      <c r="A858" s="29" t="n"/>
      <c r="B858" s="29" t="n"/>
      <c r="C858" s="29" t="n"/>
      <c r="D858" s="29" t="n"/>
      <c r="E858" s="31" t="n"/>
      <c r="F858" s="29" t="n"/>
      <c r="G858" s="29" t="n"/>
      <c r="H858" s="35">
        <f>IF($A858="","",SUMIF(tblAkis[KaynakKartId],$A858,tblAkis[Tutar]))</f>
        <v/>
      </c>
      <c r="I858" s="35">
        <f>IF($A858="","",IFERROR(AVERAGEIF(tblAkis[KaynakKartId],$A858,tblAkis[YasGun]),0))</f>
        <v/>
      </c>
    </row>
    <row r="859">
      <c r="A859" s="29" t="n"/>
      <c r="B859" s="29" t="n"/>
      <c r="C859" s="29" t="n"/>
      <c r="D859" s="29" t="n"/>
      <c r="E859" s="31" t="n"/>
      <c r="F859" s="29" t="n"/>
      <c r="G859" s="29" t="n"/>
      <c r="H859" s="35">
        <f>IF($A859="","",SUMIF(tblAkis[KaynakKartId],$A859,tblAkis[Tutar]))</f>
        <v/>
      </c>
      <c r="I859" s="35">
        <f>IF($A859="","",IFERROR(AVERAGEIF(tblAkis[KaynakKartId],$A859,tblAkis[YasGun]),0))</f>
        <v/>
      </c>
    </row>
    <row r="860">
      <c r="A860" s="29" t="n"/>
      <c r="B860" s="29" t="n"/>
      <c r="C860" s="29" t="n"/>
      <c r="D860" s="29" t="n"/>
      <c r="E860" s="31" t="n"/>
      <c r="F860" s="29" t="n"/>
      <c r="G860" s="29" t="n"/>
      <c r="H860" s="35">
        <f>IF($A860="","",SUMIF(tblAkis[KaynakKartId],$A860,tblAkis[Tutar]))</f>
        <v/>
      </c>
      <c r="I860" s="35">
        <f>IF($A860="","",IFERROR(AVERAGEIF(tblAkis[KaynakKartId],$A860,tblAkis[YasGun]),0))</f>
        <v/>
      </c>
    </row>
    <row r="861">
      <c r="A861" s="29" t="n"/>
      <c r="B861" s="29" t="n"/>
      <c r="C861" s="29" t="n"/>
      <c r="D861" s="29" t="n"/>
      <c r="E861" s="31" t="n"/>
      <c r="F861" s="29" t="n"/>
      <c r="G861" s="29" t="n"/>
      <c r="H861" s="35">
        <f>IF($A861="","",SUMIF(tblAkis[KaynakKartId],$A861,tblAkis[Tutar]))</f>
        <v/>
      </c>
      <c r="I861" s="35">
        <f>IF($A861="","",IFERROR(AVERAGEIF(tblAkis[KaynakKartId],$A861,tblAkis[YasGun]),0))</f>
        <v/>
      </c>
    </row>
    <row r="862">
      <c r="A862" s="29" t="n"/>
      <c r="B862" s="29" t="n"/>
      <c r="C862" s="29" t="n"/>
      <c r="D862" s="29" t="n"/>
      <c r="E862" s="31" t="n"/>
      <c r="F862" s="29" t="n"/>
      <c r="G862" s="29" t="n"/>
      <c r="H862" s="35">
        <f>IF($A862="","",SUMIF(tblAkis[KaynakKartId],$A862,tblAkis[Tutar]))</f>
        <v/>
      </c>
      <c r="I862" s="35">
        <f>IF($A862="","",IFERROR(AVERAGEIF(tblAkis[KaynakKartId],$A862,tblAkis[YasGun]),0))</f>
        <v/>
      </c>
    </row>
    <row r="863">
      <c r="A863" s="29" t="n"/>
      <c r="B863" s="29" t="n"/>
      <c r="C863" s="29" t="n"/>
      <c r="D863" s="29" t="n"/>
      <c r="E863" s="31" t="n"/>
      <c r="F863" s="29" t="n"/>
      <c r="G863" s="29" t="n"/>
      <c r="H863" s="35">
        <f>IF($A863="","",SUMIF(tblAkis[KaynakKartId],$A863,tblAkis[Tutar]))</f>
        <v/>
      </c>
      <c r="I863" s="35">
        <f>IF($A863="","",IFERROR(AVERAGEIF(tblAkis[KaynakKartId],$A863,tblAkis[YasGun]),0))</f>
        <v/>
      </c>
    </row>
    <row r="864">
      <c r="A864" s="29" t="n"/>
      <c r="B864" s="29" t="n"/>
      <c r="C864" s="29" t="n"/>
      <c r="D864" s="29" t="n"/>
      <c r="E864" s="31" t="n"/>
      <c r="F864" s="29" t="n"/>
      <c r="G864" s="29" t="n"/>
      <c r="H864" s="35">
        <f>IF($A864="","",SUMIF(tblAkis[KaynakKartId],$A864,tblAkis[Tutar]))</f>
        <v/>
      </c>
      <c r="I864" s="35">
        <f>IF($A864="","",IFERROR(AVERAGEIF(tblAkis[KaynakKartId],$A864,tblAkis[YasGun]),0))</f>
        <v/>
      </c>
    </row>
    <row r="865">
      <c r="A865" s="29" t="n"/>
      <c r="B865" s="29" t="n"/>
      <c r="C865" s="29" t="n"/>
      <c r="D865" s="29" t="n"/>
      <c r="E865" s="31" t="n"/>
      <c r="F865" s="29" t="n"/>
      <c r="G865" s="29" t="n"/>
      <c r="H865" s="35">
        <f>IF($A865="","",SUMIF(tblAkis[KaynakKartId],$A865,tblAkis[Tutar]))</f>
        <v/>
      </c>
      <c r="I865" s="35">
        <f>IF($A865="","",IFERROR(AVERAGEIF(tblAkis[KaynakKartId],$A865,tblAkis[YasGun]),0))</f>
        <v/>
      </c>
    </row>
    <row r="866">
      <c r="A866" s="29" t="n"/>
      <c r="B866" s="29" t="n"/>
      <c r="C866" s="29" t="n"/>
      <c r="D866" s="29" t="n"/>
      <c r="E866" s="31" t="n"/>
      <c r="F866" s="29" t="n"/>
      <c r="G866" s="29" t="n"/>
      <c r="H866" s="35">
        <f>IF($A866="","",SUMIF(tblAkis[KaynakKartId],$A866,tblAkis[Tutar]))</f>
        <v/>
      </c>
      <c r="I866" s="35">
        <f>IF($A866="","",IFERROR(AVERAGEIF(tblAkis[KaynakKartId],$A866,tblAkis[YasGun]),0))</f>
        <v/>
      </c>
    </row>
    <row r="867">
      <c r="A867" s="29" t="n"/>
      <c r="B867" s="29" t="n"/>
      <c r="C867" s="29" t="n"/>
      <c r="D867" s="29" t="n"/>
      <c r="E867" s="31" t="n"/>
      <c r="F867" s="29" t="n"/>
      <c r="G867" s="29" t="n"/>
      <c r="H867" s="35">
        <f>IF($A867="","",SUMIF(tblAkis[KaynakKartId],$A867,tblAkis[Tutar]))</f>
        <v/>
      </c>
      <c r="I867" s="35">
        <f>IF($A867="","",IFERROR(AVERAGEIF(tblAkis[KaynakKartId],$A867,tblAkis[YasGun]),0))</f>
        <v/>
      </c>
    </row>
    <row r="868">
      <c r="A868" s="29" t="n"/>
      <c r="B868" s="29" t="n"/>
      <c r="C868" s="29" t="n"/>
      <c r="D868" s="29" t="n"/>
      <c r="E868" s="31" t="n"/>
      <c r="F868" s="29" t="n"/>
      <c r="G868" s="29" t="n"/>
      <c r="H868" s="35">
        <f>IF($A868="","",SUMIF(tblAkis[KaynakKartId],$A868,tblAkis[Tutar]))</f>
        <v/>
      </c>
      <c r="I868" s="35">
        <f>IF($A868="","",IFERROR(AVERAGEIF(tblAkis[KaynakKartId],$A868,tblAkis[YasGun]),0))</f>
        <v/>
      </c>
    </row>
    <row r="869">
      <c r="A869" s="29" t="n"/>
      <c r="B869" s="29" t="n"/>
      <c r="C869" s="29" t="n"/>
      <c r="D869" s="29" t="n"/>
      <c r="E869" s="31" t="n"/>
      <c r="F869" s="29" t="n"/>
      <c r="G869" s="29" t="n"/>
      <c r="H869" s="35">
        <f>IF($A869="","",SUMIF(tblAkis[KaynakKartId],$A869,tblAkis[Tutar]))</f>
        <v/>
      </c>
      <c r="I869" s="35">
        <f>IF($A869="","",IFERROR(AVERAGEIF(tblAkis[KaynakKartId],$A869,tblAkis[YasGun]),0))</f>
        <v/>
      </c>
    </row>
    <row r="870">
      <c r="A870" s="29" t="n"/>
      <c r="B870" s="29" t="n"/>
      <c r="C870" s="29" t="n"/>
      <c r="D870" s="29" t="n"/>
      <c r="E870" s="31" t="n"/>
      <c r="F870" s="29" t="n"/>
      <c r="G870" s="29" t="n"/>
      <c r="H870" s="35">
        <f>IF($A870="","",SUMIF(tblAkis[KaynakKartId],$A870,tblAkis[Tutar]))</f>
        <v/>
      </c>
      <c r="I870" s="35">
        <f>IF($A870="","",IFERROR(AVERAGEIF(tblAkis[KaynakKartId],$A870,tblAkis[YasGun]),0))</f>
        <v/>
      </c>
    </row>
    <row r="871">
      <c r="A871" s="29" t="n"/>
      <c r="B871" s="29" t="n"/>
      <c r="C871" s="29" t="n"/>
      <c r="D871" s="29" t="n"/>
      <c r="E871" s="31" t="n"/>
      <c r="F871" s="29" t="n"/>
      <c r="G871" s="29" t="n"/>
      <c r="H871" s="35">
        <f>IF($A871="","",SUMIF(tblAkis[KaynakKartId],$A871,tblAkis[Tutar]))</f>
        <v/>
      </c>
      <c r="I871" s="35">
        <f>IF($A871="","",IFERROR(AVERAGEIF(tblAkis[KaynakKartId],$A871,tblAkis[YasGun]),0))</f>
        <v/>
      </c>
    </row>
    <row r="872">
      <c r="A872" s="29" t="n"/>
      <c r="B872" s="29" t="n"/>
      <c r="C872" s="29" t="n"/>
      <c r="D872" s="29" t="n"/>
      <c r="E872" s="31" t="n"/>
      <c r="F872" s="29" t="n"/>
      <c r="G872" s="29" t="n"/>
      <c r="H872" s="35">
        <f>IF($A872="","",SUMIF(tblAkis[KaynakKartId],$A872,tblAkis[Tutar]))</f>
        <v/>
      </c>
      <c r="I872" s="35">
        <f>IF($A872="","",IFERROR(AVERAGEIF(tblAkis[KaynakKartId],$A872,tblAkis[YasGun]),0))</f>
        <v/>
      </c>
    </row>
    <row r="873">
      <c r="A873" s="29" t="n"/>
      <c r="B873" s="29" t="n"/>
      <c r="C873" s="29" t="n"/>
      <c r="D873" s="29" t="n"/>
      <c r="E873" s="31" t="n"/>
      <c r="F873" s="29" t="n"/>
      <c r="G873" s="29" t="n"/>
      <c r="H873" s="35">
        <f>IF($A873="","",SUMIF(tblAkis[KaynakKartId],$A873,tblAkis[Tutar]))</f>
        <v/>
      </c>
      <c r="I873" s="35">
        <f>IF($A873="","",IFERROR(AVERAGEIF(tblAkis[KaynakKartId],$A873,tblAkis[YasGun]),0))</f>
        <v/>
      </c>
    </row>
    <row r="874">
      <c r="A874" s="29" t="n"/>
      <c r="B874" s="29" t="n"/>
      <c r="C874" s="29" t="n"/>
      <c r="D874" s="29" t="n"/>
      <c r="E874" s="31" t="n"/>
      <c r="F874" s="29" t="n"/>
      <c r="G874" s="29" t="n"/>
      <c r="H874" s="35">
        <f>IF($A874="","",SUMIF(tblAkis[KaynakKartId],$A874,tblAkis[Tutar]))</f>
        <v/>
      </c>
      <c r="I874" s="35">
        <f>IF($A874="","",IFERROR(AVERAGEIF(tblAkis[KaynakKartId],$A874,tblAkis[YasGun]),0))</f>
        <v/>
      </c>
    </row>
    <row r="875">
      <c r="A875" s="29" t="n"/>
      <c r="B875" s="29" t="n"/>
      <c r="C875" s="29" t="n"/>
      <c r="D875" s="29" t="n"/>
      <c r="E875" s="31" t="n"/>
      <c r="F875" s="29" t="n"/>
      <c r="G875" s="29" t="n"/>
      <c r="H875" s="35">
        <f>IF($A875="","",SUMIF(tblAkis[KaynakKartId],$A875,tblAkis[Tutar]))</f>
        <v/>
      </c>
      <c r="I875" s="35">
        <f>IF($A875="","",IFERROR(AVERAGEIF(tblAkis[KaynakKartId],$A875,tblAkis[YasGun]),0))</f>
        <v/>
      </c>
    </row>
    <row r="876">
      <c r="A876" s="29" t="n"/>
      <c r="B876" s="29" t="n"/>
      <c r="C876" s="29" t="n"/>
      <c r="D876" s="29" t="n"/>
      <c r="E876" s="31" t="n"/>
      <c r="F876" s="29" t="n"/>
      <c r="G876" s="29" t="n"/>
      <c r="H876" s="35">
        <f>IF($A876="","",SUMIF(tblAkis[KaynakKartId],$A876,tblAkis[Tutar]))</f>
        <v/>
      </c>
      <c r="I876" s="35">
        <f>IF($A876="","",IFERROR(AVERAGEIF(tblAkis[KaynakKartId],$A876,tblAkis[YasGun]),0))</f>
        <v/>
      </c>
    </row>
    <row r="877">
      <c r="A877" s="29" t="n"/>
      <c r="B877" s="29" t="n"/>
      <c r="C877" s="29" t="n"/>
      <c r="D877" s="29" t="n"/>
      <c r="E877" s="31" t="n"/>
      <c r="F877" s="29" t="n"/>
      <c r="G877" s="29" t="n"/>
      <c r="H877" s="35">
        <f>IF($A877="","",SUMIF(tblAkis[KaynakKartId],$A877,tblAkis[Tutar]))</f>
        <v/>
      </c>
      <c r="I877" s="35">
        <f>IF($A877="","",IFERROR(AVERAGEIF(tblAkis[KaynakKartId],$A877,tblAkis[YasGun]),0))</f>
        <v/>
      </c>
    </row>
    <row r="878">
      <c r="A878" s="29" t="n"/>
      <c r="B878" s="29" t="n"/>
      <c r="C878" s="29" t="n"/>
      <c r="D878" s="29" t="n"/>
      <c r="E878" s="31" t="n"/>
      <c r="F878" s="29" t="n"/>
      <c r="G878" s="29" t="n"/>
      <c r="H878" s="35">
        <f>IF($A878="","",SUMIF(tblAkis[KaynakKartId],$A878,tblAkis[Tutar]))</f>
        <v/>
      </c>
      <c r="I878" s="35">
        <f>IF($A878="","",IFERROR(AVERAGEIF(tblAkis[KaynakKartId],$A878,tblAkis[YasGun]),0))</f>
        <v/>
      </c>
    </row>
    <row r="879">
      <c r="A879" s="29" t="n"/>
      <c r="B879" s="29" t="n"/>
      <c r="C879" s="29" t="n"/>
      <c r="D879" s="29" t="n"/>
      <c r="E879" s="31" t="n"/>
      <c r="F879" s="29" t="n"/>
      <c r="G879" s="29" t="n"/>
      <c r="H879" s="35">
        <f>IF($A879="","",SUMIF(tblAkis[KaynakKartId],$A879,tblAkis[Tutar]))</f>
        <v/>
      </c>
      <c r="I879" s="35">
        <f>IF($A879="","",IFERROR(AVERAGEIF(tblAkis[KaynakKartId],$A879,tblAkis[YasGun]),0))</f>
        <v/>
      </c>
    </row>
    <row r="880">
      <c r="A880" s="29" t="n"/>
      <c r="B880" s="29" t="n"/>
      <c r="C880" s="29" t="n"/>
      <c r="D880" s="29" t="n"/>
      <c r="E880" s="31" t="n"/>
      <c r="F880" s="29" t="n"/>
      <c r="G880" s="29" t="n"/>
      <c r="H880" s="35">
        <f>IF($A880="","",SUMIF(tblAkis[KaynakKartId],$A880,tblAkis[Tutar]))</f>
        <v/>
      </c>
      <c r="I880" s="35">
        <f>IF($A880="","",IFERROR(AVERAGEIF(tblAkis[KaynakKartId],$A880,tblAkis[YasGun]),0))</f>
        <v/>
      </c>
    </row>
    <row r="881">
      <c r="A881" s="29" t="n"/>
      <c r="B881" s="29" t="n"/>
      <c r="C881" s="29" t="n"/>
      <c r="D881" s="29" t="n"/>
      <c r="E881" s="31" t="n"/>
      <c r="F881" s="29" t="n"/>
      <c r="G881" s="29" t="n"/>
      <c r="H881" s="35">
        <f>IF($A881="","",SUMIF(tblAkis[KaynakKartId],$A881,tblAkis[Tutar]))</f>
        <v/>
      </c>
      <c r="I881" s="35">
        <f>IF($A881="","",IFERROR(AVERAGEIF(tblAkis[KaynakKartId],$A881,tblAkis[YasGun]),0))</f>
        <v/>
      </c>
    </row>
    <row r="882">
      <c r="A882" s="29" t="n"/>
      <c r="B882" s="29" t="n"/>
      <c r="C882" s="29" t="n"/>
      <c r="D882" s="29" t="n"/>
      <c r="E882" s="31" t="n"/>
      <c r="F882" s="29" t="n"/>
      <c r="G882" s="29" t="n"/>
      <c r="H882" s="35">
        <f>IF($A882="","",SUMIF(tblAkis[KaynakKartId],$A882,tblAkis[Tutar]))</f>
        <v/>
      </c>
      <c r="I882" s="35">
        <f>IF($A882="","",IFERROR(AVERAGEIF(tblAkis[KaynakKartId],$A882,tblAkis[YasGun]),0))</f>
        <v/>
      </c>
    </row>
    <row r="883">
      <c r="A883" s="29" t="n"/>
      <c r="B883" s="29" t="n"/>
      <c r="C883" s="29" t="n"/>
      <c r="D883" s="29" t="n"/>
      <c r="E883" s="31" t="n"/>
      <c r="F883" s="29" t="n"/>
      <c r="G883" s="29" t="n"/>
      <c r="H883" s="35">
        <f>IF($A883="","",SUMIF(tblAkis[KaynakKartId],$A883,tblAkis[Tutar]))</f>
        <v/>
      </c>
      <c r="I883" s="35">
        <f>IF($A883="","",IFERROR(AVERAGEIF(tblAkis[KaynakKartId],$A883,tblAkis[YasGun]),0))</f>
        <v/>
      </c>
    </row>
    <row r="884">
      <c r="A884" s="29" t="n"/>
      <c r="B884" s="29" t="n"/>
      <c r="C884" s="29" t="n"/>
      <c r="D884" s="29" t="n"/>
      <c r="E884" s="31" t="n"/>
      <c r="F884" s="29" t="n"/>
      <c r="G884" s="29" t="n"/>
      <c r="H884" s="35">
        <f>IF($A884="","",SUMIF(tblAkis[KaynakKartId],$A884,tblAkis[Tutar]))</f>
        <v/>
      </c>
      <c r="I884" s="35">
        <f>IF($A884="","",IFERROR(AVERAGEIF(tblAkis[KaynakKartId],$A884,tblAkis[YasGun]),0))</f>
        <v/>
      </c>
    </row>
    <row r="885">
      <c r="A885" s="29" t="n"/>
      <c r="B885" s="29" t="n"/>
      <c r="C885" s="29" t="n"/>
      <c r="D885" s="29" t="n"/>
      <c r="E885" s="31" t="n"/>
      <c r="F885" s="29" t="n"/>
      <c r="G885" s="29" t="n"/>
      <c r="H885" s="35">
        <f>IF($A885="","",SUMIF(tblAkis[KaynakKartId],$A885,tblAkis[Tutar]))</f>
        <v/>
      </c>
      <c r="I885" s="35">
        <f>IF($A885="","",IFERROR(AVERAGEIF(tblAkis[KaynakKartId],$A885,tblAkis[YasGun]),0))</f>
        <v/>
      </c>
    </row>
    <row r="886">
      <c r="A886" s="29" t="n"/>
      <c r="B886" s="29" t="n"/>
      <c r="C886" s="29" t="n"/>
      <c r="D886" s="29" t="n"/>
      <c r="E886" s="31" t="n"/>
      <c r="F886" s="29" t="n"/>
      <c r="G886" s="29" t="n"/>
      <c r="H886" s="35">
        <f>IF($A886="","",SUMIF(tblAkis[KaynakKartId],$A886,tblAkis[Tutar]))</f>
        <v/>
      </c>
      <c r="I886" s="35">
        <f>IF($A886="","",IFERROR(AVERAGEIF(tblAkis[KaynakKartId],$A886,tblAkis[YasGun]),0))</f>
        <v/>
      </c>
    </row>
    <row r="887">
      <c r="A887" s="29" t="n"/>
      <c r="B887" s="29" t="n"/>
      <c r="C887" s="29" t="n"/>
      <c r="D887" s="29" t="n"/>
      <c r="E887" s="31" t="n"/>
      <c r="F887" s="29" t="n"/>
      <c r="G887" s="29" t="n"/>
      <c r="H887" s="35">
        <f>IF($A887="","",SUMIF(tblAkis[KaynakKartId],$A887,tblAkis[Tutar]))</f>
        <v/>
      </c>
      <c r="I887" s="35">
        <f>IF($A887="","",IFERROR(AVERAGEIF(tblAkis[KaynakKartId],$A887,tblAkis[YasGun]),0))</f>
        <v/>
      </c>
    </row>
    <row r="888">
      <c r="A888" s="29" t="n"/>
      <c r="B888" s="29" t="n"/>
      <c r="C888" s="29" t="n"/>
      <c r="D888" s="29" t="n"/>
      <c r="E888" s="31" t="n"/>
      <c r="F888" s="29" t="n"/>
      <c r="G888" s="29" t="n"/>
      <c r="H888" s="35">
        <f>IF($A888="","",SUMIF(tblAkis[KaynakKartId],$A888,tblAkis[Tutar]))</f>
        <v/>
      </c>
      <c r="I888" s="35">
        <f>IF($A888="","",IFERROR(AVERAGEIF(tblAkis[KaynakKartId],$A888,tblAkis[YasGun]),0))</f>
        <v/>
      </c>
    </row>
    <row r="889">
      <c r="A889" s="29" t="n"/>
      <c r="B889" s="29" t="n"/>
      <c r="C889" s="29" t="n"/>
      <c r="D889" s="29" t="n"/>
      <c r="E889" s="31" t="n"/>
      <c r="F889" s="29" t="n"/>
      <c r="G889" s="29" t="n"/>
      <c r="H889" s="35">
        <f>IF($A889="","",SUMIF(tblAkis[KaynakKartId],$A889,tblAkis[Tutar]))</f>
        <v/>
      </c>
      <c r="I889" s="35">
        <f>IF($A889="","",IFERROR(AVERAGEIF(tblAkis[KaynakKartId],$A889,tblAkis[YasGun]),0))</f>
        <v/>
      </c>
    </row>
    <row r="890">
      <c r="A890" s="29" t="n"/>
      <c r="B890" s="29" t="n"/>
      <c r="C890" s="29" t="n"/>
      <c r="D890" s="29" t="n"/>
      <c r="E890" s="31" t="n"/>
      <c r="F890" s="29" t="n"/>
      <c r="G890" s="29" t="n"/>
      <c r="H890" s="35">
        <f>IF($A890="","",SUMIF(tblAkis[KaynakKartId],$A890,tblAkis[Tutar]))</f>
        <v/>
      </c>
      <c r="I890" s="35">
        <f>IF($A890="","",IFERROR(AVERAGEIF(tblAkis[KaynakKartId],$A890,tblAkis[YasGun]),0))</f>
        <v/>
      </c>
    </row>
    <row r="891">
      <c r="A891" s="29" t="n"/>
      <c r="B891" s="29" t="n"/>
      <c r="C891" s="29" t="n"/>
      <c r="D891" s="29" t="n"/>
      <c r="E891" s="31" t="n"/>
      <c r="F891" s="29" t="n"/>
      <c r="G891" s="29" t="n"/>
      <c r="H891" s="35">
        <f>IF($A891="","",SUMIF(tblAkis[KaynakKartId],$A891,tblAkis[Tutar]))</f>
        <v/>
      </c>
      <c r="I891" s="35">
        <f>IF($A891="","",IFERROR(AVERAGEIF(tblAkis[KaynakKartId],$A891,tblAkis[YasGun]),0))</f>
        <v/>
      </c>
    </row>
    <row r="892">
      <c r="A892" s="29" t="n"/>
      <c r="B892" s="29" t="n"/>
      <c r="C892" s="29" t="n"/>
      <c r="D892" s="29" t="n"/>
      <c r="E892" s="31" t="n"/>
      <c r="F892" s="29" t="n"/>
      <c r="G892" s="29" t="n"/>
      <c r="H892" s="35">
        <f>IF($A892="","",SUMIF(tblAkis[KaynakKartId],$A892,tblAkis[Tutar]))</f>
        <v/>
      </c>
      <c r="I892" s="35">
        <f>IF($A892="","",IFERROR(AVERAGEIF(tblAkis[KaynakKartId],$A892,tblAkis[YasGun]),0))</f>
        <v/>
      </c>
    </row>
    <row r="893">
      <c r="A893" s="29" t="n"/>
      <c r="B893" s="29" t="n"/>
      <c r="C893" s="29" t="n"/>
      <c r="D893" s="29" t="n"/>
      <c r="E893" s="31" t="n"/>
      <c r="F893" s="29" t="n"/>
      <c r="G893" s="29" t="n"/>
      <c r="H893" s="35">
        <f>IF($A893="","",SUMIF(tblAkis[KaynakKartId],$A893,tblAkis[Tutar]))</f>
        <v/>
      </c>
      <c r="I893" s="35">
        <f>IF($A893="","",IFERROR(AVERAGEIF(tblAkis[KaynakKartId],$A893,tblAkis[YasGun]),0))</f>
        <v/>
      </c>
    </row>
    <row r="894">
      <c r="A894" s="29" t="n"/>
      <c r="B894" s="29" t="n"/>
      <c r="C894" s="29" t="n"/>
      <c r="D894" s="29" t="n"/>
      <c r="E894" s="31" t="n"/>
      <c r="F894" s="29" t="n"/>
      <c r="G894" s="29" t="n"/>
      <c r="H894" s="35">
        <f>IF($A894="","",SUMIF(tblAkis[KaynakKartId],$A894,tblAkis[Tutar]))</f>
        <v/>
      </c>
      <c r="I894" s="35">
        <f>IF($A894="","",IFERROR(AVERAGEIF(tblAkis[KaynakKartId],$A894,tblAkis[YasGun]),0))</f>
        <v/>
      </c>
    </row>
    <row r="895">
      <c r="A895" s="29" t="n"/>
      <c r="B895" s="29" t="n"/>
      <c r="C895" s="29" t="n"/>
      <c r="D895" s="29" t="n"/>
      <c r="E895" s="31" t="n"/>
      <c r="F895" s="29" t="n"/>
      <c r="G895" s="29" t="n"/>
      <c r="H895" s="35">
        <f>IF($A895="","",SUMIF(tblAkis[KaynakKartId],$A895,tblAkis[Tutar]))</f>
        <v/>
      </c>
      <c r="I895" s="35">
        <f>IF($A895="","",IFERROR(AVERAGEIF(tblAkis[KaynakKartId],$A895,tblAkis[YasGun]),0))</f>
        <v/>
      </c>
    </row>
    <row r="896">
      <c r="A896" s="29" t="n"/>
      <c r="B896" s="29" t="n"/>
      <c r="C896" s="29" t="n"/>
      <c r="D896" s="29" t="n"/>
      <c r="E896" s="31" t="n"/>
      <c r="F896" s="29" t="n"/>
      <c r="G896" s="29" t="n"/>
      <c r="H896" s="35">
        <f>IF($A896="","",SUMIF(tblAkis[KaynakKartId],$A896,tblAkis[Tutar]))</f>
        <v/>
      </c>
      <c r="I896" s="35">
        <f>IF($A896="","",IFERROR(AVERAGEIF(tblAkis[KaynakKartId],$A896,tblAkis[YasGun]),0))</f>
        <v/>
      </c>
    </row>
    <row r="897">
      <c r="A897" s="29" t="n"/>
      <c r="B897" s="29" t="n"/>
      <c r="C897" s="29" t="n"/>
      <c r="D897" s="29" t="n"/>
      <c r="E897" s="31" t="n"/>
      <c r="F897" s="29" t="n"/>
      <c r="G897" s="29" t="n"/>
      <c r="H897" s="35">
        <f>IF($A897="","",SUMIF(tblAkis[KaynakKartId],$A897,tblAkis[Tutar]))</f>
        <v/>
      </c>
      <c r="I897" s="35">
        <f>IF($A897="","",IFERROR(AVERAGEIF(tblAkis[KaynakKartId],$A897,tblAkis[YasGun]),0))</f>
        <v/>
      </c>
    </row>
    <row r="898">
      <c r="A898" s="29" t="n"/>
      <c r="B898" s="29" t="n"/>
      <c r="C898" s="29" t="n"/>
      <c r="D898" s="29" t="n"/>
      <c r="E898" s="31" t="n"/>
      <c r="F898" s="29" t="n"/>
      <c r="G898" s="29" t="n"/>
      <c r="H898" s="35">
        <f>IF($A898="","",SUMIF(tblAkis[KaynakKartId],$A898,tblAkis[Tutar]))</f>
        <v/>
      </c>
      <c r="I898" s="35">
        <f>IF($A898="","",IFERROR(AVERAGEIF(tblAkis[KaynakKartId],$A898,tblAkis[YasGun]),0))</f>
        <v/>
      </c>
    </row>
    <row r="899">
      <c r="A899" s="29" t="n"/>
      <c r="B899" s="29" t="n"/>
      <c r="C899" s="29" t="n"/>
      <c r="D899" s="29" t="n"/>
      <c r="E899" s="31" t="n"/>
      <c r="F899" s="29" t="n"/>
      <c r="G899" s="29" t="n"/>
      <c r="H899" s="35">
        <f>IF($A899="","",SUMIF(tblAkis[KaynakKartId],$A899,tblAkis[Tutar]))</f>
        <v/>
      </c>
      <c r="I899" s="35">
        <f>IF($A899="","",IFERROR(AVERAGEIF(tblAkis[KaynakKartId],$A899,tblAkis[YasGun]),0))</f>
        <v/>
      </c>
    </row>
    <row r="900">
      <c r="A900" s="29" t="n"/>
      <c r="B900" s="29" t="n"/>
      <c r="C900" s="29" t="n"/>
      <c r="D900" s="29" t="n"/>
      <c r="E900" s="31" t="n"/>
      <c r="F900" s="29" t="n"/>
      <c r="G900" s="29" t="n"/>
      <c r="H900" s="35">
        <f>IF($A900="","",SUMIF(tblAkis[KaynakKartId],$A900,tblAkis[Tutar]))</f>
        <v/>
      </c>
      <c r="I900" s="35">
        <f>IF($A900="","",IFERROR(AVERAGEIF(tblAkis[KaynakKartId],$A900,tblAkis[YasGun]),0))</f>
        <v/>
      </c>
    </row>
    <row r="901">
      <c r="A901" s="29" t="n"/>
      <c r="B901" s="29" t="n"/>
      <c r="C901" s="29" t="n"/>
      <c r="D901" s="29" t="n"/>
      <c r="E901" s="31" t="n"/>
      <c r="F901" s="29" t="n"/>
      <c r="G901" s="29" t="n"/>
      <c r="H901" s="35">
        <f>IF($A901="","",SUMIF(tblAkis[KaynakKartId],$A901,tblAkis[Tutar]))</f>
        <v/>
      </c>
      <c r="I901" s="35">
        <f>IF($A901="","",IFERROR(AVERAGEIF(tblAkis[KaynakKartId],$A901,tblAkis[YasGun]),0))</f>
        <v/>
      </c>
    </row>
    <row r="902">
      <c r="A902" s="29" t="n"/>
      <c r="B902" s="29" t="n"/>
      <c r="C902" s="29" t="n"/>
      <c r="D902" s="29" t="n"/>
      <c r="E902" s="31" t="n"/>
      <c r="F902" s="29" t="n"/>
      <c r="G902" s="29" t="n"/>
      <c r="H902" s="35">
        <f>IF($A902="","",SUMIF(tblAkis[KaynakKartId],$A902,tblAkis[Tutar]))</f>
        <v/>
      </c>
      <c r="I902" s="35">
        <f>IF($A902="","",IFERROR(AVERAGEIF(tblAkis[KaynakKartId],$A902,tblAkis[YasGun]),0))</f>
        <v/>
      </c>
    </row>
    <row r="903">
      <c r="A903" s="29" t="n"/>
      <c r="B903" s="29" t="n"/>
      <c r="C903" s="29" t="n"/>
      <c r="D903" s="29" t="n"/>
      <c r="E903" s="31" t="n"/>
      <c r="F903" s="29" t="n"/>
      <c r="G903" s="29" t="n"/>
      <c r="H903" s="35">
        <f>IF($A903="","",SUMIF(tblAkis[KaynakKartId],$A903,tblAkis[Tutar]))</f>
        <v/>
      </c>
      <c r="I903" s="35">
        <f>IF($A903="","",IFERROR(AVERAGEIF(tblAkis[KaynakKartId],$A903,tblAkis[YasGun]),0))</f>
        <v/>
      </c>
    </row>
    <row r="904">
      <c r="A904" s="29" t="n"/>
      <c r="B904" s="29" t="n"/>
      <c r="C904" s="29" t="n"/>
      <c r="D904" s="29" t="n"/>
      <c r="E904" s="31" t="n"/>
      <c r="F904" s="29" t="n"/>
      <c r="G904" s="29" t="n"/>
      <c r="H904" s="35">
        <f>IF($A904="","",SUMIF(tblAkis[KaynakKartId],$A904,tblAkis[Tutar]))</f>
        <v/>
      </c>
      <c r="I904" s="35">
        <f>IF($A904="","",IFERROR(AVERAGEIF(tblAkis[KaynakKartId],$A904,tblAkis[YasGun]),0))</f>
        <v/>
      </c>
    </row>
    <row r="905">
      <c r="A905" s="29" t="n"/>
      <c r="B905" s="29" t="n"/>
      <c r="C905" s="29" t="n"/>
      <c r="D905" s="29" t="n"/>
      <c r="E905" s="31" t="n"/>
      <c r="F905" s="29" t="n"/>
      <c r="G905" s="29" t="n"/>
      <c r="H905" s="35">
        <f>IF($A905="","",SUMIF(tblAkis[KaynakKartId],$A905,tblAkis[Tutar]))</f>
        <v/>
      </c>
      <c r="I905" s="35">
        <f>IF($A905="","",IFERROR(AVERAGEIF(tblAkis[KaynakKartId],$A905,tblAkis[YasGun]),0))</f>
        <v/>
      </c>
    </row>
    <row r="906">
      <c r="A906" s="29" t="n"/>
      <c r="B906" s="29" t="n"/>
      <c r="C906" s="29" t="n"/>
      <c r="D906" s="29" t="n"/>
      <c r="E906" s="31" t="n"/>
      <c r="F906" s="29" t="n"/>
      <c r="G906" s="29" t="n"/>
      <c r="H906" s="35">
        <f>IF($A906="","",SUMIF(tblAkis[KaynakKartId],$A906,tblAkis[Tutar]))</f>
        <v/>
      </c>
      <c r="I906" s="35">
        <f>IF($A906="","",IFERROR(AVERAGEIF(tblAkis[KaynakKartId],$A906,tblAkis[YasGun]),0))</f>
        <v/>
      </c>
    </row>
    <row r="907">
      <c r="A907" s="29" t="n"/>
      <c r="B907" s="29" t="n"/>
      <c r="C907" s="29" t="n"/>
      <c r="D907" s="29" t="n"/>
      <c r="E907" s="31" t="n"/>
      <c r="F907" s="29" t="n"/>
      <c r="G907" s="29" t="n"/>
      <c r="H907" s="35">
        <f>IF($A907="","",SUMIF(tblAkis[KaynakKartId],$A907,tblAkis[Tutar]))</f>
        <v/>
      </c>
      <c r="I907" s="35">
        <f>IF($A907="","",IFERROR(AVERAGEIF(tblAkis[KaynakKartId],$A907,tblAkis[YasGun]),0))</f>
        <v/>
      </c>
    </row>
    <row r="908">
      <c r="A908" s="29" t="n"/>
      <c r="B908" s="29" t="n"/>
      <c r="C908" s="29" t="n"/>
      <c r="D908" s="29" t="n"/>
      <c r="E908" s="31" t="n"/>
      <c r="F908" s="29" t="n"/>
      <c r="G908" s="29" t="n"/>
      <c r="H908" s="35">
        <f>IF($A908="","",SUMIF(tblAkis[KaynakKartId],$A908,tblAkis[Tutar]))</f>
        <v/>
      </c>
      <c r="I908" s="35">
        <f>IF($A908="","",IFERROR(AVERAGEIF(tblAkis[KaynakKartId],$A908,tblAkis[YasGun]),0))</f>
        <v/>
      </c>
    </row>
    <row r="909">
      <c r="A909" s="29" t="n"/>
      <c r="B909" s="29" t="n"/>
      <c r="C909" s="29" t="n"/>
      <c r="D909" s="29" t="n"/>
      <c r="E909" s="31" t="n"/>
      <c r="F909" s="29" t="n"/>
      <c r="G909" s="29" t="n"/>
      <c r="H909" s="35">
        <f>IF($A909="","",SUMIF(tblAkis[KaynakKartId],$A909,tblAkis[Tutar]))</f>
        <v/>
      </c>
      <c r="I909" s="35">
        <f>IF($A909="","",IFERROR(AVERAGEIF(tblAkis[KaynakKartId],$A909,tblAkis[YasGun]),0))</f>
        <v/>
      </c>
    </row>
    <row r="910">
      <c r="A910" s="29" t="n"/>
      <c r="B910" s="29" t="n"/>
      <c r="C910" s="29" t="n"/>
      <c r="D910" s="29" t="n"/>
      <c r="E910" s="31" t="n"/>
      <c r="F910" s="29" t="n"/>
      <c r="G910" s="29" t="n"/>
      <c r="H910" s="35">
        <f>IF($A910="","",SUMIF(tblAkis[KaynakKartId],$A910,tblAkis[Tutar]))</f>
        <v/>
      </c>
      <c r="I910" s="35">
        <f>IF($A910="","",IFERROR(AVERAGEIF(tblAkis[KaynakKartId],$A910,tblAkis[YasGun]),0))</f>
        <v/>
      </c>
    </row>
    <row r="911">
      <c r="A911" s="29" t="n"/>
      <c r="B911" s="29" t="n"/>
      <c r="C911" s="29" t="n"/>
      <c r="D911" s="29" t="n"/>
      <c r="E911" s="31" t="n"/>
      <c r="F911" s="29" t="n"/>
      <c r="G911" s="29" t="n"/>
      <c r="H911" s="35">
        <f>IF($A911="","",SUMIF(tblAkis[KaynakKartId],$A911,tblAkis[Tutar]))</f>
        <v/>
      </c>
      <c r="I911" s="35">
        <f>IF($A911="","",IFERROR(AVERAGEIF(tblAkis[KaynakKartId],$A911,tblAkis[YasGun]),0))</f>
        <v/>
      </c>
    </row>
    <row r="912">
      <c r="A912" s="29" t="n"/>
      <c r="B912" s="29" t="n"/>
      <c r="C912" s="29" t="n"/>
      <c r="D912" s="29" t="n"/>
      <c r="E912" s="31" t="n"/>
      <c r="F912" s="29" t="n"/>
      <c r="G912" s="29" t="n"/>
      <c r="H912" s="35">
        <f>IF($A912="","",SUMIF(tblAkis[KaynakKartId],$A912,tblAkis[Tutar]))</f>
        <v/>
      </c>
      <c r="I912" s="35">
        <f>IF($A912="","",IFERROR(AVERAGEIF(tblAkis[KaynakKartId],$A912,tblAkis[YasGun]),0))</f>
        <v/>
      </c>
    </row>
    <row r="913">
      <c r="A913" s="29" t="n"/>
      <c r="B913" s="29" t="n"/>
      <c r="C913" s="29" t="n"/>
      <c r="D913" s="29" t="n"/>
      <c r="E913" s="31" t="n"/>
      <c r="F913" s="29" t="n"/>
      <c r="G913" s="29" t="n"/>
      <c r="H913" s="35">
        <f>IF($A913="","",SUMIF(tblAkis[KaynakKartId],$A913,tblAkis[Tutar]))</f>
        <v/>
      </c>
      <c r="I913" s="35">
        <f>IF($A913="","",IFERROR(AVERAGEIF(tblAkis[KaynakKartId],$A913,tblAkis[YasGun]),0))</f>
        <v/>
      </c>
    </row>
    <row r="914">
      <c r="A914" s="29" t="n"/>
      <c r="B914" s="29" t="n"/>
      <c r="C914" s="29" t="n"/>
      <c r="D914" s="29" t="n"/>
      <c r="E914" s="31" t="n"/>
      <c r="F914" s="29" t="n"/>
      <c r="G914" s="29" t="n"/>
      <c r="H914" s="35">
        <f>IF($A914="","",SUMIF(tblAkis[KaynakKartId],$A914,tblAkis[Tutar]))</f>
        <v/>
      </c>
      <c r="I914" s="35">
        <f>IF($A914="","",IFERROR(AVERAGEIF(tblAkis[KaynakKartId],$A914,tblAkis[YasGun]),0))</f>
        <v/>
      </c>
    </row>
    <row r="915">
      <c r="A915" s="29" t="n"/>
      <c r="B915" s="29" t="n"/>
      <c r="C915" s="29" t="n"/>
      <c r="D915" s="29" t="n"/>
      <c r="E915" s="31" t="n"/>
      <c r="F915" s="29" t="n"/>
      <c r="G915" s="29" t="n"/>
      <c r="H915" s="35">
        <f>IF($A915="","",SUMIF(tblAkis[KaynakKartId],$A915,tblAkis[Tutar]))</f>
        <v/>
      </c>
      <c r="I915" s="35">
        <f>IF($A915="","",IFERROR(AVERAGEIF(tblAkis[KaynakKartId],$A915,tblAkis[YasGun]),0))</f>
        <v/>
      </c>
    </row>
    <row r="916">
      <c r="A916" s="29" t="n"/>
      <c r="B916" s="29" t="n"/>
      <c r="C916" s="29" t="n"/>
      <c r="D916" s="29" t="n"/>
      <c r="E916" s="31" t="n"/>
      <c r="F916" s="29" t="n"/>
      <c r="G916" s="29" t="n"/>
      <c r="H916" s="35">
        <f>IF($A916="","",SUMIF(tblAkis[KaynakKartId],$A916,tblAkis[Tutar]))</f>
        <v/>
      </c>
      <c r="I916" s="35">
        <f>IF($A916="","",IFERROR(AVERAGEIF(tblAkis[KaynakKartId],$A916,tblAkis[YasGun]),0))</f>
        <v/>
      </c>
    </row>
    <row r="917">
      <c r="A917" s="29" t="n"/>
      <c r="B917" s="29" t="n"/>
      <c r="C917" s="29" t="n"/>
      <c r="D917" s="29" t="n"/>
      <c r="E917" s="31" t="n"/>
      <c r="F917" s="29" t="n"/>
      <c r="G917" s="29" t="n"/>
      <c r="H917" s="35">
        <f>IF($A917="","",SUMIF(tblAkis[KaynakKartId],$A917,tblAkis[Tutar]))</f>
        <v/>
      </c>
      <c r="I917" s="35">
        <f>IF($A917="","",IFERROR(AVERAGEIF(tblAkis[KaynakKartId],$A917,tblAkis[YasGun]),0))</f>
        <v/>
      </c>
    </row>
    <row r="918">
      <c r="A918" s="29" t="n"/>
      <c r="B918" s="29" t="n"/>
      <c r="C918" s="29" t="n"/>
      <c r="D918" s="29" t="n"/>
      <c r="E918" s="31" t="n"/>
      <c r="F918" s="29" t="n"/>
      <c r="G918" s="29" t="n"/>
      <c r="H918" s="35">
        <f>IF($A918="","",SUMIF(tblAkis[KaynakKartId],$A918,tblAkis[Tutar]))</f>
        <v/>
      </c>
      <c r="I918" s="35">
        <f>IF($A918="","",IFERROR(AVERAGEIF(tblAkis[KaynakKartId],$A918,tblAkis[YasGun]),0))</f>
        <v/>
      </c>
    </row>
    <row r="919">
      <c r="A919" s="29" t="n"/>
      <c r="B919" s="29" t="n"/>
      <c r="C919" s="29" t="n"/>
      <c r="D919" s="29" t="n"/>
      <c r="E919" s="31" t="n"/>
      <c r="F919" s="29" t="n"/>
      <c r="G919" s="29" t="n"/>
      <c r="H919" s="35">
        <f>IF($A919="","",SUMIF(tblAkis[KaynakKartId],$A919,tblAkis[Tutar]))</f>
        <v/>
      </c>
      <c r="I919" s="35">
        <f>IF($A919="","",IFERROR(AVERAGEIF(tblAkis[KaynakKartId],$A919,tblAkis[YasGun]),0))</f>
        <v/>
      </c>
    </row>
    <row r="920">
      <c r="A920" s="29" t="n"/>
      <c r="B920" s="29" t="n"/>
      <c r="C920" s="29" t="n"/>
      <c r="D920" s="29" t="n"/>
      <c r="E920" s="31" t="n"/>
      <c r="F920" s="29" t="n"/>
      <c r="G920" s="29" t="n"/>
      <c r="H920" s="35">
        <f>IF($A920="","",SUMIF(tblAkis[KaynakKartId],$A920,tblAkis[Tutar]))</f>
        <v/>
      </c>
      <c r="I920" s="35">
        <f>IF($A920="","",IFERROR(AVERAGEIF(tblAkis[KaynakKartId],$A920,tblAkis[YasGun]),0))</f>
        <v/>
      </c>
    </row>
    <row r="921">
      <c r="A921" s="29" t="n"/>
      <c r="B921" s="29" t="n"/>
      <c r="C921" s="29" t="n"/>
      <c r="D921" s="29" t="n"/>
      <c r="E921" s="31" t="n"/>
      <c r="F921" s="29" t="n"/>
      <c r="G921" s="29" t="n"/>
      <c r="H921" s="35">
        <f>IF($A921="","",SUMIF(tblAkis[KaynakKartId],$A921,tblAkis[Tutar]))</f>
        <v/>
      </c>
      <c r="I921" s="35">
        <f>IF($A921="","",IFERROR(AVERAGEIF(tblAkis[KaynakKartId],$A921,tblAkis[YasGun]),0))</f>
        <v/>
      </c>
    </row>
    <row r="922">
      <c r="A922" s="29" t="n"/>
      <c r="B922" s="29" t="n"/>
      <c r="C922" s="29" t="n"/>
      <c r="D922" s="29" t="n"/>
      <c r="E922" s="31" t="n"/>
      <c r="F922" s="29" t="n"/>
      <c r="G922" s="29" t="n"/>
      <c r="H922" s="35">
        <f>IF($A922="","",SUMIF(tblAkis[KaynakKartId],$A922,tblAkis[Tutar]))</f>
        <v/>
      </c>
      <c r="I922" s="35">
        <f>IF($A922="","",IFERROR(AVERAGEIF(tblAkis[KaynakKartId],$A922,tblAkis[YasGun]),0))</f>
        <v/>
      </c>
    </row>
    <row r="923">
      <c r="A923" s="29" t="n"/>
      <c r="B923" s="29" t="n"/>
      <c r="C923" s="29" t="n"/>
      <c r="D923" s="29" t="n"/>
      <c r="E923" s="31" t="n"/>
      <c r="F923" s="29" t="n"/>
      <c r="G923" s="29" t="n"/>
      <c r="H923" s="35">
        <f>IF($A923="","",SUMIF(tblAkis[KaynakKartId],$A923,tblAkis[Tutar]))</f>
        <v/>
      </c>
      <c r="I923" s="35">
        <f>IF($A923="","",IFERROR(AVERAGEIF(tblAkis[KaynakKartId],$A923,tblAkis[YasGun]),0))</f>
        <v/>
      </c>
    </row>
    <row r="924">
      <c r="A924" s="29" t="n"/>
      <c r="B924" s="29" t="n"/>
      <c r="C924" s="29" t="n"/>
      <c r="D924" s="29" t="n"/>
      <c r="E924" s="31" t="n"/>
      <c r="F924" s="29" t="n"/>
      <c r="G924" s="29" t="n"/>
      <c r="H924" s="35">
        <f>IF($A924="","",SUMIF(tblAkis[KaynakKartId],$A924,tblAkis[Tutar]))</f>
        <v/>
      </c>
      <c r="I924" s="35">
        <f>IF($A924="","",IFERROR(AVERAGEIF(tblAkis[KaynakKartId],$A924,tblAkis[YasGun]),0))</f>
        <v/>
      </c>
    </row>
    <row r="925">
      <c r="A925" s="29" t="n"/>
      <c r="B925" s="29" t="n"/>
      <c r="C925" s="29" t="n"/>
      <c r="D925" s="29" t="n"/>
      <c r="E925" s="31" t="n"/>
      <c r="F925" s="29" t="n"/>
      <c r="G925" s="29" t="n"/>
      <c r="H925" s="35">
        <f>IF($A925="","",SUMIF(tblAkis[KaynakKartId],$A925,tblAkis[Tutar]))</f>
        <v/>
      </c>
      <c r="I925" s="35">
        <f>IF($A925="","",IFERROR(AVERAGEIF(tblAkis[KaynakKartId],$A925,tblAkis[YasGun]),0))</f>
        <v/>
      </c>
    </row>
    <row r="926">
      <c r="A926" s="29" t="n"/>
      <c r="B926" s="29" t="n"/>
      <c r="C926" s="29" t="n"/>
      <c r="D926" s="29" t="n"/>
      <c r="E926" s="31" t="n"/>
      <c r="F926" s="29" t="n"/>
      <c r="G926" s="29" t="n"/>
      <c r="H926" s="35">
        <f>IF($A926="","",SUMIF(tblAkis[KaynakKartId],$A926,tblAkis[Tutar]))</f>
        <v/>
      </c>
      <c r="I926" s="35">
        <f>IF($A926="","",IFERROR(AVERAGEIF(tblAkis[KaynakKartId],$A926,tblAkis[YasGun]),0))</f>
        <v/>
      </c>
    </row>
    <row r="927">
      <c r="A927" s="29" t="n"/>
      <c r="B927" s="29" t="n"/>
      <c r="C927" s="29" t="n"/>
      <c r="D927" s="29" t="n"/>
      <c r="E927" s="31" t="n"/>
      <c r="F927" s="29" t="n"/>
      <c r="G927" s="29" t="n"/>
      <c r="H927" s="35">
        <f>IF($A927="","",SUMIF(tblAkis[KaynakKartId],$A927,tblAkis[Tutar]))</f>
        <v/>
      </c>
      <c r="I927" s="35">
        <f>IF($A927="","",IFERROR(AVERAGEIF(tblAkis[KaynakKartId],$A927,tblAkis[YasGun]),0))</f>
        <v/>
      </c>
    </row>
    <row r="928">
      <c r="A928" s="29" t="n"/>
      <c r="B928" s="29" t="n"/>
      <c r="C928" s="29" t="n"/>
      <c r="D928" s="29" t="n"/>
      <c r="E928" s="31" t="n"/>
      <c r="F928" s="29" t="n"/>
      <c r="G928" s="29" t="n"/>
      <c r="H928" s="35">
        <f>IF($A928="","",SUMIF(tblAkis[KaynakKartId],$A928,tblAkis[Tutar]))</f>
        <v/>
      </c>
      <c r="I928" s="35">
        <f>IF($A928="","",IFERROR(AVERAGEIF(tblAkis[KaynakKartId],$A928,tblAkis[YasGun]),0))</f>
        <v/>
      </c>
    </row>
    <row r="929">
      <c r="A929" s="29" t="n"/>
      <c r="B929" s="29" t="n"/>
      <c r="C929" s="29" t="n"/>
      <c r="D929" s="29" t="n"/>
      <c r="E929" s="31" t="n"/>
      <c r="F929" s="29" t="n"/>
      <c r="G929" s="29" t="n"/>
      <c r="H929" s="35">
        <f>IF($A929="","",SUMIF(tblAkis[KaynakKartId],$A929,tblAkis[Tutar]))</f>
        <v/>
      </c>
      <c r="I929" s="35">
        <f>IF($A929="","",IFERROR(AVERAGEIF(tblAkis[KaynakKartId],$A929,tblAkis[YasGun]),0))</f>
        <v/>
      </c>
    </row>
    <row r="930">
      <c r="A930" s="29" t="n"/>
      <c r="B930" s="29" t="n"/>
      <c r="C930" s="29" t="n"/>
      <c r="D930" s="29" t="n"/>
      <c r="E930" s="31" t="n"/>
      <c r="F930" s="29" t="n"/>
      <c r="G930" s="29" t="n"/>
      <c r="H930" s="35">
        <f>IF($A930="","",SUMIF(tblAkis[KaynakKartId],$A930,tblAkis[Tutar]))</f>
        <v/>
      </c>
      <c r="I930" s="35">
        <f>IF($A930="","",IFERROR(AVERAGEIF(tblAkis[KaynakKartId],$A930,tblAkis[YasGun]),0))</f>
        <v/>
      </c>
    </row>
    <row r="931">
      <c r="A931" s="29" t="n"/>
      <c r="B931" s="29" t="n"/>
      <c r="C931" s="29" t="n"/>
      <c r="D931" s="29" t="n"/>
      <c r="E931" s="31" t="n"/>
      <c r="F931" s="29" t="n"/>
      <c r="G931" s="29" t="n"/>
      <c r="H931" s="35">
        <f>IF($A931="","",SUMIF(tblAkis[KaynakKartId],$A931,tblAkis[Tutar]))</f>
        <v/>
      </c>
      <c r="I931" s="35">
        <f>IF($A931="","",IFERROR(AVERAGEIF(tblAkis[KaynakKartId],$A931,tblAkis[YasGun]),0))</f>
        <v/>
      </c>
    </row>
    <row r="932">
      <c r="A932" s="29" t="n"/>
      <c r="B932" s="29" t="n"/>
      <c r="C932" s="29" t="n"/>
      <c r="D932" s="29" t="n"/>
      <c r="E932" s="31" t="n"/>
      <c r="F932" s="29" t="n"/>
      <c r="G932" s="29" t="n"/>
      <c r="H932" s="35">
        <f>IF($A932="","",SUMIF(tblAkis[KaynakKartId],$A932,tblAkis[Tutar]))</f>
        <v/>
      </c>
      <c r="I932" s="35">
        <f>IF($A932="","",IFERROR(AVERAGEIF(tblAkis[KaynakKartId],$A932,tblAkis[YasGun]),0))</f>
        <v/>
      </c>
    </row>
    <row r="933">
      <c r="A933" s="29" t="n"/>
      <c r="B933" s="29" t="n"/>
      <c r="C933" s="29" t="n"/>
      <c r="D933" s="29" t="n"/>
      <c r="E933" s="31" t="n"/>
      <c r="F933" s="29" t="n"/>
      <c r="G933" s="29" t="n"/>
      <c r="H933" s="35">
        <f>IF($A933="","",SUMIF(tblAkis[KaynakKartId],$A933,tblAkis[Tutar]))</f>
        <v/>
      </c>
      <c r="I933" s="35">
        <f>IF($A933="","",IFERROR(AVERAGEIF(tblAkis[KaynakKartId],$A933,tblAkis[YasGun]),0))</f>
        <v/>
      </c>
    </row>
    <row r="934">
      <c r="A934" s="29" t="n"/>
      <c r="B934" s="29" t="n"/>
      <c r="C934" s="29" t="n"/>
      <c r="D934" s="29" t="n"/>
      <c r="E934" s="31" t="n"/>
      <c r="F934" s="29" t="n"/>
      <c r="G934" s="29" t="n"/>
      <c r="H934" s="35">
        <f>IF($A934="","",SUMIF(tblAkis[KaynakKartId],$A934,tblAkis[Tutar]))</f>
        <v/>
      </c>
      <c r="I934" s="35">
        <f>IF($A934="","",IFERROR(AVERAGEIF(tblAkis[KaynakKartId],$A934,tblAkis[YasGun]),0))</f>
        <v/>
      </c>
    </row>
    <row r="935">
      <c r="A935" s="29" t="n"/>
      <c r="B935" s="29" t="n"/>
      <c r="C935" s="29" t="n"/>
      <c r="D935" s="29" t="n"/>
      <c r="E935" s="31" t="n"/>
      <c r="F935" s="29" t="n"/>
      <c r="G935" s="29" t="n"/>
      <c r="H935" s="35">
        <f>IF($A935="","",SUMIF(tblAkis[KaynakKartId],$A935,tblAkis[Tutar]))</f>
        <v/>
      </c>
      <c r="I935" s="35">
        <f>IF($A935="","",IFERROR(AVERAGEIF(tblAkis[KaynakKartId],$A935,tblAkis[YasGun]),0))</f>
        <v/>
      </c>
    </row>
    <row r="936">
      <c r="A936" s="29" t="n"/>
      <c r="B936" s="29" t="n"/>
      <c r="C936" s="29" t="n"/>
      <c r="D936" s="29" t="n"/>
      <c r="E936" s="31" t="n"/>
      <c r="F936" s="29" t="n"/>
      <c r="G936" s="29" t="n"/>
      <c r="H936" s="35">
        <f>IF($A936="","",SUMIF(tblAkis[KaynakKartId],$A936,tblAkis[Tutar]))</f>
        <v/>
      </c>
      <c r="I936" s="35">
        <f>IF($A936="","",IFERROR(AVERAGEIF(tblAkis[KaynakKartId],$A936,tblAkis[YasGun]),0))</f>
        <v/>
      </c>
    </row>
    <row r="937">
      <c r="A937" s="29" t="n"/>
      <c r="B937" s="29" t="n"/>
      <c r="C937" s="29" t="n"/>
      <c r="D937" s="29" t="n"/>
      <c r="E937" s="31" t="n"/>
      <c r="F937" s="29" t="n"/>
      <c r="G937" s="29" t="n"/>
      <c r="H937" s="35">
        <f>IF($A937="","",SUMIF(tblAkis[KaynakKartId],$A937,tblAkis[Tutar]))</f>
        <v/>
      </c>
      <c r="I937" s="35">
        <f>IF($A937="","",IFERROR(AVERAGEIF(tblAkis[KaynakKartId],$A937,tblAkis[YasGun]),0))</f>
        <v/>
      </c>
    </row>
    <row r="938">
      <c r="A938" s="29" t="n"/>
      <c r="B938" s="29" t="n"/>
      <c r="C938" s="29" t="n"/>
      <c r="D938" s="29" t="n"/>
      <c r="E938" s="31" t="n"/>
      <c r="F938" s="29" t="n"/>
      <c r="G938" s="29" t="n"/>
      <c r="H938" s="35">
        <f>IF($A938="","",SUMIF(tblAkis[KaynakKartId],$A938,tblAkis[Tutar]))</f>
        <v/>
      </c>
      <c r="I938" s="35">
        <f>IF($A938="","",IFERROR(AVERAGEIF(tblAkis[KaynakKartId],$A938,tblAkis[YasGun]),0))</f>
        <v/>
      </c>
    </row>
    <row r="939">
      <c r="A939" s="29" t="n"/>
      <c r="B939" s="29" t="n"/>
      <c r="C939" s="29" t="n"/>
      <c r="D939" s="29" t="n"/>
      <c r="E939" s="31" t="n"/>
      <c r="F939" s="29" t="n"/>
      <c r="G939" s="29" t="n"/>
      <c r="H939" s="35">
        <f>IF($A939="","",SUMIF(tblAkis[KaynakKartId],$A939,tblAkis[Tutar]))</f>
        <v/>
      </c>
      <c r="I939" s="35">
        <f>IF($A939="","",IFERROR(AVERAGEIF(tblAkis[KaynakKartId],$A939,tblAkis[YasGun]),0))</f>
        <v/>
      </c>
    </row>
    <row r="940">
      <c r="A940" s="29" t="n"/>
      <c r="B940" s="29" t="n"/>
      <c r="C940" s="29" t="n"/>
      <c r="D940" s="29" t="n"/>
      <c r="E940" s="31" t="n"/>
      <c r="F940" s="29" t="n"/>
      <c r="G940" s="29" t="n"/>
      <c r="H940" s="35">
        <f>IF($A940="","",SUMIF(tblAkis[KaynakKartId],$A940,tblAkis[Tutar]))</f>
        <v/>
      </c>
      <c r="I940" s="35">
        <f>IF($A940="","",IFERROR(AVERAGEIF(tblAkis[KaynakKartId],$A940,tblAkis[YasGun]),0))</f>
        <v/>
      </c>
    </row>
    <row r="941">
      <c r="A941" s="29" t="n"/>
      <c r="B941" s="29" t="n"/>
      <c r="C941" s="29" t="n"/>
      <c r="D941" s="29" t="n"/>
      <c r="E941" s="31" t="n"/>
      <c r="F941" s="29" t="n"/>
      <c r="G941" s="29" t="n"/>
      <c r="H941" s="35">
        <f>IF($A941="","",SUMIF(tblAkis[KaynakKartId],$A941,tblAkis[Tutar]))</f>
        <v/>
      </c>
      <c r="I941" s="35">
        <f>IF($A941="","",IFERROR(AVERAGEIF(tblAkis[KaynakKartId],$A941,tblAkis[YasGun]),0))</f>
        <v/>
      </c>
    </row>
    <row r="942">
      <c r="A942" s="29" t="n"/>
      <c r="B942" s="29" t="n"/>
      <c r="C942" s="29" t="n"/>
      <c r="D942" s="29" t="n"/>
      <c r="E942" s="31" t="n"/>
      <c r="F942" s="29" t="n"/>
      <c r="G942" s="29" t="n"/>
      <c r="H942" s="35">
        <f>IF($A942="","",SUMIF(tblAkis[KaynakKartId],$A942,tblAkis[Tutar]))</f>
        <v/>
      </c>
      <c r="I942" s="35">
        <f>IF($A942="","",IFERROR(AVERAGEIF(tblAkis[KaynakKartId],$A942,tblAkis[YasGun]),0))</f>
        <v/>
      </c>
    </row>
    <row r="943">
      <c r="A943" s="29" t="n"/>
      <c r="B943" s="29" t="n"/>
      <c r="C943" s="29" t="n"/>
      <c r="D943" s="29" t="n"/>
      <c r="E943" s="31" t="n"/>
      <c r="F943" s="29" t="n"/>
      <c r="G943" s="29" t="n"/>
      <c r="H943" s="35">
        <f>IF($A943="","",SUMIF(tblAkis[KaynakKartId],$A943,tblAkis[Tutar]))</f>
        <v/>
      </c>
      <c r="I943" s="35">
        <f>IF($A943="","",IFERROR(AVERAGEIF(tblAkis[KaynakKartId],$A943,tblAkis[YasGun]),0))</f>
        <v/>
      </c>
    </row>
    <row r="944">
      <c r="A944" s="29" t="n"/>
      <c r="B944" s="29" t="n"/>
      <c r="C944" s="29" t="n"/>
      <c r="D944" s="29" t="n"/>
      <c r="E944" s="31" t="n"/>
      <c r="F944" s="29" t="n"/>
      <c r="G944" s="29" t="n"/>
      <c r="H944" s="35">
        <f>IF($A944="","",SUMIF(tblAkis[KaynakKartId],$A944,tblAkis[Tutar]))</f>
        <v/>
      </c>
      <c r="I944" s="35">
        <f>IF($A944="","",IFERROR(AVERAGEIF(tblAkis[KaynakKartId],$A944,tblAkis[YasGun]),0))</f>
        <v/>
      </c>
    </row>
    <row r="945">
      <c r="A945" s="29" t="n"/>
      <c r="B945" s="29" t="n"/>
      <c r="C945" s="29" t="n"/>
      <c r="D945" s="29" t="n"/>
      <c r="E945" s="31" t="n"/>
      <c r="F945" s="29" t="n"/>
      <c r="G945" s="29" t="n"/>
      <c r="H945" s="35">
        <f>IF($A945="","",SUMIF(tblAkis[KaynakKartId],$A945,tblAkis[Tutar]))</f>
        <v/>
      </c>
      <c r="I945" s="35">
        <f>IF($A945="","",IFERROR(AVERAGEIF(tblAkis[KaynakKartId],$A945,tblAkis[YasGun]),0))</f>
        <v/>
      </c>
    </row>
    <row r="946">
      <c r="A946" s="29" t="n"/>
      <c r="B946" s="29" t="n"/>
      <c r="C946" s="29" t="n"/>
      <c r="D946" s="29" t="n"/>
      <c r="E946" s="31" t="n"/>
      <c r="F946" s="29" t="n"/>
      <c r="G946" s="29" t="n"/>
      <c r="H946" s="35">
        <f>IF($A946="","",SUMIF(tblAkis[KaynakKartId],$A946,tblAkis[Tutar]))</f>
        <v/>
      </c>
      <c r="I946" s="35">
        <f>IF($A946="","",IFERROR(AVERAGEIF(tblAkis[KaynakKartId],$A946,tblAkis[YasGun]),0))</f>
        <v/>
      </c>
    </row>
    <row r="947">
      <c r="A947" s="29" t="n"/>
      <c r="B947" s="29" t="n"/>
      <c r="C947" s="29" t="n"/>
      <c r="D947" s="29" t="n"/>
      <c r="E947" s="31" t="n"/>
      <c r="F947" s="29" t="n"/>
      <c r="G947" s="29" t="n"/>
      <c r="H947" s="35">
        <f>IF($A947="","",SUMIF(tblAkis[KaynakKartId],$A947,tblAkis[Tutar]))</f>
        <v/>
      </c>
      <c r="I947" s="35">
        <f>IF($A947="","",IFERROR(AVERAGEIF(tblAkis[KaynakKartId],$A947,tblAkis[YasGun]),0))</f>
        <v/>
      </c>
    </row>
    <row r="948">
      <c r="A948" s="29" t="n"/>
      <c r="B948" s="29" t="n"/>
      <c r="C948" s="29" t="n"/>
      <c r="D948" s="29" t="n"/>
      <c r="E948" s="31" t="n"/>
      <c r="F948" s="29" t="n"/>
      <c r="G948" s="29" t="n"/>
      <c r="H948" s="35">
        <f>IF($A948="","",SUMIF(tblAkis[KaynakKartId],$A948,tblAkis[Tutar]))</f>
        <v/>
      </c>
      <c r="I948" s="35">
        <f>IF($A948="","",IFERROR(AVERAGEIF(tblAkis[KaynakKartId],$A948,tblAkis[YasGun]),0))</f>
        <v/>
      </c>
    </row>
    <row r="949">
      <c r="A949" s="29" t="n"/>
      <c r="B949" s="29" t="n"/>
      <c r="C949" s="29" t="n"/>
      <c r="D949" s="29" t="n"/>
      <c r="E949" s="31" t="n"/>
      <c r="F949" s="29" t="n"/>
      <c r="G949" s="29" t="n"/>
      <c r="H949" s="35">
        <f>IF($A949="","",SUMIF(tblAkis[KaynakKartId],$A949,tblAkis[Tutar]))</f>
        <v/>
      </c>
      <c r="I949" s="35">
        <f>IF($A949="","",IFERROR(AVERAGEIF(tblAkis[KaynakKartId],$A949,tblAkis[YasGun]),0))</f>
        <v/>
      </c>
    </row>
    <row r="950">
      <c r="A950" s="29" t="n"/>
      <c r="B950" s="29" t="n"/>
      <c r="C950" s="29" t="n"/>
      <c r="D950" s="29" t="n"/>
      <c r="E950" s="31" t="n"/>
      <c r="F950" s="29" t="n"/>
      <c r="G950" s="29" t="n"/>
      <c r="H950" s="35">
        <f>IF($A950="","",SUMIF(tblAkis[KaynakKartId],$A950,tblAkis[Tutar]))</f>
        <v/>
      </c>
      <c r="I950" s="35">
        <f>IF($A950="","",IFERROR(AVERAGEIF(tblAkis[KaynakKartId],$A950,tblAkis[YasGun]),0))</f>
        <v/>
      </c>
    </row>
    <row r="951">
      <c r="A951" s="29" t="n"/>
      <c r="B951" s="29" t="n"/>
      <c r="C951" s="29" t="n"/>
      <c r="D951" s="29" t="n"/>
      <c r="E951" s="31" t="n"/>
      <c r="F951" s="29" t="n"/>
      <c r="G951" s="29" t="n"/>
      <c r="H951" s="35">
        <f>IF($A951="","",SUMIF(tblAkis[KaynakKartId],$A951,tblAkis[Tutar]))</f>
        <v/>
      </c>
      <c r="I951" s="35">
        <f>IF($A951="","",IFERROR(AVERAGEIF(tblAkis[KaynakKartId],$A951,tblAkis[YasGun]),0))</f>
        <v/>
      </c>
    </row>
    <row r="952">
      <c r="A952" s="29" t="n"/>
      <c r="B952" s="29" t="n"/>
      <c r="C952" s="29" t="n"/>
      <c r="D952" s="29" t="n"/>
      <c r="E952" s="31" t="n"/>
      <c r="F952" s="29" t="n"/>
      <c r="G952" s="29" t="n"/>
      <c r="H952" s="35">
        <f>IF($A952="","",SUMIF(tblAkis[KaynakKartId],$A952,tblAkis[Tutar]))</f>
        <v/>
      </c>
      <c r="I952" s="35">
        <f>IF($A952="","",IFERROR(AVERAGEIF(tblAkis[KaynakKartId],$A952,tblAkis[YasGun]),0))</f>
        <v/>
      </c>
    </row>
    <row r="953">
      <c r="A953" s="29" t="n"/>
      <c r="B953" s="29" t="n"/>
      <c r="C953" s="29" t="n"/>
      <c r="D953" s="29" t="n"/>
      <c r="E953" s="31" t="n"/>
      <c r="F953" s="29" t="n"/>
      <c r="G953" s="29" t="n"/>
      <c r="H953" s="35">
        <f>IF($A953="","",SUMIF(tblAkis[KaynakKartId],$A953,tblAkis[Tutar]))</f>
        <v/>
      </c>
      <c r="I953" s="35">
        <f>IF($A953="","",IFERROR(AVERAGEIF(tblAkis[KaynakKartId],$A953,tblAkis[YasGun]),0))</f>
        <v/>
      </c>
    </row>
    <row r="954">
      <c r="A954" s="29" t="n"/>
      <c r="B954" s="29" t="n"/>
      <c r="C954" s="29" t="n"/>
      <c r="D954" s="29" t="n"/>
      <c r="E954" s="31" t="n"/>
      <c r="F954" s="29" t="n"/>
      <c r="G954" s="29" t="n"/>
      <c r="H954" s="35">
        <f>IF($A954="","",SUMIF(tblAkis[KaynakKartId],$A954,tblAkis[Tutar]))</f>
        <v/>
      </c>
      <c r="I954" s="35">
        <f>IF($A954="","",IFERROR(AVERAGEIF(tblAkis[KaynakKartId],$A954,tblAkis[YasGun]),0))</f>
        <v/>
      </c>
    </row>
    <row r="955">
      <c r="A955" s="29" t="n"/>
      <c r="B955" s="29" t="n"/>
      <c r="C955" s="29" t="n"/>
      <c r="D955" s="29" t="n"/>
      <c r="E955" s="31" t="n"/>
      <c r="F955" s="29" t="n"/>
      <c r="G955" s="29" t="n"/>
      <c r="H955" s="35">
        <f>IF($A955="","",SUMIF(tblAkis[KaynakKartId],$A955,tblAkis[Tutar]))</f>
        <v/>
      </c>
      <c r="I955" s="35">
        <f>IF($A955="","",IFERROR(AVERAGEIF(tblAkis[KaynakKartId],$A955,tblAkis[YasGun]),0))</f>
        <v/>
      </c>
    </row>
    <row r="956">
      <c r="A956" s="29" t="n"/>
      <c r="B956" s="29" t="n"/>
      <c r="C956" s="29" t="n"/>
      <c r="D956" s="29" t="n"/>
      <c r="E956" s="31" t="n"/>
      <c r="F956" s="29" t="n"/>
      <c r="G956" s="29" t="n"/>
      <c r="H956" s="35">
        <f>IF($A956="","",SUMIF(tblAkis[KaynakKartId],$A956,tblAkis[Tutar]))</f>
        <v/>
      </c>
      <c r="I956" s="35">
        <f>IF($A956="","",IFERROR(AVERAGEIF(tblAkis[KaynakKartId],$A956,tblAkis[YasGun]),0))</f>
        <v/>
      </c>
    </row>
    <row r="957">
      <c r="A957" s="29" t="n"/>
      <c r="B957" s="29" t="n"/>
      <c r="C957" s="29" t="n"/>
      <c r="D957" s="29" t="n"/>
      <c r="E957" s="31" t="n"/>
      <c r="F957" s="29" t="n"/>
      <c r="G957" s="29" t="n"/>
      <c r="H957" s="35">
        <f>IF($A957="","",SUMIF(tblAkis[KaynakKartId],$A957,tblAkis[Tutar]))</f>
        <v/>
      </c>
      <c r="I957" s="35">
        <f>IF($A957="","",IFERROR(AVERAGEIF(tblAkis[KaynakKartId],$A957,tblAkis[YasGun]),0))</f>
        <v/>
      </c>
    </row>
    <row r="958">
      <c r="A958" s="29" t="n"/>
      <c r="B958" s="29" t="n"/>
      <c r="C958" s="29" t="n"/>
      <c r="D958" s="29" t="n"/>
      <c r="E958" s="31" t="n"/>
      <c r="F958" s="29" t="n"/>
      <c r="G958" s="29" t="n"/>
      <c r="H958" s="35">
        <f>IF($A958="","",SUMIF(tblAkis[KaynakKartId],$A958,tblAkis[Tutar]))</f>
        <v/>
      </c>
      <c r="I958" s="35">
        <f>IF($A958="","",IFERROR(AVERAGEIF(tblAkis[KaynakKartId],$A958,tblAkis[YasGun]),0))</f>
        <v/>
      </c>
    </row>
    <row r="959">
      <c r="A959" s="29" t="n"/>
      <c r="B959" s="29" t="n"/>
      <c r="C959" s="29" t="n"/>
      <c r="D959" s="29" t="n"/>
      <c r="E959" s="31" t="n"/>
      <c r="F959" s="29" t="n"/>
      <c r="G959" s="29" t="n"/>
      <c r="H959" s="35">
        <f>IF($A959="","",SUMIF(tblAkis[KaynakKartId],$A959,tblAkis[Tutar]))</f>
        <v/>
      </c>
      <c r="I959" s="35">
        <f>IF($A959="","",IFERROR(AVERAGEIF(tblAkis[KaynakKartId],$A959,tblAkis[YasGun]),0))</f>
        <v/>
      </c>
    </row>
    <row r="960">
      <c r="A960" s="29" t="n"/>
      <c r="B960" s="29" t="n"/>
      <c r="C960" s="29" t="n"/>
      <c r="D960" s="29" t="n"/>
      <c r="E960" s="31" t="n"/>
      <c r="F960" s="29" t="n"/>
      <c r="G960" s="29" t="n"/>
      <c r="H960" s="35">
        <f>IF($A960="","",SUMIF(tblAkis[KaynakKartId],$A960,tblAkis[Tutar]))</f>
        <v/>
      </c>
      <c r="I960" s="35">
        <f>IF($A960="","",IFERROR(AVERAGEIF(tblAkis[KaynakKartId],$A960,tblAkis[YasGun]),0))</f>
        <v/>
      </c>
    </row>
    <row r="961">
      <c r="A961" s="29" t="n"/>
      <c r="B961" s="29" t="n"/>
      <c r="C961" s="29" t="n"/>
      <c r="D961" s="29" t="n"/>
      <c r="E961" s="31" t="n"/>
      <c r="F961" s="29" t="n"/>
      <c r="G961" s="29" t="n"/>
      <c r="H961" s="35">
        <f>IF($A961="","",SUMIF(tblAkis[KaynakKartId],$A961,tblAkis[Tutar]))</f>
        <v/>
      </c>
      <c r="I961" s="35">
        <f>IF($A961="","",IFERROR(AVERAGEIF(tblAkis[KaynakKartId],$A961,tblAkis[YasGun]),0))</f>
        <v/>
      </c>
    </row>
    <row r="962">
      <c r="A962" s="29" t="n"/>
      <c r="B962" s="29" t="n"/>
      <c r="C962" s="29" t="n"/>
      <c r="D962" s="29" t="n"/>
      <c r="E962" s="31" t="n"/>
      <c r="F962" s="29" t="n"/>
      <c r="G962" s="29" t="n"/>
      <c r="H962" s="35">
        <f>IF($A962="","",SUMIF(tblAkis[KaynakKartId],$A962,tblAkis[Tutar]))</f>
        <v/>
      </c>
      <c r="I962" s="35">
        <f>IF($A962="","",IFERROR(AVERAGEIF(tblAkis[KaynakKartId],$A962,tblAkis[YasGun]),0))</f>
        <v/>
      </c>
    </row>
    <row r="963">
      <c r="A963" s="29" t="n"/>
      <c r="B963" s="29" t="n"/>
      <c r="C963" s="29" t="n"/>
      <c r="D963" s="29" t="n"/>
      <c r="E963" s="31" t="n"/>
      <c r="F963" s="29" t="n"/>
      <c r="G963" s="29" t="n"/>
      <c r="H963" s="35">
        <f>IF($A963="","",SUMIF(tblAkis[KaynakKartId],$A963,tblAkis[Tutar]))</f>
        <v/>
      </c>
      <c r="I963" s="35">
        <f>IF($A963="","",IFERROR(AVERAGEIF(tblAkis[KaynakKartId],$A963,tblAkis[YasGun]),0))</f>
        <v/>
      </c>
    </row>
    <row r="964">
      <c r="A964" s="29" t="n"/>
      <c r="B964" s="29" t="n"/>
      <c r="C964" s="29" t="n"/>
      <c r="D964" s="29" t="n"/>
      <c r="E964" s="31" t="n"/>
      <c r="F964" s="29" t="n"/>
      <c r="G964" s="29" t="n"/>
      <c r="H964" s="35">
        <f>IF($A964="","",SUMIF(tblAkis[KaynakKartId],$A964,tblAkis[Tutar]))</f>
        <v/>
      </c>
      <c r="I964" s="35">
        <f>IF($A964="","",IFERROR(AVERAGEIF(tblAkis[KaynakKartId],$A964,tblAkis[YasGun]),0))</f>
        <v/>
      </c>
    </row>
    <row r="965">
      <c r="A965" s="29" t="n"/>
      <c r="B965" s="29" t="n"/>
      <c r="C965" s="29" t="n"/>
      <c r="D965" s="29" t="n"/>
      <c r="E965" s="31" t="n"/>
      <c r="F965" s="29" t="n"/>
      <c r="G965" s="29" t="n"/>
      <c r="H965" s="35">
        <f>IF($A965="","",SUMIF(tblAkis[KaynakKartId],$A965,tblAkis[Tutar]))</f>
        <v/>
      </c>
      <c r="I965" s="35">
        <f>IF($A965="","",IFERROR(AVERAGEIF(tblAkis[KaynakKartId],$A965,tblAkis[YasGun]),0))</f>
        <v/>
      </c>
    </row>
    <row r="966">
      <c r="A966" s="29" t="n"/>
      <c r="B966" s="29" t="n"/>
      <c r="C966" s="29" t="n"/>
      <c r="D966" s="29" t="n"/>
      <c r="E966" s="31" t="n"/>
      <c r="F966" s="29" t="n"/>
      <c r="G966" s="29" t="n"/>
      <c r="H966" s="35">
        <f>IF($A966="","",SUMIF(tblAkis[KaynakKartId],$A966,tblAkis[Tutar]))</f>
        <v/>
      </c>
      <c r="I966" s="35">
        <f>IF($A966="","",IFERROR(AVERAGEIF(tblAkis[KaynakKartId],$A966,tblAkis[YasGun]),0))</f>
        <v/>
      </c>
    </row>
    <row r="967">
      <c r="A967" s="29" t="n"/>
      <c r="B967" s="29" t="n"/>
      <c r="C967" s="29" t="n"/>
      <c r="D967" s="29" t="n"/>
      <c r="E967" s="31" t="n"/>
      <c r="F967" s="29" t="n"/>
      <c r="G967" s="29" t="n"/>
      <c r="H967" s="35">
        <f>IF($A967="","",SUMIF(tblAkis[KaynakKartId],$A967,tblAkis[Tutar]))</f>
        <v/>
      </c>
      <c r="I967" s="35">
        <f>IF($A967="","",IFERROR(AVERAGEIF(tblAkis[KaynakKartId],$A967,tblAkis[YasGun]),0))</f>
        <v/>
      </c>
    </row>
    <row r="968">
      <c r="A968" s="29" t="n"/>
      <c r="B968" s="29" t="n"/>
      <c r="C968" s="29" t="n"/>
      <c r="D968" s="29" t="n"/>
      <c r="E968" s="31" t="n"/>
      <c r="F968" s="29" t="n"/>
      <c r="G968" s="29" t="n"/>
      <c r="H968" s="35">
        <f>IF($A968="","",SUMIF(tblAkis[KaynakKartId],$A968,tblAkis[Tutar]))</f>
        <v/>
      </c>
      <c r="I968" s="35">
        <f>IF($A968="","",IFERROR(AVERAGEIF(tblAkis[KaynakKartId],$A968,tblAkis[YasGun]),0))</f>
        <v/>
      </c>
    </row>
    <row r="969">
      <c r="A969" s="29" t="n"/>
      <c r="B969" s="29" t="n"/>
      <c r="C969" s="29" t="n"/>
      <c r="D969" s="29" t="n"/>
      <c r="E969" s="31" t="n"/>
      <c r="F969" s="29" t="n"/>
      <c r="G969" s="29" t="n"/>
      <c r="H969" s="35">
        <f>IF($A969="","",SUMIF(tblAkis[KaynakKartId],$A969,tblAkis[Tutar]))</f>
        <v/>
      </c>
      <c r="I969" s="35">
        <f>IF($A969="","",IFERROR(AVERAGEIF(tblAkis[KaynakKartId],$A969,tblAkis[YasGun]),0))</f>
        <v/>
      </c>
    </row>
    <row r="970">
      <c r="A970" s="29" t="n"/>
      <c r="B970" s="29" t="n"/>
      <c r="C970" s="29" t="n"/>
      <c r="D970" s="29" t="n"/>
      <c r="E970" s="31" t="n"/>
      <c r="F970" s="29" t="n"/>
      <c r="G970" s="29" t="n"/>
      <c r="H970" s="35">
        <f>IF($A970="","",SUMIF(tblAkis[KaynakKartId],$A970,tblAkis[Tutar]))</f>
        <v/>
      </c>
      <c r="I970" s="35">
        <f>IF($A970="","",IFERROR(AVERAGEIF(tblAkis[KaynakKartId],$A970,tblAkis[YasGun]),0))</f>
        <v/>
      </c>
    </row>
    <row r="971">
      <c r="A971" s="29" t="n"/>
      <c r="B971" s="29" t="n"/>
      <c r="C971" s="29" t="n"/>
      <c r="D971" s="29" t="n"/>
      <c r="E971" s="31" t="n"/>
      <c r="F971" s="29" t="n"/>
      <c r="G971" s="29" t="n"/>
      <c r="H971" s="35">
        <f>IF($A971="","",SUMIF(tblAkis[KaynakKartId],$A971,tblAkis[Tutar]))</f>
        <v/>
      </c>
      <c r="I971" s="35">
        <f>IF($A971="","",IFERROR(AVERAGEIF(tblAkis[KaynakKartId],$A971,tblAkis[YasGun]),0))</f>
        <v/>
      </c>
    </row>
    <row r="972">
      <c r="A972" s="29" t="n"/>
      <c r="B972" s="29" t="n"/>
      <c r="C972" s="29" t="n"/>
      <c r="D972" s="29" t="n"/>
      <c r="E972" s="31" t="n"/>
      <c r="F972" s="29" t="n"/>
      <c r="G972" s="29" t="n"/>
      <c r="H972" s="35">
        <f>IF($A972="","",SUMIF(tblAkis[KaynakKartId],$A972,tblAkis[Tutar]))</f>
        <v/>
      </c>
      <c r="I972" s="35">
        <f>IF($A972="","",IFERROR(AVERAGEIF(tblAkis[KaynakKartId],$A972,tblAkis[YasGun]),0))</f>
        <v/>
      </c>
    </row>
    <row r="973">
      <c r="A973" s="29" t="n"/>
      <c r="B973" s="29" t="n"/>
      <c r="C973" s="29" t="n"/>
      <c r="D973" s="29" t="n"/>
      <c r="E973" s="31" t="n"/>
      <c r="F973" s="29" t="n"/>
      <c r="G973" s="29" t="n"/>
      <c r="H973" s="35">
        <f>IF($A973="","",SUMIF(tblAkis[KaynakKartId],$A973,tblAkis[Tutar]))</f>
        <v/>
      </c>
      <c r="I973" s="35">
        <f>IF($A973="","",IFERROR(AVERAGEIF(tblAkis[KaynakKartId],$A973,tblAkis[YasGun]),0))</f>
        <v/>
      </c>
    </row>
    <row r="974">
      <c r="A974" s="29" t="n"/>
      <c r="B974" s="29" t="n"/>
      <c r="C974" s="29" t="n"/>
      <c r="D974" s="29" t="n"/>
      <c r="E974" s="31" t="n"/>
      <c r="F974" s="29" t="n"/>
      <c r="G974" s="29" t="n"/>
      <c r="H974" s="35">
        <f>IF($A974="","",SUMIF(tblAkis[KaynakKartId],$A974,tblAkis[Tutar]))</f>
        <v/>
      </c>
      <c r="I974" s="35">
        <f>IF($A974="","",IFERROR(AVERAGEIF(tblAkis[KaynakKartId],$A974,tblAkis[YasGun]),0))</f>
        <v/>
      </c>
    </row>
    <row r="975">
      <c r="A975" s="29" t="n"/>
      <c r="B975" s="29" t="n"/>
      <c r="C975" s="29" t="n"/>
      <c r="D975" s="29" t="n"/>
      <c r="E975" s="31" t="n"/>
      <c r="F975" s="29" t="n"/>
      <c r="G975" s="29" t="n"/>
      <c r="H975" s="35">
        <f>IF($A975="","",SUMIF(tblAkis[KaynakKartId],$A975,tblAkis[Tutar]))</f>
        <v/>
      </c>
      <c r="I975" s="35">
        <f>IF($A975="","",IFERROR(AVERAGEIF(tblAkis[KaynakKartId],$A975,tblAkis[YasGun]),0))</f>
        <v/>
      </c>
    </row>
    <row r="976">
      <c r="A976" s="29" t="n"/>
      <c r="B976" s="29" t="n"/>
      <c r="C976" s="29" t="n"/>
      <c r="D976" s="29" t="n"/>
      <c r="E976" s="31" t="n"/>
      <c r="F976" s="29" t="n"/>
      <c r="G976" s="29" t="n"/>
      <c r="H976" s="35">
        <f>IF($A976="","",SUMIF(tblAkis[KaynakKartId],$A976,tblAkis[Tutar]))</f>
        <v/>
      </c>
      <c r="I976" s="35">
        <f>IF($A976="","",IFERROR(AVERAGEIF(tblAkis[KaynakKartId],$A976,tblAkis[YasGun]),0))</f>
        <v/>
      </c>
    </row>
    <row r="977">
      <c r="A977" s="29" t="n"/>
      <c r="B977" s="29" t="n"/>
      <c r="C977" s="29" t="n"/>
      <c r="D977" s="29" t="n"/>
      <c r="E977" s="31" t="n"/>
      <c r="F977" s="29" t="n"/>
      <c r="G977" s="29" t="n"/>
      <c r="H977" s="35">
        <f>IF($A977="","",SUMIF(tblAkis[KaynakKartId],$A977,tblAkis[Tutar]))</f>
        <v/>
      </c>
      <c r="I977" s="35">
        <f>IF($A977="","",IFERROR(AVERAGEIF(tblAkis[KaynakKartId],$A977,tblAkis[YasGun]),0))</f>
        <v/>
      </c>
    </row>
    <row r="978">
      <c r="A978" s="29" t="n"/>
      <c r="B978" s="29" t="n"/>
      <c r="C978" s="29" t="n"/>
      <c r="D978" s="29" t="n"/>
      <c r="E978" s="31" t="n"/>
      <c r="F978" s="29" t="n"/>
      <c r="G978" s="29" t="n"/>
      <c r="H978" s="35">
        <f>IF($A978="","",SUMIF(tblAkis[KaynakKartId],$A978,tblAkis[Tutar]))</f>
        <v/>
      </c>
      <c r="I978" s="35">
        <f>IF($A978="","",IFERROR(AVERAGEIF(tblAkis[KaynakKartId],$A978,tblAkis[YasGun]),0))</f>
        <v/>
      </c>
    </row>
    <row r="979">
      <c r="A979" s="29" t="n"/>
      <c r="B979" s="29" t="n"/>
      <c r="C979" s="29" t="n"/>
      <c r="D979" s="29" t="n"/>
      <c r="E979" s="31" t="n"/>
      <c r="F979" s="29" t="n"/>
      <c r="G979" s="29" t="n"/>
      <c r="H979" s="35">
        <f>IF($A979="","",SUMIF(tblAkis[KaynakKartId],$A979,tblAkis[Tutar]))</f>
        <v/>
      </c>
      <c r="I979" s="35">
        <f>IF($A979="","",IFERROR(AVERAGEIF(tblAkis[KaynakKartId],$A979,tblAkis[YasGun]),0))</f>
        <v/>
      </c>
    </row>
    <row r="980">
      <c r="A980" s="29" t="n"/>
      <c r="B980" s="29" t="n"/>
      <c r="C980" s="29" t="n"/>
      <c r="D980" s="29" t="n"/>
      <c r="E980" s="31" t="n"/>
      <c r="F980" s="29" t="n"/>
      <c r="G980" s="29" t="n"/>
      <c r="H980" s="35">
        <f>IF($A980="","",SUMIF(tblAkis[KaynakKartId],$A980,tblAkis[Tutar]))</f>
        <v/>
      </c>
      <c r="I980" s="35">
        <f>IF($A980="","",IFERROR(AVERAGEIF(tblAkis[KaynakKartId],$A980,tblAkis[YasGun]),0))</f>
        <v/>
      </c>
    </row>
    <row r="981">
      <c r="A981" s="29" t="n"/>
      <c r="B981" s="29" t="n"/>
      <c r="C981" s="29" t="n"/>
      <c r="D981" s="29" t="n"/>
      <c r="E981" s="31" t="n"/>
      <c r="F981" s="29" t="n"/>
      <c r="G981" s="29" t="n"/>
      <c r="H981" s="35">
        <f>IF($A981="","",SUMIF(tblAkis[KaynakKartId],$A981,tblAkis[Tutar]))</f>
        <v/>
      </c>
      <c r="I981" s="35">
        <f>IF($A981="","",IFERROR(AVERAGEIF(tblAkis[KaynakKartId],$A981,tblAkis[YasGun]),0))</f>
        <v/>
      </c>
    </row>
    <row r="982">
      <c r="A982" s="29" t="n"/>
      <c r="B982" s="29" t="n"/>
      <c r="C982" s="29" t="n"/>
      <c r="D982" s="29" t="n"/>
      <c r="E982" s="31" t="n"/>
      <c r="F982" s="29" t="n"/>
      <c r="G982" s="29" t="n"/>
      <c r="H982" s="35">
        <f>IF($A982="","",SUMIF(tblAkis[KaynakKartId],$A982,tblAkis[Tutar]))</f>
        <v/>
      </c>
      <c r="I982" s="35">
        <f>IF($A982="","",IFERROR(AVERAGEIF(tblAkis[KaynakKartId],$A982,tblAkis[YasGun]),0))</f>
        <v/>
      </c>
    </row>
    <row r="983">
      <c r="A983" s="29" t="n"/>
      <c r="B983" s="29" t="n"/>
      <c r="C983" s="29" t="n"/>
      <c r="D983" s="29" t="n"/>
      <c r="E983" s="31" t="n"/>
      <c r="F983" s="29" t="n"/>
      <c r="G983" s="29" t="n"/>
      <c r="H983" s="35">
        <f>IF($A983="","",SUMIF(tblAkis[KaynakKartId],$A983,tblAkis[Tutar]))</f>
        <v/>
      </c>
      <c r="I983" s="35">
        <f>IF($A983="","",IFERROR(AVERAGEIF(tblAkis[KaynakKartId],$A983,tblAkis[YasGun]),0))</f>
        <v/>
      </c>
    </row>
    <row r="984">
      <c r="A984" s="29" t="n"/>
      <c r="B984" s="29" t="n"/>
      <c r="C984" s="29" t="n"/>
      <c r="D984" s="29" t="n"/>
      <c r="E984" s="31" t="n"/>
      <c r="F984" s="29" t="n"/>
      <c r="G984" s="29" t="n"/>
      <c r="H984" s="35">
        <f>IF($A984="","",SUMIF(tblAkis[KaynakKartId],$A984,tblAkis[Tutar]))</f>
        <v/>
      </c>
      <c r="I984" s="35">
        <f>IF($A984="","",IFERROR(AVERAGEIF(tblAkis[KaynakKartId],$A984,tblAkis[YasGun]),0))</f>
        <v/>
      </c>
    </row>
    <row r="985">
      <c r="A985" s="29" t="n"/>
      <c r="B985" s="29" t="n"/>
      <c r="C985" s="29" t="n"/>
      <c r="D985" s="29" t="n"/>
      <c r="E985" s="31" t="n"/>
      <c r="F985" s="29" t="n"/>
      <c r="G985" s="29" t="n"/>
      <c r="H985" s="35">
        <f>IF($A985="","",SUMIF(tblAkis[KaynakKartId],$A985,tblAkis[Tutar]))</f>
        <v/>
      </c>
      <c r="I985" s="35">
        <f>IF($A985="","",IFERROR(AVERAGEIF(tblAkis[KaynakKartId],$A985,tblAkis[YasGun]),0))</f>
        <v/>
      </c>
    </row>
    <row r="986">
      <c r="A986" s="29" t="n"/>
      <c r="B986" s="29" t="n"/>
      <c r="C986" s="29" t="n"/>
      <c r="D986" s="29" t="n"/>
      <c r="E986" s="31" t="n"/>
      <c r="F986" s="29" t="n"/>
      <c r="G986" s="29" t="n"/>
      <c r="H986" s="35">
        <f>IF($A986="","",SUMIF(tblAkis[KaynakKartId],$A986,tblAkis[Tutar]))</f>
        <v/>
      </c>
      <c r="I986" s="35">
        <f>IF($A986="","",IFERROR(AVERAGEIF(tblAkis[KaynakKartId],$A986,tblAkis[YasGun]),0))</f>
        <v/>
      </c>
    </row>
    <row r="987">
      <c r="A987" s="29" t="n"/>
      <c r="B987" s="29" t="n"/>
      <c r="C987" s="29" t="n"/>
      <c r="D987" s="29" t="n"/>
      <c r="E987" s="31" t="n"/>
      <c r="F987" s="29" t="n"/>
      <c r="G987" s="29" t="n"/>
      <c r="H987" s="35">
        <f>IF($A987="","",SUMIF(tblAkis[KaynakKartId],$A987,tblAkis[Tutar]))</f>
        <v/>
      </c>
      <c r="I987" s="35">
        <f>IF($A987="","",IFERROR(AVERAGEIF(tblAkis[KaynakKartId],$A987,tblAkis[YasGun]),0))</f>
        <v/>
      </c>
    </row>
    <row r="988">
      <c r="A988" s="29" t="n"/>
      <c r="B988" s="29" t="n"/>
      <c r="C988" s="29" t="n"/>
      <c r="D988" s="29" t="n"/>
      <c r="E988" s="31" t="n"/>
      <c r="F988" s="29" t="n"/>
      <c r="G988" s="29" t="n"/>
      <c r="H988" s="35">
        <f>IF($A988="","",SUMIF(tblAkis[KaynakKartId],$A988,tblAkis[Tutar]))</f>
        <v/>
      </c>
      <c r="I988" s="35">
        <f>IF($A988="","",IFERROR(AVERAGEIF(tblAkis[KaynakKartId],$A988,tblAkis[YasGun]),0))</f>
        <v/>
      </c>
    </row>
    <row r="989">
      <c r="A989" s="29" t="n"/>
      <c r="B989" s="29" t="n"/>
      <c r="C989" s="29" t="n"/>
      <c r="D989" s="29" t="n"/>
      <c r="E989" s="31" t="n"/>
      <c r="F989" s="29" t="n"/>
      <c r="G989" s="29" t="n"/>
      <c r="H989" s="35">
        <f>IF($A989="","",SUMIF(tblAkis[KaynakKartId],$A989,tblAkis[Tutar]))</f>
        <v/>
      </c>
      <c r="I989" s="35">
        <f>IF($A989="","",IFERROR(AVERAGEIF(tblAkis[KaynakKartId],$A989,tblAkis[YasGun]),0))</f>
        <v/>
      </c>
    </row>
    <row r="990">
      <c r="A990" s="29" t="n"/>
      <c r="B990" s="29" t="n"/>
      <c r="C990" s="29" t="n"/>
      <c r="D990" s="29" t="n"/>
      <c r="E990" s="31" t="n"/>
      <c r="F990" s="29" t="n"/>
      <c r="G990" s="29" t="n"/>
      <c r="H990" s="35">
        <f>IF($A990="","",SUMIF(tblAkis[KaynakKartId],$A990,tblAkis[Tutar]))</f>
        <v/>
      </c>
      <c r="I990" s="35">
        <f>IF($A990="","",IFERROR(AVERAGEIF(tblAkis[KaynakKartId],$A990,tblAkis[YasGun]),0))</f>
        <v/>
      </c>
    </row>
    <row r="991">
      <c r="A991" s="29" t="n"/>
      <c r="B991" s="29" t="n"/>
      <c r="C991" s="29" t="n"/>
      <c r="D991" s="29" t="n"/>
      <c r="E991" s="31" t="n"/>
      <c r="F991" s="29" t="n"/>
      <c r="G991" s="29" t="n"/>
      <c r="H991" s="35">
        <f>IF($A991="","",SUMIF(tblAkis[KaynakKartId],$A991,tblAkis[Tutar]))</f>
        <v/>
      </c>
      <c r="I991" s="35">
        <f>IF($A991="","",IFERROR(AVERAGEIF(tblAkis[KaynakKartId],$A991,tblAkis[YasGun]),0))</f>
        <v/>
      </c>
    </row>
    <row r="992">
      <c r="A992" s="29" t="n"/>
      <c r="B992" s="29" t="n"/>
      <c r="C992" s="29" t="n"/>
      <c r="D992" s="29" t="n"/>
      <c r="E992" s="31" t="n"/>
      <c r="F992" s="29" t="n"/>
      <c r="G992" s="29" t="n"/>
      <c r="H992" s="35">
        <f>IF($A992="","",SUMIF(tblAkis[KaynakKartId],$A992,tblAkis[Tutar]))</f>
        <v/>
      </c>
      <c r="I992" s="35">
        <f>IF($A992="","",IFERROR(AVERAGEIF(tblAkis[KaynakKartId],$A992,tblAkis[YasGun]),0))</f>
        <v/>
      </c>
    </row>
    <row r="993">
      <c r="A993" s="29" t="n"/>
      <c r="B993" s="29" t="n"/>
      <c r="C993" s="29" t="n"/>
      <c r="D993" s="29" t="n"/>
      <c r="E993" s="31" t="n"/>
      <c r="F993" s="29" t="n"/>
      <c r="G993" s="29" t="n"/>
      <c r="H993" s="35">
        <f>IF($A993="","",SUMIF(tblAkis[KaynakKartId],$A993,tblAkis[Tutar]))</f>
        <v/>
      </c>
      <c r="I993" s="35">
        <f>IF($A993="","",IFERROR(AVERAGEIF(tblAkis[KaynakKartId],$A993,tblAkis[YasGun]),0))</f>
        <v/>
      </c>
    </row>
    <row r="994">
      <c r="A994" s="29" t="n"/>
      <c r="B994" s="29" t="n"/>
      <c r="C994" s="29" t="n"/>
      <c r="D994" s="29" t="n"/>
      <c r="E994" s="31" t="n"/>
      <c r="F994" s="29" t="n"/>
      <c r="G994" s="29" t="n"/>
      <c r="H994" s="35">
        <f>IF($A994="","",SUMIF(tblAkis[KaynakKartId],$A994,tblAkis[Tutar]))</f>
        <v/>
      </c>
      <c r="I994" s="35">
        <f>IF($A994="","",IFERROR(AVERAGEIF(tblAkis[KaynakKartId],$A994,tblAkis[YasGun]),0))</f>
        <v/>
      </c>
    </row>
    <row r="995">
      <c r="A995" s="29" t="n"/>
      <c r="B995" s="29" t="n"/>
      <c r="C995" s="29" t="n"/>
      <c r="D995" s="29" t="n"/>
      <c r="E995" s="31" t="n"/>
      <c r="F995" s="29" t="n"/>
      <c r="G995" s="29" t="n"/>
      <c r="H995" s="35">
        <f>IF($A995="","",SUMIF(tblAkis[KaynakKartId],$A995,tblAkis[Tutar]))</f>
        <v/>
      </c>
      <c r="I995" s="35">
        <f>IF($A995="","",IFERROR(AVERAGEIF(tblAkis[KaynakKartId],$A995,tblAkis[YasGun]),0))</f>
        <v/>
      </c>
    </row>
    <row r="996">
      <c r="A996" s="29" t="n"/>
      <c r="B996" s="29" t="n"/>
      <c r="C996" s="29" t="n"/>
      <c r="D996" s="29" t="n"/>
      <c r="E996" s="31" t="n"/>
      <c r="F996" s="29" t="n"/>
      <c r="G996" s="29" t="n"/>
      <c r="H996" s="35">
        <f>IF($A996="","",SUMIF(tblAkis[KaynakKartId],$A996,tblAkis[Tutar]))</f>
        <v/>
      </c>
      <c r="I996" s="35">
        <f>IF($A996="","",IFERROR(AVERAGEIF(tblAkis[KaynakKartId],$A996,tblAkis[YasGun]),0))</f>
        <v/>
      </c>
    </row>
    <row r="997">
      <c r="A997" s="29" t="n"/>
      <c r="B997" s="29" t="n"/>
      <c r="C997" s="29" t="n"/>
      <c r="D997" s="29" t="n"/>
      <c r="E997" s="31" t="n"/>
      <c r="F997" s="29" t="n"/>
      <c r="G997" s="29" t="n"/>
      <c r="H997" s="35">
        <f>IF($A997="","",SUMIF(tblAkis[KaynakKartId],$A997,tblAkis[Tutar]))</f>
        <v/>
      </c>
      <c r="I997" s="35">
        <f>IF($A997="","",IFERROR(AVERAGEIF(tblAkis[KaynakKartId],$A997,tblAkis[YasGun]),0))</f>
        <v/>
      </c>
    </row>
    <row r="998">
      <c r="A998" s="29" t="n"/>
      <c r="B998" s="29" t="n"/>
      <c r="C998" s="29" t="n"/>
      <c r="D998" s="29" t="n"/>
      <c r="E998" s="31" t="n"/>
      <c r="F998" s="29" t="n"/>
      <c r="G998" s="29" t="n"/>
      <c r="H998" s="35">
        <f>IF($A998="","",SUMIF(tblAkis[KaynakKartId],$A998,tblAkis[Tutar]))</f>
        <v/>
      </c>
      <c r="I998" s="35">
        <f>IF($A998="","",IFERROR(AVERAGEIF(tblAkis[KaynakKartId],$A998,tblAkis[YasGun]),0))</f>
        <v/>
      </c>
    </row>
    <row r="999">
      <c r="A999" s="29" t="n"/>
      <c r="B999" s="29" t="n"/>
      <c r="C999" s="29" t="n"/>
      <c r="D999" s="29" t="n"/>
      <c r="E999" s="31" t="n"/>
      <c r="F999" s="29" t="n"/>
      <c r="G999" s="29" t="n"/>
      <c r="H999" s="35">
        <f>IF($A999="","",SUMIF(tblAkis[KaynakKartId],$A999,tblAkis[Tutar]))</f>
        <v/>
      </c>
      <c r="I999" s="35">
        <f>IF($A999="","",IFERROR(AVERAGEIF(tblAkis[KaynakKartId],$A999,tblAkis[YasGun]),0))</f>
        <v/>
      </c>
    </row>
    <row r="1000">
      <c r="A1000" s="29" t="n"/>
      <c r="B1000" s="29" t="n"/>
      <c r="C1000" s="29" t="n"/>
      <c r="D1000" s="29" t="n"/>
      <c r="E1000" s="31" t="n"/>
      <c r="F1000" s="29" t="n"/>
      <c r="G1000" s="29" t="n"/>
      <c r="H1000" s="35">
        <f>IF($A1000="","",SUMIF(tblAkis[KaynakKartId],$A1000,tblAkis[Tutar]))</f>
        <v/>
      </c>
      <c r="I1000" s="35">
        <f>IF($A1000="","",IFERROR(AVERAGEIF(tblAkis[KaynakKartId],$A1000,tblAkis[YasGun]),0))</f>
        <v/>
      </c>
    </row>
    <row r="1001">
      <c r="A1001" s="29" t="n"/>
      <c r="B1001" s="29" t="n"/>
      <c r="C1001" s="29" t="n"/>
      <c r="D1001" s="29" t="n"/>
      <c r="E1001" s="31" t="n"/>
      <c r="F1001" s="29" t="n"/>
      <c r="G1001" s="29" t="n"/>
      <c r="H1001" s="35">
        <f>IF($A1001="","",SUMIF(tblAkis[KaynakKartId],$A1001,tblAkis[Tutar]))</f>
        <v/>
      </c>
      <c r="I1001" s="35">
        <f>IF($A1001="","",IFERROR(AVERAGEIF(tblAkis[KaynakKartId],$A1001,tblAkis[YasGun]),0))</f>
        <v/>
      </c>
    </row>
    <row r="1002">
      <c r="A1002" s="29" t="n"/>
      <c r="B1002" s="29" t="n"/>
      <c r="C1002" s="29" t="n"/>
      <c r="D1002" s="29" t="n"/>
      <c r="E1002" s="31" t="n"/>
      <c r="F1002" s="29" t="n"/>
      <c r="G1002" s="29" t="n"/>
      <c r="H1002" s="35">
        <f>IF($A1002="","",SUMIF(tblAkis[KaynakKartId],$A1002,tblAkis[Tutar]))</f>
        <v/>
      </c>
      <c r="I1002" s="35">
        <f>IF($A1002="","",IFERROR(AVERAGEIF(tblAkis[KaynakKartId],$A1002,tblAkis[YasGun]),0))</f>
        <v/>
      </c>
    </row>
    <row r="1003">
      <c r="A1003" s="29" t="n"/>
      <c r="B1003" s="29" t="n"/>
      <c r="C1003" s="29" t="n"/>
      <c r="D1003" s="29" t="n"/>
      <c r="E1003" s="31" t="n"/>
      <c r="F1003" s="29" t="n"/>
      <c r="G1003" s="29" t="n"/>
      <c r="H1003" s="35">
        <f>IF($A1003="","",SUMIF(tblAkis[KaynakKartId],$A1003,tblAkis[Tutar]))</f>
        <v/>
      </c>
      <c r="I1003" s="35">
        <f>IF($A1003="","",IFERROR(AVERAGEIF(tblAkis[KaynakKartId],$A1003,tblAkis[YasGun]),0))</f>
        <v/>
      </c>
    </row>
    <row r="1004">
      <c r="A1004" s="29" t="n"/>
      <c r="B1004" s="29" t="n"/>
      <c r="C1004" s="29" t="n"/>
      <c r="D1004" s="29" t="n"/>
      <c r="E1004" s="31" t="n"/>
      <c r="F1004" s="29" t="n"/>
      <c r="G1004" s="29" t="n"/>
      <c r="H1004" s="35">
        <f>IF($A1004="","",SUMIF(tblAkis[KaynakKartId],$A1004,tblAkis[Tutar]))</f>
        <v/>
      </c>
      <c r="I1004" s="35">
        <f>IF($A1004="","",IFERROR(AVERAGEIF(tblAkis[KaynakKartId],$A1004,tblAkis[YasGun]),0))</f>
        <v/>
      </c>
    </row>
    <row r="1005">
      <c r="A1005" s="29" t="n"/>
      <c r="B1005" s="29" t="n"/>
      <c r="C1005" s="29" t="n"/>
      <c r="D1005" s="29" t="n"/>
      <c r="E1005" s="31" t="n"/>
      <c r="F1005" s="29" t="n"/>
      <c r="G1005" s="29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dataValidations count="3">
    <dataValidation sqref="D6:D1005" showDropDown="0" showInputMessage="1" showErrorMessage="1" allowBlank="1" errorTitle="Liste" error="Listeden seçin" promptTitle="Kredi Türü" prompt="ISLETME veya YATIRIM" type="list" errorStyle="stop">
      <formula1>ListeKrediTur</formula1>
    </dataValidation>
    <dataValidation sqref="G6:G1005" showDropDown="0" showInputMessage="1" showErrorMessage="1" allowBlank="1" errorTitle="Liste" error="Listeden seçin" promptTitle="Aktif" prompt="EVET veya HAYIR" type="list" errorStyle="stop">
      <formula1>ListeEvetHayir</formula1>
    </dataValidation>
    <dataValidation sqref="E6:E1005" showDropDown="0" showInputMessage="1" showErrorMessage="1" allowBlank="1" errorTitle="Limit" error="0 veya üzeri" promptTitle="Limit" prompt="Limit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C65911"/>
    <outlinePr summaryBelow="1" summaryRight="1"/>
    <pageSetUpPr/>
  </sheetPr>
  <dimension ref="A1:V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</cols>
  <sheetData>
    <row r="1" ht="26" customHeight="1">
      <c r="A1" s="1" t="inlineStr">
        <is>
          <t>AKIS — Banka Kredi + Covenant Erken Uyarı</t>
        </is>
      </c>
    </row>
    <row r="3" ht="20" customHeight="1">
      <c r="A3" s="39" t="inlineStr">
        <is>
          <t>Süreç satırları — İZLEME→UYARI→İHLAL + yetim + geçersiz geçiş + zincir</t>
        </is>
      </c>
    </row>
    <row r="5" ht="30" customHeight="1">
      <c r="A5" s="21" t="inlineStr">
        <is>
          <t>IslemId</t>
        </is>
      </c>
      <c r="B5" s="21" t="inlineStr">
        <is>
          <t>KaynakKartId</t>
        </is>
      </c>
      <c r="C5" s="21" t="inlineStr">
        <is>
          <t>Tarih</t>
        </is>
      </c>
      <c r="D5" s="21" t="inlineStr">
        <is>
          <t>OncekiDurum</t>
        </is>
      </c>
      <c r="E5" s="21" t="inlineStr">
        <is>
          <t>Durum</t>
        </is>
      </c>
      <c r="F5" s="21" t="inlineStr">
        <is>
          <t>OncekiSkor</t>
        </is>
      </c>
      <c r="G5" s="21" t="inlineStr">
        <is>
          <t>YeniSkor</t>
        </is>
      </c>
      <c r="H5" s="21" t="inlineStr">
        <is>
          <t>LimitTl</t>
        </is>
      </c>
      <c r="I5" s="21" t="inlineStr">
        <is>
          <t>Tutar</t>
        </is>
      </c>
      <c r="J5" s="21" t="inlineStr">
        <is>
          <t>Aciklama</t>
        </is>
      </c>
      <c r="K5" s="21" t="inlineStr">
        <is>
          <t>YasGun</t>
        </is>
      </c>
      <c r="L5" s="21" t="inlineStr">
        <is>
          <t>YasKova</t>
        </is>
      </c>
      <c r="M5" s="21" t="inlineStr">
        <is>
          <t>YetimBayrak</t>
        </is>
      </c>
      <c r="N5" s="21" t="inlineStr">
        <is>
          <t>GecisUyarisi</t>
        </is>
      </c>
      <c r="O5" s="21" t="inlineStr">
        <is>
          <t>ZincirBayrak</t>
        </is>
      </c>
      <c r="P5" s="21" t="inlineStr">
        <is>
          <t>KayitDolu</t>
        </is>
      </c>
    </row>
    <row r="6">
      <c r="A6" s="29" t="inlineStr">
        <is>
          <t>COV-00001</t>
        </is>
      </c>
      <c r="B6" s="29" t="inlineStr">
        <is>
          <t>BKE-00001</t>
        </is>
      </c>
      <c r="C6" s="70" t="n">
        <v>46122</v>
      </c>
      <c r="D6" s="29" t="n"/>
      <c r="E6" s="29" t="inlineStr">
        <is>
          <t>IZLEME</t>
        </is>
      </c>
      <c r="F6" s="30" t="n">
        <v>20</v>
      </c>
      <c r="G6" s="30" t="n">
        <v>20</v>
      </c>
      <c r="H6" s="31" t="n">
        <v>10000000</v>
      </c>
      <c r="I6" s="31" t="n">
        <v>10000000</v>
      </c>
      <c r="J6" s="29" t="inlineStr">
        <is>
          <t>Q2 izleme</t>
        </is>
      </c>
      <c r="K6" s="35">
        <f>IF($A6="","",IF($C6="","",raporTarihi-$C6))</f>
        <v/>
      </c>
      <c r="L6" s="35">
        <f>IF($A6="","",IF($K6="","",IF($K6&lt;=7,"0-7",IF($K6&lt;=30,"8-30",IF($K6&lt;=60,"31-60","60+")))))</f>
        <v/>
      </c>
      <c r="M6" s="35">
        <f>IF($A6="","",IF($B6="","YETİM",IF(COUNTIF(tblKartlar[KartId],$B6)=0,"YETİM","")))</f>
        <v/>
      </c>
      <c r="N6" s="35">
        <f>IF(OR($A6="",$D6=""),"",IF(OR($D6&amp;"|"&amp;$E6="",COUNTIF(ListeIzinliGecis,$D6&amp;"|"&amp;$E6)&gt;0),"","GEÇERSİZ GEÇİŞ"))</f>
        <v/>
      </c>
      <c r="O6" s="35">
        <f>IF($A6="","",IF(OR($F6="",$G6=""),"",IF(ABS($G6-$F6)&gt;zincirTolerans,"ZİNCİR KIRIK","OK")))</f>
        <v/>
      </c>
      <c r="P6" s="35">
        <f>IF($A6="","",1)</f>
        <v/>
      </c>
    </row>
    <row r="7">
      <c r="A7" s="29" t="inlineStr">
        <is>
          <t>COV-00002</t>
        </is>
      </c>
      <c r="B7" s="29" t="inlineStr">
        <is>
          <t>BKE-00001</t>
        </is>
      </c>
      <c r="C7" s="70" t="n">
        <v>46143</v>
      </c>
      <c r="D7" s="29" t="inlineStr">
        <is>
          <t>IZLEME</t>
        </is>
      </c>
      <c r="E7" s="29" t="inlineStr">
        <is>
          <t>UYARI</t>
        </is>
      </c>
      <c r="F7" s="30" t="n">
        <v>20</v>
      </c>
      <c r="G7" s="30" t="n">
        <v>55</v>
      </c>
      <c r="H7" s="31" t="n">
        <v>10000000</v>
      </c>
      <c r="I7" s="31" t="n">
        <v>10000000</v>
      </c>
      <c r="J7" s="29" t="inlineStr">
        <is>
          <t>Erken uyarı</t>
        </is>
      </c>
      <c r="K7" s="35">
        <f>IF($A7="","",IF($C7="","",raporTarihi-$C7))</f>
        <v/>
      </c>
      <c r="L7" s="35">
        <f>IF($A7="","",IF($K7="","",IF($K7&lt;=7,"0-7",IF($K7&lt;=30,"8-30",IF($K7&lt;=60,"31-60","60+")))))</f>
        <v/>
      </c>
      <c r="M7" s="35">
        <f>IF($A7="","",IF($B7="","YETİM",IF(COUNTIF(tblKartlar[KartId],$B7)=0,"YETİM","")))</f>
        <v/>
      </c>
      <c r="N7" s="35">
        <f>IF(OR($A7="",$D7=""),"",IF(OR($D7&amp;"|"&amp;$E7="",COUNTIF(ListeIzinliGecis,$D7&amp;"|"&amp;$E7)&gt;0),"","GEÇERSİZ GEÇİŞ"))</f>
        <v/>
      </c>
      <c r="O7" s="35">
        <f>IF($A7="","",IF(OR($F7="",$G7=""),"",IF(ABS($G7-$F7)&gt;zincirTolerans,"ZİNCİR KIRIK","OK")))</f>
        <v/>
      </c>
      <c r="P7" s="35">
        <f>IF($A7="","",1)</f>
        <v/>
      </c>
    </row>
    <row r="8">
      <c r="A8" s="29" t="inlineStr">
        <is>
          <t>COV-00003</t>
        </is>
      </c>
      <c r="B8" s="29" t="inlineStr">
        <is>
          <t>BKE-00002</t>
        </is>
      </c>
      <c r="C8" s="70" t="n">
        <v>46096</v>
      </c>
      <c r="D8" s="29" t="inlineStr">
        <is>
          <t>UYARI</t>
        </is>
      </c>
      <c r="E8" s="29" t="inlineStr">
        <is>
          <t>IHLAL</t>
        </is>
      </c>
      <c r="F8" s="30" t="n">
        <v>55</v>
      </c>
      <c r="G8" s="30" t="n">
        <v>90</v>
      </c>
      <c r="H8" s="31" t="n">
        <v>12000000</v>
      </c>
      <c r="I8" s="31" t="n">
        <v>12000000</v>
      </c>
      <c r="J8" s="29" t="inlineStr">
        <is>
          <t>DSCR ihlali</t>
        </is>
      </c>
      <c r="K8" s="35">
        <f>IF($A8="","",IF($C8="","",raporTarihi-$C8))</f>
        <v/>
      </c>
      <c r="L8" s="35">
        <f>IF($A8="","",IF($K8="","",IF($K8&lt;=7,"0-7",IF($K8&lt;=30,"8-30",IF($K8&lt;=60,"31-60","60+")))))</f>
        <v/>
      </c>
      <c r="M8" s="35">
        <f>IF($A8="","",IF($B8="","YETİM",IF(COUNTIF(tblKartlar[KartId],$B8)=0,"YETİM","")))</f>
        <v/>
      </c>
      <c r="N8" s="35">
        <f>IF(OR($A8="",$D8=""),"",IF(OR($D8&amp;"|"&amp;$E8="",COUNTIF(ListeIzinliGecis,$D8&amp;"|"&amp;$E8)&gt;0),"","GEÇERSİZ GEÇİŞ"))</f>
        <v/>
      </c>
      <c r="O8" s="35">
        <f>IF($A8="","",IF(OR($F8="",$G8=""),"",IF(ABS($G8-$F8)&gt;zincirTolerans,"ZİNCİR KIRIK","OK")))</f>
        <v/>
      </c>
      <c r="P8" s="35">
        <f>IF($A8="","",1)</f>
        <v/>
      </c>
    </row>
    <row r="9">
      <c r="A9" s="29" t="inlineStr">
        <is>
          <t>COV-00004</t>
        </is>
      </c>
      <c r="B9" s="29" t="inlineStr">
        <is>
          <t>BKE-00003</t>
        </is>
      </c>
      <c r="C9" s="70" t="n">
        <v>46073</v>
      </c>
      <c r="D9" s="29" t="inlineStr">
        <is>
          <t>IHLAL</t>
        </is>
      </c>
      <c r="E9" s="29" t="inlineStr">
        <is>
          <t>IYILESTIRME</t>
        </is>
      </c>
      <c r="F9" s="30" t="n">
        <v>90</v>
      </c>
      <c r="G9" s="30" t="n">
        <v>40</v>
      </c>
      <c r="H9" s="31" t="n">
        <v>8000000</v>
      </c>
      <c r="I9" s="31" t="n">
        <v>8000000</v>
      </c>
      <c r="J9" s="29" t="inlineStr">
        <is>
          <t>İyileştirme planı</t>
        </is>
      </c>
      <c r="K9" s="35">
        <f>IF($A9="","",IF($C9="","",raporTarihi-$C9))</f>
        <v/>
      </c>
      <c r="L9" s="35">
        <f>IF($A9="","",IF($K9="","",IF($K9&lt;=7,"0-7",IF($K9&lt;=30,"8-30",IF($K9&lt;=60,"31-60","60+")))))</f>
        <v/>
      </c>
      <c r="M9" s="35">
        <f>IF($A9="","",IF($B9="","YETİM",IF(COUNTIF(tblKartlar[KartId],$B9)=0,"YETİM","")))</f>
        <v/>
      </c>
      <c r="N9" s="35">
        <f>IF(OR($A9="",$D9=""),"",IF(OR($D9&amp;"|"&amp;$E9="",COUNTIF(ListeIzinliGecis,$D9&amp;"|"&amp;$E9)&gt;0),"","GEÇERSİZ GEÇİŞ"))</f>
        <v/>
      </c>
      <c r="O9" s="35">
        <f>IF($A9="","",IF(OR($F9="",$G9=""),"",IF(ABS($G9-$F9)&gt;zincirTolerans,"ZİNCİR KIRIK","OK")))</f>
        <v/>
      </c>
      <c r="P9" s="35">
        <f>IF($A9="","",1)</f>
        <v/>
      </c>
    </row>
    <row r="10">
      <c r="A10" s="29" t="inlineStr">
        <is>
          <t>COV-00005</t>
        </is>
      </c>
      <c r="B10" s="29" t="n"/>
      <c r="C10" s="70" t="n">
        <v>46174</v>
      </c>
      <c r="D10" s="29" t="inlineStr">
        <is>
          <t>IZLEME</t>
        </is>
      </c>
      <c r="E10" s="29" t="inlineStr">
        <is>
          <t>UYARI</t>
        </is>
      </c>
      <c r="F10" s="30" t="n">
        <v>20</v>
      </c>
      <c r="G10" s="30" t="n">
        <v>50</v>
      </c>
      <c r="H10" s="31" t="n">
        <v>5000000</v>
      </c>
      <c r="I10" s="31" t="n">
        <v>5000000</v>
      </c>
      <c r="J10" s="29" t="inlineStr">
        <is>
          <t>Yetim örnek</t>
        </is>
      </c>
      <c r="K10" s="35">
        <f>IF($A10="","",IF($C10="","",raporTarihi-$C10))</f>
        <v/>
      </c>
      <c r="L10" s="35">
        <f>IF($A10="","",IF($K10="","",IF($K10&lt;=7,"0-7",IF($K10&lt;=30,"8-30",IF($K10&lt;=60,"31-60","60+")))))</f>
        <v/>
      </c>
      <c r="M10" s="35">
        <f>IF($A10="","",IF($B10="","YETİM",IF(COUNTIF(tblKartlar[KartId],$B10)=0,"YETİM","")))</f>
        <v/>
      </c>
      <c r="N10" s="35">
        <f>IF(OR($A10="",$D10=""),"",IF(OR($D10&amp;"|"&amp;$E10="",COUNTIF(ListeIzinliGecis,$D10&amp;"|"&amp;$E10)&gt;0),"","GEÇERSİZ GEÇİŞ"))</f>
        <v/>
      </c>
      <c r="O10" s="35">
        <f>IF($A10="","",IF(OR($F10="",$G10=""),"",IF(ABS($G10-$F10)&gt;zincirTolerans,"ZİNCİR KIRIK","OK")))</f>
        <v/>
      </c>
      <c r="P10" s="35">
        <f>IF($A10="","",1)</f>
        <v/>
      </c>
    </row>
    <row r="11">
      <c r="A11" s="29" t="inlineStr">
        <is>
          <t>COV-00006</t>
        </is>
      </c>
      <c r="B11" s="29" t="inlineStr">
        <is>
          <t>BKE-00002</t>
        </is>
      </c>
      <c r="C11" s="70" t="n">
        <v>46178</v>
      </c>
      <c r="D11" s="29" t="inlineStr">
        <is>
          <t>IZLEME</t>
        </is>
      </c>
      <c r="E11" s="29" t="inlineStr">
        <is>
          <t>IHLAL</t>
        </is>
      </c>
      <c r="F11" s="30" t="n">
        <v>20</v>
      </c>
      <c r="G11" s="30" t="n">
        <v>90</v>
      </c>
      <c r="H11" s="31" t="n">
        <v>8000000</v>
      </c>
      <c r="I11" s="31" t="n">
        <v>8000000</v>
      </c>
      <c r="J11" s="29" t="inlineStr">
        <is>
          <t>Geçersiz geçiş örnek</t>
        </is>
      </c>
      <c r="K11" s="35">
        <f>IF($A11="","",IF($C11="","",raporTarihi-$C11))</f>
        <v/>
      </c>
      <c r="L11" s="35">
        <f>IF($A11="","",IF($K11="","",IF($K11&lt;=7,"0-7",IF($K11&lt;=30,"8-30",IF($K11&lt;=60,"31-60","60+")))))</f>
        <v/>
      </c>
      <c r="M11" s="35">
        <f>IF($A11="","",IF($B11="","YETİM",IF(COUNTIF(tblKartlar[KartId],$B11)=0,"YETİM","")))</f>
        <v/>
      </c>
      <c r="N11" s="35">
        <f>IF(OR($A11="",$D11=""),"",IF(OR($D11&amp;"|"&amp;$E11="",COUNTIF(ListeIzinliGecis,$D11&amp;"|"&amp;$E11)&gt;0),"","GEÇERSİZ GEÇİŞ"))</f>
        <v/>
      </c>
      <c r="O11" s="35">
        <f>IF($A11="","",IF(OR($F11="",$G11=""),"",IF(ABS($G11-$F11)&gt;zincirTolerans,"ZİNCİR KIRIK","OK")))</f>
        <v/>
      </c>
      <c r="P11" s="35">
        <f>IF($A11="","",1)</f>
        <v/>
      </c>
    </row>
    <row r="12">
      <c r="A12" s="29" t="inlineStr">
        <is>
          <t>COV-00007</t>
        </is>
      </c>
      <c r="B12" s="29" t="inlineStr">
        <is>
          <t>BKE-00001</t>
        </is>
      </c>
      <c r="C12" s="70" t="n">
        <v>46162</v>
      </c>
      <c r="D12" s="29" t="inlineStr">
        <is>
          <t>UYARI</t>
        </is>
      </c>
      <c r="E12" s="29" t="inlineStr">
        <is>
          <t>IYILESTIRME</t>
        </is>
      </c>
      <c r="F12" s="30" t="n">
        <v>55</v>
      </c>
      <c r="G12" s="30" t="n">
        <v>5</v>
      </c>
      <c r="H12" s="31" t="n">
        <v>10000000</v>
      </c>
      <c r="I12" s="31" t="n">
        <v>10000000</v>
      </c>
      <c r="J12" s="29" t="inlineStr">
        <is>
          <t>Zincir sapma örnek</t>
        </is>
      </c>
      <c r="K12" s="35">
        <f>IF($A12="","",IF($C12="","",raporTarihi-$C12))</f>
        <v/>
      </c>
      <c r="L12" s="35">
        <f>IF($A12="","",IF($K12="","",IF($K12&lt;=7,"0-7",IF($K12&lt;=30,"8-30",IF($K12&lt;=60,"31-60","60+")))))</f>
        <v/>
      </c>
      <c r="M12" s="35">
        <f>IF($A12="","",IF($B12="","YETİM",IF(COUNTIF(tblKartlar[KartId],$B12)=0,"YETİM","")))</f>
        <v/>
      </c>
      <c r="N12" s="35">
        <f>IF(OR($A12="",$D12=""),"",IF(OR($D12&amp;"|"&amp;$E12="",COUNTIF(ListeIzinliGecis,$D12&amp;"|"&amp;$E12)&gt;0),"","GEÇERSİZ GEÇİŞ"))</f>
        <v/>
      </c>
      <c r="O12" s="35">
        <f>IF($A12="","",IF(OR($F12="",$G12=""),"",IF(ABS($G12-$F12)&gt;zincirTolerans,"ZİNCİR KIRIK","OK")))</f>
        <v/>
      </c>
      <c r="P12" s="35">
        <f>IF($A12="","",1)</f>
        <v/>
      </c>
    </row>
    <row r="13">
      <c r="A13" s="29" t="n"/>
      <c r="B13" s="29" t="n"/>
      <c r="C13" s="70" t="n"/>
      <c r="D13" s="29" t="n"/>
      <c r="E13" s="29" t="n"/>
      <c r="F13" s="30" t="n"/>
      <c r="G13" s="30" t="n"/>
      <c r="H13" s="31" t="n"/>
      <c r="I13" s="31" t="n"/>
      <c r="J13" s="29" t="n"/>
      <c r="K13" s="35">
        <f>IF($A13="","",IF($C13="","",raporTarihi-$C13))</f>
        <v/>
      </c>
      <c r="L13" s="35">
        <f>IF($A13="","",IF($K13="","",IF($K13&lt;=7,"0-7",IF($K13&lt;=30,"8-30",IF($K13&lt;=60,"31-60","60+")))))</f>
        <v/>
      </c>
      <c r="M13" s="35">
        <f>IF($A13="","",IF($B13="","YETİM",IF(COUNTIF(tblKartlar[KartId],$B13)=0,"YETİM","")))</f>
        <v/>
      </c>
      <c r="N13" s="35">
        <f>IF(OR($A13="",$D13=""),"",IF(OR($D13&amp;"|"&amp;$E13="",COUNTIF(ListeIzinliGecis,$D13&amp;"|"&amp;$E13)&gt;0),"","GEÇERSİZ GEÇİŞ"))</f>
        <v/>
      </c>
      <c r="O13" s="35">
        <f>IF($A13="","",IF(OR($F13="",$G13=""),"",IF(ABS($G13-$F13)&gt;zincirTolerans,"ZİNCİR KIRIK","OK")))</f>
        <v/>
      </c>
      <c r="P13" s="35">
        <f>IF($A13="","",1)</f>
        <v/>
      </c>
    </row>
    <row r="14">
      <c r="A14" s="29" t="n"/>
      <c r="B14" s="29" t="n"/>
      <c r="C14" s="70" t="n"/>
      <c r="D14" s="29" t="n"/>
      <c r="E14" s="29" t="n"/>
      <c r="F14" s="30" t="n"/>
      <c r="G14" s="30" t="n"/>
      <c r="H14" s="31" t="n"/>
      <c r="I14" s="31" t="n"/>
      <c r="J14" s="29" t="n"/>
      <c r="K14" s="35">
        <f>IF($A14="","",IF($C14="","",raporTarihi-$C14))</f>
        <v/>
      </c>
      <c r="L14" s="35">
        <f>IF($A14="","",IF($K14="","",IF($K14&lt;=7,"0-7",IF($K14&lt;=30,"8-30",IF($K14&lt;=60,"31-60","60+")))))</f>
        <v/>
      </c>
      <c r="M14" s="35">
        <f>IF($A14="","",IF($B14="","YETİM",IF(COUNTIF(tblKartlar[KartId],$B14)=0,"YETİM","")))</f>
        <v/>
      </c>
      <c r="N14" s="35">
        <f>IF(OR($A14="",$D14=""),"",IF(OR($D14&amp;"|"&amp;$E14="",COUNTIF(ListeIzinliGecis,$D14&amp;"|"&amp;$E14)&gt;0),"","GEÇERSİZ GEÇİŞ"))</f>
        <v/>
      </c>
      <c r="O14" s="35">
        <f>IF($A14="","",IF(OR($F14="",$G14=""),"",IF(ABS($G14-$F14)&gt;zincirTolerans,"ZİNCİR KIRIK","OK")))</f>
        <v/>
      </c>
      <c r="P14" s="35">
        <f>IF($A14="","",1)</f>
        <v/>
      </c>
    </row>
    <row r="15">
      <c r="A15" s="29" t="n"/>
      <c r="B15" s="29" t="n"/>
      <c r="C15" s="70" t="n"/>
      <c r="D15" s="29" t="n"/>
      <c r="E15" s="29" t="n"/>
      <c r="F15" s="30" t="n"/>
      <c r="G15" s="30" t="n"/>
      <c r="H15" s="31" t="n"/>
      <c r="I15" s="31" t="n"/>
      <c r="J15" s="29" t="n"/>
      <c r="K15" s="35">
        <f>IF($A15="","",IF($C15="","",raporTarihi-$C15))</f>
        <v/>
      </c>
      <c r="L15" s="35">
        <f>IF($A15="","",IF($K15="","",IF($K15&lt;=7,"0-7",IF($K15&lt;=30,"8-30",IF($K15&lt;=60,"31-60","60+")))))</f>
        <v/>
      </c>
      <c r="M15" s="35">
        <f>IF($A15="","",IF($B15="","YETİM",IF(COUNTIF(tblKartlar[KartId],$B15)=0,"YETİM","")))</f>
        <v/>
      </c>
      <c r="N15" s="35">
        <f>IF(OR($A15="",$D15=""),"",IF(OR($D15&amp;"|"&amp;$E15="",COUNTIF(ListeIzinliGecis,$D15&amp;"|"&amp;$E15)&gt;0),"","GEÇERSİZ GEÇİŞ"))</f>
        <v/>
      </c>
      <c r="O15" s="35">
        <f>IF($A15="","",IF(OR($F15="",$G15=""),"",IF(ABS($G15-$F15)&gt;zincirTolerans,"ZİNCİR KIRIK","OK")))</f>
        <v/>
      </c>
      <c r="P15" s="35">
        <f>IF($A15="","",1)</f>
        <v/>
      </c>
    </row>
    <row r="16">
      <c r="A16" s="29" t="n"/>
      <c r="B16" s="29" t="n"/>
      <c r="C16" s="70" t="n"/>
      <c r="D16" s="29" t="n"/>
      <c r="E16" s="29" t="n"/>
      <c r="F16" s="30" t="n"/>
      <c r="G16" s="30" t="n"/>
      <c r="H16" s="31" t="n"/>
      <c r="I16" s="31" t="n"/>
      <c r="J16" s="29" t="n"/>
      <c r="K16" s="35">
        <f>IF($A16="","",IF($C16="","",raporTarihi-$C16))</f>
        <v/>
      </c>
      <c r="L16" s="35">
        <f>IF($A16="","",IF($K16="","",IF($K16&lt;=7,"0-7",IF($K16&lt;=30,"8-30",IF($K16&lt;=60,"31-60","60+")))))</f>
        <v/>
      </c>
      <c r="M16" s="35">
        <f>IF($A16="","",IF($B16="","YETİM",IF(COUNTIF(tblKartlar[KartId],$B16)=0,"YETİM","")))</f>
        <v/>
      </c>
      <c r="N16" s="35">
        <f>IF(OR($A16="",$D16=""),"",IF(OR($D16&amp;"|"&amp;$E16="",COUNTIF(ListeIzinliGecis,$D16&amp;"|"&amp;$E16)&gt;0),"","GEÇERSİZ GEÇİŞ"))</f>
        <v/>
      </c>
      <c r="O16" s="35">
        <f>IF($A16="","",IF(OR($F16="",$G16=""),"",IF(ABS($G16-$F16)&gt;zincirTolerans,"ZİNCİR KIRIK","OK")))</f>
        <v/>
      </c>
      <c r="P16" s="35">
        <f>IF($A16="","",1)</f>
        <v/>
      </c>
    </row>
    <row r="17">
      <c r="A17" s="29" t="n"/>
      <c r="B17" s="29" t="n"/>
      <c r="C17" s="70" t="n"/>
      <c r="D17" s="29" t="n"/>
      <c r="E17" s="29" t="n"/>
      <c r="F17" s="30" t="n"/>
      <c r="G17" s="30" t="n"/>
      <c r="H17" s="31" t="n"/>
      <c r="I17" s="31" t="n"/>
      <c r="J17" s="29" t="n"/>
      <c r="K17" s="35">
        <f>IF($A17="","",IF($C17="","",raporTarihi-$C17))</f>
        <v/>
      </c>
      <c r="L17" s="35">
        <f>IF($A17="","",IF($K17="","",IF($K17&lt;=7,"0-7",IF($K17&lt;=30,"8-30",IF($K17&lt;=60,"31-60","60+")))))</f>
        <v/>
      </c>
      <c r="M17" s="35">
        <f>IF($A17="","",IF($B17="","YETİM",IF(COUNTIF(tblKartlar[KartId],$B17)=0,"YETİM","")))</f>
        <v/>
      </c>
      <c r="N17" s="35">
        <f>IF(OR($A17="",$D17=""),"",IF(OR($D17&amp;"|"&amp;$E17="",COUNTIF(ListeIzinliGecis,$D17&amp;"|"&amp;$E17)&gt;0),"","GEÇERSİZ GEÇİŞ"))</f>
        <v/>
      </c>
      <c r="O17" s="35">
        <f>IF($A17="","",IF(OR($F17="",$G17=""),"",IF(ABS($G17-$F17)&gt;zincirTolerans,"ZİNCİR KIRIK","OK")))</f>
        <v/>
      </c>
      <c r="P17" s="35">
        <f>IF($A17="","",1)</f>
        <v/>
      </c>
    </row>
    <row r="18">
      <c r="A18" s="29" t="n"/>
      <c r="B18" s="29" t="n"/>
      <c r="C18" s="70" t="n"/>
      <c r="D18" s="29" t="n"/>
      <c r="E18" s="29" t="n"/>
      <c r="F18" s="30" t="n"/>
      <c r="G18" s="30" t="n"/>
      <c r="H18" s="31" t="n"/>
      <c r="I18" s="31" t="n"/>
      <c r="J18" s="29" t="n"/>
      <c r="K18" s="35">
        <f>IF($A18="","",IF($C18="","",raporTarihi-$C18))</f>
        <v/>
      </c>
      <c r="L18" s="35">
        <f>IF($A18="","",IF($K18="","",IF($K18&lt;=7,"0-7",IF($K18&lt;=30,"8-30",IF($K18&lt;=60,"31-60","60+")))))</f>
        <v/>
      </c>
      <c r="M18" s="35">
        <f>IF($A18="","",IF($B18="","YETİM",IF(COUNTIF(tblKartlar[KartId],$B18)=0,"YETİM","")))</f>
        <v/>
      </c>
      <c r="N18" s="35">
        <f>IF(OR($A18="",$D18=""),"",IF(OR($D18&amp;"|"&amp;$E18="",COUNTIF(ListeIzinliGecis,$D18&amp;"|"&amp;$E18)&gt;0),"","GEÇERSİZ GEÇİŞ"))</f>
        <v/>
      </c>
      <c r="O18" s="35">
        <f>IF($A18="","",IF(OR($F18="",$G18=""),"",IF(ABS($G18-$F18)&gt;zincirTolerans,"ZİNCİR KIRIK","OK")))</f>
        <v/>
      </c>
      <c r="P18" s="35">
        <f>IF($A18="","",1)</f>
        <v/>
      </c>
    </row>
    <row r="19">
      <c r="A19" s="29" t="n"/>
      <c r="B19" s="29" t="n"/>
      <c r="C19" s="70" t="n"/>
      <c r="D19" s="29" t="n"/>
      <c r="E19" s="29" t="n"/>
      <c r="F19" s="30" t="n"/>
      <c r="G19" s="30" t="n"/>
      <c r="H19" s="31" t="n"/>
      <c r="I19" s="31" t="n"/>
      <c r="J19" s="29" t="n"/>
      <c r="K19" s="35">
        <f>IF($A19="","",IF($C19="","",raporTarihi-$C19))</f>
        <v/>
      </c>
      <c r="L19" s="35">
        <f>IF($A19="","",IF($K19="","",IF($K19&lt;=7,"0-7",IF($K19&lt;=30,"8-30",IF($K19&lt;=60,"31-60","60+")))))</f>
        <v/>
      </c>
      <c r="M19" s="35">
        <f>IF($A19="","",IF($B19="","YETİM",IF(COUNTIF(tblKartlar[KartId],$B19)=0,"YETİM","")))</f>
        <v/>
      </c>
      <c r="N19" s="35">
        <f>IF(OR($A19="",$D19=""),"",IF(OR($D19&amp;"|"&amp;$E19="",COUNTIF(ListeIzinliGecis,$D19&amp;"|"&amp;$E19)&gt;0),"","GEÇERSİZ GEÇİŞ"))</f>
        <v/>
      </c>
      <c r="O19" s="35">
        <f>IF($A19="","",IF(OR($F19="",$G19=""),"",IF(ABS($G19-$F19)&gt;zincirTolerans,"ZİNCİR KIRIK","OK")))</f>
        <v/>
      </c>
      <c r="P19" s="35">
        <f>IF($A19="","",1)</f>
        <v/>
      </c>
    </row>
    <row r="20">
      <c r="A20" s="29" t="n"/>
      <c r="B20" s="29" t="n"/>
      <c r="C20" s="70" t="n"/>
      <c r="D20" s="29" t="n"/>
      <c r="E20" s="29" t="n"/>
      <c r="F20" s="30" t="n"/>
      <c r="G20" s="30" t="n"/>
      <c r="H20" s="31" t="n"/>
      <c r="I20" s="31" t="n"/>
      <c r="J20" s="29" t="n"/>
      <c r="K20" s="35">
        <f>IF($A20="","",IF($C20="","",raporTarihi-$C20))</f>
        <v/>
      </c>
      <c r="L20" s="35">
        <f>IF($A20="","",IF($K20="","",IF($K20&lt;=7,"0-7",IF($K20&lt;=30,"8-30",IF($K20&lt;=60,"31-60","60+")))))</f>
        <v/>
      </c>
      <c r="M20" s="35">
        <f>IF($A20="","",IF($B20="","YETİM",IF(COUNTIF(tblKartlar[KartId],$B20)=0,"YETİM","")))</f>
        <v/>
      </c>
      <c r="N20" s="35">
        <f>IF(OR($A20="",$D20=""),"",IF(OR($D20&amp;"|"&amp;$E20="",COUNTIF(ListeIzinliGecis,$D20&amp;"|"&amp;$E20)&gt;0),"","GEÇERSİZ GEÇİŞ"))</f>
        <v/>
      </c>
      <c r="O20" s="35">
        <f>IF($A20="","",IF(OR($F20="",$G20=""),"",IF(ABS($G20-$F20)&gt;zincirTolerans,"ZİNCİR KIRIK","OK")))</f>
        <v/>
      </c>
      <c r="P20" s="35">
        <f>IF($A20="","",1)</f>
        <v/>
      </c>
    </row>
    <row r="21">
      <c r="A21" s="29" t="n"/>
      <c r="B21" s="29" t="n"/>
      <c r="C21" s="70" t="n"/>
      <c r="D21" s="29" t="n"/>
      <c r="E21" s="29" t="n"/>
      <c r="F21" s="30" t="n"/>
      <c r="G21" s="30" t="n"/>
      <c r="H21" s="31" t="n"/>
      <c r="I21" s="31" t="n"/>
      <c r="J21" s="29" t="n"/>
      <c r="K21" s="35">
        <f>IF($A21="","",IF($C21="","",raporTarihi-$C21))</f>
        <v/>
      </c>
      <c r="L21" s="35">
        <f>IF($A21="","",IF($K21="","",IF($K21&lt;=7,"0-7",IF($K21&lt;=30,"8-30",IF($K21&lt;=60,"31-60","60+")))))</f>
        <v/>
      </c>
      <c r="M21" s="35">
        <f>IF($A21="","",IF($B21="","YETİM",IF(COUNTIF(tblKartlar[KartId],$B21)=0,"YETİM","")))</f>
        <v/>
      </c>
      <c r="N21" s="35">
        <f>IF(OR($A21="",$D21=""),"",IF(OR($D21&amp;"|"&amp;$E21="",COUNTIF(ListeIzinliGecis,$D21&amp;"|"&amp;$E21)&gt;0),"","GEÇERSİZ GEÇİŞ"))</f>
        <v/>
      </c>
      <c r="O21" s="35">
        <f>IF($A21="","",IF(OR($F21="",$G21=""),"",IF(ABS($G21-$F21)&gt;zincirTolerans,"ZİNCİR KIRIK","OK")))</f>
        <v/>
      </c>
      <c r="P21" s="35">
        <f>IF($A21="","",1)</f>
        <v/>
      </c>
    </row>
    <row r="22">
      <c r="A22" s="29" t="n"/>
      <c r="B22" s="29" t="n"/>
      <c r="C22" s="70" t="n"/>
      <c r="D22" s="29" t="n"/>
      <c r="E22" s="29" t="n"/>
      <c r="F22" s="30" t="n"/>
      <c r="G22" s="30" t="n"/>
      <c r="H22" s="31" t="n"/>
      <c r="I22" s="31" t="n"/>
      <c r="J22" s="29" t="n"/>
      <c r="K22" s="35">
        <f>IF($A22="","",IF($C22="","",raporTarihi-$C22))</f>
        <v/>
      </c>
      <c r="L22" s="35">
        <f>IF($A22="","",IF($K22="","",IF($K22&lt;=7,"0-7",IF($K22&lt;=30,"8-30",IF($K22&lt;=60,"31-60","60+")))))</f>
        <v/>
      </c>
      <c r="M22" s="35">
        <f>IF($A22="","",IF($B22="","YETİM",IF(COUNTIF(tblKartlar[KartId],$B22)=0,"YETİM","")))</f>
        <v/>
      </c>
      <c r="N22" s="35">
        <f>IF(OR($A22="",$D22=""),"",IF(OR($D22&amp;"|"&amp;$E22="",COUNTIF(ListeIzinliGecis,$D22&amp;"|"&amp;$E22)&gt;0),"","GEÇERSİZ GEÇİŞ"))</f>
        <v/>
      </c>
      <c r="O22" s="35">
        <f>IF($A22="","",IF(OR($F22="",$G22=""),"",IF(ABS($G22-$F22)&gt;zincirTolerans,"ZİNCİR KIRIK","OK")))</f>
        <v/>
      </c>
      <c r="P22" s="35">
        <f>IF($A22="","",1)</f>
        <v/>
      </c>
    </row>
    <row r="23">
      <c r="A23" s="29" t="n"/>
      <c r="B23" s="29" t="n"/>
      <c r="C23" s="70" t="n"/>
      <c r="D23" s="29" t="n"/>
      <c r="E23" s="29" t="n"/>
      <c r="F23" s="30" t="n"/>
      <c r="G23" s="30" t="n"/>
      <c r="H23" s="31" t="n"/>
      <c r="I23" s="31" t="n"/>
      <c r="J23" s="29" t="n"/>
      <c r="K23" s="35">
        <f>IF($A23="","",IF($C23="","",raporTarihi-$C23))</f>
        <v/>
      </c>
      <c r="L23" s="35">
        <f>IF($A23="","",IF($K23="","",IF($K23&lt;=7,"0-7",IF($K23&lt;=30,"8-30",IF($K23&lt;=60,"31-60","60+")))))</f>
        <v/>
      </c>
      <c r="M23" s="35">
        <f>IF($A23="","",IF($B23="","YETİM",IF(COUNTIF(tblKartlar[KartId],$B23)=0,"YETİM","")))</f>
        <v/>
      </c>
      <c r="N23" s="35">
        <f>IF(OR($A23="",$D23=""),"",IF(OR($D23&amp;"|"&amp;$E23="",COUNTIF(ListeIzinliGecis,$D23&amp;"|"&amp;$E23)&gt;0),"","GEÇERSİZ GEÇİŞ"))</f>
        <v/>
      </c>
      <c r="O23" s="35">
        <f>IF($A23="","",IF(OR($F23="",$G23=""),"",IF(ABS($G23-$F23)&gt;zincirTolerans,"ZİNCİR KIRIK","OK")))</f>
        <v/>
      </c>
      <c r="P23" s="35">
        <f>IF($A23="","",1)</f>
        <v/>
      </c>
    </row>
    <row r="24">
      <c r="A24" s="29" t="n"/>
      <c r="B24" s="29" t="n"/>
      <c r="C24" s="70" t="n"/>
      <c r="D24" s="29" t="n"/>
      <c r="E24" s="29" t="n"/>
      <c r="F24" s="30" t="n"/>
      <c r="G24" s="30" t="n"/>
      <c r="H24" s="31" t="n"/>
      <c r="I24" s="31" t="n"/>
      <c r="J24" s="29" t="n"/>
      <c r="K24" s="35">
        <f>IF($A24="","",IF($C24="","",raporTarihi-$C24))</f>
        <v/>
      </c>
      <c r="L24" s="35">
        <f>IF($A24="","",IF($K24="","",IF($K24&lt;=7,"0-7",IF($K24&lt;=30,"8-30",IF($K24&lt;=60,"31-60","60+")))))</f>
        <v/>
      </c>
      <c r="M24" s="35">
        <f>IF($A24="","",IF($B24="","YETİM",IF(COUNTIF(tblKartlar[KartId],$B24)=0,"YETİM","")))</f>
        <v/>
      </c>
      <c r="N24" s="35">
        <f>IF(OR($A24="",$D24=""),"",IF(OR($D24&amp;"|"&amp;$E24="",COUNTIF(ListeIzinliGecis,$D24&amp;"|"&amp;$E24)&gt;0),"","GEÇERSİZ GEÇİŞ"))</f>
        <v/>
      </c>
      <c r="O24" s="35">
        <f>IF($A24="","",IF(OR($F24="",$G24=""),"",IF(ABS($G24-$F24)&gt;zincirTolerans,"ZİNCİR KIRIK","OK")))</f>
        <v/>
      </c>
      <c r="P24" s="35">
        <f>IF($A24="","",1)</f>
        <v/>
      </c>
    </row>
    <row r="25">
      <c r="A25" s="29" t="n"/>
      <c r="B25" s="29" t="n"/>
      <c r="C25" s="70" t="n"/>
      <c r="D25" s="29" t="n"/>
      <c r="E25" s="29" t="n"/>
      <c r="F25" s="30" t="n"/>
      <c r="G25" s="30" t="n"/>
      <c r="H25" s="31" t="n"/>
      <c r="I25" s="31" t="n"/>
      <c r="J25" s="29" t="n"/>
      <c r="K25" s="35">
        <f>IF($A25="","",IF($C25="","",raporTarihi-$C25))</f>
        <v/>
      </c>
      <c r="L25" s="35">
        <f>IF($A25="","",IF($K25="","",IF($K25&lt;=7,"0-7",IF($K25&lt;=30,"8-30",IF($K25&lt;=60,"31-60","60+")))))</f>
        <v/>
      </c>
      <c r="M25" s="35">
        <f>IF($A25="","",IF($B25="","YETİM",IF(COUNTIF(tblKartlar[KartId],$B25)=0,"YETİM","")))</f>
        <v/>
      </c>
      <c r="N25" s="35">
        <f>IF(OR($A25="",$D25=""),"",IF(OR($D25&amp;"|"&amp;$E25="",COUNTIF(ListeIzinliGecis,$D25&amp;"|"&amp;$E25)&gt;0),"","GEÇERSİZ GEÇİŞ"))</f>
        <v/>
      </c>
      <c r="O25" s="35">
        <f>IF($A25="","",IF(OR($F25="",$G25=""),"",IF(ABS($G25-$F25)&gt;zincirTolerans,"ZİNCİR KIRIK","OK")))</f>
        <v/>
      </c>
      <c r="P25" s="35">
        <f>IF($A25="","",1)</f>
        <v/>
      </c>
    </row>
    <row r="26">
      <c r="A26" s="29" t="n"/>
      <c r="B26" s="29" t="n"/>
      <c r="C26" s="70" t="n"/>
      <c r="D26" s="29" t="n"/>
      <c r="E26" s="29" t="n"/>
      <c r="F26" s="30" t="n"/>
      <c r="G26" s="30" t="n"/>
      <c r="H26" s="31" t="n"/>
      <c r="I26" s="31" t="n"/>
      <c r="J26" s="29" t="n"/>
      <c r="K26" s="35">
        <f>IF($A26="","",IF($C26="","",raporTarihi-$C26))</f>
        <v/>
      </c>
      <c r="L26" s="35">
        <f>IF($A26="","",IF($K26="","",IF($K26&lt;=7,"0-7",IF($K26&lt;=30,"8-30",IF($K26&lt;=60,"31-60","60+")))))</f>
        <v/>
      </c>
      <c r="M26" s="35">
        <f>IF($A26="","",IF($B26="","YETİM",IF(COUNTIF(tblKartlar[KartId],$B26)=0,"YETİM","")))</f>
        <v/>
      </c>
      <c r="N26" s="35">
        <f>IF(OR($A26="",$D26=""),"",IF(OR($D26&amp;"|"&amp;$E26="",COUNTIF(ListeIzinliGecis,$D26&amp;"|"&amp;$E26)&gt;0),"","GEÇERSİZ GEÇİŞ"))</f>
        <v/>
      </c>
      <c r="O26" s="35">
        <f>IF($A26="","",IF(OR($F26="",$G26=""),"",IF(ABS($G26-$F26)&gt;zincirTolerans,"ZİNCİR KIRIK","OK")))</f>
        <v/>
      </c>
      <c r="P26" s="35">
        <f>IF($A26="","",1)</f>
        <v/>
      </c>
    </row>
    <row r="27">
      <c r="A27" s="29" t="n"/>
      <c r="B27" s="29" t="n"/>
      <c r="C27" s="70" t="n"/>
      <c r="D27" s="29" t="n"/>
      <c r="E27" s="29" t="n"/>
      <c r="F27" s="30" t="n"/>
      <c r="G27" s="30" t="n"/>
      <c r="H27" s="31" t="n"/>
      <c r="I27" s="31" t="n"/>
      <c r="J27" s="29" t="n"/>
      <c r="K27" s="35">
        <f>IF($A27="","",IF($C27="","",raporTarihi-$C27))</f>
        <v/>
      </c>
      <c r="L27" s="35">
        <f>IF($A27="","",IF($K27="","",IF($K27&lt;=7,"0-7",IF($K27&lt;=30,"8-30",IF($K27&lt;=60,"31-60","60+")))))</f>
        <v/>
      </c>
      <c r="M27" s="35">
        <f>IF($A27="","",IF($B27="","YETİM",IF(COUNTIF(tblKartlar[KartId],$B27)=0,"YETİM","")))</f>
        <v/>
      </c>
      <c r="N27" s="35">
        <f>IF(OR($A27="",$D27=""),"",IF(OR($D27&amp;"|"&amp;$E27="",COUNTIF(ListeIzinliGecis,$D27&amp;"|"&amp;$E27)&gt;0),"","GEÇERSİZ GEÇİŞ"))</f>
        <v/>
      </c>
      <c r="O27" s="35">
        <f>IF($A27="","",IF(OR($F27="",$G27=""),"",IF(ABS($G27-$F27)&gt;zincirTolerans,"ZİNCİR KIRIK","OK")))</f>
        <v/>
      </c>
      <c r="P27" s="35">
        <f>IF($A27="","",1)</f>
        <v/>
      </c>
    </row>
    <row r="28">
      <c r="A28" s="29" t="n"/>
      <c r="B28" s="29" t="n"/>
      <c r="C28" s="70" t="n"/>
      <c r="D28" s="29" t="n"/>
      <c r="E28" s="29" t="n"/>
      <c r="F28" s="30" t="n"/>
      <c r="G28" s="30" t="n"/>
      <c r="H28" s="31" t="n"/>
      <c r="I28" s="31" t="n"/>
      <c r="J28" s="29" t="n"/>
      <c r="K28" s="35">
        <f>IF($A28="","",IF($C28="","",raporTarihi-$C28))</f>
        <v/>
      </c>
      <c r="L28" s="35">
        <f>IF($A28="","",IF($K28="","",IF($K28&lt;=7,"0-7",IF($K28&lt;=30,"8-30",IF($K28&lt;=60,"31-60","60+")))))</f>
        <v/>
      </c>
      <c r="M28" s="35">
        <f>IF($A28="","",IF($B28="","YETİM",IF(COUNTIF(tblKartlar[KartId],$B28)=0,"YETİM","")))</f>
        <v/>
      </c>
      <c r="N28" s="35">
        <f>IF(OR($A28="",$D28=""),"",IF(OR($D28&amp;"|"&amp;$E28="",COUNTIF(ListeIzinliGecis,$D28&amp;"|"&amp;$E28)&gt;0),"","GEÇERSİZ GEÇİŞ"))</f>
        <v/>
      </c>
      <c r="O28" s="35">
        <f>IF($A28="","",IF(OR($F28="",$G28=""),"",IF(ABS($G28-$F28)&gt;zincirTolerans,"ZİNCİR KIRIK","OK")))</f>
        <v/>
      </c>
      <c r="P28" s="35">
        <f>IF($A28="","",1)</f>
        <v/>
      </c>
    </row>
    <row r="29">
      <c r="A29" s="29" t="n"/>
      <c r="B29" s="29" t="n"/>
      <c r="C29" s="70" t="n"/>
      <c r="D29" s="29" t="n"/>
      <c r="E29" s="29" t="n"/>
      <c r="F29" s="30" t="n"/>
      <c r="G29" s="30" t="n"/>
      <c r="H29" s="31" t="n"/>
      <c r="I29" s="31" t="n"/>
      <c r="J29" s="29" t="n"/>
      <c r="K29" s="35">
        <f>IF($A29="","",IF($C29="","",raporTarihi-$C29))</f>
        <v/>
      </c>
      <c r="L29" s="35">
        <f>IF($A29="","",IF($K29="","",IF($K29&lt;=7,"0-7",IF($K29&lt;=30,"8-30",IF($K29&lt;=60,"31-60","60+")))))</f>
        <v/>
      </c>
      <c r="M29" s="35">
        <f>IF($A29="","",IF($B29="","YETİM",IF(COUNTIF(tblKartlar[KartId],$B29)=0,"YETİM","")))</f>
        <v/>
      </c>
      <c r="N29" s="35">
        <f>IF(OR($A29="",$D29=""),"",IF(OR($D29&amp;"|"&amp;$E29="",COUNTIF(ListeIzinliGecis,$D29&amp;"|"&amp;$E29)&gt;0),"","GEÇERSİZ GEÇİŞ"))</f>
        <v/>
      </c>
      <c r="O29" s="35">
        <f>IF($A29="","",IF(OR($F29="",$G29=""),"",IF(ABS($G29-$F29)&gt;zincirTolerans,"ZİNCİR KIRIK","OK")))</f>
        <v/>
      </c>
      <c r="P29" s="35">
        <f>IF($A29="","",1)</f>
        <v/>
      </c>
    </row>
    <row r="30">
      <c r="A30" s="29" t="n"/>
      <c r="B30" s="29" t="n"/>
      <c r="C30" s="70" t="n"/>
      <c r="D30" s="29" t="n"/>
      <c r="E30" s="29" t="n"/>
      <c r="F30" s="30" t="n"/>
      <c r="G30" s="30" t="n"/>
      <c r="H30" s="31" t="n"/>
      <c r="I30" s="31" t="n"/>
      <c r="J30" s="29" t="n"/>
      <c r="K30" s="35">
        <f>IF($A30="","",IF($C30="","",raporTarihi-$C30))</f>
        <v/>
      </c>
      <c r="L30" s="35">
        <f>IF($A30="","",IF($K30="","",IF($K30&lt;=7,"0-7",IF($K30&lt;=30,"8-30",IF($K30&lt;=60,"31-60","60+")))))</f>
        <v/>
      </c>
      <c r="M30" s="35">
        <f>IF($A30="","",IF($B30="","YETİM",IF(COUNTIF(tblKartlar[KartId],$B30)=0,"YETİM","")))</f>
        <v/>
      </c>
      <c r="N30" s="35">
        <f>IF(OR($A30="",$D30=""),"",IF(OR($D30&amp;"|"&amp;$E30="",COUNTIF(ListeIzinliGecis,$D30&amp;"|"&amp;$E30)&gt;0),"","GEÇERSİZ GEÇİŞ"))</f>
        <v/>
      </c>
      <c r="O30" s="35">
        <f>IF($A30="","",IF(OR($F30="",$G30=""),"",IF(ABS($G30-$F30)&gt;zincirTolerans,"ZİNCİR KIRIK","OK")))</f>
        <v/>
      </c>
      <c r="P30" s="35">
        <f>IF($A30="","",1)</f>
        <v/>
      </c>
    </row>
    <row r="31">
      <c r="A31" s="29" t="n"/>
      <c r="B31" s="29" t="n"/>
      <c r="C31" s="70" t="n"/>
      <c r="D31" s="29" t="n"/>
      <c r="E31" s="29" t="n"/>
      <c r="F31" s="30" t="n"/>
      <c r="G31" s="30" t="n"/>
      <c r="H31" s="31" t="n"/>
      <c r="I31" s="31" t="n"/>
      <c r="J31" s="29" t="n"/>
      <c r="K31" s="35">
        <f>IF($A31="","",IF($C31="","",raporTarihi-$C31))</f>
        <v/>
      </c>
      <c r="L31" s="35">
        <f>IF($A31="","",IF($K31="","",IF($K31&lt;=7,"0-7",IF($K31&lt;=30,"8-30",IF($K31&lt;=60,"31-60","60+")))))</f>
        <v/>
      </c>
      <c r="M31" s="35">
        <f>IF($A31="","",IF($B31="","YETİM",IF(COUNTIF(tblKartlar[KartId],$B31)=0,"YETİM","")))</f>
        <v/>
      </c>
      <c r="N31" s="35">
        <f>IF(OR($A31="",$D31=""),"",IF(OR($D31&amp;"|"&amp;$E31="",COUNTIF(ListeIzinliGecis,$D31&amp;"|"&amp;$E31)&gt;0),"","GEÇERSİZ GEÇİŞ"))</f>
        <v/>
      </c>
      <c r="O31" s="35">
        <f>IF($A31="","",IF(OR($F31="",$G31=""),"",IF(ABS($G31-$F31)&gt;zincirTolerans,"ZİNCİR KIRIK","OK")))</f>
        <v/>
      </c>
      <c r="P31" s="35">
        <f>IF($A31="","",1)</f>
        <v/>
      </c>
    </row>
    <row r="32">
      <c r="A32" s="29" t="n"/>
      <c r="B32" s="29" t="n"/>
      <c r="C32" s="70" t="n"/>
      <c r="D32" s="29" t="n"/>
      <c r="E32" s="29" t="n"/>
      <c r="F32" s="30" t="n"/>
      <c r="G32" s="30" t="n"/>
      <c r="H32" s="31" t="n"/>
      <c r="I32" s="31" t="n"/>
      <c r="J32" s="29" t="n"/>
      <c r="K32" s="35">
        <f>IF($A32="","",IF($C32="","",raporTarihi-$C32))</f>
        <v/>
      </c>
      <c r="L32" s="35">
        <f>IF($A32="","",IF($K32="","",IF($K32&lt;=7,"0-7",IF($K32&lt;=30,"8-30",IF($K32&lt;=60,"31-60","60+")))))</f>
        <v/>
      </c>
      <c r="M32" s="35">
        <f>IF($A32="","",IF($B32="","YETİM",IF(COUNTIF(tblKartlar[KartId],$B32)=0,"YETİM","")))</f>
        <v/>
      </c>
      <c r="N32" s="35">
        <f>IF(OR($A32="",$D32=""),"",IF(OR($D32&amp;"|"&amp;$E32="",COUNTIF(ListeIzinliGecis,$D32&amp;"|"&amp;$E32)&gt;0),"","GEÇERSİZ GEÇİŞ"))</f>
        <v/>
      </c>
      <c r="O32" s="35">
        <f>IF($A32="","",IF(OR($F32="",$G32=""),"",IF(ABS($G32-$F32)&gt;zincirTolerans,"ZİNCİR KIRIK","OK")))</f>
        <v/>
      </c>
      <c r="P32" s="35">
        <f>IF($A32="","",1)</f>
        <v/>
      </c>
    </row>
    <row r="33">
      <c r="A33" s="29" t="n"/>
      <c r="B33" s="29" t="n"/>
      <c r="C33" s="70" t="n"/>
      <c r="D33" s="29" t="n"/>
      <c r="E33" s="29" t="n"/>
      <c r="F33" s="30" t="n"/>
      <c r="G33" s="30" t="n"/>
      <c r="H33" s="31" t="n"/>
      <c r="I33" s="31" t="n"/>
      <c r="J33" s="29" t="n"/>
      <c r="K33" s="35">
        <f>IF($A33="","",IF($C33="","",raporTarihi-$C33))</f>
        <v/>
      </c>
      <c r="L33" s="35">
        <f>IF($A33="","",IF($K33="","",IF($K33&lt;=7,"0-7",IF($K33&lt;=30,"8-30",IF($K33&lt;=60,"31-60","60+")))))</f>
        <v/>
      </c>
      <c r="M33" s="35">
        <f>IF($A33="","",IF($B33="","YETİM",IF(COUNTIF(tblKartlar[KartId],$B33)=0,"YETİM","")))</f>
        <v/>
      </c>
      <c r="N33" s="35">
        <f>IF(OR($A33="",$D33=""),"",IF(OR($D33&amp;"|"&amp;$E33="",COUNTIF(ListeIzinliGecis,$D33&amp;"|"&amp;$E33)&gt;0),"","GEÇERSİZ GEÇİŞ"))</f>
        <v/>
      </c>
      <c r="O33" s="35">
        <f>IF($A33="","",IF(OR($F33="",$G33=""),"",IF(ABS($G33-$F33)&gt;zincirTolerans,"ZİNCİR KIRIK","OK")))</f>
        <v/>
      </c>
      <c r="P33" s="35">
        <f>IF($A33="","",1)</f>
        <v/>
      </c>
    </row>
    <row r="34">
      <c r="A34" s="29" t="n"/>
      <c r="B34" s="29" t="n"/>
      <c r="C34" s="70" t="n"/>
      <c r="D34" s="29" t="n"/>
      <c r="E34" s="29" t="n"/>
      <c r="F34" s="30" t="n"/>
      <c r="G34" s="30" t="n"/>
      <c r="H34" s="31" t="n"/>
      <c r="I34" s="31" t="n"/>
      <c r="J34" s="29" t="n"/>
      <c r="K34" s="35">
        <f>IF($A34="","",IF($C34="","",raporTarihi-$C34))</f>
        <v/>
      </c>
      <c r="L34" s="35">
        <f>IF($A34="","",IF($K34="","",IF($K34&lt;=7,"0-7",IF($K34&lt;=30,"8-30",IF($K34&lt;=60,"31-60","60+")))))</f>
        <v/>
      </c>
      <c r="M34" s="35">
        <f>IF($A34="","",IF($B34="","YETİM",IF(COUNTIF(tblKartlar[KartId],$B34)=0,"YETİM","")))</f>
        <v/>
      </c>
      <c r="N34" s="35">
        <f>IF(OR($A34="",$D34=""),"",IF(OR($D34&amp;"|"&amp;$E34="",COUNTIF(ListeIzinliGecis,$D34&amp;"|"&amp;$E34)&gt;0),"","GEÇERSİZ GEÇİŞ"))</f>
        <v/>
      </c>
      <c r="O34" s="35">
        <f>IF($A34="","",IF(OR($F34="",$G34=""),"",IF(ABS($G34-$F34)&gt;zincirTolerans,"ZİNCİR KIRIK","OK")))</f>
        <v/>
      </c>
      <c r="P34" s="35">
        <f>IF($A34="","",1)</f>
        <v/>
      </c>
    </row>
    <row r="35">
      <c r="A35" s="29" t="n"/>
      <c r="B35" s="29" t="n"/>
      <c r="C35" s="70" t="n"/>
      <c r="D35" s="29" t="n"/>
      <c r="E35" s="29" t="n"/>
      <c r="F35" s="30" t="n"/>
      <c r="G35" s="30" t="n"/>
      <c r="H35" s="31" t="n"/>
      <c r="I35" s="31" t="n"/>
      <c r="J35" s="29" t="n"/>
      <c r="K35" s="35">
        <f>IF($A35="","",IF($C35="","",raporTarihi-$C35))</f>
        <v/>
      </c>
      <c r="L35" s="35">
        <f>IF($A35="","",IF($K35="","",IF($K35&lt;=7,"0-7",IF($K35&lt;=30,"8-30",IF($K35&lt;=60,"31-60","60+")))))</f>
        <v/>
      </c>
      <c r="M35" s="35">
        <f>IF($A35="","",IF($B35="","YETİM",IF(COUNTIF(tblKartlar[KartId],$B35)=0,"YETİM","")))</f>
        <v/>
      </c>
      <c r="N35" s="35">
        <f>IF(OR($A35="",$D35=""),"",IF(OR($D35&amp;"|"&amp;$E35="",COUNTIF(ListeIzinliGecis,$D35&amp;"|"&amp;$E35)&gt;0),"","GEÇERSİZ GEÇİŞ"))</f>
        <v/>
      </c>
      <c r="O35" s="35">
        <f>IF($A35="","",IF(OR($F35="",$G35=""),"",IF(ABS($G35-$F35)&gt;zincirTolerans,"ZİNCİR KIRIK","OK")))</f>
        <v/>
      </c>
      <c r="P35" s="35">
        <f>IF($A35="","",1)</f>
        <v/>
      </c>
    </row>
    <row r="36">
      <c r="A36" s="29" t="n"/>
      <c r="B36" s="29" t="n"/>
      <c r="C36" s="70" t="n"/>
      <c r="D36" s="29" t="n"/>
      <c r="E36" s="29" t="n"/>
      <c r="F36" s="30" t="n"/>
      <c r="G36" s="30" t="n"/>
      <c r="H36" s="31" t="n"/>
      <c r="I36" s="31" t="n"/>
      <c r="J36" s="29" t="n"/>
      <c r="K36" s="35">
        <f>IF($A36="","",IF($C36="","",raporTarihi-$C36))</f>
        <v/>
      </c>
      <c r="L36" s="35">
        <f>IF($A36="","",IF($K36="","",IF($K36&lt;=7,"0-7",IF($K36&lt;=30,"8-30",IF($K36&lt;=60,"31-60","60+")))))</f>
        <v/>
      </c>
      <c r="M36" s="35">
        <f>IF($A36="","",IF($B36="","YETİM",IF(COUNTIF(tblKartlar[KartId],$B36)=0,"YETİM","")))</f>
        <v/>
      </c>
      <c r="N36" s="35">
        <f>IF(OR($A36="",$D36=""),"",IF(OR($D36&amp;"|"&amp;$E36="",COUNTIF(ListeIzinliGecis,$D36&amp;"|"&amp;$E36)&gt;0),"","GEÇERSİZ GEÇİŞ"))</f>
        <v/>
      </c>
      <c r="O36" s="35">
        <f>IF($A36="","",IF(OR($F36="",$G36=""),"",IF(ABS($G36-$F36)&gt;zincirTolerans,"ZİNCİR KIRIK","OK")))</f>
        <v/>
      </c>
      <c r="P36" s="35">
        <f>IF($A36="","",1)</f>
        <v/>
      </c>
    </row>
    <row r="37">
      <c r="A37" s="29" t="n"/>
      <c r="B37" s="29" t="n"/>
      <c r="C37" s="70" t="n"/>
      <c r="D37" s="29" t="n"/>
      <c r="E37" s="29" t="n"/>
      <c r="F37" s="30" t="n"/>
      <c r="G37" s="30" t="n"/>
      <c r="H37" s="31" t="n"/>
      <c r="I37" s="31" t="n"/>
      <c r="J37" s="29" t="n"/>
      <c r="K37" s="35">
        <f>IF($A37="","",IF($C37="","",raporTarihi-$C37))</f>
        <v/>
      </c>
      <c r="L37" s="35">
        <f>IF($A37="","",IF($K37="","",IF($K37&lt;=7,"0-7",IF($K37&lt;=30,"8-30",IF($K37&lt;=60,"31-60","60+")))))</f>
        <v/>
      </c>
      <c r="M37" s="35">
        <f>IF($A37="","",IF($B37="","YETİM",IF(COUNTIF(tblKartlar[KartId],$B37)=0,"YETİM","")))</f>
        <v/>
      </c>
      <c r="N37" s="35">
        <f>IF(OR($A37="",$D37=""),"",IF(OR($D37&amp;"|"&amp;$E37="",COUNTIF(ListeIzinliGecis,$D37&amp;"|"&amp;$E37)&gt;0),"","GEÇERSİZ GEÇİŞ"))</f>
        <v/>
      </c>
      <c r="O37" s="35">
        <f>IF($A37="","",IF(OR($F37="",$G37=""),"",IF(ABS($G37-$F37)&gt;zincirTolerans,"ZİNCİR KIRIK","OK")))</f>
        <v/>
      </c>
      <c r="P37" s="35">
        <f>IF($A37="","",1)</f>
        <v/>
      </c>
    </row>
    <row r="38">
      <c r="A38" s="29" t="n"/>
      <c r="B38" s="29" t="n"/>
      <c r="C38" s="70" t="n"/>
      <c r="D38" s="29" t="n"/>
      <c r="E38" s="29" t="n"/>
      <c r="F38" s="30" t="n"/>
      <c r="G38" s="30" t="n"/>
      <c r="H38" s="31" t="n"/>
      <c r="I38" s="31" t="n"/>
      <c r="J38" s="29" t="n"/>
      <c r="K38" s="35">
        <f>IF($A38="","",IF($C38="","",raporTarihi-$C38))</f>
        <v/>
      </c>
      <c r="L38" s="35">
        <f>IF($A38="","",IF($K38="","",IF($K38&lt;=7,"0-7",IF($K38&lt;=30,"8-30",IF($K38&lt;=60,"31-60","60+")))))</f>
        <v/>
      </c>
      <c r="M38" s="35">
        <f>IF($A38="","",IF($B38="","YETİM",IF(COUNTIF(tblKartlar[KartId],$B38)=0,"YETİM","")))</f>
        <v/>
      </c>
      <c r="N38" s="35">
        <f>IF(OR($A38="",$D38=""),"",IF(OR($D38&amp;"|"&amp;$E38="",COUNTIF(ListeIzinliGecis,$D38&amp;"|"&amp;$E38)&gt;0),"","GEÇERSİZ GEÇİŞ"))</f>
        <v/>
      </c>
      <c r="O38" s="35">
        <f>IF($A38="","",IF(OR($F38="",$G38=""),"",IF(ABS($G38-$F38)&gt;zincirTolerans,"ZİNCİR KIRIK","OK")))</f>
        <v/>
      </c>
      <c r="P38" s="35">
        <f>IF($A38="","",1)</f>
        <v/>
      </c>
    </row>
    <row r="39">
      <c r="A39" s="29" t="n"/>
      <c r="B39" s="29" t="n"/>
      <c r="C39" s="70" t="n"/>
      <c r="D39" s="29" t="n"/>
      <c r="E39" s="29" t="n"/>
      <c r="F39" s="30" t="n"/>
      <c r="G39" s="30" t="n"/>
      <c r="H39" s="31" t="n"/>
      <c r="I39" s="31" t="n"/>
      <c r="J39" s="29" t="n"/>
      <c r="K39" s="35">
        <f>IF($A39="","",IF($C39="","",raporTarihi-$C39))</f>
        <v/>
      </c>
      <c r="L39" s="35">
        <f>IF($A39="","",IF($K39="","",IF($K39&lt;=7,"0-7",IF($K39&lt;=30,"8-30",IF($K39&lt;=60,"31-60","60+")))))</f>
        <v/>
      </c>
      <c r="M39" s="35">
        <f>IF($A39="","",IF($B39="","YETİM",IF(COUNTIF(tblKartlar[KartId],$B39)=0,"YETİM","")))</f>
        <v/>
      </c>
      <c r="N39" s="35">
        <f>IF(OR($A39="",$D39=""),"",IF(OR($D39&amp;"|"&amp;$E39="",COUNTIF(ListeIzinliGecis,$D39&amp;"|"&amp;$E39)&gt;0),"","GEÇERSİZ GEÇİŞ"))</f>
        <v/>
      </c>
      <c r="O39" s="35">
        <f>IF($A39="","",IF(OR($F39="",$G39=""),"",IF(ABS($G39-$F39)&gt;zincirTolerans,"ZİNCİR KIRIK","OK")))</f>
        <v/>
      </c>
      <c r="P39" s="35">
        <f>IF($A39="","",1)</f>
        <v/>
      </c>
    </row>
    <row r="40">
      <c r="A40" s="29" t="n"/>
      <c r="B40" s="29" t="n"/>
      <c r="C40" s="70" t="n"/>
      <c r="D40" s="29" t="n"/>
      <c r="E40" s="29" t="n"/>
      <c r="F40" s="30" t="n"/>
      <c r="G40" s="30" t="n"/>
      <c r="H40" s="31" t="n"/>
      <c r="I40" s="31" t="n"/>
      <c r="J40" s="29" t="n"/>
      <c r="K40" s="35">
        <f>IF($A40="","",IF($C40="","",raporTarihi-$C40))</f>
        <v/>
      </c>
      <c r="L40" s="35">
        <f>IF($A40="","",IF($K40="","",IF($K40&lt;=7,"0-7",IF($K40&lt;=30,"8-30",IF($K40&lt;=60,"31-60","60+")))))</f>
        <v/>
      </c>
      <c r="M40" s="35">
        <f>IF($A40="","",IF($B40="","YETİM",IF(COUNTIF(tblKartlar[KartId],$B40)=0,"YETİM","")))</f>
        <v/>
      </c>
      <c r="N40" s="35">
        <f>IF(OR($A40="",$D40=""),"",IF(OR($D40&amp;"|"&amp;$E40="",COUNTIF(ListeIzinliGecis,$D40&amp;"|"&amp;$E40)&gt;0),"","GEÇERSİZ GEÇİŞ"))</f>
        <v/>
      </c>
      <c r="O40" s="35">
        <f>IF($A40="","",IF(OR($F40="",$G40=""),"",IF(ABS($G40-$F40)&gt;zincirTolerans,"ZİNCİR KIRIK","OK")))</f>
        <v/>
      </c>
      <c r="P40" s="35">
        <f>IF($A40="","",1)</f>
        <v/>
      </c>
    </row>
    <row r="41">
      <c r="A41" s="29" t="n"/>
      <c r="B41" s="29" t="n"/>
      <c r="C41" s="70" t="n"/>
      <c r="D41" s="29" t="n"/>
      <c r="E41" s="29" t="n"/>
      <c r="F41" s="30" t="n"/>
      <c r="G41" s="30" t="n"/>
      <c r="H41" s="31" t="n"/>
      <c r="I41" s="31" t="n"/>
      <c r="J41" s="29" t="n"/>
      <c r="K41" s="35">
        <f>IF($A41="","",IF($C41="","",raporTarihi-$C41))</f>
        <v/>
      </c>
      <c r="L41" s="35">
        <f>IF($A41="","",IF($K41="","",IF($K41&lt;=7,"0-7",IF($K41&lt;=30,"8-30",IF($K41&lt;=60,"31-60","60+")))))</f>
        <v/>
      </c>
      <c r="M41" s="35">
        <f>IF($A41="","",IF($B41="","YETİM",IF(COUNTIF(tblKartlar[KartId],$B41)=0,"YETİM","")))</f>
        <v/>
      </c>
      <c r="N41" s="35">
        <f>IF(OR($A41="",$D41=""),"",IF(OR($D41&amp;"|"&amp;$E41="",COUNTIF(ListeIzinliGecis,$D41&amp;"|"&amp;$E41)&gt;0),"","GEÇERSİZ GEÇİŞ"))</f>
        <v/>
      </c>
      <c r="O41" s="35">
        <f>IF($A41="","",IF(OR($F41="",$G41=""),"",IF(ABS($G41-$F41)&gt;zincirTolerans,"ZİNCİR KIRIK","OK")))</f>
        <v/>
      </c>
      <c r="P41" s="35">
        <f>IF($A41="","",1)</f>
        <v/>
      </c>
    </row>
    <row r="42">
      <c r="A42" s="29" t="n"/>
      <c r="B42" s="29" t="n"/>
      <c r="C42" s="70" t="n"/>
      <c r="D42" s="29" t="n"/>
      <c r="E42" s="29" t="n"/>
      <c r="F42" s="30" t="n"/>
      <c r="G42" s="30" t="n"/>
      <c r="H42" s="31" t="n"/>
      <c r="I42" s="31" t="n"/>
      <c r="J42" s="29" t="n"/>
      <c r="K42" s="35">
        <f>IF($A42="","",IF($C42="","",raporTarihi-$C42))</f>
        <v/>
      </c>
      <c r="L42" s="35">
        <f>IF($A42="","",IF($K42="","",IF($K42&lt;=7,"0-7",IF($K42&lt;=30,"8-30",IF($K42&lt;=60,"31-60","60+")))))</f>
        <v/>
      </c>
      <c r="M42" s="35">
        <f>IF($A42="","",IF($B42="","YETİM",IF(COUNTIF(tblKartlar[KartId],$B42)=0,"YETİM","")))</f>
        <v/>
      </c>
      <c r="N42" s="35">
        <f>IF(OR($A42="",$D42=""),"",IF(OR($D42&amp;"|"&amp;$E42="",COUNTIF(ListeIzinliGecis,$D42&amp;"|"&amp;$E42)&gt;0),"","GEÇERSİZ GEÇİŞ"))</f>
        <v/>
      </c>
      <c r="O42" s="35">
        <f>IF($A42="","",IF(OR($F42="",$G42=""),"",IF(ABS($G42-$F42)&gt;zincirTolerans,"ZİNCİR KIRIK","OK")))</f>
        <v/>
      </c>
      <c r="P42" s="35">
        <f>IF($A42="","",1)</f>
        <v/>
      </c>
    </row>
    <row r="43">
      <c r="A43" s="29" t="n"/>
      <c r="B43" s="29" t="n"/>
      <c r="C43" s="70" t="n"/>
      <c r="D43" s="29" t="n"/>
      <c r="E43" s="29" t="n"/>
      <c r="F43" s="30" t="n"/>
      <c r="G43" s="30" t="n"/>
      <c r="H43" s="31" t="n"/>
      <c r="I43" s="31" t="n"/>
      <c r="J43" s="29" t="n"/>
      <c r="K43" s="35">
        <f>IF($A43="","",IF($C43="","",raporTarihi-$C43))</f>
        <v/>
      </c>
      <c r="L43" s="35">
        <f>IF($A43="","",IF($K43="","",IF($K43&lt;=7,"0-7",IF($K43&lt;=30,"8-30",IF($K43&lt;=60,"31-60","60+")))))</f>
        <v/>
      </c>
      <c r="M43" s="35">
        <f>IF($A43="","",IF($B43="","YETİM",IF(COUNTIF(tblKartlar[KartId],$B43)=0,"YETİM","")))</f>
        <v/>
      </c>
      <c r="N43" s="35">
        <f>IF(OR($A43="",$D43=""),"",IF(OR($D43&amp;"|"&amp;$E43="",COUNTIF(ListeIzinliGecis,$D43&amp;"|"&amp;$E43)&gt;0),"","GEÇERSİZ GEÇİŞ"))</f>
        <v/>
      </c>
      <c r="O43" s="35">
        <f>IF($A43="","",IF(OR($F43="",$G43=""),"",IF(ABS($G43-$F43)&gt;zincirTolerans,"ZİNCİR KIRIK","OK")))</f>
        <v/>
      </c>
      <c r="P43" s="35">
        <f>IF($A43="","",1)</f>
        <v/>
      </c>
    </row>
    <row r="44">
      <c r="A44" s="29" t="n"/>
      <c r="B44" s="29" t="n"/>
      <c r="C44" s="70" t="n"/>
      <c r="D44" s="29" t="n"/>
      <c r="E44" s="29" t="n"/>
      <c r="F44" s="30" t="n"/>
      <c r="G44" s="30" t="n"/>
      <c r="H44" s="31" t="n"/>
      <c r="I44" s="31" t="n"/>
      <c r="J44" s="29" t="n"/>
      <c r="K44" s="35">
        <f>IF($A44="","",IF($C44="","",raporTarihi-$C44))</f>
        <v/>
      </c>
      <c r="L44" s="35">
        <f>IF($A44="","",IF($K44="","",IF($K44&lt;=7,"0-7",IF($K44&lt;=30,"8-30",IF($K44&lt;=60,"31-60","60+")))))</f>
        <v/>
      </c>
      <c r="M44" s="35">
        <f>IF($A44="","",IF($B44="","YETİM",IF(COUNTIF(tblKartlar[KartId],$B44)=0,"YETİM","")))</f>
        <v/>
      </c>
      <c r="N44" s="35">
        <f>IF(OR($A44="",$D44=""),"",IF(OR($D44&amp;"|"&amp;$E44="",COUNTIF(ListeIzinliGecis,$D44&amp;"|"&amp;$E44)&gt;0),"","GEÇERSİZ GEÇİŞ"))</f>
        <v/>
      </c>
      <c r="O44" s="35">
        <f>IF($A44="","",IF(OR($F44="",$G44=""),"",IF(ABS($G44-$F44)&gt;zincirTolerans,"ZİNCİR KIRIK","OK")))</f>
        <v/>
      </c>
      <c r="P44" s="35">
        <f>IF($A44="","",1)</f>
        <v/>
      </c>
    </row>
    <row r="45">
      <c r="A45" s="29" t="n"/>
      <c r="B45" s="29" t="n"/>
      <c r="C45" s="70" t="n"/>
      <c r="D45" s="29" t="n"/>
      <c r="E45" s="29" t="n"/>
      <c r="F45" s="30" t="n"/>
      <c r="G45" s="30" t="n"/>
      <c r="H45" s="31" t="n"/>
      <c r="I45" s="31" t="n"/>
      <c r="J45" s="29" t="n"/>
      <c r="K45" s="35">
        <f>IF($A45="","",IF($C45="","",raporTarihi-$C45))</f>
        <v/>
      </c>
      <c r="L45" s="35">
        <f>IF($A45="","",IF($K45="","",IF($K45&lt;=7,"0-7",IF($K45&lt;=30,"8-30",IF($K45&lt;=60,"31-60","60+")))))</f>
        <v/>
      </c>
      <c r="M45" s="35">
        <f>IF($A45="","",IF($B45="","YETİM",IF(COUNTIF(tblKartlar[KartId],$B45)=0,"YETİM","")))</f>
        <v/>
      </c>
      <c r="N45" s="35">
        <f>IF(OR($A45="",$D45=""),"",IF(OR($D45&amp;"|"&amp;$E45="",COUNTIF(ListeIzinliGecis,$D45&amp;"|"&amp;$E45)&gt;0),"","GEÇERSİZ GEÇİŞ"))</f>
        <v/>
      </c>
      <c r="O45" s="35">
        <f>IF($A45="","",IF(OR($F45="",$G45=""),"",IF(ABS($G45-$F45)&gt;zincirTolerans,"ZİNCİR KIRIK","OK")))</f>
        <v/>
      </c>
      <c r="P45" s="35">
        <f>IF($A45="","",1)</f>
        <v/>
      </c>
    </row>
    <row r="46">
      <c r="A46" s="29" t="n"/>
      <c r="B46" s="29" t="n"/>
      <c r="C46" s="70" t="n"/>
      <c r="D46" s="29" t="n"/>
      <c r="E46" s="29" t="n"/>
      <c r="F46" s="30" t="n"/>
      <c r="G46" s="30" t="n"/>
      <c r="H46" s="31" t="n"/>
      <c r="I46" s="31" t="n"/>
      <c r="J46" s="29" t="n"/>
      <c r="K46" s="35">
        <f>IF($A46="","",IF($C46="","",raporTarihi-$C46))</f>
        <v/>
      </c>
      <c r="L46" s="35">
        <f>IF($A46="","",IF($K46="","",IF($K46&lt;=7,"0-7",IF($K46&lt;=30,"8-30",IF($K46&lt;=60,"31-60","60+")))))</f>
        <v/>
      </c>
      <c r="M46" s="35">
        <f>IF($A46="","",IF($B46="","YETİM",IF(COUNTIF(tblKartlar[KartId],$B46)=0,"YETİM","")))</f>
        <v/>
      </c>
      <c r="N46" s="35">
        <f>IF(OR($A46="",$D46=""),"",IF(OR($D46&amp;"|"&amp;$E46="",COUNTIF(ListeIzinliGecis,$D46&amp;"|"&amp;$E46)&gt;0),"","GEÇERSİZ GEÇİŞ"))</f>
        <v/>
      </c>
      <c r="O46" s="35">
        <f>IF($A46="","",IF(OR($F46="",$G46=""),"",IF(ABS($G46-$F46)&gt;zincirTolerans,"ZİNCİR KIRIK","OK")))</f>
        <v/>
      </c>
      <c r="P46" s="35">
        <f>IF($A46="","",1)</f>
        <v/>
      </c>
    </row>
    <row r="47">
      <c r="A47" s="29" t="n"/>
      <c r="B47" s="29" t="n"/>
      <c r="C47" s="70" t="n"/>
      <c r="D47" s="29" t="n"/>
      <c r="E47" s="29" t="n"/>
      <c r="F47" s="30" t="n"/>
      <c r="G47" s="30" t="n"/>
      <c r="H47" s="31" t="n"/>
      <c r="I47" s="31" t="n"/>
      <c r="J47" s="29" t="n"/>
      <c r="K47" s="35">
        <f>IF($A47="","",IF($C47="","",raporTarihi-$C47))</f>
        <v/>
      </c>
      <c r="L47" s="35">
        <f>IF($A47="","",IF($K47="","",IF($K47&lt;=7,"0-7",IF($K47&lt;=30,"8-30",IF($K47&lt;=60,"31-60","60+")))))</f>
        <v/>
      </c>
      <c r="M47" s="35">
        <f>IF($A47="","",IF($B47="","YETİM",IF(COUNTIF(tblKartlar[KartId],$B47)=0,"YETİM","")))</f>
        <v/>
      </c>
      <c r="N47" s="35">
        <f>IF(OR($A47="",$D47=""),"",IF(OR($D47&amp;"|"&amp;$E47="",COUNTIF(ListeIzinliGecis,$D47&amp;"|"&amp;$E47)&gt;0),"","GEÇERSİZ GEÇİŞ"))</f>
        <v/>
      </c>
      <c r="O47" s="35">
        <f>IF($A47="","",IF(OR($F47="",$G47=""),"",IF(ABS($G47-$F47)&gt;zincirTolerans,"ZİNCİR KIRIK","OK")))</f>
        <v/>
      </c>
      <c r="P47" s="35">
        <f>IF($A47="","",1)</f>
        <v/>
      </c>
    </row>
    <row r="48">
      <c r="A48" s="29" t="n"/>
      <c r="B48" s="29" t="n"/>
      <c r="C48" s="70" t="n"/>
      <c r="D48" s="29" t="n"/>
      <c r="E48" s="29" t="n"/>
      <c r="F48" s="30" t="n"/>
      <c r="G48" s="30" t="n"/>
      <c r="H48" s="31" t="n"/>
      <c r="I48" s="31" t="n"/>
      <c r="J48" s="29" t="n"/>
      <c r="K48" s="35">
        <f>IF($A48="","",IF($C48="","",raporTarihi-$C48))</f>
        <v/>
      </c>
      <c r="L48" s="35">
        <f>IF($A48="","",IF($K48="","",IF($K48&lt;=7,"0-7",IF($K48&lt;=30,"8-30",IF($K48&lt;=60,"31-60","60+")))))</f>
        <v/>
      </c>
      <c r="M48" s="35">
        <f>IF($A48="","",IF($B48="","YETİM",IF(COUNTIF(tblKartlar[KartId],$B48)=0,"YETİM","")))</f>
        <v/>
      </c>
      <c r="N48" s="35">
        <f>IF(OR($A48="",$D48=""),"",IF(OR($D48&amp;"|"&amp;$E48="",COUNTIF(ListeIzinliGecis,$D48&amp;"|"&amp;$E48)&gt;0),"","GEÇERSİZ GEÇİŞ"))</f>
        <v/>
      </c>
      <c r="O48" s="35">
        <f>IF($A48="","",IF(OR($F48="",$G48=""),"",IF(ABS($G48-$F48)&gt;zincirTolerans,"ZİNCİR KIRIK","OK")))</f>
        <v/>
      </c>
      <c r="P48" s="35">
        <f>IF($A48="","",1)</f>
        <v/>
      </c>
    </row>
    <row r="49">
      <c r="A49" s="29" t="n"/>
      <c r="B49" s="29" t="n"/>
      <c r="C49" s="70" t="n"/>
      <c r="D49" s="29" t="n"/>
      <c r="E49" s="29" t="n"/>
      <c r="F49" s="30" t="n"/>
      <c r="G49" s="30" t="n"/>
      <c r="H49" s="31" t="n"/>
      <c r="I49" s="31" t="n"/>
      <c r="J49" s="29" t="n"/>
      <c r="K49" s="35">
        <f>IF($A49="","",IF($C49="","",raporTarihi-$C49))</f>
        <v/>
      </c>
      <c r="L49" s="35">
        <f>IF($A49="","",IF($K49="","",IF($K49&lt;=7,"0-7",IF($K49&lt;=30,"8-30",IF($K49&lt;=60,"31-60","60+")))))</f>
        <v/>
      </c>
      <c r="M49" s="35">
        <f>IF($A49="","",IF($B49="","YETİM",IF(COUNTIF(tblKartlar[KartId],$B49)=0,"YETİM","")))</f>
        <v/>
      </c>
      <c r="N49" s="35">
        <f>IF(OR($A49="",$D49=""),"",IF(OR($D49&amp;"|"&amp;$E49="",COUNTIF(ListeIzinliGecis,$D49&amp;"|"&amp;$E49)&gt;0),"","GEÇERSİZ GEÇİŞ"))</f>
        <v/>
      </c>
      <c r="O49" s="35">
        <f>IF($A49="","",IF(OR($F49="",$G49=""),"",IF(ABS($G49-$F49)&gt;zincirTolerans,"ZİNCİR KIRIK","OK")))</f>
        <v/>
      </c>
      <c r="P49" s="35">
        <f>IF($A49="","",1)</f>
        <v/>
      </c>
    </row>
    <row r="50">
      <c r="A50" s="29" t="n"/>
      <c r="B50" s="29" t="n"/>
      <c r="C50" s="70" t="n"/>
      <c r="D50" s="29" t="n"/>
      <c r="E50" s="29" t="n"/>
      <c r="F50" s="30" t="n"/>
      <c r="G50" s="30" t="n"/>
      <c r="H50" s="31" t="n"/>
      <c r="I50" s="31" t="n"/>
      <c r="J50" s="29" t="n"/>
      <c r="K50" s="35">
        <f>IF($A50="","",IF($C50="","",raporTarihi-$C50))</f>
        <v/>
      </c>
      <c r="L50" s="35">
        <f>IF($A50="","",IF($K50="","",IF($K50&lt;=7,"0-7",IF($K50&lt;=30,"8-30",IF($K50&lt;=60,"31-60","60+")))))</f>
        <v/>
      </c>
      <c r="M50" s="35">
        <f>IF($A50="","",IF($B50="","YETİM",IF(COUNTIF(tblKartlar[KartId],$B50)=0,"YETİM","")))</f>
        <v/>
      </c>
      <c r="N50" s="35">
        <f>IF(OR($A50="",$D50=""),"",IF(OR($D50&amp;"|"&amp;$E50="",COUNTIF(ListeIzinliGecis,$D50&amp;"|"&amp;$E50)&gt;0),"","GEÇERSİZ GEÇİŞ"))</f>
        <v/>
      </c>
      <c r="O50" s="35">
        <f>IF($A50="","",IF(OR($F50="",$G50=""),"",IF(ABS($G50-$F50)&gt;zincirTolerans,"ZİNCİR KIRIK","OK")))</f>
        <v/>
      </c>
      <c r="P50" s="35">
        <f>IF($A50="","",1)</f>
        <v/>
      </c>
    </row>
    <row r="51">
      <c r="A51" s="29" t="n"/>
      <c r="B51" s="29" t="n"/>
      <c r="C51" s="70" t="n"/>
      <c r="D51" s="29" t="n"/>
      <c r="E51" s="29" t="n"/>
      <c r="F51" s="30" t="n"/>
      <c r="G51" s="30" t="n"/>
      <c r="H51" s="31" t="n"/>
      <c r="I51" s="31" t="n"/>
      <c r="J51" s="29" t="n"/>
      <c r="K51" s="35">
        <f>IF($A51="","",IF($C51="","",raporTarihi-$C51))</f>
        <v/>
      </c>
      <c r="L51" s="35">
        <f>IF($A51="","",IF($K51="","",IF($K51&lt;=7,"0-7",IF($K51&lt;=30,"8-30",IF($K51&lt;=60,"31-60","60+")))))</f>
        <v/>
      </c>
      <c r="M51" s="35">
        <f>IF($A51="","",IF($B51="","YETİM",IF(COUNTIF(tblKartlar[KartId],$B51)=0,"YETİM","")))</f>
        <v/>
      </c>
      <c r="N51" s="35">
        <f>IF(OR($A51="",$D51=""),"",IF(OR($D51&amp;"|"&amp;$E51="",COUNTIF(ListeIzinliGecis,$D51&amp;"|"&amp;$E51)&gt;0),"","GEÇERSİZ GEÇİŞ"))</f>
        <v/>
      </c>
      <c r="O51" s="35">
        <f>IF($A51="","",IF(OR($F51="",$G51=""),"",IF(ABS($G51-$F51)&gt;zincirTolerans,"ZİNCİR KIRIK","OK")))</f>
        <v/>
      </c>
      <c r="P51" s="35">
        <f>IF($A51="","",1)</f>
        <v/>
      </c>
    </row>
    <row r="52">
      <c r="A52" s="29" t="n"/>
      <c r="B52" s="29" t="n"/>
      <c r="C52" s="70" t="n"/>
      <c r="D52" s="29" t="n"/>
      <c r="E52" s="29" t="n"/>
      <c r="F52" s="30" t="n"/>
      <c r="G52" s="30" t="n"/>
      <c r="H52" s="31" t="n"/>
      <c r="I52" s="31" t="n"/>
      <c r="J52" s="29" t="n"/>
      <c r="K52" s="35">
        <f>IF($A52="","",IF($C52="","",raporTarihi-$C52))</f>
        <v/>
      </c>
      <c r="L52" s="35">
        <f>IF($A52="","",IF($K52="","",IF($K52&lt;=7,"0-7",IF($K52&lt;=30,"8-30",IF($K52&lt;=60,"31-60","60+")))))</f>
        <v/>
      </c>
      <c r="M52" s="35">
        <f>IF($A52="","",IF($B52="","YETİM",IF(COUNTIF(tblKartlar[KartId],$B52)=0,"YETİM","")))</f>
        <v/>
      </c>
      <c r="N52" s="35">
        <f>IF(OR($A52="",$D52=""),"",IF(OR($D52&amp;"|"&amp;$E52="",COUNTIF(ListeIzinliGecis,$D52&amp;"|"&amp;$E52)&gt;0),"","GEÇERSİZ GEÇİŞ"))</f>
        <v/>
      </c>
      <c r="O52" s="35">
        <f>IF($A52="","",IF(OR($F52="",$G52=""),"",IF(ABS($G52-$F52)&gt;zincirTolerans,"ZİNCİR KIRIK","OK")))</f>
        <v/>
      </c>
      <c r="P52" s="35">
        <f>IF($A52="","",1)</f>
        <v/>
      </c>
    </row>
    <row r="53">
      <c r="A53" s="29" t="n"/>
      <c r="B53" s="29" t="n"/>
      <c r="C53" s="70" t="n"/>
      <c r="D53" s="29" t="n"/>
      <c r="E53" s="29" t="n"/>
      <c r="F53" s="30" t="n"/>
      <c r="G53" s="30" t="n"/>
      <c r="H53" s="31" t="n"/>
      <c r="I53" s="31" t="n"/>
      <c r="J53" s="29" t="n"/>
      <c r="K53" s="35">
        <f>IF($A53="","",IF($C53="","",raporTarihi-$C53))</f>
        <v/>
      </c>
      <c r="L53" s="35">
        <f>IF($A53="","",IF($K53="","",IF($K53&lt;=7,"0-7",IF($K53&lt;=30,"8-30",IF($K53&lt;=60,"31-60","60+")))))</f>
        <v/>
      </c>
      <c r="M53" s="35">
        <f>IF($A53="","",IF($B53="","YETİM",IF(COUNTIF(tblKartlar[KartId],$B53)=0,"YETİM","")))</f>
        <v/>
      </c>
      <c r="N53" s="35">
        <f>IF(OR($A53="",$D53=""),"",IF(OR($D53&amp;"|"&amp;$E53="",COUNTIF(ListeIzinliGecis,$D53&amp;"|"&amp;$E53)&gt;0),"","GEÇERSİZ GEÇİŞ"))</f>
        <v/>
      </c>
      <c r="O53" s="35">
        <f>IF($A53="","",IF(OR($F53="",$G53=""),"",IF(ABS($G53-$F53)&gt;zincirTolerans,"ZİNCİR KIRIK","OK")))</f>
        <v/>
      </c>
      <c r="P53" s="35">
        <f>IF($A53="","",1)</f>
        <v/>
      </c>
    </row>
    <row r="54">
      <c r="A54" s="29" t="n"/>
      <c r="B54" s="29" t="n"/>
      <c r="C54" s="70" t="n"/>
      <c r="D54" s="29" t="n"/>
      <c r="E54" s="29" t="n"/>
      <c r="F54" s="30" t="n"/>
      <c r="G54" s="30" t="n"/>
      <c r="H54" s="31" t="n"/>
      <c r="I54" s="31" t="n"/>
      <c r="J54" s="29" t="n"/>
      <c r="K54" s="35">
        <f>IF($A54="","",IF($C54="","",raporTarihi-$C54))</f>
        <v/>
      </c>
      <c r="L54" s="35">
        <f>IF($A54="","",IF($K54="","",IF($K54&lt;=7,"0-7",IF($K54&lt;=30,"8-30",IF($K54&lt;=60,"31-60","60+")))))</f>
        <v/>
      </c>
      <c r="M54" s="35">
        <f>IF($A54="","",IF($B54="","YETİM",IF(COUNTIF(tblKartlar[KartId],$B54)=0,"YETİM","")))</f>
        <v/>
      </c>
      <c r="N54" s="35">
        <f>IF(OR($A54="",$D54=""),"",IF(OR($D54&amp;"|"&amp;$E54="",COUNTIF(ListeIzinliGecis,$D54&amp;"|"&amp;$E54)&gt;0),"","GEÇERSİZ GEÇİŞ"))</f>
        <v/>
      </c>
      <c r="O54" s="35">
        <f>IF($A54="","",IF(OR($F54="",$G54=""),"",IF(ABS($G54-$F54)&gt;zincirTolerans,"ZİNCİR KIRIK","OK")))</f>
        <v/>
      </c>
      <c r="P54" s="35">
        <f>IF($A54="","",1)</f>
        <v/>
      </c>
    </row>
    <row r="55">
      <c r="A55" s="29" t="n"/>
      <c r="B55" s="29" t="n"/>
      <c r="C55" s="70" t="n"/>
      <c r="D55" s="29" t="n"/>
      <c r="E55" s="29" t="n"/>
      <c r="F55" s="30" t="n"/>
      <c r="G55" s="30" t="n"/>
      <c r="H55" s="31" t="n"/>
      <c r="I55" s="31" t="n"/>
      <c r="J55" s="29" t="n"/>
      <c r="K55" s="35">
        <f>IF($A55="","",IF($C55="","",raporTarihi-$C55))</f>
        <v/>
      </c>
      <c r="L55" s="35">
        <f>IF($A55="","",IF($K55="","",IF($K55&lt;=7,"0-7",IF($K55&lt;=30,"8-30",IF($K55&lt;=60,"31-60","60+")))))</f>
        <v/>
      </c>
      <c r="M55" s="35">
        <f>IF($A55="","",IF($B55="","YETİM",IF(COUNTIF(tblKartlar[KartId],$B55)=0,"YETİM","")))</f>
        <v/>
      </c>
      <c r="N55" s="35">
        <f>IF(OR($A55="",$D55=""),"",IF(OR($D55&amp;"|"&amp;$E55="",COUNTIF(ListeIzinliGecis,$D55&amp;"|"&amp;$E55)&gt;0),"","GEÇERSİZ GEÇİŞ"))</f>
        <v/>
      </c>
      <c r="O55" s="35">
        <f>IF($A55="","",IF(OR($F55="",$G55=""),"",IF(ABS($G55-$F55)&gt;zincirTolerans,"ZİNCİR KIRIK","OK")))</f>
        <v/>
      </c>
      <c r="P55" s="35">
        <f>IF($A55="","",1)</f>
        <v/>
      </c>
    </row>
    <row r="56">
      <c r="A56" s="29" t="n"/>
      <c r="B56" s="29" t="n"/>
      <c r="C56" s="70" t="n"/>
      <c r="D56" s="29" t="n"/>
      <c r="E56" s="29" t="n"/>
      <c r="F56" s="30" t="n"/>
      <c r="G56" s="30" t="n"/>
      <c r="H56" s="31" t="n"/>
      <c r="I56" s="31" t="n"/>
      <c r="J56" s="29" t="n"/>
      <c r="K56" s="35">
        <f>IF($A56="","",IF($C56="","",raporTarihi-$C56))</f>
        <v/>
      </c>
      <c r="L56" s="35">
        <f>IF($A56="","",IF($K56="","",IF($K56&lt;=7,"0-7",IF($K56&lt;=30,"8-30",IF($K56&lt;=60,"31-60","60+")))))</f>
        <v/>
      </c>
      <c r="M56" s="35">
        <f>IF($A56="","",IF($B56="","YETİM",IF(COUNTIF(tblKartlar[KartId],$B56)=0,"YETİM","")))</f>
        <v/>
      </c>
      <c r="N56" s="35">
        <f>IF(OR($A56="",$D56=""),"",IF(OR($D56&amp;"|"&amp;$E56="",COUNTIF(ListeIzinliGecis,$D56&amp;"|"&amp;$E56)&gt;0),"","GEÇERSİZ GEÇİŞ"))</f>
        <v/>
      </c>
      <c r="O56" s="35">
        <f>IF($A56="","",IF(OR($F56="",$G56=""),"",IF(ABS($G56-$F56)&gt;zincirTolerans,"ZİNCİR KIRIK","OK")))</f>
        <v/>
      </c>
      <c r="P56" s="35">
        <f>IF($A56="","",1)</f>
        <v/>
      </c>
    </row>
    <row r="57">
      <c r="A57" s="29" t="n"/>
      <c r="B57" s="29" t="n"/>
      <c r="C57" s="70" t="n"/>
      <c r="D57" s="29" t="n"/>
      <c r="E57" s="29" t="n"/>
      <c r="F57" s="30" t="n"/>
      <c r="G57" s="30" t="n"/>
      <c r="H57" s="31" t="n"/>
      <c r="I57" s="31" t="n"/>
      <c r="J57" s="29" t="n"/>
      <c r="K57" s="35">
        <f>IF($A57="","",IF($C57="","",raporTarihi-$C57))</f>
        <v/>
      </c>
      <c r="L57" s="35">
        <f>IF($A57="","",IF($K57="","",IF($K57&lt;=7,"0-7",IF($K57&lt;=30,"8-30",IF($K57&lt;=60,"31-60","60+")))))</f>
        <v/>
      </c>
      <c r="M57" s="35">
        <f>IF($A57="","",IF($B57="","YETİM",IF(COUNTIF(tblKartlar[KartId],$B57)=0,"YETİM","")))</f>
        <v/>
      </c>
      <c r="N57" s="35">
        <f>IF(OR($A57="",$D57=""),"",IF(OR($D57&amp;"|"&amp;$E57="",COUNTIF(ListeIzinliGecis,$D57&amp;"|"&amp;$E57)&gt;0),"","GEÇERSİZ GEÇİŞ"))</f>
        <v/>
      </c>
      <c r="O57" s="35">
        <f>IF($A57="","",IF(OR($F57="",$G57=""),"",IF(ABS($G57-$F57)&gt;zincirTolerans,"ZİNCİR KIRIK","OK")))</f>
        <v/>
      </c>
      <c r="P57" s="35">
        <f>IF($A57="","",1)</f>
        <v/>
      </c>
    </row>
    <row r="58">
      <c r="A58" s="29" t="n"/>
      <c r="B58" s="29" t="n"/>
      <c r="C58" s="70" t="n"/>
      <c r="D58" s="29" t="n"/>
      <c r="E58" s="29" t="n"/>
      <c r="F58" s="30" t="n"/>
      <c r="G58" s="30" t="n"/>
      <c r="H58" s="31" t="n"/>
      <c r="I58" s="31" t="n"/>
      <c r="J58" s="29" t="n"/>
      <c r="K58" s="35">
        <f>IF($A58="","",IF($C58="","",raporTarihi-$C58))</f>
        <v/>
      </c>
      <c r="L58" s="35">
        <f>IF($A58="","",IF($K58="","",IF($K58&lt;=7,"0-7",IF($K58&lt;=30,"8-30",IF($K58&lt;=60,"31-60","60+")))))</f>
        <v/>
      </c>
      <c r="M58" s="35">
        <f>IF($A58="","",IF($B58="","YETİM",IF(COUNTIF(tblKartlar[KartId],$B58)=0,"YETİM","")))</f>
        <v/>
      </c>
      <c r="N58" s="35">
        <f>IF(OR($A58="",$D58=""),"",IF(OR($D58&amp;"|"&amp;$E58="",COUNTIF(ListeIzinliGecis,$D58&amp;"|"&amp;$E58)&gt;0),"","GEÇERSİZ GEÇİŞ"))</f>
        <v/>
      </c>
      <c r="O58" s="35">
        <f>IF($A58="","",IF(OR($F58="",$G58=""),"",IF(ABS($G58-$F58)&gt;zincirTolerans,"ZİNCİR KIRIK","OK")))</f>
        <v/>
      </c>
      <c r="P58" s="35">
        <f>IF($A58="","",1)</f>
        <v/>
      </c>
    </row>
    <row r="59">
      <c r="A59" s="29" t="n"/>
      <c r="B59" s="29" t="n"/>
      <c r="C59" s="70" t="n"/>
      <c r="D59" s="29" t="n"/>
      <c r="E59" s="29" t="n"/>
      <c r="F59" s="30" t="n"/>
      <c r="G59" s="30" t="n"/>
      <c r="H59" s="31" t="n"/>
      <c r="I59" s="31" t="n"/>
      <c r="J59" s="29" t="n"/>
      <c r="K59" s="35">
        <f>IF($A59="","",IF($C59="","",raporTarihi-$C59))</f>
        <v/>
      </c>
      <c r="L59" s="35">
        <f>IF($A59="","",IF($K59="","",IF($K59&lt;=7,"0-7",IF($K59&lt;=30,"8-30",IF($K59&lt;=60,"31-60","60+")))))</f>
        <v/>
      </c>
      <c r="M59" s="35">
        <f>IF($A59="","",IF($B59="","YETİM",IF(COUNTIF(tblKartlar[KartId],$B59)=0,"YETİM","")))</f>
        <v/>
      </c>
      <c r="N59" s="35">
        <f>IF(OR($A59="",$D59=""),"",IF(OR($D59&amp;"|"&amp;$E59="",COUNTIF(ListeIzinliGecis,$D59&amp;"|"&amp;$E59)&gt;0),"","GEÇERSİZ GEÇİŞ"))</f>
        <v/>
      </c>
      <c r="O59" s="35">
        <f>IF($A59="","",IF(OR($F59="",$G59=""),"",IF(ABS($G59-$F59)&gt;zincirTolerans,"ZİNCİR KIRIK","OK")))</f>
        <v/>
      </c>
      <c r="P59" s="35">
        <f>IF($A59="","",1)</f>
        <v/>
      </c>
    </row>
    <row r="60">
      <c r="A60" s="29" t="n"/>
      <c r="B60" s="29" t="n"/>
      <c r="C60" s="70" t="n"/>
      <c r="D60" s="29" t="n"/>
      <c r="E60" s="29" t="n"/>
      <c r="F60" s="30" t="n"/>
      <c r="G60" s="30" t="n"/>
      <c r="H60" s="31" t="n"/>
      <c r="I60" s="31" t="n"/>
      <c r="J60" s="29" t="n"/>
      <c r="K60" s="35">
        <f>IF($A60="","",IF($C60="","",raporTarihi-$C60))</f>
        <v/>
      </c>
      <c r="L60" s="35">
        <f>IF($A60="","",IF($K60="","",IF($K60&lt;=7,"0-7",IF($K60&lt;=30,"8-30",IF($K60&lt;=60,"31-60","60+")))))</f>
        <v/>
      </c>
      <c r="M60" s="35">
        <f>IF($A60="","",IF($B60="","YETİM",IF(COUNTIF(tblKartlar[KartId],$B60)=0,"YETİM","")))</f>
        <v/>
      </c>
      <c r="N60" s="35">
        <f>IF(OR($A60="",$D60=""),"",IF(OR($D60&amp;"|"&amp;$E60="",COUNTIF(ListeIzinliGecis,$D60&amp;"|"&amp;$E60)&gt;0),"","GEÇERSİZ GEÇİŞ"))</f>
        <v/>
      </c>
      <c r="O60" s="35">
        <f>IF($A60="","",IF(OR($F60="",$G60=""),"",IF(ABS($G60-$F60)&gt;zincirTolerans,"ZİNCİR KIRIK","OK")))</f>
        <v/>
      </c>
      <c r="P60" s="35">
        <f>IF($A60="","",1)</f>
        <v/>
      </c>
    </row>
    <row r="61">
      <c r="A61" s="29" t="n"/>
      <c r="B61" s="29" t="n"/>
      <c r="C61" s="70" t="n"/>
      <c r="D61" s="29" t="n"/>
      <c r="E61" s="29" t="n"/>
      <c r="F61" s="30" t="n"/>
      <c r="G61" s="30" t="n"/>
      <c r="H61" s="31" t="n"/>
      <c r="I61" s="31" t="n"/>
      <c r="J61" s="29" t="n"/>
      <c r="K61" s="35">
        <f>IF($A61="","",IF($C61="","",raporTarihi-$C61))</f>
        <v/>
      </c>
      <c r="L61" s="35">
        <f>IF($A61="","",IF($K61="","",IF($K61&lt;=7,"0-7",IF($K61&lt;=30,"8-30",IF($K61&lt;=60,"31-60","60+")))))</f>
        <v/>
      </c>
      <c r="M61" s="35">
        <f>IF($A61="","",IF($B61="","YETİM",IF(COUNTIF(tblKartlar[KartId],$B61)=0,"YETİM","")))</f>
        <v/>
      </c>
      <c r="N61" s="35">
        <f>IF(OR($A61="",$D61=""),"",IF(OR($D61&amp;"|"&amp;$E61="",COUNTIF(ListeIzinliGecis,$D61&amp;"|"&amp;$E61)&gt;0),"","GEÇERSİZ GEÇİŞ"))</f>
        <v/>
      </c>
      <c r="O61" s="35">
        <f>IF($A61="","",IF(OR($F61="",$G61=""),"",IF(ABS($G61-$F61)&gt;zincirTolerans,"ZİNCİR KIRIK","OK")))</f>
        <v/>
      </c>
      <c r="P61" s="35">
        <f>IF($A61="","",1)</f>
        <v/>
      </c>
    </row>
    <row r="62">
      <c r="A62" s="29" t="n"/>
      <c r="B62" s="29" t="n"/>
      <c r="C62" s="70" t="n"/>
      <c r="D62" s="29" t="n"/>
      <c r="E62" s="29" t="n"/>
      <c r="F62" s="30" t="n"/>
      <c r="G62" s="30" t="n"/>
      <c r="H62" s="31" t="n"/>
      <c r="I62" s="31" t="n"/>
      <c r="J62" s="29" t="n"/>
      <c r="K62" s="35">
        <f>IF($A62="","",IF($C62="","",raporTarihi-$C62))</f>
        <v/>
      </c>
      <c r="L62" s="35">
        <f>IF($A62="","",IF($K62="","",IF($K62&lt;=7,"0-7",IF($K62&lt;=30,"8-30",IF($K62&lt;=60,"31-60","60+")))))</f>
        <v/>
      </c>
      <c r="M62" s="35">
        <f>IF($A62="","",IF($B62="","YETİM",IF(COUNTIF(tblKartlar[KartId],$B62)=0,"YETİM","")))</f>
        <v/>
      </c>
      <c r="N62" s="35">
        <f>IF(OR($A62="",$D62=""),"",IF(OR($D62&amp;"|"&amp;$E62="",COUNTIF(ListeIzinliGecis,$D62&amp;"|"&amp;$E62)&gt;0),"","GEÇERSİZ GEÇİŞ"))</f>
        <v/>
      </c>
      <c r="O62" s="35">
        <f>IF($A62="","",IF(OR($F62="",$G62=""),"",IF(ABS($G62-$F62)&gt;zincirTolerans,"ZİNCİR KIRIK","OK")))</f>
        <v/>
      </c>
      <c r="P62" s="35">
        <f>IF($A62="","",1)</f>
        <v/>
      </c>
    </row>
    <row r="63">
      <c r="A63" s="29" t="n"/>
      <c r="B63" s="29" t="n"/>
      <c r="C63" s="70" t="n"/>
      <c r="D63" s="29" t="n"/>
      <c r="E63" s="29" t="n"/>
      <c r="F63" s="30" t="n"/>
      <c r="G63" s="30" t="n"/>
      <c r="H63" s="31" t="n"/>
      <c r="I63" s="31" t="n"/>
      <c r="J63" s="29" t="n"/>
      <c r="K63" s="35">
        <f>IF($A63="","",IF($C63="","",raporTarihi-$C63))</f>
        <v/>
      </c>
      <c r="L63" s="35">
        <f>IF($A63="","",IF($K63="","",IF($K63&lt;=7,"0-7",IF($K63&lt;=30,"8-30",IF($K63&lt;=60,"31-60","60+")))))</f>
        <v/>
      </c>
      <c r="M63" s="35">
        <f>IF($A63="","",IF($B63="","YETİM",IF(COUNTIF(tblKartlar[KartId],$B63)=0,"YETİM","")))</f>
        <v/>
      </c>
      <c r="N63" s="35">
        <f>IF(OR($A63="",$D63=""),"",IF(OR($D63&amp;"|"&amp;$E63="",COUNTIF(ListeIzinliGecis,$D63&amp;"|"&amp;$E63)&gt;0),"","GEÇERSİZ GEÇİŞ"))</f>
        <v/>
      </c>
      <c r="O63" s="35">
        <f>IF($A63="","",IF(OR($F63="",$G63=""),"",IF(ABS($G63-$F63)&gt;zincirTolerans,"ZİNCİR KIRIK","OK")))</f>
        <v/>
      </c>
      <c r="P63" s="35">
        <f>IF($A63="","",1)</f>
        <v/>
      </c>
    </row>
    <row r="64">
      <c r="A64" s="29" t="n"/>
      <c r="B64" s="29" t="n"/>
      <c r="C64" s="70" t="n"/>
      <c r="D64" s="29" t="n"/>
      <c r="E64" s="29" t="n"/>
      <c r="F64" s="30" t="n"/>
      <c r="G64" s="30" t="n"/>
      <c r="H64" s="31" t="n"/>
      <c r="I64" s="31" t="n"/>
      <c r="J64" s="29" t="n"/>
      <c r="K64" s="35">
        <f>IF($A64="","",IF($C64="","",raporTarihi-$C64))</f>
        <v/>
      </c>
      <c r="L64" s="35">
        <f>IF($A64="","",IF($K64="","",IF($K64&lt;=7,"0-7",IF($K64&lt;=30,"8-30",IF($K64&lt;=60,"31-60","60+")))))</f>
        <v/>
      </c>
      <c r="M64" s="35">
        <f>IF($A64="","",IF($B64="","YETİM",IF(COUNTIF(tblKartlar[KartId],$B64)=0,"YETİM","")))</f>
        <v/>
      </c>
      <c r="N64" s="35">
        <f>IF(OR($A64="",$D64=""),"",IF(OR($D64&amp;"|"&amp;$E64="",COUNTIF(ListeIzinliGecis,$D64&amp;"|"&amp;$E64)&gt;0),"","GEÇERSİZ GEÇİŞ"))</f>
        <v/>
      </c>
      <c r="O64" s="35">
        <f>IF($A64="","",IF(OR($F64="",$G64=""),"",IF(ABS($G64-$F64)&gt;zincirTolerans,"ZİNCİR KIRIK","OK")))</f>
        <v/>
      </c>
      <c r="P64" s="35">
        <f>IF($A64="","",1)</f>
        <v/>
      </c>
    </row>
    <row r="65">
      <c r="A65" s="29" t="n"/>
      <c r="B65" s="29" t="n"/>
      <c r="C65" s="70" t="n"/>
      <c r="D65" s="29" t="n"/>
      <c r="E65" s="29" t="n"/>
      <c r="F65" s="30" t="n"/>
      <c r="G65" s="30" t="n"/>
      <c r="H65" s="31" t="n"/>
      <c r="I65" s="31" t="n"/>
      <c r="J65" s="29" t="n"/>
      <c r="K65" s="35">
        <f>IF($A65="","",IF($C65="","",raporTarihi-$C65))</f>
        <v/>
      </c>
      <c r="L65" s="35">
        <f>IF($A65="","",IF($K65="","",IF($K65&lt;=7,"0-7",IF($K65&lt;=30,"8-30",IF($K65&lt;=60,"31-60","60+")))))</f>
        <v/>
      </c>
      <c r="M65" s="35">
        <f>IF($A65="","",IF($B65="","YETİM",IF(COUNTIF(tblKartlar[KartId],$B65)=0,"YETİM","")))</f>
        <v/>
      </c>
      <c r="N65" s="35">
        <f>IF(OR($A65="",$D65=""),"",IF(OR($D65&amp;"|"&amp;$E65="",COUNTIF(ListeIzinliGecis,$D65&amp;"|"&amp;$E65)&gt;0),"","GEÇERSİZ GEÇİŞ"))</f>
        <v/>
      </c>
      <c r="O65" s="35">
        <f>IF($A65="","",IF(OR($F65="",$G65=""),"",IF(ABS($G65-$F65)&gt;zincirTolerans,"ZİNCİR KIRIK","OK")))</f>
        <v/>
      </c>
      <c r="P65" s="35">
        <f>IF($A65="","",1)</f>
        <v/>
      </c>
    </row>
    <row r="66">
      <c r="A66" s="29" t="n"/>
      <c r="B66" s="29" t="n"/>
      <c r="C66" s="70" t="n"/>
      <c r="D66" s="29" t="n"/>
      <c r="E66" s="29" t="n"/>
      <c r="F66" s="30" t="n"/>
      <c r="G66" s="30" t="n"/>
      <c r="H66" s="31" t="n"/>
      <c r="I66" s="31" t="n"/>
      <c r="J66" s="29" t="n"/>
      <c r="K66" s="35">
        <f>IF($A66="","",IF($C66="","",raporTarihi-$C66))</f>
        <v/>
      </c>
      <c r="L66" s="35">
        <f>IF($A66="","",IF($K66="","",IF($K66&lt;=7,"0-7",IF($K66&lt;=30,"8-30",IF($K66&lt;=60,"31-60","60+")))))</f>
        <v/>
      </c>
      <c r="M66" s="35">
        <f>IF($A66="","",IF($B66="","YETİM",IF(COUNTIF(tblKartlar[KartId],$B66)=0,"YETİM","")))</f>
        <v/>
      </c>
      <c r="N66" s="35">
        <f>IF(OR($A66="",$D66=""),"",IF(OR($D66&amp;"|"&amp;$E66="",COUNTIF(ListeIzinliGecis,$D66&amp;"|"&amp;$E66)&gt;0),"","GEÇERSİZ GEÇİŞ"))</f>
        <v/>
      </c>
      <c r="O66" s="35">
        <f>IF($A66="","",IF(OR($F66="",$G66=""),"",IF(ABS($G66-$F66)&gt;zincirTolerans,"ZİNCİR KIRIK","OK")))</f>
        <v/>
      </c>
      <c r="P66" s="35">
        <f>IF($A66="","",1)</f>
        <v/>
      </c>
    </row>
    <row r="67">
      <c r="A67" s="29" t="n"/>
      <c r="B67" s="29" t="n"/>
      <c r="C67" s="70" t="n"/>
      <c r="D67" s="29" t="n"/>
      <c r="E67" s="29" t="n"/>
      <c r="F67" s="30" t="n"/>
      <c r="G67" s="30" t="n"/>
      <c r="H67" s="31" t="n"/>
      <c r="I67" s="31" t="n"/>
      <c r="J67" s="29" t="n"/>
      <c r="K67" s="35">
        <f>IF($A67="","",IF($C67="","",raporTarihi-$C67))</f>
        <v/>
      </c>
      <c r="L67" s="35">
        <f>IF($A67="","",IF($K67="","",IF($K67&lt;=7,"0-7",IF($K67&lt;=30,"8-30",IF($K67&lt;=60,"31-60","60+")))))</f>
        <v/>
      </c>
      <c r="M67" s="35">
        <f>IF($A67="","",IF($B67="","YETİM",IF(COUNTIF(tblKartlar[KartId],$B67)=0,"YETİM","")))</f>
        <v/>
      </c>
      <c r="N67" s="35">
        <f>IF(OR($A67="",$D67=""),"",IF(OR($D67&amp;"|"&amp;$E67="",COUNTIF(ListeIzinliGecis,$D67&amp;"|"&amp;$E67)&gt;0),"","GEÇERSİZ GEÇİŞ"))</f>
        <v/>
      </c>
      <c r="O67" s="35">
        <f>IF($A67="","",IF(OR($F67="",$G67=""),"",IF(ABS($G67-$F67)&gt;zincirTolerans,"ZİNCİR KIRIK","OK")))</f>
        <v/>
      </c>
      <c r="P67" s="35">
        <f>IF($A67="","",1)</f>
        <v/>
      </c>
    </row>
    <row r="68">
      <c r="A68" s="29" t="n"/>
      <c r="B68" s="29" t="n"/>
      <c r="C68" s="70" t="n"/>
      <c r="D68" s="29" t="n"/>
      <c r="E68" s="29" t="n"/>
      <c r="F68" s="30" t="n"/>
      <c r="G68" s="30" t="n"/>
      <c r="H68" s="31" t="n"/>
      <c r="I68" s="31" t="n"/>
      <c r="J68" s="29" t="n"/>
      <c r="K68" s="35">
        <f>IF($A68="","",IF($C68="","",raporTarihi-$C68))</f>
        <v/>
      </c>
      <c r="L68" s="35">
        <f>IF($A68="","",IF($K68="","",IF($K68&lt;=7,"0-7",IF($K68&lt;=30,"8-30",IF($K68&lt;=60,"31-60","60+")))))</f>
        <v/>
      </c>
      <c r="M68" s="35">
        <f>IF($A68="","",IF($B68="","YETİM",IF(COUNTIF(tblKartlar[KartId],$B68)=0,"YETİM","")))</f>
        <v/>
      </c>
      <c r="N68" s="35">
        <f>IF(OR($A68="",$D68=""),"",IF(OR($D68&amp;"|"&amp;$E68="",COUNTIF(ListeIzinliGecis,$D68&amp;"|"&amp;$E68)&gt;0),"","GEÇERSİZ GEÇİŞ"))</f>
        <v/>
      </c>
      <c r="O68" s="35">
        <f>IF($A68="","",IF(OR($F68="",$G68=""),"",IF(ABS($G68-$F68)&gt;zincirTolerans,"ZİNCİR KIRIK","OK")))</f>
        <v/>
      </c>
      <c r="P68" s="35">
        <f>IF($A68="","",1)</f>
        <v/>
      </c>
    </row>
    <row r="69">
      <c r="A69" s="29" t="n"/>
      <c r="B69" s="29" t="n"/>
      <c r="C69" s="70" t="n"/>
      <c r="D69" s="29" t="n"/>
      <c r="E69" s="29" t="n"/>
      <c r="F69" s="30" t="n"/>
      <c r="G69" s="30" t="n"/>
      <c r="H69" s="31" t="n"/>
      <c r="I69" s="31" t="n"/>
      <c r="J69" s="29" t="n"/>
      <c r="K69" s="35">
        <f>IF($A69="","",IF($C69="","",raporTarihi-$C69))</f>
        <v/>
      </c>
      <c r="L69" s="35">
        <f>IF($A69="","",IF($K69="","",IF($K69&lt;=7,"0-7",IF($K69&lt;=30,"8-30",IF($K69&lt;=60,"31-60","60+")))))</f>
        <v/>
      </c>
      <c r="M69" s="35">
        <f>IF($A69="","",IF($B69="","YETİM",IF(COUNTIF(tblKartlar[KartId],$B69)=0,"YETİM","")))</f>
        <v/>
      </c>
      <c r="N69" s="35">
        <f>IF(OR($A69="",$D69=""),"",IF(OR($D69&amp;"|"&amp;$E69="",COUNTIF(ListeIzinliGecis,$D69&amp;"|"&amp;$E69)&gt;0),"","GEÇERSİZ GEÇİŞ"))</f>
        <v/>
      </c>
      <c r="O69" s="35">
        <f>IF($A69="","",IF(OR($F69="",$G69=""),"",IF(ABS($G69-$F69)&gt;zincirTolerans,"ZİNCİR KIRIK","OK")))</f>
        <v/>
      </c>
      <c r="P69" s="35">
        <f>IF($A69="","",1)</f>
        <v/>
      </c>
    </row>
    <row r="70">
      <c r="A70" s="29" t="n"/>
      <c r="B70" s="29" t="n"/>
      <c r="C70" s="70" t="n"/>
      <c r="D70" s="29" t="n"/>
      <c r="E70" s="29" t="n"/>
      <c r="F70" s="30" t="n"/>
      <c r="G70" s="30" t="n"/>
      <c r="H70" s="31" t="n"/>
      <c r="I70" s="31" t="n"/>
      <c r="J70" s="29" t="n"/>
      <c r="K70" s="35">
        <f>IF($A70="","",IF($C70="","",raporTarihi-$C70))</f>
        <v/>
      </c>
      <c r="L70" s="35">
        <f>IF($A70="","",IF($K70="","",IF($K70&lt;=7,"0-7",IF($K70&lt;=30,"8-30",IF($K70&lt;=60,"31-60","60+")))))</f>
        <v/>
      </c>
      <c r="M70" s="35">
        <f>IF($A70="","",IF($B70="","YETİM",IF(COUNTIF(tblKartlar[KartId],$B70)=0,"YETİM","")))</f>
        <v/>
      </c>
      <c r="N70" s="35">
        <f>IF(OR($A70="",$D70=""),"",IF(OR($D70&amp;"|"&amp;$E70="",COUNTIF(ListeIzinliGecis,$D70&amp;"|"&amp;$E70)&gt;0),"","GEÇERSİZ GEÇİŞ"))</f>
        <v/>
      </c>
      <c r="O70" s="35">
        <f>IF($A70="","",IF(OR($F70="",$G70=""),"",IF(ABS($G70-$F70)&gt;zincirTolerans,"ZİNCİR KIRIK","OK")))</f>
        <v/>
      </c>
      <c r="P70" s="35">
        <f>IF($A70="","",1)</f>
        <v/>
      </c>
    </row>
    <row r="71">
      <c r="A71" s="29" t="n"/>
      <c r="B71" s="29" t="n"/>
      <c r="C71" s="70" t="n"/>
      <c r="D71" s="29" t="n"/>
      <c r="E71" s="29" t="n"/>
      <c r="F71" s="30" t="n"/>
      <c r="G71" s="30" t="n"/>
      <c r="H71" s="31" t="n"/>
      <c r="I71" s="31" t="n"/>
      <c r="J71" s="29" t="n"/>
      <c r="K71" s="35">
        <f>IF($A71="","",IF($C71="","",raporTarihi-$C71))</f>
        <v/>
      </c>
      <c r="L71" s="35">
        <f>IF($A71="","",IF($K71="","",IF($K71&lt;=7,"0-7",IF($K71&lt;=30,"8-30",IF($K71&lt;=60,"31-60","60+")))))</f>
        <v/>
      </c>
      <c r="M71" s="35">
        <f>IF($A71="","",IF($B71="","YETİM",IF(COUNTIF(tblKartlar[KartId],$B71)=0,"YETİM","")))</f>
        <v/>
      </c>
      <c r="N71" s="35">
        <f>IF(OR($A71="",$D71=""),"",IF(OR($D71&amp;"|"&amp;$E71="",COUNTIF(ListeIzinliGecis,$D71&amp;"|"&amp;$E71)&gt;0),"","GEÇERSİZ GEÇİŞ"))</f>
        <v/>
      </c>
      <c r="O71" s="35">
        <f>IF($A71="","",IF(OR($F71="",$G71=""),"",IF(ABS($G71-$F71)&gt;zincirTolerans,"ZİNCİR KIRIK","OK")))</f>
        <v/>
      </c>
      <c r="P71" s="35">
        <f>IF($A71="","",1)</f>
        <v/>
      </c>
    </row>
    <row r="72">
      <c r="A72" s="29" t="n"/>
      <c r="B72" s="29" t="n"/>
      <c r="C72" s="70" t="n"/>
      <c r="D72" s="29" t="n"/>
      <c r="E72" s="29" t="n"/>
      <c r="F72" s="30" t="n"/>
      <c r="G72" s="30" t="n"/>
      <c r="H72" s="31" t="n"/>
      <c r="I72" s="31" t="n"/>
      <c r="J72" s="29" t="n"/>
      <c r="K72" s="35">
        <f>IF($A72="","",IF($C72="","",raporTarihi-$C72))</f>
        <v/>
      </c>
      <c r="L72" s="35">
        <f>IF($A72="","",IF($K72="","",IF($K72&lt;=7,"0-7",IF($K72&lt;=30,"8-30",IF($K72&lt;=60,"31-60","60+")))))</f>
        <v/>
      </c>
      <c r="M72" s="35">
        <f>IF($A72="","",IF($B72="","YETİM",IF(COUNTIF(tblKartlar[KartId],$B72)=0,"YETİM","")))</f>
        <v/>
      </c>
      <c r="N72" s="35">
        <f>IF(OR($A72="",$D72=""),"",IF(OR($D72&amp;"|"&amp;$E72="",COUNTIF(ListeIzinliGecis,$D72&amp;"|"&amp;$E72)&gt;0),"","GEÇERSİZ GEÇİŞ"))</f>
        <v/>
      </c>
      <c r="O72" s="35">
        <f>IF($A72="","",IF(OR($F72="",$G72=""),"",IF(ABS($G72-$F72)&gt;zincirTolerans,"ZİNCİR KIRIK","OK")))</f>
        <v/>
      </c>
      <c r="P72" s="35">
        <f>IF($A72="","",1)</f>
        <v/>
      </c>
    </row>
    <row r="73">
      <c r="A73" s="29" t="n"/>
      <c r="B73" s="29" t="n"/>
      <c r="C73" s="70" t="n"/>
      <c r="D73" s="29" t="n"/>
      <c r="E73" s="29" t="n"/>
      <c r="F73" s="30" t="n"/>
      <c r="G73" s="30" t="n"/>
      <c r="H73" s="31" t="n"/>
      <c r="I73" s="31" t="n"/>
      <c r="J73" s="29" t="n"/>
      <c r="K73" s="35">
        <f>IF($A73="","",IF($C73="","",raporTarihi-$C73))</f>
        <v/>
      </c>
      <c r="L73" s="35">
        <f>IF($A73="","",IF($K73="","",IF($K73&lt;=7,"0-7",IF($K73&lt;=30,"8-30",IF($K73&lt;=60,"31-60","60+")))))</f>
        <v/>
      </c>
      <c r="M73" s="35">
        <f>IF($A73="","",IF($B73="","YETİM",IF(COUNTIF(tblKartlar[KartId],$B73)=0,"YETİM","")))</f>
        <v/>
      </c>
      <c r="N73" s="35">
        <f>IF(OR($A73="",$D73=""),"",IF(OR($D73&amp;"|"&amp;$E73="",COUNTIF(ListeIzinliGecis,$D73&amp;"|"&amp;$E73)&gt;0),"","GEÇERSİZ GEÇİŞ"))</f>
        <v/>
      </c>
      <c r="O73" s="35">
        <f>IF($A73="","",IF(OR($F73="",$G73=""),"",IF(ABS($G73-$F73)&gt;zincirTolerans,"ZİNCİR KIRIK","OK")))</f>
        <v/>
      </c>
      <c r="P73" s="35">
        <f>IF($A73="","",1)</f>
        <v/>
      </c>
    </row>
    <row r="74">
      <c r="A74" s="29" t="n"/>
      <c r="B74" s="29" t="n"/>
      <c r="C74" s="70" t="n"/>
      <c r="D74" s="29" t="n"/>
      <c r="E74" s="29" t="n"/>
      <c r="F74" s="30" t="n"/>
      <c r="G74" s="30" t="n"/>
      <c r="H74" s="31" t="n"/>
      <c r="I74" s="31" t="n"/>
      <c r="J74" s="29" t="n"/>
      <c r="K74" s="35">
        <f>IF($A74="","",IF($C74="","",raporTarihi-$C74))</f>
        <v/>
      </c>
      <c r="L74" s="35">
        <f>IF($A74="","",IF($K74="","",IF($K74&lt;=7,"0-7",IF($K74&lt;=30,"8-30",IF($K74&lt;=60,"31-60","60+")))))</f>
        <v/>
      </c>
      <c r="M74" s="35">
        <f>IF($A74="","",IF($B74="","YETİM",IF(COUNTIF(tblKartlar[KartId],$B74)=0,"YETİM","")))</f>
        <v/>
      </c>
      <c r="N74" s="35">
        <f>IF(OR($A74="",$D74=""),"",IF(OR($D74&amp;"|"&amp;$E74="",COUNTIF(ListeIzinliGecis,$D74&amp;"|"&amp;$E74)&gt;0),"","GEÇERSİZ GEÇİŞ"))</f>
        <v/>
      </c>
      <c r="O74" s="35">
        <f>IF($A74="","",IF(OR($F74="",$G74=""),"",IF(ABS($G74-$F74)&gt;zincirTolerans,"ZİNCİR KIRIK","OK")))</f>
        <v/>
      </c>
      <c r="P74" s="35">
        <f>IF($A74="","",1)</f>
        <v/>
      </c>
    </row>
    <row r="75">
      <c r="A75" s="29" t="n"/>
      <c r="B75" s="29" t="n"/>
      <c r="C75" s="70" t="n"/>
      <c r="D75" s="29" t="n"/>
      <c r="E75" s="29" t="n"/>
      <c r="F75" s="30" t="n"/>
      <c r="G75" s="30" t="n"/>
      <c r="H75" s="31" t="n"/>
      <c r="I75" s="31" t="n"/>
      <c r="J75" s="29" t="n"/>
      <c r="K75" s="35">
        <f>IF($A75="","",IF($C75="","",raporTarihi-$C75))</f>
        <v/>
      </c>
      <c r="L75" s="35">
        <f>IF($A75="","",IF($K75="","",IF($K75&lt;=7,"0-7",IF($K75&lt;=30,"8-30",IF($K75&lt;=60,"31-60","60+")))))</f>
        <v/>
      </c>
      <c r="M75" s="35">
        <f>IF($A75="","",IF($B75="","YETİM",IF(COUNTIF(tblKartlar[KartId],$B75)=0,"YETİM","")))</f>
        <v/>
      </c>
      <c r="N75" s="35">
        <f>IF(OR($A75="",$D75=""),"",IF(OR($D75&amp;"|"&amp;$E75="",COUNTIF(ListeIzinliGecis,$D75&amp;"|"&amp;$E75)&gt;0),"","GEÇERSİZ GEÇİŞ"))</f>
        <v/>
      </c>
      <c r="O75" s="35">
        <f>IF($A75="","",IF(OR($F75="",$G75=""),"",IF(ABS($G75-$F75)&gt;zincirTolerans,"ZİNCİR KIRIK","OK")))</f>
        <v/>
      </c>
      <c r="P75" s="35">
        <f>IF($A75="","",1)</f>
        <v/>
      </c>
    </row>
    <row r="76">
      <c r="A76" s="29" t="n"/>
      <c r="B76" s="29" t="n"/>
      <c r="C76" s="70" t="n"/>
      <c r="D76" s="29" t="n"/>
      <c r="E76" s="29" t="n"/>
      <c r="F76" s="30" t="n"/>
      <c r="G76" s="30" t="n"/>
      <c r="H76" s="31" t="n"/>
      <c r="I76" s="31" t="n"/>
      <c r="J76" s="29" t="n"/>
      <c r="K76" s="35">
        <f>IF($A76="","",IF($C76="","",raporTarihi-$C76))</f>
        <v/>
      </c>
      <c r="L76" s="35">
        <f>IF($A76="","",IF($K76="","",IF($K76&lt;=7,"0-7",IF($K76&lt;=30,"8-30",IF($K76&lt;=60,"31-60","60+")))))</f>
        <v/>
      </c>
      <c r="M76" s="35">
        <f>IF($A76="","",IF($B76="","YETİM",IF(COUNTIF(tblKartlar[KartId],$B76)=0,"YETİM","")))</f>
        <v/>
      </c>
      <c r="N76" s="35">
        <f>IF(OR($A76="",$D76=""),"",IF(OR($D76&amp;"|"&amp;$E76="",COUNTIF(ListeIzinliGecis,$D76&amp;"|"&amp;$E76)&gt;0),"","GEÇERSİZ GEÇİŞ"))</f>
        <v/>
      </c>
      <c r="O76" s="35">
        <f>IF($A76="","",IF(OR($F76="",$G76=""),"",IF(ABS($G76-$F76)&gt;zincirTolerans,"ZİNCİR KIRIK","OK")))</f>
        <v/>
      </c>
      <c r="P76" s="35">
        <f>IF($A76="","",1)</f>
        <v/>
      </c>
    </row>
    <row r="77">
      <c r="A77" s="29" t="n"/>
      <c r="B77" s="29" t="n"/>
      <c r="C77" s="70" t="n"/>
      <c r="D77" s="29" t="n"/>
      <c r="E77" s="29" t="n"/>
      <c r="F77" s="30" t="n"/>
      <c r="G77" s="30" t="n"/>
      <c r="H77" s="31" t="n"/>
      <c r="I77" s="31" t="n"/>
      <c r="J77" s="29" t="n"/>
      <c r="K77" s="35">
        <f>IF($A77="","",IF($C77="","",raporTarihi-$C77))</f>
        <v/>
      </c>
      <c r="L77" s="35">
        <f>IF($A77="","",IF($K77="","",IF($K77&lt;=7,"0-7",IF($K77&lt;=30,"8-30",IF($K77&lt;=60,"31-60","60+")))))</f>
        <v/>
      </c>
      <c r="M77" s="35">
        <f>IF($A77="","",IF($B77="","YETİM",IF(COUNTIF(tblKartlar[KartId],$B77)=0,"YETİM","")))</f>
        <v/>
      </c>
      <c r="N77" s="35">
        <f>IF(OR($A77="",$D77=""),"",IF(OR($D77&amp;"|"&amp;$E77="",COUNTIF(ListeIzinliGecis,$D77&amp;"|"&amp;$E77)&gt;0),"","GEÇERSİZ GEÇİŞ"))</f>
        <v/>
      </c>
      <c r="O77" s="35">
        <f>IF($A77="","",IF(OR($F77="",$G77=""),"",IF(ABS($G77-$F77)&gt;zincirTolerans,"ZİNCİR KIRIK","OK")))</f>
        <v/>
      </c>
      <c r="P77" s="35">
        <f>IF($A77="","",1)</f>
        <v/>
      </c>
    </row>
    <row r="78">
      <c r="A78" s="29" t="n"/>
      <c r="B78" s="29" t="n"/>
      <c r="C78" s="70" t="n"/>
      <c r="D78" s="29" t="n"/>
      <c r="E78" s="29" t="n"/>
      <c r="F78" s="30" t="n"/>
      <c r="G78" s="30" t="n"/>
      <c r="H78" s="31" t="n"/>
      <c r="I78" s="31" t="n"/>
      <c r="J78" s="29" t="n"/>
      <c r="K78" s="35">
        <f>IF($A78="","",IF($C78="","",raporTarihi-$C78))</f>
        <v/>
      </c>
      <c r="L78" s="35">
        <f>IF($A78="","",IF($K78="","",IF($K78&lt;=7,"0-7",IF($K78&lt;=30,"8-30",IF($K78&lt;=60,"31-60","60+")))))</f>
        <v/>
      </c>
      <c r="M78" s="35">
        <f>IF($A78="","",IF($B78="","YETİM",IF(COUNTIF(tblKartlar[KartId],$B78)=0,"YETİM","")))</f>
        <v/>
      </c>
      <c r="N78" s="35">
        <f>IF(OR($A78="",$D78=""),"",IF(OR($D78&amp;"|"&amp;$E78="",COUNTIF(ListeIzinliGecis,$D78&amp;"|"&amp;$E78)&gt;0),"","GEÇERSİZ GEÇİŞ"))</f>
        <v/>
      </c>
      <c r="O78" s="35">
        <f>IF($A78="","",IF(OR($F78="",$G78=""),"",IF(ABS($G78-$F78)&gt;zincirTolerans,"ZİNCİR KIRIK","OK")))</f>
        <v/>
      </c>
      <c r="P78" s="35">
        <f>IF($A78="","",1)</f>
        <v/>
      </c>
    </row>
    <row r="79">
      <c r="A79" s="29" t="n"/>
      <c r="B79" s="29" t="n"/>
      <c r="C79" s="70" t="n"/>
      <c r="D79" s="29" t="n"/>
      <c r="E79" s="29" t="n"/>
      <c r="F79" s="30" t="n"/>
      <c r="G79" s="30" t="n"/>
      <c r="H79" s="31" t="n"/>
      <c r="I79" s="31" t="n"/>
      <c r="J79" s="29" t="n"/>
      <c r="K79" s="35">
        <f>IF($A79="","",IF($C79="","",raporTarihi-$C79))</f>
        <v/>
      </c>
      <c r="L79" s="35">
        <f>IF($A79="","",IF($K79="","",IF($K79&lt;=7,"0-7",IF($K79&lt;=30,"8-30",IF($K79&lt;=60,"31-60","60+")))))</f>
        <v/>
      </c>
      <c r="M79" s="35">
        <f>IF($A79="","",IF($B79="","YETİM",IF(COUNTIF(tblKartlar[KartId],$B79)=0,"YETİM","")))</f>
        <v/>
      </c>
      <c r="N79" s="35">
        <f>IF(OR($A79="",$D79=""),"",IF(OR($D79&amp;"|"&amp;$E79="",COUNTIF(ListeIzinliGecis,$D79&amp;"|"&amp;$E79)&gt;0),"","GEÇERSİZ GEÇİŞ"))</f>
        <v/>
      </c>
      <c r="O79" s="35">
        <f>IF($A79="","",IF(OR($F79="",$G79=""),"",IF(ABS($G79-$F79)&gt;zincirTolerans,"ZİNCİR KIRIK","OK")))</f>
        <v/>
      </c>
      <c r="P79" s="35">
        <f>IF($A79="","",1)</f>
        <v/>
      </c>
    </row>
    <row r="80">
      <c r="A80" s="29" t="n"/>
      <c r="B80" s="29" t="n"/>
      <c r="C80" s="70" t="n"/>
      <c r="D80" s="29" t="n"/>
      <c r="E80" s="29" t="n"/>
      <c r="F80" s="30" t="n"/>
      <c r="G80" s="30" t="n"/>
      <c r="H80" s="31" t="n"/>
      <c r="I80" s="31" t="n"/>
      <c r="J80" s="29" t="n"/>
      <c r="K80" s="35">
        <f>IF($A80="","",IF($C80="","",raporTarihi-$C80))</f>
        <v/>
      </c>
      <c r="L80" s="35">
        <f>IF($A80="","",IF($K80="","",IF($K80&lt;=7,"0-7",IF($K80&lt;=30,"8-30",IF($K80&lt;=60,"31-60","60+")))))</f>
        <v/>
      </c>
      <c r="M80" s="35">
        <f>IF($A80="","",IF($B80="","YETİM",IF(COUNTIF(tblKartlar[KartId],$B80)=0,"YETİM","")))</f>
        <v/>
      </c>
      <c r="N80" s="35">
        <f>IF(OR($A80="",$D80=""),"",IF(OR($D80&amp;"|"&amp;$E80="",COUNTIF(ListeIzinliGecis,$D80&amp;"|"&amp;$E80)&gt;0),"","GEÇERSİZ GEÇİŞ"))</f>
        <v/>
      </c>
      <c r="O80" s="35">
        <f>IF($A80="","",IF(OR($F80="",$G80=""),"",IF(ABS($G80-$F80)&gt;zincirTolerans,"ZİNCİR KIRIK","OK")))</f>
        <v/>
      </c>
      <c r="P80" s="35">
        <f>IF($A80="","",1)</f>
        <v/>
      </c>
    </row>
    <row r="81">
      <c r="A81" s="29" t="n"/>
      <c r="B81" s="29" t="n"/>
      <c r="C81" s="70" t="n"/>
      <c r="D81" s="29" t="n"/>
      <c r="E81" s="29" t="n"/>
      <c r="F81" s="30" t="n"/>
      <c r="G81" s="30" t="n"/>
      <c r="H81" s="31" t="n"/>
      <c r="I81" s="31" t="n"/>
      <c r="J81" s="29" t="n"/>
      <c r="K81" s="35">
        <f>IF($A81="","",IF($C81="","",raporTarihi-$C81))</f>
        <v/>
      </c>
      <c r="L81" s="35">
        <f>IF($A81="","",IF($K81="","",IF($K81&lt;=7,"0-7",IF($K81&lt;=30,"8-30",IF($K81&lt;=60,"31-60","60+")))))</f>
        <v/>
      </c>
      <c r="M81" s="35">
        <f>IF($A81="","",IF($B81="","YETİM",IF(COUNTIF(tblKartlar[KartId],$B81)=0,"YETİM","")))</f>
        <v/>
      </c>
      <c r="N81" s="35">
        <f>IF(OR($A81="",$D81=""),"",IF(OR($D81&amp;"|"&amp;$E81="",COUNTIF(ListeIzinliGecis,$D81&amp;"|"&amp;$E81)&gt;0),"","GEÇERSİZ GEÇİŞ"))</f>
        <v/>
      </c>
      <c r="O81" s="35">
        <f>IF($A81="","",IF(OR($F81="",$G81=""),"",IF(ABS($G81-$F81)&gt;zincirTolerans,"ZİNCİR KIRIK","OK")))</f>
        <v/>
      </c>
      <c r="P81" s="35">
        <f>IF($A81="","",1)</f>
        <v/>
      </c>
    </row>
    <row r="82">
      <c r="A82" s="29" t="n"/>
      <c r="B82" s="29" t="n"/>
      <c r="C82" s="70" t="n"/>
      <c r="D82" s="29" t="n"/>
      <c r="E82" s="29" t="n"/>
      <c r="F82" s="30" t="n"/>
      <c r="G82" s="30" t="n"/>
      <c r="H82" s="31" t="n"/>
      <c r="I82" s="31" t="n"/>
      <c r="J82" s="29" t="n"/>
      <c r="K82" s="35">
        <f>IF($A82="","",IF($C82="","",raporTarihi-$C82))</f>
        <v/>
      </c>
      <c r="L82" s="35">
        <f>IF($A82="","",IF($K82="","",IF($K82&lt;=7,"0-7",IF($K82&lt;=30,"8-30",IF($K82&lt;=60,"31-60","60+")))))</f>
        <v/>
      </c>
      <c r="M82" s="35">
        <f>IF($A82="","",IF($B82="","YETİM",IF(COUNTIF(tblKartlar[KartId],$B82)=0,"YETİM","")))</f>
        <v/>
      </c>
      <c r="N82" s="35">
        <f>IF(OR($A82="",$D82=""),"",IF(OR($D82&amp;"|"&amp;$E82="",COUNTIF(ListeIzinliGecis,$D82&amp;"|"&amp;$E82)&gt;0),"","GEÇERSİZ GEÇİŞ"))</f>
        <v/>
      </c>
      <c r="O82" s="35">
        <f>IF($A82="","",IF(OR($F82="",$G82=""),"",IF(ABS($G82-$F82)&gt;zincirTolerans,"ZİNCİR KIRIK","OK")))</f>
        <v/>
      </c>
      <c r="P82" s="35">
        <f>IF($A82="","",1)</f>
        <v/>
      </c>
    </row>
    <row r="83">
      <c r="A83" s="29" t="n"/>
      <c r="B83" s="29" t="n"/>
      <c r="C83" s="70" t="n"/>
      <c r="D83" s="29" t="n"/>
      <c r="E83" s="29" t="n"/>
      <c r="F83" s="30" t="n"/>
      <c r="G83" s="30" t="n"/>
      <c r="H83" s="31" t="n"/>
      <c r="I83" s="31" t="n"/>
      <c r="J83" s="29" t="n"/>
      <c r="K83" s="35">
        <f>IF($A83="","",IF($C83="","",raporTarihi-$C83))</f>
        <v/>
      </c>
      <c r="L83" s="35">
        <f>IF($A83="","",IF($K83="","",IF($K83&lt;=7,"0-7",IF($K83&lt;=30,"8-30",IF($K83&lt;=60,"31-60","60+")))))</f>
        <v/>
      </c>
      <c r="M83" s="35">
        <f>IF($A83="","",IF($B83="","YETİM",IF(COUNTIF(tblKartlar[KartId],$B83)=0,"YETİM","")))</f>
        <v/>
      </c>
      <c r="N83" s="35">
        <f>IF(OR($A83="",$D83=""),"",IF(OR($D83&amp;"|"&amp;$E83="",COUNTIF(ListeIzinliGecis,$D83&amp;"|"&amp;$E83)&gt;0),"","GEÇERSİZ GEÇİŞ"))</f>
        <v/>
      </c>
      <c r="O83" s="35">
        <f>IF($A83="","",IF(OR($F83="",$G83=""),"",IF(ABS($G83-$F83)&gt;zincirTolerans,"ZİNCİR KIRIK","OK")))</f>
        <v/>
      </c>
      <c r="P83" s="35">
        <f>IF($A83="","",1)</f>
        <v/>
      </c>
    </row>
    <row r="84">
      <c r="A84" s="29" t="n"/>
      <c r="B84" s="29" t="n"/>
      <c r="C84" s="70" t="n"/>
      <c r="D84" s="29" t="n"/>
      <c r="E84" s="29" t="n"/>
      <c r="F84" s="30" t="n"/>
      <c r="G84" s="30" t="n"/>
      <c r="H84" s="31" t="n"/>
      <c r="I84" s="31" t="n"/>
      <c r="J84" s="29" t="n"/>
      <c r="K84" s="35">
        <f>IF($A84="","",IF($C84="","",raporTarihi-$C84))</f>
        <v/>
      </c>
      <c r="L84" s="35">
        <f>IF($A84="","",IF($K84="","",IF($K84&lt;=7,"0-7",IF($K84&lt;=30,"8-30",IF($K84&lt;=60,"31-60","60+")))))</f>
        <v/>
      </c>
      <c r="M84" s="35">
        <f>IF($A84="","",IF($B84="","YETİM",IF(COUNTIF(tblKartlar[KartId],$B84)=0,"YETİM","")))</f>
        <v/>
      </c>
      <c r="N84" s="35">
        <f>IF(OR($A84="",$D84=""),"",IF(OR($D84&amp;"|"&amp;$E84="",COUNTIF(ListeIzinliGecis,$D84&amp;"|"&amp;$E84)&gt;0),"","GEÇERSİZ GEÇİŞ"))</f>
        <v/>
      </c>
      <c r="O84" s="35">
        <f>IF($A84="","",IF(OR($F84="",$G84=""),"",IF(ABS($G84-$F84)&gt;zincirTolerans,"ZİNCİR KIRIK","OK")))</f>
        <v/>
      </c>
      <c r="P84" s="35">
        <f>IF($A84="","",1)</f>
        <v/>
      </c>
    </row>
    <row r="85">
      <c r="A85" s="29" t="n"/>
      <c r="B85" s="29" t="n"/>
      <c r="C85" s="70" t="n"/>
      <c r="D85" s="29" t="n"/>
      <c r="E85" s="29" t="n"/>
      <c r="F85" s="30" t="n"/>
      <c r="G85" s="30" t="n"/>
      <c r="H85" s="31" t="n"/>
      <c r="I85" s="31" t="n"/>
      <c r="J85" s="29" t="n"/>
      <c r="K85" s="35">
        <f>IF($A85="","",IF($C85="","",raporTarihi-$C85))</f>
        <v/>
      </c>
      <c r="L85" s="35">
        <f>IF($A85="","",IF($K85="","",IF($K85&lt;=7,"0-7",IF($K85&lt;=30,"8-30",IF($K85&lt;=60,"31-60","60+")))))</f>
        <v/>
      </c>
      <c r="M85" s="35">
        <f>IF($A85="","",IF($B85="","YETİM",IF(COUNTIF(tblKartlar[KartId],$B85)=0,"YETİM","")))</f>
        <v/>
      </c>
      <c r="N85" s="35">
        <f>IF(OR($A85="",$D85=""),"",IF(OR($D85&amp;"|"&amp;$E85="",COUNTIF(ListeIzinliGecis,$D85&amp;"|"&amp;$E85)&gt;0),"","GEÇERSİZ GEÇİŞ"))</f>
        <v/>
      </c>
      <c r="O85" s="35">
        <f>IF($A85="","",IF(OR($F85="",$G85=""),"",IF(ABS($G85-$F85)&gt;zincirTolerans,"ZİNCİR KIRIK","OK")))</f>
        <v/>
      </c>
      <c r="P85" s="35">
        <f>IF($A85="","",1)</f>
        <v/>
      </c>
    </row>
    <row r="86">
      <c r="A86" s="29" t="n"/>
      <c r="B86" s="29" t="n"/>
      <c r="C86" s="70" t="n"/>
      <c r="D86" s="29" t="n"/>
      <c r="E86" s="29" t="n"/>
      <c r="F86" s="30" t="n"/>
      <c r="G86" s="30" t="n"/>
      <c r="H86" s="31" t="n"/>
      <c r="I86" s="31" t="n"/>
      <c r="J86" s="29" t="n"/>
      <c r="K86" s="35">
        <f>IF($A86="","",IF($C86="","",raporTarihi-$C86))</f>
        <v/>
      </c>
      <c r="L86" s="35">
        <f>IF($A86="","",IF($K86="","",IF($K86&lt;=7,"0-7",IF($K86&lt;=30,"8-30",IF($K86&lt;=60,"31-60","60+")))))</f>
        <v/>
      </c>
      <c r="M86" s="35">
        <f>IF($A86="","",IF($B86="","YETİM",IF(COUNTIF(tblKartlar[KartId],$B86)=0,"YETİM","")))</f>
        <v/>
      </c>
      <c r="N86" s="35">
        <f>IF(OR($A86="",$D86=""),"",IF(OR($D86&amp;"|"&amp;$E86="",COUNTIF(ListeIzinliGecis,$D86&amp;"|"&amp;$E86)&gt;0),"","GEÇERSİZ GEÇİŞ"))</f>
        <v/>
      </c>
      <c r="O86" s="35">
        <f>IF($A86="","",IF(OR($F86="",$G86=""),"",IF(ABS($G86-$F86)&gt;zincirTolerans,"ZİNCİR KIRIK","OK")))</f>
        <v/>
      </c>
      <c r="P86" s="35">
        <f>IF($A86="","",1)</f>
        <v/>
      </c>
    </row>
    <row r="87">
      <c r="A87" s="29" t="n"/>
      <c r="B87" s="29" t="n"/>
      <c r="C87" s="70" t="n"/>
      <c r="D87" s="29" t="n"/>
      <c r="E87" s="29" t="n"/>
      <c r="F87" s="30" t="n"/>
      <c r="G87" s="30" t="n"/>
      <c r="H87" s="31" t="n"/>
      <c r="I87" s="31" t="n"/>
      <c r="J87" s="29" t="n"/>
      <c r="K87" s="35">
        <f>IF($A87="","",IF($C87="","",raporTarihi-$C87))</f>
        <v/>
      </c>
      <c r="L87" s="35">
        <f>IF($A87="","",IF($K87="","",IF($K87&lt;=7,"0-7",IF($K87&lt;=30,"8-30",IF($K87&lt;=60,"31-60","60+")))))</f>
        <v/>
      </c>
      <c r="M87" s="35">
        <f>IF($A87="","",IF($B87="","YETİM",IF(COUNTIF(tblKartlar[KartId],$B87)=0,"YETİM","")))</f>
        <v/>
      </c>
      <c r="N87" s="35">
        <f>IF(OR($A87="",$D87=""),"",IF(OR($D87&amp;"|"&amp;$E87="",COUNTIF(ListeIzinliGecis,$D87&amp;"|"&amp;$E87)&gt;0),"","GEÇERSİZ GEÇİŞ"))</f>
        <v/>
      </c>
      <c r="O87" s="35">
        <f>IF($A87="","",IF(OR($F87="",$G87=""),"",IF(ABS($G87-$F87)&gt;zincirTolerans,"ZİNCİR KIRIK","OK")))</f>
        <v/>
      </c>
      <c r="P87" s="35">
        <f>IF($A87="","",1)</f>
        <v/>
      </c>
    </row>
    <row r="88">
      <c r="A88" s="29" t="n"/>
      <c r="B88" s="29" t="n"/>
      <c r="C88" s="70" t="n"/>
      <c r="D88" s="29" t="n"/>
      <c r="E88" s="29" t="n"/>
      <c r="F88" s="30" t="n"/>
      <c r="G88" s="30" t="n"/>
      <c r="H88" s="31" t="n"/>
      <c r="I88" s="31" t="n"/>
      <c r="J88" s="29" t="n"/>
      <c r="K88" s="35">
        <f>IF($A88="","",IF($C88="","",raporTarihi-$C88))</f>
        <v/>
      </c>
      <c r="L88" s="35">
        <f>IF($A88="","",IF($K88="","",IF($K88&lt;=7,"0-7",IF($K88&lt;=30,"8-30",IF($K88&lt;=60,"31-60","60+")))))</f>
        <v/>
      </c>
      <c r="M88" s="35">
        <f>IF($A88="","",IF($B88="","YETİM",IF(COUNTIF(tblKartlar[KartId],$B88)=0,"YETİM","")))</f>
        <v/>
      </c>
      <c r="N88" s="35">
        <f>IF(OR($A88="",$D88=""),"",IF(OR($D88&amp;"|"&amp;$E88="",COUNTIF(ListeIzinliGecis,$D88&amp;"|"&amp;$E88)&gt;0),"","GEÇERSİZ GEÇİŞ"))</f>
        <v/>
      </c>
      <c r="O88" s="35">
        <f>IF($A88="","",IF(OR($F88="",$G88=""),"",IF(ABS($G88-$F88)&gt;zincirTolerans,"ZİNCİR KIRIK","OK")))</f>
        <v/>
      </c>
      <c r="P88" s="35">
        <f>IF($A88="","",1)</f>
        <v/>
      </c>
    </row>
    <row r="89">
      <c r="A89" s="29" t="n"/>
      <c r="B89" s="29" t="n"/>
      <c r="C89" s="70" t="n"/>
      <c r="D89" s="29" t="n"/>
      <c r="E89" s="29" t="n"/>
      <c r="F89" s="30" t="n"/>
      <c r="G89" s="30" t="n"/>
      <c r="H89" s="31" t="n"/>
      <c r="I89" s="31" t="n"/>
      <c r="J89" s="29" t="n"/>
      <c r="K89" s="35">
        <f>IF($A89="","",IF($C89="","",raporTarihi-$C89))</f>
        <v/>
      </c>
      <c r="L89" s="35">
        <f>IF($A89="","",IF($K89="","",IF($K89&lt;=7,"0-7",IF($K89&lt;=30,"8-30",IF($K89&lt;=60,"31-60","60+")))))</f>
        <v/>
      </c>
      <c r="M89" s="35">
        <f>IF($A89="","",IF($B89="","YETİM",IF(COUNTIF(tblKartlar[KartId],$B89)=0,"YETİM","")))</f>
        <v/>
      </c>
      <c r="N89" s="35">
        <f>IF(OR($A89="",$D89=""),"",IF(OR($D89&amp;"|"&amp;$E89="",COUNTIF(ListeIzinliGecis,$D89&amp;"|"&amp;$E89)&gt;0),"","GEÇERSİZ GEÇİŞ"))</f>
        <v/>
      </c>
      <c r="O89" s="35">
        <f>IF($A89="","",IF(OR($F89="",$G89=""),"",IF(ABS($G89-$F89)&gt;zincirTolerans,"ZİNCİR KIRIK","OK")))</f>
        <v/>
      </c>
      <c r="P89" s="35">
        <f>IF($A89="","",1)</f>
        <v/>
      </c>
    </row>
    <row r="90">
      <c r="A90" s="29" t="n"/>
      <c r="B90" s="29" t="n"/>
      <c r="C90" s="70" t="n"/>
      <c r="D90" s="29" t="n"/>
      <c r="E90" s="29" t="n"/>
      <c r="F90" s="30" t="n"/>
      <c r="G90" s="30" t="n"/>
      <c r="H90" s="31" t="n"/>
      <c r="I90" s="31" t="n"/>
      <c r="J90" s="29" t="n"/>
      <c r="K90" s="35">
        <f>IF($A90="","",IF($C90="","",raporTarihi-$C90))</f>
        <v/>
      </c>
      <c r="L90" s="35">
        <f>IF($A90="","",IF($K90="","",IF($K90&lt;=7,"0-7",IF($K90&lt;=30,"8-30",IF($K90&lt;=60,"31-60","60+")))))</f>
        <v/>
      </c>
      <c r="M90" s="35">
        <f>IF($A90="","",IF($B90="","YETİM",IF(COUNTIF(tblKartlar[KartId],$B90)=0,"YETİM","")))</f>
        <v/>
      </c>
      <c r="N90" s="35">
        <f>IF(OR($A90="",$D90=""),"",IF(OR($D90&amp;"|"&amp;$E90="",COUNTIF(ListeIzinliGecis,$D90&amp;"|"&amp;$E90)&gt;0),"","GEÇERSİZ GEÇİŞ"))</f>
        <v/>
      </c>
      <c r="O90" s="35">
        <f>IF($A90="","",IF(OR($F90="",$G90=""),"",IF(ABS($G90-$F90)&gt;zincirTolerans,"ZİNCİR KIRIK","OK")))</f>
        <v/>
      </c>
      <c r="P90" s="35">
        <f>IF($A90="","",1)</f>
        <v/>
      </c>
    </row>
    <row r="91">
      <c r="A91" s="29" t="n"/>
      <c r="B91" s="29" t="n"/>
      <c r="C91" s="70" t="n"/>
      <c r="D91" s="29" t="n"/>
      <c r="E91" s="29" t="n"/>
      <c r="F91" s="30" t="n"/>
      <c r="G91" s="30" t="n"/>
      <c r="H91" s="31" t="n"/>
      <c r="I91" s="31" t="n"/>
      <c r="J91" s="29" t="n"/>
      <c r="K91" s="35">
        <f>IF($A91="","",IF($C91="","",raporTarihi-$C91))</f>
        <v/>
      </c>
      <c r="L91" s="35">
        <f>IF($A91="","",IF($K91="","",IF($K91&lt;=7,"0-7",IF($K91&lt;=30,"8-30",IF($K91&lt;=60,"31-60","60+")))))</f>
        <v/>
      </c>
      <c r="M91" s="35">
        <f>IF($A91="","",IF($B91="","YETİM",IF(COUNTIF(tblKartlar[KartId],$B91)=0,"YETİM","")))</f>
        <v/>
      </c>
      <c r="N91" s="35">
        <f>IF(OR($A91="",$D91=""),"",IF(OR($D91&amp;"|"&amp;$E91="",COUNTIF(ListeIzinliGecis,$D91&amp;"|"&amp;$E91)&gt;0),"","GEÇERSİZ GEÇİŞ"))</f>
        <v/>
      </c>
      <c r="O91" s="35">
        <f>IF($A91="","",IF(OR($F91="",$G91=""),"",IF(ABS($G91-$F91)&gt;zincirTolerans,"ZİNCİR KIRIK","OK")))</f>
        <v/>
      </c>
      <c r="P91" s="35">
        <f>IF($A91="","",1)</f>
        <v/>
      </c>
    </row>
    <row r="92">
      <c r="A92" s="29" t="n"/>
      <c r="B92" s="29" t="n"/>
      <c r="C92" s="70" t="n"/>
      <c r="D92" s="29" t="n"/>
      <c r="E92" s="29" t="n"/>
      <c r="F92" s="30" t="n"/>
      <c r="G92" s="30" t="n"/>
      <c r="H92" s="31" t="n"/>
      <c r="I92" s="31" t="n"/>
      <c r="J92" s="29" t="n"/>
      <c r="K92" s="35">
        <f>IF($A92="","",IF($C92="","",raporTarihi-$C92))</f>
        <v/>
      </c>
      <c r="L92" s="35">
        <f>IF($A92="","",IF($K92="","",IF($K92&lt;=7,"0-7",IF($K92&lt;=30,"8-30",IF($K92&lt;=60,"31-60","60+")))))</f>
        <v/>
      </c>
      <c r="M92" s="35">
        <f>IF($A92="","",IF($B92="","YETİM",IF(COUNTIF(tblKartlar[KartId],$B92)=0,"YETİM","")))</f>
        <v/>
      </c>
      <c r="N92" s="35">
        <f>IF(OR($A92="",$D92=""),"",IF(OR($D92&amp;"|"&amp;$E92="",COUNTIF(ListeIzinliGecis,$D92&amp;"|"&amp;$E92)&gt;0),"","GEÇERSİZ GEÇİŞ"))</f>
        <v/>
      </c>
      <c r="O92" s="35">
        <f>IF($A92="","",IF(OR($F92="",$G92=""),"",IF(ABS($G92-$F92)&gt;zincirTolerans,"ZİNCİR KIRIK","OK")))</f>
        <v/>
      </c>
      <c r="P92" s="35">
        <f>IF($A92="","",1)</f>
        <v/>
      </c>
    </row>
    <row r="93">
      <c r="A93" s="29" t="n"/>
      <c r="B93" s="29" t="n"/>
      <c r="C93" s="70" t="n"/>
      <c r="D93" s="29" t="n"/>
      <c r="E93" s="29" t="n"/>
      <c r="F93" s="30" t="n"/>
      <c r="G93" s="30" t="n"/>
      <c r="H93" s="31" t="n"/>
      <c r="I93" s="31" t="n"/>
      <c r="J93" s="29" t="n"/>
      <c r="K93" s="35">
        <f>IF($A93="","",IF($C93="","",raporTarihi-$C93))</f>
        <v/>
      </c>
      <c r="L93" s="35">
        <f>IF($A93="","",IF($K93="","",IF($K93&lt;=7,"0-7",IF($K93&lt;=30,"8-30",IF($K93&lt;=60,"31-60","60+")))))</f>
        <v/>
      </c>
      <c r="M93" s="35">
        <f>IF($A93="","",IF($B93="","YETİM",IF(COUNTIF(tblKartlar[KartId],$B93)=0,"YETİM","")))</f>
        <v/>
      </c>
      <c r="N93" s="35">
        <f>IF(OR($A93="",$D93=""),"",IF(OR($D93&amp;"|"&amp;$E93="",COUNTIF(ListeIzinliGecis,$D93&amp;"|"&amp;$E93)&gt;0),"","GEÇERSİZ GEÇİŞ"))</f>
        <v/>
      </c>
      <c r="O93" s="35">
        <f>IF($A93="","",IF(OR($F93="",$G93=""),"",IF(ABS($G93-$F93)&gt;zincirTolerans,"ZİNCİR KIRIK","OK")))</f>
        <v/>
      </c>
      <c r="P93" s="35">
        <f>IF($A93="","",1)</f>
        <v/>
      </c>
    </row>
    <row r="94">
      <c r="A94" s="29" t="n"/>
      <c r="B94" s="29" t="n"/>
      <c r="C94" s="70" t="n"/>
      <c r="D94" s="29" t="n"/>
      <c r="E94" s="29" t="n"/>
      <c r="F94" s="30" t="n"/>
      <c r="G94" s="30" t="n"/>
      <c r="H94" s="31" t="n"/>
      <c r="I94" s="31" t="n"/>
      <c r="J94" s="29" t="n"/>
      <c r="K94" s="35">
        <f>IF($A94="","",IF($C94="","",raporTarihi-$C94))</f>
        <v/>
      </c>
      <c r="L94" s="35">
        <f>IF($A94="","",IF($K94="","",IF($K94&lt;=7,"0-7",IF($K94&lt;=30,"8-30",IF($K94&lt;=60,"31-60","60+")))))</f>
        <v/>
      </c>
      <c r="M94" s="35">
        <f>IF($A94="","",IF($B94="","YETİM",IF(COUNTIF(tblKartlar[KartId],$B94)=0,"YETİM","")))</f>
        <v/>
      </c>
      <c r="N94" s="35">
        <f>IF(OR($A94="",$D94=""),"",IF(OR($D94&amp;"|"&amp;$E94="",COUNTIF(ListeIzinliGecis,$D94&amp;"|"&amp;$E94)&gt;0),"","GEÇERSİZ GEÇİŞ"))</f>
        <v/>
      </c>
      <c r="O94" s="35">
        <f>IF($A94="","",IF(OR($F94="",$G94=""),"",IF(ABS($G94-$F94)&gt;zincirTolerans,"ZİNCİR KIRIK","OK")))</f>
        <v/>
      </c>
      <c r="P94" s="35">
        <f>IF($A94="","",1)</f>
        <v/>
      </c>
    </row>
    <row r="95">
      <c r="A95" s="29" t="n"/>
      <c r="B95" s="29" t="n"/>
      <c r="C95" s="70" t="n"/>
      <c r="D95" s="29" t="n"/>
      <c r="E95" s="29" t="n"/>
      <c r="F95" s="30" t="n"/>
      <c r="G95" s="30" t="n"/>
      <c r="H95" s="31" t="n"/>
      <c r="I95" s="31" t="n"/>
      <c r="J95" s="29" t="n"/>
      <c r="K95" s="35">
        <f>IF($A95="","",IF($C95="","",raporTarihi-$C95))</f>
        <v/>
      </c>
      <c r="L95" s="35">
        <f>IF($A95="","",IF($K95="","",IF($K95&lt;=7,"0-7",IF($K95&lt;=30,"8-30",IF($K95&lt;=60,"31-60","60+")))))</f>
        <v/>
      </c>
      <c r="M95" s="35">
        <f>IF($A95="","",IF($B95="","YETİM",IF(COUNTIF(tblKartlar[KartId],$B95)=0,"YETİM","")))</f>
        <v/>
      </c>
      <c r="N95" s="35">
        <f>IF(OR($A95="",$D95=""),"",IF(OR($D95&amp;"|"&amp;$E95="",COUNTIF(ListeIzinliGecis,$D95&amp;"|"&amp;$E95)&gt;0),"","GEÇERSİZ GEÇİŞ"))</f>
        <v/>
      </c>
      <c r="O95" s="35">
        <f>IF($A95="","",IF(OR($F95="",$G95=""),"",IF(ABS($G95-$F95)&gt;zincirTolerans,"ZİNCİR KIRIK","OK")))</f>
        <v/>
      </c>
      <c r="P95" s="35">
        <f>IF($A95="","",1)</f>
        <v/>
      </c>
    </row>
    <row r="96">
      <c r="A96" s="29" t="n"/>
      <c r="B96" s="29" t="n"/>
      <c r="C96" s="70" t="n"/>
      <c r="D96" s="29" t="n"/>
      <c r="E96" s="29" t="n"/>
      <c r="F96" s="30" t="n"/>
      <c r="G96" s="30" t="n"/>
      <c r="H96" s="31" t="n"/>
      <c r="I96" s="31" t="n"/>
      <c r="J96" s="29" t="n"/>
      <c r="K96" s="35">
        <f>IF($A96="","",IF($C96="","",raporTarihi-$C96))</f>
        <v/>
      </c>
      <c r="L96" s="35">
        <f>IF($A96="","",IF($K96="","",IF($K96&lt;=7,"0-7",IF($K96&lt;=30,"8-30",IF($K96&lt;=60,"31-60","60+")))))</f>
        <v/>
      </c>
      <c r="M96" s="35">
        <f>IF($A96="","",IF($B96="","YETİM",IF(COUNTIF(tblKartlar[KartId],$B96)=0,"YETİM","")))</f>
        <v/>
      </c>
      <c r="N96" s="35">
        <f>IF(OR($A96="",$D96=""),"",IF(OR($D96&amp;"|"&amp;$E96="",COUNTIF(ListeIzinliGecis,$D96&amp;"|"&amp;$E96)&gt;0),"","GEÇERSİZ GEÇİŞ"))</f>
        <v/>
      </c>
      <c r="O96" s="35">
        <f>IF($A96="","",IF(OR($F96="",$G96=""),"",IF(ABS($G96-$F96)&gt;zincirTolerans,"ZİNCİR KIRIK","OK")))</f>
        <v/>
      </c>
      <c r="P96" s="35">
        <f>IF($A96="","",1)</f>
        <v/>
      </c>
    </row>
    <row r="97">
      <c r="A97" s="29" t="n"/>
      <c r="B97" s="29" t="n"/>
      <c r="C97" s="70" t="n"/>
      <c r="D97" s="29" t="n"/>
      <c r="E97" s="29" t="n"/>
      <c r="F97" s="30" t="n"/>
      <c r="G97" s="30" t="n"/>
      <c r="H97" s="31" t="n"/>
      <c r="I97" s="31" t="n"/>
      <c r="J97" s="29" t="n"/>
      <c r="K97" s="35">
        <f>IF($A97="","",IF($C97="","",raporTarihi-$C97))</f>
        <v/>
      </c>
      <c r="L97" s="35">
        <f>IF($A97="","",IF($K97="","",IF($K97&lt;=7,"0-7",IF($K97&lt;=30,"8-30",IF($K97&lt;=60,"31-60","60+")))))</f>
        <v/>
      </c>
      <c r="M97" s="35">
        <f>IF($A97="","",IF($B97="","YETİM",IF(COUNTIF(tblKartlar[KartId],$B97)=0,"YETİM","")))</f>
        <v/>
      </c>
      <c r="N97" s="35">
        <f>IF(OR($A97="",$D97=""),"",IF(OR($D97&amp;"|"&amp;$E97="",COUNTIF(ListeIzinliGecis,$D97&amp;"|"&amp;$E97)&gt;0),"","GEÇERSİZ GEÇİŞ"))</f>
        <v/>
      </c>
      <c r="O97" s="35">
        <f>IF($A97="","",IF(OR($F97="",$G97=""),"",IF(ABS($G97-$F97)&gt;zincirTolerans,"ZİNCİR KIRIK","OK")))</f>
        <v/>
      </c>
      <c r="P97" s="35">
        <f>IF($A97="","",1)</f>
        <v/>
      </c>
    </row>
    <row r="98">
      <c r="A98" s="29" t="n"/>
      <c r="B98" s="29" t="n"/>
      <c r="C98" s="70" t="n"/>
      <c r="D98" s="29" t="n"/>
      <c r="E98" s="29" t="n"/>
      <c r="F98" s="30" t="n"/>
      <c r="G98" s="30" t="n"/>
      <c r="H98" s="31" t="n"/>
      <c r="I98" s="31" t="n"/>
      <c r="J98" s="29" t="n"/>
      <c r="K98" s="35">
        <f>IF($A98="","",IF($C98="","",raporTarihi-$C98))</f>
        <v/>
      </c>
      <c r="L98" s="35">
        <f>IF($A98="","",IF($K98="","",IF($K98&lt;=7,"0-7",IF($K98&lt;=30,"8-30",IF($K98&lt;=60,"31-60","60+")))))</f>
        <v/>
      </c>
      <c r="M98" s="35">
        <f>IF($A98="","",IF($B98="","YETİM",IF(COUNTIF(tblKartlar[KartId],$B98)=0,"YETİM","")))</f>
        <v/>
      </c>
      <c r="N98" s="35">
        <f>IF(OR($A98="",$D98=""),"",IF(OR($D98&amp;"|"&amp;$E98="",COUNTIF(ListeIzinliGecis,$D98&amp;"|"&amp;$E98)&gt;0),"","GEÇERSİZ GEÇİŞ"))</f>
        <v/>
      </c>
      <c r="O98" s="35">
        <f>IF($A98="","",IF(OR($F98="",$G98=""),"",IF(ABS($G98-$F98)&gt;zincirTolerans,"ZİNCİR KIRIK","OK")))</f>
        <v/>
      </c>
      <c r="P98" s="35">
        <f>IF($A98="","",1)</f>
        <v/>
      </c>
    </row>
    <row r="99">
      <c r="A99" s="29" t="n"/>
      <c r="B99" s="29" t="n"/>
      <c r="C99" s="70" t="n"/>
      <c r="D99" s="29" t="n"/>
      <c r="E99" s="29" t="n"/>
      <c r="F99" s="30" t="n"/>
      <c r="G99" s="30" t="n"/>
      <c r="H99" s="31" t="n"/>
      <c r="I99" s="31" t="n"/>
      <c r="J99" s="29" t="n"/>
      <c r="K99" s="35">
        <f>IF($A99="","",IF($C99="","",raporTarihi-$C99))</f>
        <v/>
      </c>
      <c r="L99" s="35">
        <f>IF($A99="","",IF($K99="","",IF($K99&lt;=7,"0-7",IF($K99&lt;=30,"8-30",IF($K99&lt;=60,"31-60","60+")))))</f>
        <v/>
      </c>
      <c r="M99" s="35">
        <f>IF($A99="","",IF($B99="","YETİM",IF(COUNTIF(tblKartlar[KartId],$B99)=0,"YETİM","")))</f>
        <v/>
      </c>
      <c r="N99" s="35">
        <f>IF(OR($A99="",$D99=""),"",IF(OR($D99&amp;"|"&amp;$E99="",COUNTIF(ListeIzinliGecis,$D99&amp;"|"&amp;$E99)&gt;0),"","GEÇERSİZ GEÇİŞ"))</f>
        <v/>
      </c>
      <c r="O99" s="35">
        <f>IF($A99="","",IF(OR($F99="",$G99=""),"",IF(ABS($G99-$F99)&gt;zincirTolerans,"ZİNCİR KIRIK","OK")))</f>
        <v/>
      </c>
      <c r="P99" s="35">
        <f>IF($A99="","",1)</f>
        <v/>
      </c>
    </row>
    <row r="100">
      <c r="A100" s="29" t="n"/>
      <c r="B100" s="29" t="n"/>
      <c r="C100" s="70" t="n"/>
      <c r="D100" s="29" t="n"/>
      <c r="E100" s="29" t="n"/>
      <c r="F100" s="30" t="n"/>
      <c r="G100" s="30" t="n"/>
      <c r="H100" s="31" t="n"/>
      <c r="I100" s="31" t="n"/>
      <c r="J100" s="29" t="n"/>
      <c r="K100" s="35">
        <f>IF($A100="","",IF($C100="","",raporTarihi-$C100))</f>
        <v/>
      </c>
      <c r="L100" s="35">
        <f>IF($A100="","",IF($K100="","",IF($K100&lt;=7,"0-7",IF($K100&lt;=30,"8-30",IF($K100&lt;=60,"31-60","60+")))))</f>
        <v/>
      </c>
      <c r="M100" s="35">
        <f>IF($A100="","",IF($B100="","YETİM",IF(COUNTIF(tblKartlar[KartId],$B100)=0,"YETİM","")))</f>
        <v/>
      </c>
      <c r="N100" s="35">
        <f>IF(OR($A100="",$D100=""),"",IF(OR($D100&amp;"|"&amp;$E100="",COUNTIF(ListeIzinliGecis,$D100&amp;"|"&amp;$E100)&gt;0),"","GEÇERSİZ GEÇİŞ"))</f>
        <v/>
      </c>
      <c r="O100" s="35">
        <f>IF($A100="","",IF(OR($F100="",$G100=""),"",IF(ABS($G100-$F100)&gt;zincirTolerans,"ZİNCİR KIRIK","OK")))</f>
        <v/>
      </c>
      <c r="P100" s="35">
        <f>IF($A100="","",1)</f>
        <v/>
      </c>
    </row>
    <row r="101">
      <c r="A101" s="29" t="n"/>
      <c r="B101" s="29" t="n"/>
      <c r="C101" s="70" t="n"/>
      <c r="D101" s="29" t="n"/>
      <c r="E101" s="29" t="n"/>
      <c r="F101" s="30" t="n"/>
      <c r="G101" s="30" t="n"/>
      <c r="H101" s="31" t="n"/>
      <c r="I101" s="31" t="n"/>
      <c r="J101" s="29" t="n"/>
      <c r="K101" s="35">
        <f>IF($A101="","",IF($C101="","",raporTarihi-$C101))</f>
        <v/>
      </c>
      <c r="L101" s="35">
        <f>IF($A101="","",IF($K101="","",IF($K101&lt;=7,"0-7",IF($K101&lt;=30,"8-30",IF($K101&lt;=60,"31-60","60+")))))</f>
        <v/>
      </c>
      <c r="M101" s="35">
        <f>IF($A101="","",IF($B101="","YETİM",IF(COUNTIF(tblKartlar[KartId],$B101)=0,"YETİM","")))</f>
        <v/>
      </c>
      <c r="N101" s="35">
        <f>IF(OR($A101="",$D101=""),"",IF(OR($D101&amp;"|"&amp;$E101="",COUNTIF(ListeIzinliGecis,$D101&amp;"|"&amp;$E101)&gt;0),"","GEÇERSİZ GEÇİŞ"))</f>
        <v/>
      </c>
      <c r="O101" s="35">
        <f>IF($A101="","",IF(OR($F101="",$G101=""),"",IF(ABS($G101-$F101)&gt;zincirTolerans,"ZİNCİR KIRIK","OK")))</f>
        <v/>
      </c>
      <c r="P101" s="35">
        <f>IF($A101="","",1)</f>
        <v/>
      </c>
    </row>
    <row r="102">
      <c r="A102" s="29" t="n"/>
      <c r="B102" s="29" t="n"/>
      <c r="C102" s="70" t="n"/>
      <c r="D102" s="29" t="n"/>
      <c r="E102" s="29" t="n"/>
      <c r="F102" s="30" t="n"/>
      <c r="G102" s="30" t="n"/>
      <c r="H102" s="31" t="n"/>
      <c r="I102" s="31" t="n"/>
      <c r="J102" s="29" t="n"/>
      <c r="K102" s="35">
        <f>IF($A102="","",IF($C102="","",raporTarihi-$C102))</f>
        <v/>
      </c>
      <c r="L102" s="35">
        <f>IF($A102="","",IF($K102="","",IF($K102&lt;=7,"0-7",IF($K102&lt;=30,"8-30",IF($K102&lt;=60,"31-60","60+")))))</f>
        <v/>
      </c>
      <c r="M102" s="35">
        <f>IF($A102="","",IF($B102="","YETİM",IF(COUNTIF(tblKartlar[KartId],$B102)=0,"YETİM","")))</f>
        <v/>
      </c>
      <c r="N102" s="35">
        <f>IF(OR($A102="",$D102=""),"",IF(OR($D102&amp;"|"&amp;$E102="",COUNTIF(ListeIzinliGecis,$D102&amp;"|"&amp;$E102)&gt;0),"","GEÇERSİZ GEÇİŞ"))</f>
        <v/>
      </c>
      <c r="O102" s="35">
        <f>IF($A102="","",IF(OR($F102="",$G102=""),"",IF(ABS($G102-$F102)&gt;zincirTolerans,"ZİNCİR KIRIK","OK")))</f>
        <v/>
      </c>
      <c r="P102" s="35">
        <f>IF($A102="","",1)</f>
        <v/>
      </c>
    </row>
    <row r="103">
      <c r="A103" s="29" t="n"/>
      <c r="B103" s="29" t="n"/>
      <c r="C103" s="70" t="n"/>
      <c r="D103" s="29" t="n"/>
      <c r="E103" s="29" t="n"/>
      <c r="F103" s="30" t="n"/>
      <c r="G103" s="30" t="n"/>
      <c r="H103" s="31" t="n"/>
      <c r="I103" s="31" t="n"/>
      <c r="J103" s="29" t="n"/>
      <c r="K103" s="35">
        <f>IF($A103="","",IF($C103="","",raporTarihi-$C103))</f>
        <v/>
      </c>
      <c r="L103" s="35">
        <f>IF($A103="","",IF($K103="","",IF($K103&lt;=7,"0-7",IF($K103&lt;=30,"8-30",IF($K103&lt;=60,"31-60","60+")))))</f>
        <v/>
      </c>
      <c r="M103" s="35">
        <f>IF($A103="","",IF($B103="","YETİM",IF(COUNTIF(tblKartlar[KartId],$B103)=0,"YETİM","")))</f>
        <v/>
      </c>
      <c r="N103" s="35">
        <f>IF(OR($A103="",$D103=""),"",IF(OR($D103&amp;"|"&amp;$E103="",COUNTIF(ListeIzinliGecis,$D103&amp;"|"&amp;$E103)&gt;0),"","GEÇERSİZ GEÇİŞ"))</f>
        <v/>
      </c>
      <c r="O103" s="35">
        <f>IF($A103="","",IF(OR($F103="",$G103=""),"",IF(ABS($G103-$F103)&gt;zincirTolerans,"ZİNCİR KIRIK","OK")))</f>
        <v/>
      </c>
      <c r="P103" s="35">
        <f>IF($A103="","",1)</f>
        <v/>
      </c>
    </row>
    <row r="104">
      <c r="A104" s="29" t="n"/>
      <c r="B104" s="29" t="n"/>
      <c r="C104" s="70" t="n"/>
      <c r="D104" s="29" t="n"/>
      <c r="E104" s="29" t="n"/>
      <c r="F104" s="30" t="n"/>
      <c r="G104" s="30" t="n"/>
      <c r="H104" s="31" t="n"/>
      <c r="I104" s="31" t="n"/>
      <c r="J104" s="29" t="n"/>
      <c r="K104" s="35">
        <f>IF($A104="","",IF($C104="","",raporTarihi-$C104))</f>
        <v/>
      </c>
      <c r="L104" s="35">
        <f>IF($A104="","",IF($K104="","",IF($K104&lt;=7,"0-7",IF($K104&lt;=30,"8-30",IF($K104&lt;=60,"31-60","60+")))))</f>
        <v/>
      </c>
      <c r="M104" s="35">
        <f>IF($A104="","",IF($B104="","YETİM",IF(COUNTIF(tblKartlar[KartId],$B104)=0,"YETİM","")))</f>
        <v/>
      </c>
      <c r="N104" s="35">
        <f>IF(OR($A104="",$D104=""),"",IF(OR($D104&amp;"|"&amp;$E104="",COUNTIF(ListeIzinliGecis,$D104&amp;"|"&amp;$E104)&gt;0),"","GEÇERSİZ GEÇİŞ"))</f>
        <v/>
      </c>
      <c r="O104" s="35">
        <f>IF($A104="","",IF(OR($F104="",$G104=""),"",IF(ABS($G104-$F104)&gt;zincirTolerans,"ZİNCİR KIRIK","OK")))</f>
        <v/>
      </c>
      <c r="P104" s="35">
        <f>IF($A104="","",1)</f>
        <v/>
      </c>
    </row>
    <row r="105">
      <c r="A105" s="29" t="n"/>
      <c r="B105" s="29" t="n"/>
      <c r="C105" s="70" t="n"/>
      <c r="D105" s="29" t="n"/>
      <c r="E105" s="29" t="n"/>
      <c r="F105" s="30" t="n"/>
      <c r="G105" s="30" t="n"/>
      <c r="H105" s="31" t="n"/>
      <c r="I105" s="31" t="n"/>
      <c r="J105" s="29" t="n"/>
      <c r="K105" s="35">
        <f>IF($A105="","",IF($C105="","",raporTarihi-$C105))</f>
        <v/>
      </c>
      <c r="L105" s="35">
        <f>IF($A105="","",IF($K105="","",IF($K105&lt;=7,"0-7",IF($K105&lt;=30,"8-30",IF($K105&lt;=60,"31-60","60+")))))</f>
        <v/>
      </c>
      <c r="M105" s="35">
        <f>IF($A105="","",IF($B105="","YETİM",IF(COUNTIF(tblKartlar[KartId],$B105)=0,"YETİM","")))</f>
        <v/>
      </c>
      <c r="N105" s="35">
        <f>IF(OR($A105="",$D105=""),"",IF(OR($D105&amp;"|"&amp;$E105="",COUNTIF(ListeIzinliGecis,$D105&amp;"|"&amp;$E105)&gt;0),"","GEÇERSİZ GEÇİŞ"))</f>
        <v/>
      </c>
      <c r="O105" s="35">
        <f>IF($A105="","",IF(OR($F105="",$G105=""),"",IF(ABS($G105-$F105)&gt;zincirTolerans,"ZİNCİR KIRIK","OK")))</f>
        <v/>
      </c>
      <c r="P105" s="35">
        <f>IF($A105="","",1)</f>
        <v/>
      </c>
    </row>
    <row r="106">
      <c r="A106" s="29" t="n"/>
      <c r="B106" s="29" t="n"/>
      <c r="C106" s="70" t="n"/>
      <c r="D106" s="29" t="n"/>
      <c r="E106" s="29" t="n"/>
      <c r="F106" s="30" t="n"/>
      <c r="G106" s="30" t="n"/>
      <c r="H106" s="31" t="n"/>
      <c r="I106" s="31" t="n"/>
      <c r="J106" s="29" t="n"/>
      <c r="K106" s="35">
        <f>IF($A106="","",IF($C106="","",raporTarihi-$C106))</f>
        <v/>
      </c>
      <c r="L106" s="35">
        <f>IF($A106="","",IF($K106="","",IF($K106&lt;=7,"0-7",IF($K106&lt;=30,"8-30",IF($K106&lt;=60,"31-60","60+")))))</f>
        <v/>
      </c>
      <c r="M106" s="35">
        <f>IF($A106="","",IF($B106="","YETİM",IF(COUNTIF(tblKartlar[KartId],$B106)=0,"YETİM","")))</f>
        <v/>
      </c>
      <c r="N106" s="35">
        <f>IF(OR($A106="",$D106=""),"",IF(OR($D106&amp;"|"&amp;$E106="",COUNTIF(ListeIzinliGecis,$D106&amp;"|"&amp;$E106)&gt;0),"","GEÇERSİZ GEÇİŞ"))</f>
        <v/>
      </c>
      <c r="O106" s="35">
        <f>IF($A106="","",IF(OR($F106="",$G106=""),"",IF(ABS($G106-$F106)&gt;zincirTolerans,"ZİNCİR KIRIK","OK")))</f>
        <v/>
      </c>
      <c r="P106" s="35">
        <f>IF($A106="","",1)</f>
        <v/>
      </c>
    </row>
    <row r="107">
      <c r="A107" s="29" t="n"/>
      <c r="B107" s="29" t="n"/>
      <c r="C107" s="70" t="n"/>
      <c r="D107" s="29" t="n"/>
      <c r="E107" s="29" t="n"/>
      <c r="F107" s="30" t="n"/>
      <c r="G107" s="30" t="n"/>
      <c r="H107" s="31" t="n"/>
      <c r="I107" s="31" t="n"/>
      <c r="J107" s="29" t="n"/>
      <c r="K107" s="35">
        <f>IF($A107="","",IF($C107="","",raporTarihi-$C107))</f>
        <v/>
      </c>
      <c r="L107" s="35">
        <f>IF($A107="","",IF($K107="","",IF($K107&lt;=7,"0-7",IF($K107&lt;=30,"8-30",IF($K107&lt;=60,"31-60","60+")))))</f>
        <v/>
      </c>
      <c r="M107" s="35">
        <f>IF($A107="","",IF($B107="","YETİM",IF(COUNTIF(tblKartlar[KartId],$B107)=0,"YETİM","")))</f>
        <v/>
      </c>
      <c r="N107" s="35">
        <f>IF(OR($A107="",$D107=""),"",IF(OR($D107&amp;"|"&amp;$E107="",COUNTIF(ListeIzinliGecis,$D107&amp;"|"&amp;$E107)&gt;0),"","GEÇERSİZ GEÇİŞ"))</f>
        <v/>
      </c>
      <c r="O107" s="35">
        <f>IF($A107="","",IF(OR($F107="",$G107=""),"",IF(ABS($G107-$F107)&gt;zincirTolerans,"ZİNCİR KIRIK","OK")))</f>
        <v/>
      </c>
      <c r="P107" s="35">
        <f>IF($A107="","",1)</f>
        <v/>
      </c>
    </row>
    <row r="108">
      <c r="A108" s="29" t="n"/>
      <c r="B108" s="29" t="n"/>
      <c r="C108" s="70" t="n"/>
      <c r="D108" s="29" t="n"/>
      <c r="E108" s="29" t="n"/>
      <c r="F108" s="30" t="n"/>
      <c r="G108" s="30" t="n"/>
      <c r="H108" s="31" t="n"/>
      <c r="I108" s="31" t="n"/>
      <c r="J108" s="29" t="n"/>
      <c r="K108" s="35">
        <f>IF($A108="","",IF($C108="","",raporTarihi-$C108))</f>
        <v/>
      </c>
      <c r="L108" s="35">
        <f>IF($A108="","",IF($K108="","",IF($K108&lt;=7,"0-7",IF($K108&lt;=30,"8-30",IF($K108&lt;=60,"31-60","60+")))))</f>
        <v/>
      </c>
      <c r="M108" s="35">
        <f>IF($A108="","",IF($B108="","YETİM",IF(COUNTIF(tblKartlar[KartId],$B108)=0,"YETİM","")))</f>
        <v/>
      </c>
      <c r="N108" s="35">
        <f>IF(OR($A108="",$D108=""),"",IF(OR($D108&amp;"|"&amp;$E108="",COUNTIF(ListeIzinliGecis,$D108&amp;"|"&amp;$E108)&gt;0),"","GEÇERSİZ GEÇİŞ"))</f>
        <v/>
      </c>
      <c r="O108" s="35">
        <f>IF($A108="","",IF(OR($F108="",$G108=""),"",IF(ABS($G108-$F108)&gt;zincirTolerans,"ZİNCİR KIRIK","OK")))</f>
        <v/>
      </c>
      <c r="P108" s="35">
        <f>IF($A108="","",1)</f>
        <v/>
      </c>
    </row>
    <row r="109">
      <c r="A109" s="29" t="n"/>
      <c r="B109" s="29" t="n"/>
      <c r="C109" s="70" t="n"/>
      <c r="D109" s="29" t="n"/>
      <c r="E109" s="29" t="n"/>
      <c r="F109" s="30" t="n"/>
      <c r="G109" s="30" t="n"/>
      <c r="H109" s="31" t="n"/>
      <c r="I109" s="31" t="n"/>
      <c r="J109" s="29" t="n"/>
      <c r="K109" s="35">
        <f>IF($A109="","",IF($C109="","",raporTarihi-$C109))</f>
        <v/>
      </c>
      <c r="L109" s="35">
        <f>IF($A109="","",IF($K109="","",IF($K109&lt;=7,"0-7",IF($K109&lt;=30,"8-30",IF($K109&lt;=60,"31-60","60+")))))</f>
        <v/>
      </c>
      <c r="M109" s="35">
        <f>IF($A109="","",IF($B109="","YETİM",IF(COUNTIF(tblKartlar[KartId],$B109)=0,"YETİM","")))</f>
        <v/>
      </c>
      <c r="N109" s="35">
        <f>IF(OR($A109="",$D109=""),"",IF(OR($D109&amp;"|"&amp;$E109="",COUNTIF(ListeIzinliGecis,$D109&amp;"|"&amp;$E109)&gt;0),"","GEÇERSİZ GEÇİŞ"))</f>
        <v/>
      </c>
      <c r="O109" s="35">
        <f>IF($A109="","",IF(OR($F109="",$G109=""),"",IF(ABS($G109-$F109)&gt;zincirTolerans,"ZİNCİR KIRIK","OK")))</f>
        <v/>
      </c>
      <c r="P109" s="35">
        <f>IF($A109="","",1)</f>
        <v/>
      </c>
    </row>
    <row r="110">
      <c r="A110" s="29" t="n"/>
      <c r="B110" s="29" t="n"/>
      <c r="C110" s="70" t="n"/>
      <c r="D110" s="29" t="n"/>
      <c r="E110" s="29" t="n"/>
      <c r="F110" s="30" t="n"/>
      <c r="G110" s="30" t="n"/>
      <c r="H110" s="31" t="n"/>
      <c r="I110" s="31" t="n"/>
      <c r="J110" s="29" t="n"/>
      <c r="K110" s="35">
        <f>IF($A110="","",IF($C110="","",raporTarihi-$C110))</f>
        <v/>
      </c>
      <c r="L110" s="35">
        <f>IF($A110="","",IF($K110="","",IF($K110&lt;=7,"0-7",IF($K110&lt;=30,"8-30",IF($K110&lt;=60,"31-60","60+")))))</f>
        <v/>
      </c>
      <c r="M110" s="35">
        <f>IF($A110="","",IF($B110="","YETİM",IF(COUNTIF(tblKartlar[KartId],$B110)=0,"YETİM","")))</f>
        <v/>
      </c>
      <c r="N110" s="35">
        <f>IF(OR($A110="",$D110=""),"",IF(OR($D110&amp;"|"&amp;$E110="",COUNTIF(ListeIzinliGecis,$D110&amp;"|"&amp;$E110)&gt;0),"","GEÇERSİZ GEÇİŞ"))</f>
        <v/>
      </c>
      <c r="O110" s="35">
        <f>IF($A110="","",IF(OR($F110="",$G110=""),"",IF(ABS($G110-$F110)&gt;zincirTolerans,"ZİNCİR KIRIK","OK")))</f>
        <v/>
      </c>
      <c r="P110" s="35">
        <f>IF($A110="","",1)</f>
        <v/>
      </c>
    </row>
    <row r="111">
      <c r="A111" s="29" t="n"/>
      <c r="B111" s="29" t="n"/>
      <c r="C111" s="70" t="n"/>
      <c r="D111" s="29" t="n"/>
      <c r="E111" s="29" t="n"/>
      <c r="F111" s="30" t="n"/>
      <c r="G111" s="30" t="n"/>
      <c r="H111" s="31" t="n"/>
      <c r="I111" s="31" t="n"/>
      <c r="J111" s="29" t="n"/>
      <c r="K111" s="35">
        <f>IF($A111="","",IF($C111="","",raporTarihi-$C111))</f>
        <v/>
      </c>
      <c r="L111" s="35">
        <f>IF($A111="","",IF($K111="","",IF($K111&lt;=7,"0-7",IF($K111&lt;=30,"8-30",IF($K111&lt;=60,"31-60","60+")))))</f>
        <v/>
      </c>
      <c r="M111" s="35">
        <f>IF($A111="","",IF($B111="","YETİM",IF(COUNTIF(tblKartlar[KartId],$B111)=0,"YETİM","")))</f>
        <v/>
      </c>
      <c r="N111" s="35">
        <f>IF(OR($A111="",$D111=""),"",IF(OR($D111&amp;"|"&amp;$E111="",COUNTIF(ListeIzinliGecis,$D111&amp;"|"&amp;$E111)&gt;0),"","GEÇERSİZ GEÇİŞ"))</f>
        <v/>
      </c>
      <c r="O111" s="35">
        <f>IF($A111="","",IF(OR($F111="",$G111=""),"",IF(ABS($G111-$F111)&gt;zincirTolerans,"ZİNCİR KIRIK","OK")))</f>
        <v/>
      </c>
      <c r="P111" s="35">
        <f>IF($A111="","",1)</f>
        <v/>
      </c>
    </row>
    <row r="112">
      <c r="A112" s="29" t="n"/>
      <c r="B112" s="29" t="n"/>
      <c r="C112" s="70" t="n"/>
      <c r="D112" s="29" t="n"/>
      <c r="E112" s="29" t="n"/>
      <c r="F112" s="30" t="n"/>
      <c r="G112" s="30" t="n"/>
      <c r="H112" s="31" t="n"/>
      <c r="I112" s="31" t="n"/>
      <c r="J112" s="29" t="n"/>
      <c r="K112" s="35">
        <f>IF($A112="","",IF($C112="","",raporTarihi-$C112))</f>
        <v/>
      </c>
      <c r="L112" s="35">
        <f>IF($A112="","",IF($K112="","",IF($K112&lt;=7,"0-7",IF($K112&lt;=30,"8-30",IF($K112&lt;=60,"31-60","60+")))))</f>
        <v/>
      </c>
      <c r="M112" s="35">
        <f>IF($A112="","",IF($B112="","YETİM",IF(COUNTIF(tblKartlar[KartId],$B112)=0,"YETİM","")))</f>
        <v/>
      </c>
      <c r="N112" s="35">
        <f>IF(OR($A112="",$D112=""),"",IF(OR($D112&amp;"|"&amp;$E112="",COUNTIF(ListeIzinliGecis,$D112&amp;"|"&amp;$E112)&gt;0),"","GEÇERSİZ GEÇİŞ"))</f>
        <v/>
      </c>
      <c r="O112" s="35">
        <f>IF($A112="","",IF(OR($F112="",$G112=""),"",IF(ABS($G112-$F112)&gt;zincirTolerans,"ZİNCİR KIRIK","OK")))</f>
        <v/>
      </c>
      <c r="P112" s="35">
        <f>IF($A112="","",1)</f>
        <v/>
      </c>
    </row>
    <row r="113">
      <c r="A113" s="29" t="n"/>
      <c r="B113" s="29" t="n"/>
      <c r="C113" s="70" t="n"/>
      <c r="D113" s="29" t="n"/>
      <c r="E113" s="29" t="n"/>
      <c r="F113" s="30" t="n"/>
      <c r="G113" s="30" t="n"/>
      <c r="H113" s="31" t="n"/>
      <c r="I113" s="31" t="n"/>
      <c r="J113" s="29" t="n"/>
      <c r="K113" s="35">
        <f>IF($A113="","",IF($C113="","",raporTarihi-$C113))</f>
        <v/>
      </c>
      <c r="L113" s="35">
        <f>IF($A113="","",IF($K113="","",IF($K113&lt;=7,"0-7",IF($K113&lt;=30,"8-30",IF($K113&lt;=60,"31-60","60+")))))</f>
        <v/>
      </c>
      <c r="M113" s="35">
        <f>IF($A113="","",IF($B113="","YETİM",IF(COUNTIF(tblKartlar[KartId],$B113)=0,"YETİM","")))</f>
        <v/>
      </c>
      <c r="N113" s="35">
        <f>IF(OR($A113="",$D113=""),"",IF(OR($D113&amp;"|"&amp;$E113="",COUNTIF(ListeIzinliGecis,$D113&amp;"|"&amp;$E113)&gt;0),"","GEÇERSİZ GEÇİŞ"))</f>
        <v/>
      </c>
      <c r="O113" s="35">
        <f>IF($A113="","",IF(OR($F113="",$G113=""),"",IF(ABS($G113-$F113)&gt;zincirTolerans,"ZİNCİR KIRIK","OK")))</f>
        <v/>
      </c>
      <c r="P113" s="35">
        <f>IF($A113="","",1)</f>
        <v/>
      </c>
    </row>
    <row r="114">
      <c r="A114" s="29" t="n"/>
      <c r="B114" s="29" t="n"/>
      <c r="C114" s="70" t="n"/>
      <c r="D114" s="29" t="n"/>
      <c r="E114" s="29" t="n"/>
      <c r="F114" s="30" t="n"/>
      <c r="G114" s="30" t="n"/>
      <c r="H114" s="31" t="n"/>
      <c r="I114" s="31" t="n"/>
      <c r="J114" s="29" t="n"/>
      <c r="K114" s="35">
        <f>IF($A114="","",IF($C114="","",raporTarihi-$C114))</f>
        <v/>
      </c>
      <c r="L114" s="35">
        <f>IF($A114="","",IF($K114="","",IF($K114&lt;=7,"0-7",IF($K114&lt;=30,"8-30",IF($K114&lt;=60,"31-60","60+")))))</f>
        <v/>
      </c>
      <c r="M114" s="35">
        <f>IF($A114="","",IF($B114="","YETİM",IF(COUNTIF(tblKartlar[KartId],$B114)=0,"YETİM","")))</f>
        <v/>
      </c>
      <c r="N114" s="35">
        <f>IF(OR($A114="",$D114=""),"",IF(OR($D114&amp;"|"&amp;$E114="",COUNTIF(ListeIzinliGecis,$D114&amp;"|"&amp;$E114)&gt;0),"","GEÇERSİZ GEÇİŞ"))</f>
        <v/>
      </c>
      <c r="O114" s="35">
        <f>IF($A114="","",IF(OR($F114="",$G114=""),"",IF(ABS($G114-$F114)&gt;zincirTolerans,"ZİNCİR KIRIK","OK")))</f>
        <v/>
      </c>
      <c r="P114" s="35">
        <f>IF($A114="","",1)</f>
        <v/>
      </c>
    </row>
    <row r="115">
      <c r="A115" s="29" t="n"/>
      <c r="B115" s="29" t="n"/>
      <c r="C115" s="70" t="n"/>
      <c r="D115" s="29" t="n"/>
      <c r="E115" s="29" t="n"/>
      <c r="F115" s="30" t="n"/>
      <c r="G115" s="30" t="n"/>
      <c r="H115" s="31" t="n"/>
      <c r="I115" s="31" t="n"/>
      <c r="J115" s="29" t="n"/>
      <c r="K115" s="35">
        <f>IF($A115="","",IF($C115="","",raporTarihi-$C115))</f>
        <v/>
      </c>
      <c r="L115" s="35">
        <f>IF($A115="","",IF($K115="","",IF($K115&lt;=7,"0-7",IF($K115&lt;=30,"8-30",IF($K115&lt;=60,"31-60","60+")))))</f>
        <v/>
      </c>
      <c r="M115" s="35">
        <f>IF($A115="","",IF($B115="","YETİM",IF(COUNTIF(tblKartlar[KartId],$B115)=0,"YETİM","")))</f>
        <v/>
      </c>
      <c r="N115" s="35">
        <f>IF(OR($A115="",$D115=""),"",IF(OR($D115&amp;"|"&amp;$E115="",COUNTIF(ListeIzinliGecis,$D115&amp;"|"&amp;$E115)&gt;0),"","GEÇERSİZ GEÇİŞ"))</f>
        <v/>
      </c>
      <c r="O115" s="35">
        <f>IF($A115="","",IF(OR($F115="",$G115=""),"",IF(ABS($G115-$F115)&gt;zincirTolerans,"ZİNCİR KIRIK","OK")))</f>
        <v/>
      </c>
      <c r="P115" s="35">
        <f>IF($A115="","",1)</f>
        <v/>
      </c>
    </row>
    <row r="116">
      <c r="A116" s="29" t="n"/>
      <c r="B116" s="29" t="n"/>
      <c r="C116" s="70" t="n"/>
      <c r="D116" s="29" t="n"/>
      <c r="E116" s="29" t="n"/>
      <c r="F116" s="30" t="n"/>
      <c r="G116" s="30" t="n"/>
      <c r="H116" s="31" t="n"/>
      <c r="I116" s="31" t="n"/>
      <c r="J116" s="29" t="n"/>
      <c r="K116" s="35">
        <f>IF($A116="","",IF($C116="","",raporTarihi-$C116))</f>
        <v/>
      </c>
      <c r="L116" s="35">
        <f>IF($A116="","",IF($K116="","",IF($K116&lt;=7,"0-7",IF($K116&lt;=30,"8-30",IF($K116&lt;=60,"31-60","60+")))))</f>
        <v/>
      </c>
      <c r="M116" s="35">
        <f>IF($A116="","",IF($B116="","YETİM",IF(COUNTIF(tblKartlar[KartId],$B116)=0,"YETİM","")))</f>
        <v/>
      </c>
      <c r="N116" s="35">
        <f>IF(OR($A116="",$D116=""),"",IF(OR($D116&amp;"|"&amp;$E116="",COUNTIF(ListeIzinliGecis,$D116&amp;"|"&amp;$E116)&gt;0),"","GEÇERSİZ GEÇİŞ"))</f>
        <v/>
      </c>
      <c r="O116" s="35">
        <f>IF($A116="","",IF(OR($F116="",$G116=""),"",IF(ABS($G116-$F116)&gt;zincirTolerans,"ZİNCİR KIRIK","OK")))</f>
        <v/>
      </c>
      <c r="P116" s="35">
        <f>IF($A116="","",1)</f>
        <v/>
      </c>
    </row>
    <row r="117">
      <c r="A117" s="29" t="n"/>
      <c r="B117" s="29" t="n"/>
      <c r="C117" s="70" t="n"/>
      <c r="D117" s="29" t="n"/>
      <c r="E117" s="29" t="n"/>
      <c r="F117" s="30" t="n"/>
      <c r="G117" s="30" t="n"/>
      <c r="H117" s="31" t="n"/>
      <c r="I117" s="31" t="n"/>
      <c r="J117" s="29" t="n"/>
      <c r="K117" s="35">
        <f>IF($A117="","",IF($C117="","",raporTarihi-$C117))</f>
        <v/>
      </c>
      <c r="L117" s="35">
        <f>IF($A117="","",IF($K117="","",IF($K117&lt;=7,"0-7",IF($K117&lt;=30,"8-30",IF($K117&lt;=60,"31-60","60+")))))</f>
        <v/>
      </c>
      <c r="M117" s="35">
        <f>IF($A117="","",IF($B117="","YETİM",IF(COUNTIF(tblKartlar[KartId],$B117)=0,"YETİM","")))</f>
        <v/>
      </c>
      <c r="N117" s="35">
        <f>IF(OR($A117="",$D117=""),"",IF(OR($D117&amp;"|"&amp;$E117="",COUNTIF(ListeIzinliGecis,$D117&amp;"|"&amp;$E117)&gt;0),"","GEÇERSİZ GEÇİŞ"))</f>
        <v/>
      </c>
      <c r="O117" s="35">
        <f>IF($A117="","",IF(OR($F117="",$G117=""),"",IF(ABS($G117-$F117)&gt;zincirTolerans,"ZİNCİR KIRIK","OK")))</f>
        <v/>
      </c>
      <c r="P117" s="35">
        <f>IF($A117="","",1)</f>
        <v/>
      </c>
    </row>
    <row r="118">
      <c r="A118" s="29" t="n"/>
      <c r="B118" s="29" t="n"/>
      <c r="C118" s="70" t="n"/>
      <c r="D118" s="29" t="n"/>
      <c r="E118" s="29" t="n"/>
      <c r="F118" s="30" t="n"/>
      <c r="G118" s="30" t="n"/>
      <c r="H118" s="31" t="n"/>
      <c r="I118" s="31" t="n"/>
      <c r="J118" s="29" t="n"/>
      <c r="K118" s="35">
        <f>IF($A118="","",IF($C118="","",raporTarihi-$C118))</f>
        <v/>
      </c>
      <c r="L118" s="35">
        <f>IF($A118="","",IF($K118="","",IF($K118&lt;=7,"0-7",IF($K118&lt;=30,"8-30",IF($K118&lt;=60,"31-60","60+")))))</f>
        <v/>
      </c>
      <c r="M118" s="35">
        <f>IF($A118="","",IF($B118="","YETİM",IF(COUNTIF(tblKartlar[KartId],$B118)=0,"YETİM","")))</f>
        <v/>
      </c>
      <c r="N118" s="35">
        <f>IF(OR($A118="",$D118=""),"",IF(OR($D118&amp;"|"&amp;$E118="",COUNTIF(ListeIzinliGecis,$D118&amp;"|"&amp;$E118)&gt;0),"","GEÇERSİZ GEÇİŞ"))</f>
        <v/>
      </c>
      <c r="O118" s="35">
        <f>IF($A118="","",IF(OR($F118="",$G118=""),"",IF(ABS($G118-$F118)&gt;zincirTolerans,"ZİNCİR KIRIK","OK")))</f>
        <v/>
      </c>
      <c r="P118" s="35">
        <f>IF($A118="","",1)</f>
        <v/>
      </c>
    </row>
    <row r="119">
      <c r="A119" s="29" t="n"/>
      <c r="B119" s="29" t="n"/>
      <c r="C119" s="70" t="n"/>
      <c r="D119" s="29" t="n"/>
      <c r="E119" s="29" t="n"/>
      <c r="F119" s="30" t="n"/>
      <c r="G119" s="30" t="n"/>
      <c r="H119" s="31" t="n"/>
      <c r="I119" s="31" t="n"/>
      <c r="J119" s="29" t="n"/>
      <c r="K119" s="35">
        <f>IF($A119="","",IF($C119="","",raporTarihi-$C119))</f>
        <v/>
      </c>
      <c r="L119" s="35">
        <f>IF($A119="","",IF($K119="","",IF($K119&lt;=7,"0-7",IF($K119&lt;=30,"8-30",IF($K119&lt;=60,"31-60","60+")))))</f>
        <v/>
      </c>
      <c r="M119" s="35">
        <f>IF($A119="","",IF($B119="","YETİM",IF(COUNTIF(tblKartlar[KartId],$B119)=0,"YETİM","")))</f>
        <v/>
      </c>
      <c r="N119" s="35">
        <f>IF(OR($A119="",$D119=""),"",IF(OR($D119&amp;"|"&amp;$E119="",COUNTIF(ListeIzinliGecis,$D119&amp;"|"&amp;$E119)&gt;0),"","GEÇERSİZ GEÇİŞ"))</f>
        <v/>
      </c>
      <c r="O119" s="35">
        <f>IF($A119="","",IF(OR($F119="",$G119=""),"",IF(ABS($G119-$F119)&gt;zincirTolerans,"ZİNCİR KIRIK","OK")))</f>
        <v/>
      </c>
      <c r="P119" s="35">
        <f>IF($A119="","",1)</f>
        <v/>
      </c>
    </row>
    <row r="120">
      <c r="A120" s="29" t="n"/>
      <c r="B120" s="29" t="n"/>
      <c r="C120" s="70" t="n"/>
      <c r="D120" s="29" t="n"/>
      <c r="E120" s="29" t="n"/>
      <c r="F120" s="30" t="n"/>
      <c r="G120" s="30" t="n"/>
      <c r="H120" s="31" t="n"/>
      <c r="I120" s="31" t="n"/>
      <c r="J120" s="29" t="n"/>
      <c r="K120" s="35">
        <f>IF($A120="","",IF($C120="","",raporTarihi-$C120))</f>
        <v/>
      </c>
      <c r="L120" s="35">
        <f>IF($A120="","",IF($K120="","",IF($K120&lt;=7,"0-7",IF($K120&lt;=30,"8-30",IF($K120&lt;=60,"31-60","60+")))))</f>
        <v/>
      </c>
      <c r="M120" s="35">
        <f>IF($A120="","",IF($B120="","YETİM",IF(COUNTIF(tblKartlar[KartId],$B120)=0,"YETİM","")))</f>
        <v/>
      </c>
      <c r="N120" s="35">
        <f>IF(OR($A120="",$D120=""),"",IF(OR($D120&amp;"|"&amp;$E120="",COUNTIF(ListeIzinliGecis,$D120&amp;"|"&amp;$E120)&gt;0),"","GEÇERSİZ GEÇİŞ"))</f>
        <v/>
      </c>
      <c r="O120" s="35">
        <f>IF($A120="","",IF(OR($F120="",$G120=""),"",IF(ABS($G120-$F120)&gt;zincirTolerans,"ZİNCİR KIRIK","OK")))</f>
        <v/>
      </c>
      <c r="P120" s="35">
        <f>IF($A120="","",1)</f>
        <v/>
      </c>
    </row>
    <row r="121">
      <c r="A121" s="29" t="n"/>
      <c r="B121" s="29" t="n"/>
      <c r="C121" s="70" t="n"/>
      <c r="D121" s="29" t="n"/>
      <c r="E121" s="29" t="n"/>
      <c r="F121" s="30" t="n"/>
      <c r="G121" s="30" t="n"/>
      <c r="H121" s="31" t="n"/>
      <c r="I121" s="31" t="n"/>
      <c r="J121" s="29" t="n"/>
      <c r="K121" s="35">
        <f>IF($A121="","",IF($C121="","",raporTarihi-$C121))</f>
        <v/>
      </c>
      <c r="L121" s="35">
        <f>IF($A121="","",IF($K121="","",IF($K121&lt;=7,"0-7",IF($K121&lt;=30,"8-30",IF($K121&lt;=60,"31-60","60+")))))</f>
        <v/>
      </c>
      <c r="M121" s="35">
        <f>IF($A121="","",IF($B121="","YETİM",IF(COUNTIF(tblKartlar[KartId],$B121)=0,"YETİM","")))</f>
        <v/>
      </c>
      <c r="N121" s="35">
        <f>IF(OR($A121="",$D121=""),"",IF(OR($D121&amp;"|"&amp;$E121="",COUNTIF(ListeIzinliGecis,$D121&amp;"|"&amp;$E121)&gt;0),"","GEÇERSİZ GEÇİŞ"))</f>
        <v/>
      </c>
      <c r="O121" s="35">
        <f>IF($A121="","",IF(OR($F121="",$G121=""),"",IF(ABS($G121-$F121)&gt;zincirTolerans,"ZİNCİR KIRIK","OK")))</f>
        <v/>
      </c>
      <c r="P121" s="35">
        <f>IF($A121="","",1)</f>
        <v/>
      </c>
    </row>
    <row r="122">
      <c r="A122" s="29" t="n"/>
      <c r="B122" s="29" t="n"/>
      <c r="C122" s="70" t="n"/>
      <c r="D122" s="29" t="n"/>
      <c r="E122" s="29" t="n"/>
      <c r="F122" s="30" t="n"/>
      <c r="G122" s="30" t="n"/>
      <c r="H122" s="31" t="n"/>
      <c r="I122" s="31" t="n"/>
      <c r="J122" s="29" t="n"/>
      <c r="K122" s="35">
        <f>IF($A122="","",IF($C122="","",raporTarihi-$C122))</f>
        <v/>
      </c>
      <c r="L122" s="35">
        <f>IF($A122="","",IF($K122="","",IF($K122&lt;=7,"0-7",IF($K122&lt;=30,"8-30",IF($K122&lt;=60,"31-60","60+")))))</f>
        <v/>
      </c>
      <c r="M122" s="35">
        <f>IF($A122="","",IF($B122="","YETİM",IF(COUNTIF(tblKartlar[KartId],$B122)=0,"YETİM","")))</f>
        <v/>
      </c>
      <c r="N122" s="35">
        <f>IF(OR($A122="",$D122=""),"",IF(OR($D122&amp;"|"&amp;$E122="",COUNTIF(ListeIzinliGecis,$D122&amp;"|"&amp;$E122)&gt;0),"","GEÇERSİZ GEÇİŞ"))</f>
        <v/>
      </c>
      <c r="O122" s="35">
        <f>IF($A122="","",IF(OR($F122="",$G122=""),"",IF(ABS($G122-$F122)&gt;zincirTolerans,"ZİNCİR KIRIK","OK")))</f>
        <v/>
      </c>
      <c r="P122" s="35">
        <f>IF($A122="","",1)</f>
        <v/>
      </c>
    </row>
    <row r="123">
      <c r="A123" s="29" t="n"/>
      <c r="B123" s="29" t="n"/>
      <c r="C123" s="70" t="n"/>
      <c r="D123" s="29" t="n"/>
      <c r="E123" s="29" t="n"/>
      <c r="F123" s="30" t="n"/>
      <c r="G123" s="30" t="n"/>
      <c r="H123" s="31" t="n"/>
      <c r="I123" s="31" t="n"/>
      <c r="J123" s="29" t="n"/>
      <c r="K123" s="35">
        <f>IF($A123="","",IF($C123="","",raporTarihi-$C123))</f>
        <v/>
      </c>
      <c r="L123" s="35">
        <f>IF($A123="","",IF($K123="","",IF($K123&lt;=7,"0-7",IF($K123&lt;=30,"8-30",IF($K123&lt;=60,"31-60","60+")))))</f>
        <v/>
      </c>
      <c r="M123" s="35">
        <f>IF($A123="","",IF($B123="","YETİM",IF(COUNTIF(tblKartlar[KartId],$B123)=0,"YETİM","")))</f>
        <v/>
      </c>
      <c r="N123" s="35">
        <f>IF(OR($A123="",$D123=""),"",IF(OR($D123&amp;"|"&amp;$E123="",COUNTIF(ListeIzinliGecis,$D123&amp;"|"&amp;$E123)&gt;0),"","GEÇERSİZ GEÇİŞ"))</f>
        <v/>
      </c>
      <c r="O123" s="35">
        <f>IF($A123="","",IF(OR($F123="",$G123=""),"",IF(ABS($G123-$F123)&gt;zincirTolerans,"ZİNCİR KIRIK","OK")))</f>
        <v/>
      </c>
      <c r="P123" s="35">
        <f>IF($A123="","",1)</f>
        <v/>
      </c>
    </row>
    <row r="124">
      <c r="A124" s="29" t="n"/>
      <c r="B124" s="29" t="n"/>
      <c r="C124" s="70" t="n"/>
      <c r="D124" s="29" t="n"/>
      <c r="E124" s="29" t="n"/>
      <c r="F124" s="30" t="n"/>
      <c r="G124" s="30" t="n"/>
      <c r="H124" s="31" t="n"/>
      <c r="I124" s="31" t="n"/>
      <c r="J124" s="29" t="n"/>
      <c r="K124" s="35">
        <f>IF($A124="","",IF($C124="","",raporTarihi-$C124))</f>
        <v/>
      </c>
      <c r="L124" s="35">
        <f>IF($A124="","",IF($K124="","",IF($K124&lt;=7,"0-7",IF($K124&lt;=30,"8-30",IF($K124&lt;=60,"31-60","60+")))))</f>
        <v/>
      </c>
      <c r="M124" s="35">
        <f>IF($A124="","",IF($B124="","YETİM",IF(COUNTIF(tblKartlar[KartId],$B124)=0,"YETİM","")))</f>
        <v/>
      </c>
      <c r="N124" s="35">
        <f>IF(OR($A124="",$D124=""),"",IF(OR($D124&amp;"|"&amp;$E124="",COUNTIF(ListeIzinliGecis,$D124&amp;"|"&amp;$E124)&gt;0),"","GEÇERSİZ GEÇİŞ"))</f>
        <v/>
      </c>
      <c r="O124" s="35">
        <f>IF($A124="","",IF(OR($F124="",$G124=""),"",IF(ABS($G124-$F124)&gt;zincirTolerans,"ZİNCİR KIRIK","OK")))</f>
        <v/>
      </c>
      <c r="P124" s="35">
        <f>IF($A124="","",1)</f>
        <v/>
      </c>
    </row>
    <row r="125">
      <c r="A125" s="29" t="n"/>
      <c r="B125" s="29" t="n"/>
      <c r="C125" s="70" t="n"/>
      <c r="D125" s="29" t="n"/>
      <c r="E125" s="29" t="n"/>
      <c r="F125" s="30" t="n"/>
      <c r="G125" s="30" t="n"/>
      <c r="H125" s="31" t="n"/>
      <c r="I125" s="31" t="n"/>
      <c r="J125" s="29" t="n"/>
      <c r="K125" s="35">
        <f>IF($A125="","",IF($C125="","",raporTarihi-$C125))</f>
        <v/>
      </c>
      <c r="L125" s="35">
        <f>IF($A125="","",IF($K125="","",IF($K125&lt;=7,"0-7",IF($K125&lt;=30,"8-30",IF($K125&lt;=60,"31-60","60+")))))</f>
        <v/>
      </c>
      <c r="M125" s="35">
        <f>IF($A125="","",IF($B125="","YETİM",IF(COUNTIF(tblKartlar[KartId],$B125)=0,"YETİM","")))</f>
        <v/>
      </c>
      <c r="N125" s="35">
        <f>IF(OR($A125="",$D125=""),"",IF(OR($D125&amp;"|"&amp;$E125="",COUNTIF(ListeIzinliGecis,$D125&amp;"|"&amp;$E125)&gt;0),"","GEÇERSİZ GEÇİŞ"))</f>
        <v/>
      </c>
      <c r="O125" s="35">
        <f>IF($A125="","",IF(OR($F125="",$G125=""),"",IF(ABS($G125-$F125)&gt;zincirTolerans,"ZİNCİR KIRIK","OK")))</f>
        <v/>
      </c>
      <c r="P125" s="35">
        <f>IF($A125="","",1)</f>
        <v/>
      </c>
    </row>
    <row r="126">
      <c r="A126" s="29" t="n"/>
      <c r="B126" s="29" t="n"/>
      <c r="C126" s="70" t="n"/>
      <c r="D126" s="29" t="n"/>
      <c r="E126" s="29" t="n"/>
      <c r="F126" s="30" t="n"/>
      <c r="G126" s="30" t="n"/>
      <c r="H126" s="31" t="n"/>
      <c r="I126" s="31" t="n"/>
      <c r="J126" s="29" t="n"/>
      <c r="K126" s="35">
        <f>IF($A126="","",IF($C126="","",raporTarihi-$C126))</f>
        <v/>
      </c>
      <c r="L126" s="35">
        <f>IF($A126="","",IF($K126="","",IF($K126&lt;=7,"0-7",IF($K126&lt;=30,"8-30",IF($K126&lt;=60,"31-60","60+")))))</f>
        <v/>
      </c>
      <c r="M126" s="35">
        <f>IF($A126="","",IF($B126="","YETİM",IF(COUNTIF(tblKartlar[KartId],$B126)=0,"YETİM","")))</f>
        <v/>
      </c>
      <c r="N126" s="35">
        <f>IF(OR($A126="",$D126=""),"",IF(OR($D126&amp;"|"&amp;$E126="",COUNTIF(ListeIzinliGecis,$D126&amp;"|"&amp;$E126)&gt;0),"","GEÇERSİZ GEÇİŞ"))</f>
        <v/>
      </c>
      <c r="O126" s="35">
        <f>IF($A126="","",IF(OR($F126="",$G126=""),"",IF(ABS($G126-$F126)&gt;zincirTolerans,"ZİNCİR KIRIK","OK")))</f>
        <v/>
      </c>
      <c r="P126" s="35">
        <f>IF($A126="","",1)</f>
        <v/>
      </c>
    </row>
    <row r="127">
      <c r="A127" s="29" t="n"/>
      <c r="B127" s="29" t="n"/>
      <c r="C127" s="70" t="n"/>
      <c r="D127" s="29" t="n"/>
      <c r="E127" s="29" t="n"/>
      <c r="F127" s="30" t="n"/>
      <c r="G127" s="30" t="n"/>
      <c r="H127" s="31" t="n"/>
      <c r="I127" s="31" t="n"/>
      <c r="J127" s="29" t="n"/>
      <c r="K127" s="35">
        <f>IF($A127="","",IF($C127="","",raporTarihi-$C127))</f>
        <v/>
      </c>
      <c r="L127" s="35">
        <f>IF($A127="","",IF($K127="","",IF($K127&lt;=7,"0-7",IF($K127&lt;=30,"8-30",IF($K127&lt;=60,"31-60","60+")))))</f>
        <v/>
      </c>
      <c r="M127" s="35">
        <f>IF($A127="","",IF($B127="","YETİM",IF(COUNTIF(tblKartlar[KartId],$B127)=0,"YETİM","")))</f>
        <v/>
      </c>
      <c r="N127" s="35">
        <f>IF(OR($A127="",$D127=""),"",IF(OR($D127&amp;"|"&amp;$E127="",COUNTIF(ListeIzinliGecis,$D127&amp;"|"&amp;$E127)&gt;0),"","GEÇERSİZ GEÇİŞ"))</f>
        <v/>
      </c>
      <c r="O127" s="35">
        <f>IF($A127="","",IF(OR($F127="",$G127=""),"",IF(ABS($G127-$F127)&gt;zincirTolerans,"ZİNCİR KIRIK","OK")))</f>
        <v/>
      </c>
      <c r="P127" s="35">
        <f>IF($A127="","",1)</f>
        <v/>
      </c>
    </row>
    <row r="128">
      <c r="A128" s="29" t="n"/>
      <c r="B128" s="29" t="n"/>
      <c r="C128" s="70" t="n"/>
      <c r="D128" s="29" t="n"/>
      <c r="E128" s="29" t="n"/>
      <c r="F128" s="30" t="n"/>
      <c r="G128" s="30" t="n"/>
      <c r="H128" s="31" t="n"/>
      <c r="I128" s="31" t="n"/>
      <c r="J128" s="29" t="n"/>
      <c r="K128" s="35">
        <f>IF($A128="","",IF($C128="","",raporTarihi-$C128))</f>
        <v/>
      </c>
      <c r="L128" s="35">
        <f>IF($A128="","",IF($K128="","",IF($K128&lt;=7,"0-7",IF($K128&lt;=30,"8-30",IF($K128&lt;=60,"31-60","60+")))))</f>
        <v/>
      </c>
      <c r="M128" s="35">
        <f>IF($A128="","",IF($B128="","YETİM",IF(COUNTIF(tblKartlar[KartId],$B128)=0,"YETİM","")))</f>
        <v/>
      </c>
      <c r="N128" s="35">
        <f>IF(OR($A128="",$D128=""),"",IF(OR($D128&amp;"|"&amp;$E128="",COUNTIF(ListeIzinliGecis,$D128&amp;"|"&amp;$E128)&gt;0),"","GEÇERSİZ GEÇİŞ"))</f>
        <v/>
      </c>
      <c r="O128" s="35">
        <f>IF($A128="","",IF(OR($F128="",$G128=""),"",IF(ABS($G128-$F128)&gt;zincirTolerans,"ZİNCİR KIRIK","OK")))</f>
        <v/>
      </c>
      <c r="P128" s="35">
        <f>IF($A128="","",1)</f>
        <v/>
      </c>
    </row>
    <row r="129">
      <c r="A129" s="29" t="n"/>
      <c r="B129" s="29" t="n"/>
      <c r="C129" s="70" t="n"/>
      <c r="D129" s="29" t="n"/>
      <c r="E129" s="29" t="n"/>
      <c r="F129" s="30" t="n"/>
      <c r="G129" s="30" t="n"/>
      <c r="H129" s="31" t="n"/>
      <c r="I129" s="31" t="n"/>
      <c r="J129" s="29" t="n"/>
      <c r="K129" s="35">
        <f>IF($A129="","",IF($C129="","",raporTarihi-$C129))</f>
        <v/>
      </c>
      <c r="L129" s="35">
        <f>IF($A129="","",IF($K129="","",IF($K129&lt;=7,"0-7",IF($K129&lt;=30,"8-30",IF($K129&lt;=60,"31-60","60+")))))</f>
        <v/>
      </c>
      <c r="M129" s="35">
        <f>IF($A129="","",IF($B129="","YETİM",IF(COUNTIF(tblKartlar[KartId],$B129)=0,"YETİM","")))</f>
        <v/>
      </c>
      <c r="N129" s="35">
        <f>IF(OR($A129="",$D129=""),"",IF(OR($D129&amp;"|"&amp;$E129="",COUNTIF(ListeIzinliGecis,$D129&amp;"|"&amp;$E129)&gt;0),"","GEÇERSİZ GEÇİŞ"))</f>
        <v/>
      </c>
      <c r="O129" s="35">
        <f>IF($A129="","",IF(OR($F129="",$G129=""),"",IF(ABS($G129-$F129)&gt;zincirTolerans,"ZİNCİR KIRIK","OK")))</f>
        <v/>
      </c>
      <c r="P129" s="35">
        <f>IF($A129="","",1)</f>
        <v/>
      </c>
    </row>
    <row r="130">
      <c r="A130" s="29" t="n"/>
      <c r="B130" s="29" t="n"/>
      <c r="C130" s="70" t="n"/>
      <c r="D130" s="29" t="n"/>
      <c r="E130" s="29" t="n"/>
      <c r="F130" s="30" t="n"/>
      <c r="G130" s="30" t="n"/>
      <c r="H130" s="31" t="n"/>
      <c r="I130" s="31" t="n"/>
      <c r="J130" s="29" t="n"/>
      <c r="K130" s="35">
        <f>IF($A130="","",IF($C130="","",raporTarihi-$C130))</f>
        <v/>
      </c>
      <c r="L130" s="35">
        <f>IF($A130="","",IF($K130="","",IF($K130&lt;=7,"0-7",IF($K130&lt;=30,"8-30",IF($K130&lt;=60,"31-60","60+")))))</f>
        <v/>
      </c>
      <c r="M130" s="35">
        <f>IF($A130="","",IF($B130="","YETİM",IF(COUNTIF(tblKartlar[KartId],$B130)=0,"YETİM","")))</f>
        <v/>
      </c>
      <c r="N130" s="35">
        <f>IF(OR($A130="",$D130=""),"",IF(OR($D130&amp;"|"&amp;$E130="",COUNTIF(ListeIzinliGecis,$D130&amp;"|"&amp;$E130)&gt;0),"","GEÇERSİZ GEÇİŞ"))</f>
        <v/>
      </c>
      <c r="O130" s="35">
        <f>IF($A130="","",IF(OR($F130="",$G130=""),"",IF(ABS($G130-$F130)&gt;zincirTolerans,"ZİNCİR KIRIK","OK")))</f>
        <v/>
      </c>
      <c r="P130" s="35">
        <f>IF($A130="","",1)</f>
        <v/>
      </c>
    </row>
    <row r="131">
      <c r="A131" s="29" t="n"/>
      <c r="B131" s="29" t="n"/>
      <c r="C131" s="70" t="n"/>
      <c r="D131" s="29" t="n"/>
      <c r="E131" s="29" t="n"/>
      <c r="F131" s="30" t="n"/>
      <c r="G131" s="30" t="n"/>
      <c r="H131" s="31" t="n"/>
      <c r="I131" s="31" t="n"/>
      <c r="J131" s="29" t="n"/>
      <c r="K131" s="35">
        <f>IF($A131="","",IF($C131="","",raporTarihi-$C131))</f>
        <v/>
      </c>
      <c r="L131" s="35">
        <f>IF($A131="","",IF($K131="","",IF($K131&lt;=7,"0-7",IF($K131&lt;=30,"8-30",IF($K131&lt;=60,"31-60","60+")))))</f>
        <v/>
      </c>
      <c r="M131" s="35">
        <f>IF($A131="","",IF($B131="","YETİM",IF(COUNTIF(tblKartlar[KartId],$B131)=0,"YETİM","")))</f>
        <v/>
      </c>
      <c r="N131" s="35">
        <f>IF(OR($A131="",$D131=""),"",IF(OR($D131&amp;"|"&amp;$E131="",COUNTIF(ListeIzinliGecis,$D131&amp;"|"&amp;$E131)&gt;0),"","GEÇERSİZ GEÇİŞ"))</f>
        <v/>
      </c>
      <c r="O131" s="35">
        <f>IF($A131="","",IF(OR($F131="",$G131=""),"",IF(ABS($G131-$F131)&gt;zincirTolerans,"ZİNCİR KIRIK","OK")))</f>
        <v/>
      </c>
      <c r="P131" s="35">
        <f>IF($A131="","",1)</f>
        <v/>
      </c>
    </row>
    <row r="132">
      <c r="A132" s="29" t="n"/>
      <c r="B132" s="29" t="n"/>
      <c r="C132" s="70" t="n"/>
      <c r="D132" s="29" t="n"/>
      <c r="E132" s="29" t="n"/>
      <c r="F132" s="30" t="n"/>
      <c r="G132" s="30" t="n"/>
      <c r="H132" s="31" t="n"/>
      <c r="I132" s="31" t="n"/>
      <c r="J132" s="29" t="n"/>
      <c r="K132" s="35">
        <f>IF($A132="","",IF($C132="","",raporTarihi-$C132))</f>
        <v/>
      </c>
      <c r="L132" s="35">
        <f>IF($A132="","",IF($K132="","",IF($K132&lt;=7,"0-7",IF($K132&lt;=30,"8-30",IF($K132&lt;=60,"31-60","60+")))))</f>
        <v/>
      </c>
      <c r="M132" s="35">
        <f>IF($A132="","",IF($B132="","YETİM",IF(COUNTIF(tblKartlar[KartId],$B132)=0,"YETİM","")))</f>
        <v/>
      </c>
      <c r="N132" s="35">
        <f>IF(OR($A132="",$D132=""),"",IF(OR($D132&amp;"|"&amp;$E132="",COUNTIF(ListeIzinliGecis,$D132&amp;"|"&amp;$E132)&gt;0),"","GEÇERSİZ GEÇİŞ"))</f>
        <v/>
      </c>
      <c r="O132" s="35">
        <f>IF($A132="","",IF(OR($F132="",$G132=""),"",IF(ABS($G132-$F132)&gt;zincirTolerans,"ZİNCİR KIRIK","OK")))</f>
        <v/>
      </c>
      <c r="P132" s="35">
        <f>IF($A132="","",1)</f>
        <v/>
      </c>
    </row>
    <row r="133">
      <c r="A133" s="29" t="n"/>
      <c r="B133" s="29" t="n"/>
      <c r="C133" s="70" t="n"/>
      <c r="D133" s="29" t="n"/>
      <c r="E133" s="29" t="n"/>
      <c r="F133" s="30" t="n"/>
      <c r="G133" s="30" t="n"/>
      <c r="H133" s="31" t="n"/>
      <c r="I133" s="31" t="n"/>
      <c r="J133" s="29" t="n"/>
      <c r="K133" s="35">
        <f>IF($A133="","",IF($C133="","",raporTarihi-$C133))</f>
        <v/>
      </c>
      <c r="L133" s="35">
        <f>IF($A133="","",IF($K133="","",IF($K133&lt;=7,"0-7",IF($K133&lt;=30,"8-30",IF($K133&lt;=60,"31-60","60+")))))</f>
        <v/>
      </c>
      <c r="M133" s="35">
        <f>IF($A133="","",IF($B133="","YETİM",IF(COUNTIF(tblKartlar[KartId],$B133)=0,"YETİM","")))</f>
        <v/>
      </c>
      <c r="N133" s="35">
        <f>IF(OR($A133="",$D133=""),"",IF(OR($D133&amp;"|"&amp;$E133="",COUNTIF(ListeIzinliGecis,$D133&amp;"|"&amp;$E133)&gt;0),"","GEÇERSİZ GEÇİŞ"))</f>
        <v/>
      </c>
      <c r="O133" s="35">
        <f>IF($A133="","",IF(OR($F133="",$G133=""),"",IF(ABS($G133-$F133)&gt;zincirTolerans,"ZİNCİR KIRIK","OK")))</f>
        <v/>
      </c>
      <c r="P133" s="35">
        <f>IF($A133="","",1)</f>
        <v/>
      </c>
    </row>
    <row r="134">
      <c r="A134" s="29" t="n"/>
      <c r="B134" s="29" t="n"/>
      <c r="C134" s="70" t="n"/>
      <c r="D134" s="29" t="n"/>
      <c r="E134" s="29" t="n"/>
      <c r="F134" s="30" t="n"/>
      <c r="G134" s="30" t="n"/>
      <c r="H134" s="31" t="n"/>
      <c r="I134" s="31" t="n"/>
      <c r="J134" s="29" t="n"/>
      <c r="K134" s="35">
        <f>IF($A134="","",IF($C134="","",raporTarihi-$C134))</f>
        <v/>
      </c>
      <c r="L134" s="35">
        <f>IF($A134="","",IF($K134="","",IF($K134&lt;=7,"0-7",IF($K134&lt;=30,"8-30",IF($K134&lt;=60,"31-60","60+")))))</f>
        <v/>
      </c>
      <c r="M134" s="35">
        <f>IF($A134="","",IF($B134="","YETİM",IF(COUNTIF(tblKartlar[KartId],$B134)=0,"YETİM","")))</f>
        <v/>
      </c>
      <c r="N134" s="35">
        <f>IF(OR($A134="",$D134=""),"",IF(OR($D134&amp;"|"&amp;$E134="",COUNTIF(ListeIzinliGecis,$D134&amp;"|"&amp;$E134)&gt;0),"","GEÇERSİZ GEÇİŞ"))</f>
        <v/>
      </c>
      <c r="O134" s="35">
        <f>IF($A134="","",IF(OR($F134="",$G134=""),"",IF(ABS($G134-$F134)&gt;zincirTolerans,"ZİNCİR KIRIK","OK")))</f>
        <v/>
      </c>
      <c r="P134" s="35">
        <f>IF($A134="","",1)</f>
        <v/>
      </c>
    </row>
    <row r="135">
      <c r="A135" s="29" t="n"/>
      <c r="B135" s="29" t="n"/>
      <c r="C135" s="70" t="n"/>
      <c r="D135" s="29" t="n"/>
      <c r="E135" s="29" t="n"/>
      <c r="F135" s="30" t="n"/>
      <c r="G135" s="30" t="n"/>
      <c r="H135" s="31" t="n"/>
      <c r="I135" s="31" t="n"/>
      <c r="J135" s="29" t="n"/>
      <c r="K135" s="35">
        <f>IF($A135="","",IF($C135="","",raporTarihi-$C135))</f>
        <v/>
      </c>
      <c r="L135" s="35">
        <f>IF($A135="","",IF($K135="","",IF($K135&lt;=7,"0-7",IF($K135&lt;=30,"8-30",IF($K135&lt;=60,"31-60","60+")))))</f>
        <v/>
      </c>
      <c r="M135" s="35">
        <f>IF($A135="","",IF($B135="","YETİM",IF(COUNTIF(tblKartlar[KartId],$B135)=0,"YETİM","")))</f>
        <v/>
      </c>
      <c r="N135" s="35">
        <f>IF(OR($A135="",$D135=""),"",IF(OR($D135&amp;"|"&amp;$E135="",COUNTIF(ListeIzinliGecis,$D135&amp;"|"&amp;$E135)&gt;0),"","GEÇERSİZ GEÇİŞ"))</f>
        <v/>
      </c>
      <c r="O135" s="35">
        <f>IF($A135="","",IF(OR($F135="",$G135=""),"",IF(ABS($G135-$F135)&gt;zincirTolerans,"ZİNCİR KIRIK","OK")))</f>
        <v/>
      </c>
      <c r="P135" s="35">
        <f>IF($A135="","",1)</f>
        <v/>
      </c>
    </row>
    <row r="136">
      <c r="A136" s="29" t="n"/>
      <c r="B136" s="29" t="n"/>
      <c r="C136" s="70" t="n"/>
      <c r="D136" s="29" t="n"/>
      <c r="E136" s="29" t="n"/>
      <c r="F136" s="30" t="n"/>
      <c r="G136" s="30" t="n"/>
      <c r="H136" s="31" t="n"/>
      <c r="I136" s="31" t="n"/>
      <c r="J136" s="29" t="n"/>
      <c r="K136" s="35">
        <f>IF($A136="","",IF($C136="","",raporTarihi-$C136))</f>
        <v/>
      </c>
      <c r="L136" s="35">
        <f>IF($A136="","",IF($K136="","",IF($K136&lt;=7,"0-7",IF($K136&lt;=30,"8-30",IF($K136&lt;=60,"31-60","60+")))))</f>
        <v/>
      </c>
      <c r="M136" s="35">
        <f>IF($A136="","",IF($B136="","YETİM",IF(COUNTIF(tblKartlar[KartId],$B136)=0,"YETİM","")))</f>
        <v/>
      </c>
      <c r="N136" s="35">
        <f>IF(OR($A136="",$D136=""),"",IF(OR($D136&amp;"|"&amp;$E136="",COUNTIF(ListeIzinliGecis,$D136&amp;"|"&amp;$E136)&gt;0),"","GEÇERSİZ GEÇİŞ"))</f>
        <v/>
      </c>
      <c r="O136" s="35">
        <f>IF($A136="","",IF(OR($F136="",$G136=""),"",IF(ABS($G136-$F136)&gt;zincirTolerans,"ZİNCİR KIRIK","OK")))</f>
        <v/>
      </c>
      <c r="P136" s="35">
        <f>IF($A136="","",1)</f>
        <v/>
      </c>
    </row>
    <row r="137">
      <c r="A137" s="29" t="n"/>
      <c r="B137" s="29" t="n"/>
      <c r="C137" s="70" t="n"/>
      <c r="D137" s="29" t="n"/>
      <c r="E137" s="29" t="n"/>
      <c r="F137" s="30" t="n"/>
      <c r="G137" s="30" t="n"/>
      <c r="H137" s="31" t="n"/>
      <c r="I137" s="31" t="n"/>
      <c r="J137" s="29" t="n"/>
      <c r="K137" s="35">
        <f>IF($A137="","",IF($C137="","",raporTarihi-$C137))</f>
        <v/>
      </c>
      <c r="L137" s="35">
        <f>IF($A137="","",IF($K137="","",IF($K137&lt;=7,"0-7",IF($K137&lt;=30,"8-30",IF($K137&lt;=60,"31-60","60+")))))</f>
        <v/>
      </c>
      <c r="M137" s="35">
        <f>IF($A137="","",IF($B137="","YETİM",IF(COUNTIF(tblKartlar[KartId],$B137)=0,"YETİM","")))</f>
        <v/>
      </c>
      <c r="N137" s="35">
        <f>IF(OR($A137="",$D137=""),"",IF(OR($D137&amp;"|"&amp;$E137="",COUNTIF(ListeIzinliGecis,$D137&amp;"|"&amp;$E137)&gt;0),"","GEÇERSİZ GEÇİŞ"))</f>
        <v/>
      </c>
      <c r="O137" s="35">
        <f>IF($A137="","",IF(OR($F137="",$G137=""),"",IF(ABS($G137-$F137)&gt;zincirTolerans,"ZİNCİR KIRIK","OK")))</f>
        <v/>
      </c>
      <c r="P137" s="35">
        <f>IF($A137="","",1)</f>
        <v/>
      </c>
    </row>
    <row r="138">
      <c r="A138" s="29" t="n"/>
      <c r="B138" s="29" t="n"/>
      <c r="C138" s="70" t="n"/>
      <c r="D138" s="29" t="n"/>
      <c r="E138" s="29" t="n"/>
      <c r="F138" s="30" t="n"/>
      <c r="G138" s="30" t="n"/>
      <c r="H138" s="31" t="n"/>
      <c r="I138" s="31" t="n"/>
      <c r="J138" s="29" t="n"/>
      <c r="K138" s="35">
        <f>IF($A138="","",IF($C138="","",raporTarihi-$C138))</f>
        <v/>
      </c>
      <c r="L138" s="35">
        <f>IF($A138="","",IF($K138="","",IF($K138&lt;=7,"0-7",IF($K138&lt;=30,"8-30",IF($K138&lt;=60,"31-60","60+")))))</f>
        <v/>
      </c>
      <c r="M138" s="35">
        <f>IF($A138="","",IF($B138="","YETİM",IF(COUNTIF(tblKartlar[KartId],$B138)=0,"YETİM","")))</f>
        <v/>
      </c>
      <c r="N138" s="35">
        <f>IF(OR($A138="",$D138=""),"",IF(OR($D138&amp;"|"&amp;$E138="",COUNTIF(ListeIzinliGecis,$D138&amp;"|"&amp;$E138)&gt;0),"","GEÇERSİZ GEÇİŞ"))</f>
        <v/>
      </c>
      <c r="O138" s="35">
        <f>IF($A138="","",IF(OR($F138="",$G138=""),"",IF(ABS($G138-$F138)&gt;zincirTolerans,"ZİNCİR KIRIK","OK")))</f>
        <v/>
      </c>
      <c r="P138" s="35">
        <f>IF($A138="","",1)</f>
        <v/>
      </c>
    </row>
    <row r="139">
      <c r="A139" s="29" t="n"/>
      <c r="B139" s="29" t="n"/>
      <c r="C139" s="70" t="n"/>
      <c r="D139" s="29" t="n"/>
      <c r="E139" s="29" t="n"/>
      <c r="F139" s="30" t="n"/>
      <c r="G139" s="30" t="n"/>
      <c r="H139" s="31" t="n"/>
      <c r="I139" s="31" t="n"/>
      <c r="J139" s="29" t="n"/>
      <c r="K139" s="35">
        <f>IF($A139="","",IF($C139="","",raporTarihi-$C139))</f>
        <v/>
      </c>
      <c r="L139" s="35">
        <f>IF($A139="","",IF($K139="","",IF($K139&lt;=7,"0-7",IF($K139&lt;=30,"8-30",IF($K139&lt;=60,"31-60","60+")))))</f>
        <v/>
      </c>
      <c r="M139" s="35">
        <f>IF($A139="","",IF($B139="","YETİM",IF(COUNTIF(tblKartlar[KartId],$B139)=0,"YETİM","")))</f>
        <v/>
      </c>
      <c r="N139" s="35">
        <f>IF(OR($A139="",$D139=""),"",IF(OR($D139&amp;"|"&amp;$E139="",COUNTIF(ListeIzinliGecis,$D139&amp;"|"&amp;$E139)&gt;0),"","GEÇERSİZ GEÇİŞ"))</f>
        <v/>
      </c>
      <c r="O139" s="35">
        <f>IF($A139="","",IF(OR($F139="",$G139=""),"",IF(ABS($G139-$F139)&gt;zincirTolerans,"ZİNCİR KIRIK","OK")))</f>
        <v/>
      </c>
      <c r="P139" s="35">
        <f>IF($A139="","",1)</f>
        <v/>
      </c>
    </row>
    <row r="140">
      <c r="A140" s="29" t="n"/>
      <c r="B140" s="29" t="n"/>
      <c r="C140" s="70" t="n"/>
      <c r="D140" s="29" t="n"/>
      <c r="E140" s="29" t="n"/>
      <c r="F140" s="30" t="n"/>
      <c r="G140" s="30" t="n"/>
      <c r="H140" s="31" t="n"/>
      <c r="I140" s="31" t="n"/>
      <c r="J140" s="29" t="n"/>
      <c r="K140" s="35">
        <f>IF($A140="","",IF($C140="","",raporTarihi-$C140))</f>
        <v/>
      </c>
      <c r="L140" s="35">
        <f>IF($A140="","",IF($K140="","",IF($K140&lt;=7,"0-7",IF($K140&lt;=30,"8-30",IF($K140&lt;=60,"31-60","60+")))))</f>
        <v/>
      </c>
      <c r="M140" s="35">
        <f>IF($A140="","",IF($B140="","YETİM",IF(COUNTIF(tblKartlar[KartId],$B140)=0,"YETİM","")))</f>
        <v/>
      </c>
      <c r="N140" s="35">
        <f>IF(OR($A140="",$D140=""),"",IF(OR($D140&amp;"|"&amp;$E140="",COUNTIF(ListeIzinliGecis,$D140&amp;"|"&amp;$E140)&gt;0),"","GEÇERSİZ GEÇİŞ"))</f>
        <v/>
      </c>
      <c r="O140" s="35">
        <f>IF($A140="","",IF(OR($F140="",$G140=""),"",IF(ABS($G140-$F140)&gt;zincirTolerans,"ZİNCİR KIRIK","OK")))</f>
        <v/>
      </c>
      <c r="P140" s="35">
        <f>IF($A140="","",1)</f>
        <v/>
      </c>
    </row>
    <row r="141">
      <c r="A141" s="29" t="n"/>
      <c r="B141" s="29" t="n"/>
      <c r="C141" s="70" t="n"/>
      <c r="D141" s="29" t="n"/>
      <c r="E141" s="29" t="n"/>
      <c r="F141" s="30" t="n"/>
      <c r="G141" s="30" t="n"/>
      <c r="H141" s="31" t="n"/>
      <c r="I141" s="31" t="n"/>
      <c r="J141" s="29" t="n"/>
      <c r="K141" s="35">
        <f>IF($A141="","",IF($C141="","",raporTarihi-$C141))</f>
        <v/>
      </c>
      <c r="L141" s="35">
        <f>IF($A141="","",IF($K141="","",IF($K141&lt;=7,"0-7",IF($K141&lt;=30,"8-30",IF($K141&lt;=60,"31-60","60+")))))</f>
        <v/>
      </c>
      <c r="M141" s="35">
        <f>IF($A141="","",IF($B141="","YETİM",IF(COUNTIF(tblKartlar[KartId],$B141)=0,"YETİM","")))</f>
        <v/>
      </c>
      <c r="N141" s="35">
        <f>IF(OR($A141="",$D141=""),"",IF(OR($D141&amp;"|"&amp;$E141="",COUNTIF(ListeIzinliGecis,$D141&amp;"|"&amp;$E141)&gt;0),"","GEÇERSİZ GEÇİŞ"))</f>
        <v/>
      </c>
      <c r="O141" s="35">
        <f>IF($A141="","",IF(OR($F141="",$G141=""),"",IF(ABS($G141-$F141)&gt;zincirTolerans,"ZİNCİR KIRIK","OK")))</f>
        <v/>
      </c>
      <c r="P141" s="35">
        <f>IF($A141="","",1)</f>
        <v/>
      </c>
    </row>
    <row r="142">
      <c r="A142" s="29" t="n"/>
      <c r="B142" s="29" t="n"/>
      <c r="C142" s="70" t="n"/>
      <c r="D142" s="29" t="n"/>
      <c r="E142" s="29" t="n"/>
      <c r="F142" s="30" t="n"/>
      <c r="G142" s="30" t="n"/>
      <c r="H142" s="31" t="n"/>
      <c r="I142" s="31" t="n"/>
      <c r="J142" s="29" t="n"/>
      <c r="K142" s="35">
        <f>IF($A142="","",IF($C142="","",raporTarihi-$C142))</f>
        <v/>
      </c>
      <c r="L142" s="35">
        <f>IF($A142="","",IF($K142="","",IF($K142&lt;=7,"0-7",IF($K142&lt;=30,"8-30",IF($K142&lt;=60,"31-60","60+")))))</f>
        <v/>
      </c>
      <c r="M142" s="35">
        <f>IF($A142="","",IF($B142="","YETİM",IF(COUNTIF(tblKartlar[KartId],$B142)=0,"YETİM","")))</f>
        <v/>
      </c>
      <c r="N142" s="35">
        <f>IF(OR($A142="",$D142=""),"",IF(OR($D142&amp;"|"&amp;$E142="",COUNTIF(ListeIzinliGecis,$D142&amp;"|"&amp;$E142)&gt;0),"","GEÇERSİZ GEÇİŞ"))</f>
        <v/>
      </c>
      <c r="O142" s="35">
        <f>IF($A142="","",IF(OR($F142="",$G142=""),"",IF(ABS($G142-$F142)&gt;zincirTolerans,"ZİNCİR KIRIK","OK")))</f>
        <v/>
      </c>
      <c r="P142" s="35">
        <f>IF($A142="","",1)</f>
        <v/>
      </c>
    </row>
    <row r="143">
      <c r="A143" s="29" t="n"/>
      <c r="B143" s="29" t="n"/>
      <c r="C143" s="70" t="n"/>
      <c r="D143" s="29" t="n"/>
      <c r="E143" s="29" t="n"/>
      <c r="F143" s="30" t="n"/>
      <c r="G143" s="30" t="n"/>
      <c r="H143" s="31" t="n"/>
      <c r="I143" s="31" t="n"/>
      <c r="J143" s="29" t="n"/>
      <c r="K143" s="35">
        <f>IF($A143="","",IF($C143="","",raporTarihi-$C143))</f>
        <v/>
      </c>
      <c r="L143" s="35">
        <f>IF($A143="","",IF($K143="","",IF($K143&lt;=7,"0-7",IF($K143&lt;=30,"8-30",IF($K143&lt;=60,"31-60","60+")))))</f>
        <v/>
      </c>
      <c r="M143" s="35">
        <f>IF($A143="","",IF($B143="","YETİM",IF(COUNTIF(tblKartlar[KartId],$B143)=0,"YETİM","")))</f>
        <v/>
      </c>
      <c r="N143" s="35">
        <f>IF(OR($A143="",$D143=""),"",IF(OR($D143&amp;"|"&amp;$E143="",COUNTIF(ListeIzinliGecis,$D143&amp;"|"&amp;$E143)&gt;0),"","GEÇERSİZ GEÇİŞ"))</f>
        <v/>
      </c>
      <c r="O143" s="35">
        <f>IF($A143="","",IF(OR($F143="",$G143=""),"",IF(ABS($G143-$F143)&gt;zincirTolerans,"ZİNCİR KIRIK","OK")))</f>
        <v/>
      </c>
      <c r="P143" s="35">
        <f>IF($A143="","",1)</f>
        <v/>
      </c>
    </row>
    <row r="144">
      <c r="A144" s="29" t="n"/>
      <c r="B144" s="29" t="n"/>
      <c r="C144" s="70" t="n"/>
      <c r="D144" s="29" t="n"/>
      <c r="E144" s="29" t="n"/>
      <c r="F144" s="30" t="n"/>
      <c r="G144" s="30" t="n"/>
      <c r="H144" s="31" t="n"/>
      <c r="I144" s="31" t="n"/>
      <c r="J144" s="29" t="n"/>
      <c r="K144" s="35">
        <f>IF($A144="","",IF($C144="","",raporTarihi-$C144))</f>
        <v/>
      </c>
      <c r="L144" s="35">
        <f>IF($A144="","",IF($K144="","",IF($K144&lt;=7,"0-7",IF($K144&lt;=30,"8-30",IF($K144&lt;=60,"31-60","60+")))))</f>
        <v/>
      </c>
      <c r="M144" s="35">
        <f>IF($A144="","",IF($B144="","YETİM",IF(COUNTIF(tblKartlar[KartId],$B144)=0,"YETİM","")))</f>
        <v/>
      </c>
      <c r="N144" s="35">
        <f>IF(OR($A144="",$D144=""),"",IF(OR($D144&amp;"|"&amp;$E144="",COUNTIF(ListeIzinliGecis,$D144&amp;"|"&amp;$E144)&gt;0),"","GEÇERSİZ GEÇİŞ"))</f>
        <v/>
      </c>
      <c r="O144" s="35">
        <f>IF($A144="","",IF(OR($F144="",$G144=""),"",IF(ABS($G144-$F144)&gt;zincirTolerans,"ZİNCİR KIRIK","OK")))</f>
        <v/>
      </c>
      <c r="P144" s="35">
        <f>IF($A144="","",1)</f>
        <v/>
      </c>
    </row>
    <row r="145">
      <c r="A145" s="29" t="n"/>
      <c r="B145" s="29" t="n"/>
      <c r="C145" s="70" t="n"/>
      <c r="D145" s="29" t="n"/>
      <c r="E145" s="29" t="n"/>
      <c r="F145" s="30" t="n"/>
      <c r="G145" s="30" t="n"/>
      <c r="H145" s="31" t="n"/>
      <c r="I145" s="31" t="n"/>
      <c r="J145" s="29" t="n"/>
      <c r="K145" s="35">
        <f>IF($A145="","",IF($C145="","",raporTarihi-$C145))</f>
        <v/>
      </c>
      <c r="L145" s="35">
        <f>IF($A145="","",IF($K145="","",IF($K145&lt;=7,"0-7",IF($K145&lt;=30,"8-30",IF($K145&lt;=60,"31-60","60+")))))</f>
        <v/>
      </c>
      <c r="M145" s="35">
        <f>IF($A145="","",IF($B145="","YETİM",IF(COUNTIF(tblKartlar[KartId],$B145)=0,"YETİM","")))</f>
        <v/>
      </c>
      <c r="N145" s="35">
        <f>IF(OR($A145="",$D145=""),"",IF(OR($D145&amp;"|"&amp;$E145="",COUNTIF(ListeIzinliGecis,$D145&amp;"|"&amp;$E145)&gt;0),"","GEÇERSİZ GEÇİŞ"))</f>
        <v/>
      </c>
      <c r="O145" s="35">
        <f>IF($A145="","",IF(OR($F145="",$G145=""),"",IF(ABS($G145-$F145)&gt;zincirTolerans,"ZİNCİR KIRIK","OK")))</f>
        <v/>
      </c>
      <c r="P145" s="35">
        <f>IF($A145="","",1)</f>
        <v/>
      </c>
    </row>
    <row r="146">
      <c r="A146" s="29" t="n"/>
      <c r="B146" s="29" t="n"/>
      <c r="C146" s="70" t="n"/>
      <c r="D146" s="29" t="n"/>
      <c r="E146" s="29" t="n"/>
      <c r="F146" s="30" t="n"/>
      <c r="G146" s="30" t="n"/>
      <c r="H146" s="31" t="n"/>
      <c r="I146" s="31" t="n"/>
      <c r="J146" s="29" t="n"/>
      <c r="K146" s="35">
        <f>IF($A146="","",IF($C146="","",raporTarihi-$C146))</f>
        <v/>
      </c>
      <c r="L146" s="35">
        <f>IF($A146="","",IF($K146="","",IF($K146&lt;=7,"0-7",IF($K146&lt;=30,"8-30",IF($K146&lt;=60,"31-60","60+")))))</f>
        <v/>
      </c>
      <c r="M146" s="35">
        <f>IF($A146="","",IF($B146="","YETİM",IF(COUNTIF(tblKartlar[KartId],$B146)=0,"YETİM","")))</f>
        <v/>
      </c>
      <c r="N146" s="35">
        <f>IF(OR($A146="",$D146=""),"",IF(OR($D146&amp;"|"&amp;$E146="",COUNTIF(ListeIzinliGecis,$D146&amp;"|"&amp;$E146)&gt;0),"","GEÇERSİZ GEÇİŞ"))</f>
        <v/>
      </c>
      <c r="O146" s="35">
        <f>IF($A146="","",IF(OR($F146="",$G146=""),"",IF(ABS($G146-$F146)&gt;zincirTolerans,"ZİNCİR KIRIK","OK")))</f>
        <v/>
      </c>
      <c r="P146" s="35">
        <f>IF($A146="","",1)</f>
        <v/>
      </c>
    </row>
    <row r="147">
      <c r="A147" s="29" t="n"/>
      <c r="B147" s="29" t="n"/>
      <c r="C147" s="70" t="n"/>
      <c r="D147" s="29" t="n"/>
      <c r="E147" s="29" t="n"/>
      <c r="F147" s="30" t="n"/>
      <c r="G147" s="30" t="n"/>
      <c r="H147" s="31" t="n"/>
      <c r="I147" s="31" t="n"/>
      <c r="J147" s="29" t="n"/>
      <c r="K147" s="35">
        <f>IF($A147="","",IF($C147="","",raporTarihi-$C147))</f>
        <v/>
      </c>
      <c r="L147" s="35">
        <f>IF($A147="","",IF($K147="","",IF($K147&lt;=7,"0-7",IF($K147&lt;=30,"8-30",IF($K147&lt;=60,"31-60","60+")))))</f>
        <v/>
      </c>
      <c r="M147" s="35">
        <f>IF($A147="","",IF($B147="","YETİM",IF(COUNTIF(tblKartlar[KartId],$B147)=0,"YETİM","")))</f>
        <v/>
      </c>
      <c r="N147" s="35">
        <f>IF(OR($A147="",$D147=""),"",IF(OR($D147&amp;"|"&amp;$E147="",COUNTIF(ListeIzinliGecis,$D147&amp;"|"&amp;$E147)&gt;0),"","GEÇERSİZ GEÇİŞ"))</f>
        <v/>
      </c>
      <c r="O147" s="35">
        <f>IF($A147="","",IF(OR($F147="",$G147=""),"",IF(ABS($G147-$F147)&gt;zincirTolerans,"ZİNCİR KIRIK","OK")))</f>
        <v/>
      </c>
      <c r="P147" s="35">
        <f>IF($A147="","",1)</f>
        <v/>
      </c>
    </row>
    <row r="148">
      <c r="A148" s="29" t="n"/>
      <c r="B148" s="29" t="n"/>
      <c r="C148" s="70" t="n"/>
      <c r="D148" s="29" t="n"/>
      <c r="E148" s="29" t="n"/>
      <c r="F148" s="30" t="n"/>
      <c r="G148" s="30" t="n"/>
      <c r="H148" s="31" t="n"/>
      <c r="I148" s="31" t="n"/>
      <c r="J148" s="29" t="n"/>
      <c r="K148" s="35">
        <f>IF($A148="","",IF($C148="","",raporTarihi-$C148))</f>
        <v/>
      </c>
      <c r="L148" s="35">
        <f>IF($A148="","",IF($K148="","",IF($K148&lt;=7,"0-7",IF($K148&lt;=30,"8-30",IF($K148&lt;=60,"31-60","60+")))))</f>
        <v/>
      </c>
      <c r="M148" s="35">
        <f>IF($A148="","",IF($B148="","YETİM",IF(COUNTIF(tblKartlar[KartId],$B148)=0,"YETİM","")))</f>
        <v/>
      </c>
      <c r="N148" s="35">
        <f>IF(OR($A148="",$D148=""),"",IF(OR($D148&amp;"|"&amp;$E148="",COUNTIF(ListeIzinliGecis,$D148&amp;"|"&amp;$E148)&gt;0),"","GEÇERSİZ GEÇİŞ"))</f>
        <v/>
      </c>
      <c r="O148" s="35">
        <f>IF($A148="","",IF(OR($F148="",$G148=""),"",IF(ABS($G148-$F148)&gt;zincirTolerans,"ZİNCİR KIRIK","OK")))</f>
        <v/>
      </c>
      <c r="P148" s="35">
        <f>IF($A148="","",1)</f>
        <v/>
      </c>
    </row>
    <row r="149">
      <c r="A149" s="29" t="n"/>
      <c r="B149" s="29" t="n"/>
      <c r="C149" s="70" t="n"/>
      <c r="D149" s="29" t="n"/>
      <c r="E149" s="29" t="n"/>
      <c r="F149" s="30" t="n"/>
      <c r="G149" s="30" t="n"/>
      <c r="H149" s="31" t="n"/>
      <c r="I149" s="31" t="n"/>
      <c r="J149" s="29" t="n"/>
      <c r="K149" s="35">
        <f>IF($A149="","",IF($C149="","",raporTarihi-$C149))</f>
        <v/>
      </c>
      <c r="L149" s="35">
        <f>IF($A149="","",IF($K149="","",IF($K149&lt;=7,"0-7",IF($K149&lt;=30,"8-30",IF($K149&lt;=60,"31-60","60+")))))</f>
        <v/>
      </c>
      <c r="M149" s="35">
        <f>IF($A149="","",IF($B149="","YETİM",IF(COUNTIF(tblKartlar[KartId],$B149)=0,"YETİM","")))</f>
        <v/>
      </c>
      <c r="N149" s="35">
        <f>IF(OR($A149="",$D149=""),"",IF(OR($D149&amp;"|"&amp;$E149="",COUNTIF(ListeIzinliGecis,$D149&amp;"|"&amp;$E149)&gt;0),"","GEÇERSİZ GEÇİŞ"))</f>
        <v/>
      </c>
      <c r="O149" s="35">
        <f>IF($A149="","",IF(OR($F149="",$G149=""),"",IF(ABS($G149-$F149)&gt;zincirTolerans,"ZİNCİR KIRIK","OK")))</f>
        <v/>
      </c>
      <c r="P149" s="35">
        <f>IF($A149="","",1)</f>
        <v/>
      </c>
    </row>
    <row r="150">
      <c r="A150" s="29" t="n"/>
      <c r="B150" s="29" t="n"/>
      <c r="C150" s="70" t="n"/>
      <c r="D150" s="29" t="n"/>
      <c r="E150" s="29" t="n"/>
      <c r="F150" s="30" t="n"/>
      <c r="G150" s="30" t="n"/>
      <c r="H150" s="31" t="n"/>
      <c r="I150" s="31" t="n"/>
      <c r="J150" s="29" t="n"/>
      <c r="K150" s="35">
        <f>IF($A150="","",IF($C150="","",raporTarihi-$C150))</f>
        <v/>
      </c>
      <c r="L150" s="35">
        <f>IF($A150="","",IF($K150="","",IF($K150&lt;=7,"0-7",IF($K150&lt;=30,"8-30",IF($K150&lt;=60,"31-60","60+")))))</f>
        <v/>
      </c>
      <c r="M150" s="35">
        <f>IF($A150="","",IF($B150="","YETİM",IF(COUNTIF(tblKartlar[KartId],$B150)=0,"YETİM","")))</f>
        <v/>
      </c>
      <c r="N150" s="35">
        <f>IF(OR($A150="",$D150=""),"",IF(OR($D150&amp;"|"&amp;$E150="",COUNTIF(ListeIzinliGecis,$D150&amp;"|"&amp;$E150)&gt;0),"","GEÇERSİZ GEÇİŞ"))</f>
        <v/>
      </c>
      <c r="O150" s="35">
        <f>IF($A150="","",IF(OR($F150="",$G150=""),"",IF(ABS($G150-$F150)&gt;zincirTolerans,"ZİNCİR KIRIK","OK")))</f>
        <v/>
      </c>
      <c r="P150" s="35">
        <f>IF($A150="","",1)</f>
        <v/>
      </c>
    </row>
    <row r="151">
      <c r="A151" s="29" t="n"/>
      <c r="B151" s="29" t="n"/>
      <c r="C151" s="70" t="n"/>
      <c r="D151" s="29" t="n"/>
      <c r="E151" s="29" t="n"/>
      <c r="F151" s="30" t="n"/>
      <c r="G151" s="30" t="n"/>
      <c r="H151" s="31" t="n"/>
      <c r="I151" s="31" t="n"/>
      <c r="J151" s="29" t="n"/>
      <c r="K151" s="35">
        <f>IF($A151="","",IF($C151="","",raporTarihi-$C151))</f>
        <v/>
      </c>
      <c r="L151" s="35">
        <f>IF($A151="","",IF($K151="","",IF($K151&lt;=7,"0-7",IF($K151&lt;=30,"8-30",IF($K151&lt;=60,"31-60","60+")))))</f>
        <v/>
      </c>
      <c r="M151" s="35">
        <f>IF($A151="","",IF($B151="","YETİM",IF(COUNTIF(tblKartlar[KartId],$B151)=0,"YETİM","")))</f>
        <v/>
      </c>
      <c r="N151" s="35">
        <f>IF(OR($A151="",$D151=""),"",IF(OR($D151&amp;"|"&amp;$E151="",COUNTIF(ListeIzinliGecis,$D151&amp;"|"&amp;$E151)&gt;0),"","GEÇERSİZ GEÇİŞ"))</f>
        <v/>
      </c>
      <c r="O151" s="35">
        <f>IF($A151="","",IF(OR($F151="",$G151=""),"",IF(ABS($G151-$F151)&gt;zincirTolerans,"ZİNCİR KIRIK","OK")))</f>
        <v/>
      </c>
      <c r="P151" s="35">
        <f>IF($A151="","",1)</f>
        <v/>
      </c>
    </row>
    <row r="152">
      <c r="A152" s="29" t="n"/>
      <c r="B152" s="29" t="n"/>
      <c r="C152" s="70" t="n"/>
      <c r="D152" s="29" t="n"/>
      <c r="E152" s="29" t="n"/>
      <c r="F152" s="30" t="n"/>
      <c r="G152" s="30" t="n"/>
      <c r="H152" s="31" t="n"/>
      <c r="I152" s="31" t="n"/>
      <c r="J152" s="29" t="n"/>
      <c r="K152" s="35">
        <f>IF($A152="","",IF($C152="","",raporTarihi-$C152))</f>
        <v/>
      </c>
      <c r="L152" s="35">
        <f>IF($A152="","",IF($K152="","",IF($K152&lt;=7,"0-7",IF($K152&lt;=30,"8-30",IF($K152&lt;=60,"31-60","60+")))))</f>
        <v/>
      </c>
      <c r="M152" s="35">
        <f>IF($A152="","",IF($B152="","YETİM",IF(COUNTIF(tblKartlar[KartId],$B152)=0,"YETİM","")))</f>
        <v/>
      </c>
      <c r="N152" s="35">
        <f>IF(OR($A152="",$D152=""),"",IF(OR($D152&amp;"|"&amp;$E152="",COUNTIF(ListeIzinliGecis,$D152&amp;"|"&amp;$E152)&gt;0),"","GEÇERSİZ GEÇİŞ"))</f>
        <v/>
      </c>
      <c r="O152" s="35">
        <f>IF($A152="","",IF(OR($F152="",$G152=""),"",IF(ABS($G152-$F152)&gt;zincirTolerans,"ZİNCİR KIRIK","OK")))</f>
        <v/>
      </c>
      <c r="P152" s="35">
        <f>IF($A152="","",1)</f>
        <v/>
      </c>
    </row>
    <row r="153">
      <c r="A153" s="29" t="n"/>
      <c r="B153" s="29" t="n"/>
      <c r="C153" s="70" t="n"/>
      <c r="D153" s="29" t="n"/>
      <c r="E153" s="29" t="n"/>
      <c r="F153" s="30" t="n"/>
      <c r="G153" s="30" t="n"/>
      <c r="H153" s="31" t="n"/>
      <c r="I153" s="31" t="n"/>
      <c r="J153" s="29" t="n"/>
      <c r="K153" s="35">
        <f>IF($A153="","",IF($C153="","",raporTarihi-$C153))</f>
        <v/>
      </c>
      <c r="L153" s="35">
        <f>IF($A153="","",IF($K153="","",IF($K153&lt;=7,"0-7",IF($K153&lt;=30,"8-30",IF($K153&lt;=60,"31-60","60+")))))</f>
        <v/>
      </c>
      <c r="M153" s="35">
        <f>IF($A153="","",IF($B153="","YETİM",IF(COUNTIF(tblKartlar[KartId],$B153)=0,"YETİM","")))</f>
        <v/>
      </c>
      <c r="N153" s="35">
        <f>IF(OR($A153="",$D153=""),"",IF(OR($D153&amp;"|"&amp;$E153="",COUNTIF(ListeIzinliGecis,$D153&amp;"|"&amp;$E153)&gt;0),"","GEÇERSİZ GEÇİŞ"))</f>
        <v/>
      </c>
      <c r="O153" s="35">
        <f>IF($A153="","",IF(OR($F153="",$G153=""),"",IF(ABS($G153-$F153)&gt;zincirTolerans,"ZİNCİR KIRIK","OK")))</f>
        <v/>
      </c>
      <c r="P153" s="35">
        <f>IF($A153="","",1)</f>
        <v/>
      </c>
    </row>
    <row r="154">
      <c r="A154" s="29" t="n"/>
      <c r="B154" s="29" t="n"/>
      <c r="C154" s="70" t="n"/>
      <c r="D154" s="29" t="n"/>
      <c r="E154" s="29" t="n"/>
      <c r="F154" s="30" t="n"/>
      <c r="G154" s="30" t="n"/>
      <c r="H154" s="31" t="n"/>
      <c r="I154" s="31" t="n"/>
      <c r="J154" s="29" t="n"/>
      <c r="K154" s="35">
        <f>IF($A154="","",IF($C154="","",raporTarihi-$C154))</f>
        <v/>
      </c>
      <c r="L154" s="35">
        <f>IF($A154="","",IF($K154="","",IF($K154&lt;=7,"0-7",IF($K154&lt;=30,"8-30",IF($K154&lt;=60,"31-60","60+")))))</f>
        <v/>
      </c>
      <c r="M154" s="35">
        <f>IF($A154="","",IF($B154="","YETİM",IF(COUNTIF(tblKartlar[KartId],$B154)=0,"YETİM","")))</f>
        <v/>
      </c>
      <c r="N154" s="35">
        <f>IF(OR($A154="",$D154=""),"",IF(OR($D154&amp;"|"&amp;$E154="",COUNTIF(ListeIzinliGecis,$D154&amp;"|"&amp;$E154)&gt;0),"","GEÇERSİZ GEÇİŞ"))</f>
        <v/>
      </c>
      <c r="O154" s="35">
        <f>IF($A154="","",IF(OR($F154="",$G154=""),"",IF(ABS($G154-$F154)&gt;zincirTolerans,"ZİNCİR KIRIK","OK")))</f>
        <v/>
      </c>
      <c r="P154" s="35">
        <f>IF($A154="","",1)</f>
        <v/>
      </c>
    </row>
    <row r="155">
      <c r="A155" s="29" t="n"/>
      <c r="B155" s="29" t="n"/>
      <c r="C155" s="70" t="n"/>
      <c r="D155" s="29" t="n"/>
      <c r="E155" s="29" t="n"/>
      <c r="F155" s="30" t="n"/>
      <c r="G155" s="30" t="n"/>
      <c r="H155" s="31" t="n"/>
      <c r="I155" s="31" t="n"/>
      <c r="J155" s="29" t="n"/>
      <c r="K155" s="35">
        <f>IF($A155="","",IF($C155="","",raporTarihi-$C155))</f>
        <v/>
      </c>
      <c r="L155" s="35">
        <f>IF($A155="","",IF($K155="","",IF($K155&lt;=7,"0-7",IF($K155&lt;=30,"8-30",IF($K155&lt;=60,"31-60","60+")))))</f>
        <v/>
      </c>
      <c r="M155" s="35">
        <f>IF($A155="","",IF($B155="","YETİM",IF(COUNTIF(tblKartlar[KartId],$B155)=0,"YETİM","")))</f>
        <v/>
      </c>
      <c r="N155" s="35">
        <f>IF(OR($A155="",$D155=""),"",IF(OR($D155&amp;"|"&amp;$E155="",COUNTIF(ListeIzinliGecis,$D155&amp;"|"&amp;$E155)&gt;0),"","GEÇERSİZ GEÇİŞ"))</f>
        <v/>
      </c>
      <c r="O155" s="35">
        <f>IF($A155="","",IF(OR($F155="",$G155=""),"",IF(ABS($G155-$F155)&gt;zincirTolerans,"ZİNCİR KIRIK","OK")))</f>
        <v/>
      </c>
      <c r="P155" s="35">
        <f>IF($A155="","",1)</f>
        <v/>
      </c>
    </row>
    <row r="156">
      <c r="A156" s="29" t="n"/>
      <c r="B156" s="29" t="n"/>
      <c r="C156" s="70" t="n"/>
      <c r="D156" s="29" t="n"/>
      <c r="E156" s="29" t="n"/>
      <c r="F156" s="30" t="n"/>
      <c r="G156" s="30" t="n"/>
      <c r="H156" s="31" t="n"/>
      <c r="I156" s="31" t="n"/>
      <c r="J156" s="29" t="n"/>
      <c r="K156" s="35">
        <f>IF($A156="","",IF($C156="","",raporTarihi-$C156))</f>
        <v/>
      </c>
      <c r="L156" s="35">
        <f>IF($A156="","",IF($K156="","",IF($K156&lt;=7,"0-7",IF($K156&lt;=30,"8-30",IF($K156&lt;=60,"31-60","60+")))))</f>
        <v/>
      </c>
      <c r="M156" s="35">
        <f>IF($A156="","",IF($B156="","YETİM",IF(COUNTIF(tblKartlar[KartId],$B156)=0,"YETİM","")))</f>
        <v/>
      </c>
      <c r="N156" s="35">
        <f>IF(OR($A156="",$D156=""),"",IF(OR($D156&amp;"|"&amp;$E156="",COUNTIF(ListeIzinliGecis,$D156&amp;"|"&amp;$E156)&gt;0),"","GEÇERSİZ GEÇİŞ"))</f>
        <v/>
      </c>
      <c r="O156" s="35">
        <f>IF($A156="","",IF(OR($F156="",$G156=""),"",IF(ABS($G156-$F156)&gt;zincirTolerans,"ZİNCİR KIRIK","OK")))</f>
        <v/>
      </c>
      <c r="P156" s="35">
        <f>IF($A156="","",1)</f>
        <v/>
      </c>
    </row>
    <row r="157">
      <c r="A157" s="29" t="n"/>
      <c r="B157" s="29" t="n"/>
      <c r="C157" s="70" t="n"/>
      <c r="D157" s="29" t="n"/>
      <c r="E157" s="29" t="n"/>
      <c r="F157" s="30" t="n"/>
      <c r="G157" s="30" t="n"/>
      <c r="H157" s="31" t="n"/>
      <c r="I157" s="31" t="n"/>
      <c r="J157" s="29" t="n"/>
      <c r="K157" s="35">
        <f>IF($A157="","",IF($C157="","",raporTarihi-$C157))</f>
        <v/>
      </c>
      <c r="L157" s="35">
        <f>IF($A157="","",IF($K157="","",IF($K157&lt;=7,"0-7",IF($K157&lt;=30,"8-30",IF($K157&lt;=60,"31-60","60+")))))</f>
        <v/>
      </c>
      <c r="M157" s="35">
        <f>IF($A157="","",IF($B157="","YETİM",IF(COUNTIF(tblKartlar[KartId],$B157)=0,"YETİM","")))</f>
        <v/>
      </c>
      <c r="N157" s="35">
        <f>IF(OR($A157="",$D157=""),"",IF(OR($D157&amp;"|"&amp;$E157="",COUNTIF(ListeIzinliGecis,$D157&amp;"|"&amp;$E157)&gt;0),"","GEÇERSİZ GEÇİŞ"))</f>
        <v/>
      </c>
      <c r="O157" s="35">
        <f>IF($A157="","",IF(OR($F157="",$G157=""),"",IF(ABS($G157-$F157)&gt;zincirTolerans,"ZİNCİR KIRIK","OK")))</f>
        <v/>
      </c>
      <c r="P157" s="35">
        <f>IF($A157="","",1)</f>
        <v/>
      </c>
    </row>
    <row r="158">
      <c r="A158" s="29" t="n"/>
      <c r="B158" s="29" t="n"/>
      <c r="C158" s="70" t="n"/>
      <c r="D158" s="29" t="n"/>
      <c r="E158" s="29" t="n"/>
      <c r="F158" s="30" t="n"/>
      <c r="G158" s="30" t="n"/>
      <c r="H158" s="31" t="n"/>
      <c r="I158" s="31" t="n"/>
      <c r="J158" s="29" t="n"/>
      <c r="K158" s="35">
        <f>IF($A158="","",IF($C158="","",raporTarihi-$C158))</f>
        <v/>
      </c>
      <c r="L158" s="35">
        <f>IF($A158="","",IF($K158="","",IF($K158&lt;=7,"0-7",IF($K158&lt;=30,"8-30",IF($K158&lt;=60,"31-60","60+")))))</f>
        <v/>
      </c>
      <c r="M158" s="35">
        <f>IF($A158="","",IF($B158="","YETİM",IF(COUNTIF(tblKartlar[KartId],$B158)=0,"YETİM","")))</f>
        <v/>
      </c>
      <c r="N158" s="35">
        <f>IF(OR($A158="",$D158=""),"",IF(OR($D158&amp;"|"&amp;$E158="",COUNTIF(ListeIzinliGecis,$D158&amp;"|"&amp;$E158)&gt;0),"","GEÇERSİZ GEÇİŞ"))</f>
        <v/>
      </c>
      <c r="O158" s="35">
        <f>IF($A158="","",IF(OR($F158="",$G158=""),"",IF(ABS($G158-$F158)&gt;zincirTolerans,"ZİNCİR KIRIK","OK")))</f>
        <v/>
      </c>
      <c r="P158" s="35">
        <f>IF($A158="","",1)</f>
        <v/>
      </c>
    </row>
    <row r="159">
      <c r="A159" s="29" t="n"/>
      <c r="B159" s="29" t="n"/>
      <c r="C159" s="70" t="n"/>
      <c r="D159" s="29" t="n"/>
      <c r="E159" s="29" t="n"/>
      <c r="F159" s="30" t="n"/>
      <c r="G159" s="30" t="n"/>
      <c r="H159" s="31" t="n"/>
      <c r="I159" s="31" t="n"/>
      <c r="J159" s="29" t="n"/>
      <c r="K159" s="35">
        <f>IF($A159="","",IF($C159="","",raporTarihi-$C159))</f>
        <v/>
      </c>
      <c r="L159" s="35">
        <f>IF($A159="","",IF($K159="","",IF($K159&lt;=7,"0-7",IF($K159&lt;=30,"8-30",IF($K159&lt;=60,"31-60","60+")))))</f>
        <v/>
      </c>
      <c r="M159" s="35">
        <f>IF($A159="","",IF($B159="","YETİM",IF(COUNTIF(tblKartlar[KartId],$B159)=0,"YETİM","")))</f>
        <v/>
      </c>
      <c r="N159" s="35">
        <f>IF(OR($A159="",$D159=""),"",IF(OR($D159&amp;"|"&amp;$E159="",COUNTIF(ListeIzinliGecis,$D159&amp;"|"&amp;$E159)&gt;0),"","GEÇERSİZ GEÇİŞ"))</f>
        <v/>
      </c>
      <c r="O159" s="35">
        <f>IF($A159="","",IF(OR($F159="",$G159=""),"",IF(ABS($G159-$F159)&gt;zincirTolerans,"ZİNCİR KIRIK","OK")))</f>
        <v/>
      </c>
      <c r="P159" s="35">
        <f>IF($A159="","",1)</f>
        <v/>
      </c>
    </row>
    <row r="160">
      <c r="A160" s="29" t="n"/>
      <c r="B160" s="29" t="n"/>
      <c r="C160" s="70" t="n"/>
      <c r="D160" s="29" t="n"/>
      <c r="E160" s="29" t="n"/>
      <c r="F160" s="30" t="n"/>
      <c r="G160" s="30" t="n"/>
      <c r="H160" s="31" t="n"/>
      <c r="I160" s="31" t="n"/>
      <c r="J160" s="29" t="n"/>
      <c r="K160" s="35">
        <f>IF($A160="","",IF($C160="","",raporTarihi-$C160))</f>
        <v/>
      </c>
      <c r="L160" s="35">
        <f>IF($A160="","",IF($K160="","",IF($K160&lt;=7,"0-7",IF($K160&lt;=30,"8-30",IF($K160&lt;=60,"31-60","60+")))))</f>
        <v/>
      </c>
      <c r="M160" s="35">
        <f>IF($A160="","",IF($B160="","YETİM",IF(COUNTIF(tblKartlar[KartId],$B160)=0,"YETİM","")))</f>
        <v/>
      </c>
      <c r="N160" s="35">
        <f>IF(OR($A160="",$D160=""),"",IF(OR($D160&amp;"|"&amp;$E160="",COUNTIF(ListeIzinliGecis,$D160&amp;"|"&amp;$E160)&gt;0),"","GEÇERSİZ GEÇİŞ"))</f>
        <v/>
      </c>
      <c r="O160" s="35">
        <f>IF($A160="","",IF(OR($F160="",$G160=""),"",IF(ABS($G160-$F160)&gt;zincirTolerans,"ZİNCİR KIRIK","OK")))</f>
        <v/>
      </c>
      <c r="P160" s="35">
        <f>IF($A160="","",1)</f>
        <v/>
      </c>
    </row>
    <row r="161">
      <c r="A161" s="29" t="n"/>
      <c r="B161" s="29" t="n"/>
      <c r="C161" s="70" t="n"/>
      <c r="D161" s="29" t="n"/>
      <c r="E161" s="29" t="n"/>
      <c r="F161" s="30" t="n"/>
      <c r="G161" s="30" t="n"/>
      <c r="H161" s="31" t="n"/>
      <c r="I161" s="31" t="n"/>
      <c r="J161" s="29" t="n"/>
      <c r="K161" s="35">
        <f>IF($A161="","",IF($C161="","",raporTarihi-$C161))</f>
        <v/>
      </c>
      <c r="L161" s="35">
        <f>IF($A161="","",IF($K161="","",IF($K161&lt;=7,"0-7",IF($K161&lt;=30,"8-30",IF($K161&lt;=60,"31-60","60+")))))</f>
        <v/>
      </c>
      <c r="M161" s="35">
        <f>IF($A161="","",IF($B161="","YETİM",IF(COUNTIF(tblKartlar[KartId],$B161)=0,"YETİM","")))</f>
        <v/>
      </c>
      <c r="N161" s="35">
        <f>IF(OR($A161="",$D161=""),"",IF(OR($D161&amp;"|"&amp;$E161="",COUNTIF(ListeIzinliGecis,$D161&amp;"|"&amp;$E161)&gt;0),"","GEÇERSİZ GEÇİŞ"))</f>
        <v/>
      </c>
      <c r="O161" s="35">
        <f>IF($A161="","",IF(OR($F161="",$G161=""),"",IF(ABS($G161-$F161)&gt;zincirTolerans,"ZİNCİR KIRIK","OK")))</f>
        <v/>
      </c>
      <c r="P161" s="35">
        <f>IF($A161="","",1)</f>
        <v/>
      </c>
    </row>
    <row r="162">
      <c r="A162" s="29" t="n"/>
      <c r="B162" s="29" t="n"/>
      <c r="C162" s="70" t="n"/>
      <c r="D162" s="29" t="n"/>
      <c r="E162" s="29" t="n"/>
      <c r="F162" s="30" t="n"/>
      <c r="G162" s="30" t="n"/>
      <c r="H162" s="31" t="n"/>
      <c r="I162" s="31" t="n"/>
      <c r="J162" s="29" t="n"/>
      <c r="K162" s="35">
        <f>IF($A162="","",IF($C162="","",raporTarihi-$C162))</f>
        <v/>
      </c>
      <c r="L162" s="35">
        <f>IF($A162="","",IF($K162="","",IF($K162&lt;=7,"0-7",IF($K162&lt;=30,"8-30",IF($K162&lt;=60,"31-60","60+")))))</f>
        <v/>
      </c>
      <c r="M162" s="35">
        <f>IF($A162="","",IF($B162="","YETİM",IF(COUNTIF(tblKartlar[KartId],$B162)=0,"YETİM","")))</f>
        <v/>
      </c>
      <c r="N162" s="35">
        <f>IF(OR($A162="",$D162=""),"",IF(OR($D162&amp;"|"&amp;$E162="",COUNTIF(ListeIzinliGecis,$D162&amp;"|"&amp;$E162)&gt;0),"","GEÇERSİZ GEÇİŞ"))</f>
        <v/>
      </c>
      <c r="O162" s="35">
        <f>IF($A162="","",IF(OR($F162="",$G162=""),"",IF(ABS($G162-$F162)&gt;zincirTolerans,"ZİNCİR KIRIK","OK")))</f>
        <v/>
      </c>
      <c r="P162" s="35">
        <f>IF($A162="","",1)</f>
        <v/>
      </c>
    </row>
    <row r="163">
      <c r="A163" s="29" t="n"/>
      <c r="B163" s="29" t="n"/>
      <c r="C163" s="70" t="n"/>
      <c r="D163" s="29" t="n"/>
      <c r="E163" s="29" t="n"/>
      <c r="F163" s="30" t="n"/>
      <c r="G163" s="30" t="n"/>
      <c r="H163" s="31" t="n"/>
      <c r="I163" s="31" t="n"/>
      <c r="J163" s="29" t="n"/>
      <c r="K163" s="35">
        <f>IF($A163="","",IF($C163="","",raporTarihi-$C163))</f>
        <v/>
      </c>
      <c r="L163" s="35">
        <f>IF($A163="","",IF($K163="","",IF($K163&lt;=7,"0-7",IF($K163&lt;=30,"8-30",IF($K163&lt;=60,"31-60","60+")))))</f>
        <v/>
      </c>
      <c r="M163" s="35">
        <f>IF($A163="","",IF($B163="","YETİM",IF(COUNTIF(tblKartlar[KartId],$B163)=0,"YETİM","")))</f>
        <v/>
      </c>
      <c r="N163" s="35">
        <f>IF(OR($A163="",$D163=""),"",IF(OR($D163&amp;"|"&amp;$E163="",COUNTIF(ListeIzinliGecis,$D163&amp;"|"&amp;$E163)&gt;0),"","GEÇERSİZ GEÇİŞ"))</f>
        <v/>
      </c>
      <c r="O163" s="35">
        <f>IF($A163="","",IF(OR($F163="",$G163=""),"",IF(ABS($G163-$F163)&gt;zincirTolerans,"ZİNCİR KIRIK","OK")))</f>
        <v/>
      </c>
      <c r="P163" s="35">
        <f>IF($A163="","",1)</f>
        <v/>
      </c>
    </row>
    <row r="164">
      <c r="A164" s="29" t="n"/>
      <c r="B164" s="29" t="n"/>
      <c r="C164" s="70" t="n"/>
      <c r="D164" s="29" t="n"/>
      <c r="E164" s="29" t="n"/>
      <c r="F164" s="30" t="n"/>
      <c r="G164" s="30" t="n"/>
      <c r="H164" s="31" t="n"/>
      <c r="I164" s="31" t="n"/>
      <c r="J164" s="29" t="n"/>
      <c r="K164" s="35">
        <f>IF($A164="","",IF($C164="","",raporTarihi-$C164))</f>
        <v/>
      </c>
      <c r="L164" s="35">
        <f>IF($A164="","",IF($K164="","",IF($K164&lt;=7,"0-7",IF($K164&lt;=30,"8-30",IF($K164&lt;=60,"31-60","60+")))))</f>
        <v/>
      </c>
      <c r="M164" s="35">
        <f>IF($A164="","",IF($B164="","YETİM",IF(COUNTIF(tblKartlar[KartId],$B164)=0,"YETİM","")))</f>
        <v/>
      </c>
      <c r="N164" s="35">
        <f>IF(OR($A164="",$D164=""),"",IF(OR($D164&amp;"|"&amp;$E164="",COUNTIF(ListeIzinliGecis,$D164&amp;"|"&amp;$E164)&gt;0),"","GEÇERSİZ GEÇİŞ"))</f>
        <v/>
      </c>
      <c r="O164" s="35">
        <f>IF($A164="","",IF(OR($F164="",$G164=""),"",IF(ABS($G164-$F164)&gt;zincirTolerans,"ZİNCİR KIRIK","OK")))</f>
        <v/>
      </c>
      <c r="P164" s="35">
        <f>IF($A164="","",1)</f>
        <v/>
      </c>
    </row>
    <row r="165">
      <c r="A165" s="29" t="n"/>
      <c r="B165" s="29" t="n"/>
      <c r="C165" s="70" t="n"/>
      <c r="D165" s="29" t="n"/>
      <c r="E165" s="29" t="n"/>
      <c r="F165" s="30" t="n"/>
      <c r="G165" s="30" t="n"/>
      <c r="H165" s="31" t="n"/>
      <c r="I165" s="31" t="n"/>
      <c r="J165" s="29" t="n"/>
      <c r="K165" s="35">
        <f>IF($A165="","",IF($C165="","",raporTarihi-$C165))</f>
        <v/>
      </c>
      <c r="L165" s="35">
        <f>IF($A165="","",IF($K165="","",IF($K165&lt;=7,"0-7",IF($K165&lt;=30,"8-30",IF($K165&lt;=60,"31-60","60+")))))</f>
        <v/>
      </c>
      <c r="M165" s="35">
        <f>IF($A165="","",IF($B165="","YETİM",IF(COUNTIF(tblKartlar[KartId],$B165)=0,"YETİM","")))</f>
        <v/>
      </c>
      <c r="N165" s="35">
        <f>IF(OR($A165="",$D165=""),"",IF(OR($D165&amp;"|"&amp;$E165="",COUNTIF(ListeIzinliGecis,$D165&amp;"|"&amp;$E165)&gt;0),"","GEÇERSİZ GEÇİŞ"))</f>
        <v/>
      </c>
      <c r="O165" s="35">
        <f>IF($A165="","",IF(OR($F165="",$G165=""),"",IF(ABS($G165-$F165)&gt;zincirTolerans,"ZİNCİR KIRIK","OK")))</f>
        <v/>
      </c>
      <c r="P165" s="35">
        <f>IF($A165="","",1)</f>
        <v/>
      </c>
    </row>
    <row r="166">
      <c r="A166" s="29" t="n"/>
      <c r="B166" s="29" t="n"/>
      <c r="C166" s="70" t="n"/>
      <c r="D166" s="29" t="n"/>
      <c r="E166" s="29" t="n"/>
      <c r="F166" s="30" t="n"/>
      <c r="G166" s="30" t="n"/>
      <c r="H166" s="31" t="n"/>
      <c r="I166" s="31" t="n"/>
      <c r="J166" s="29" t="n"/>
      <c r="K166" s="35">
        <f>IF($A166="","",IF($C166="","",raporTarihi-$C166))</f>
        <v/>
      </c>
      <c r="L166" s="35">
        <f>IF($A166="","",IF($K166="","",IF($K166&lt;=7,"0-7",IF($K166&lt;=30,"8-30",IF($K166&lt;=60,"31-60","60+")))))</f>
        <v/>
      </c>
      <c r="M166" s="35">
        <f>IF($A166="","",IF($B166="","YETİM",IF(COUNTIF(tblKartlar[KartId],$B166)=0,"YETİM","")))</f>
        <v/>
      </c>
      <c r="N166" s="35">
        <f>IF(OR($A166="",$D166=""),"",IF(OR($D166&amp;"|"&amp;$E166="",COUNTIF(ListeIzinliGecis,$D166&amp;"|"&amp;$E166)&gt;0),"","GEÇERSİZ GEÇİŞ"))</f>
        <v/>
      </c>
      <c r="O166" s="35">
        <f>IF($A166="","",IF(OR($F166="",$G166=""),"",IF(ABS($G166-$F166)&gt;zincirTolerans,"ZİNCİR KIRIK","OK")))</f>
        <v/>
      </c>
      <c r="P166" s="35">
        <f>IF($A166="","",1)</f>
        <v/>
      </c>
    </row>
    <row r="167">
      <c r="A167" s="29" t="n"/>
      <c r="B167" s="29" t="n"/>
      <c r="C167" s="70" t="n"/>
      <c r="D167" s="29" t="n"/>
      <c r="E167" s="29" t="n"/>
      <c r="F167" s="30" t="n"/>
      <c r="G167" s="30" t="n"/>
      <c r="H167" s="31" t="n"/>
      <c r="I167" s="31" t="n"/>
      <c r="J167" s="29" t="n"/>
      <c r="K167" s="35">
        <f>IF($A167="","",IF($C167="","",raporTarihi-$C167))</f>
        <v/>
      </c>
      <c r="L167" s="35">
        <f>IF($A167="","",IF($K167="","",IF($K167&lt;=7,"0-7",IF($K167&lt;=30,"8-30",IF($K167&lt;=60,"31-60","60+")))))</f>
        <v/>
      </c>
      <c r="M167" s="35">
        <f>IF($A167="","",IF($B167="","YETİM",IF(COUNTIF(tblKartlar[KartId],$B167)=0,"YETİM","")))</f>
        <v/>
      </c>
      <c r="N167" s="35">
        <f>IF(OR($A167="",$D167=""),"",IF(OR($D167&amp;"|"&amp;$E167="",COUNTIF(ListeIzinliGecis,$D167&amp;"|"&amp;$E167)&gt;0),"","GEÇERSİZ GEÇİŞ"))</f>
        <v/>
      </c>
      <c r="O167" s="35">
        <f>IF($A167="","",IF(OR($F167="",$G167=""),"",IF(ABS($G167-$F167)&gt;zincirTolerans,"ZİNCİR KIRIK","OK")))</f>
        <v/>
      </c>
      <c r="P167" s="35">
        <f>IF($A167="","",1)</f>
        <v/>
      </c>
    </row>
    <row r="168">
      <c r="A168" s="29" t="n"/>
      <c r="B168" s="29" t="n"/>
      <c r="C168" s="70" t="n"/>
      <c r="D168" s="29" t="n"/>
      <c r="E168" s="29" t="n"/>
      <c r="F168" s="30" t="n"/>
      <c r="G168" s="30" t="n"/>
      <c r="H168" s="31" t="n"/>
      <c r="I168" s="31" t="n"/>
      <c r="J168" s="29" t="n"/>
      <c r="K168" s="35">
        <f>IF($A168="","",IF($C168="","",raporTarihi-$C168))</f>
        <v/>
      </c>
      <c r="L168" s="35">
        <f>IF($A168="","",IF($K168="","",IF($K168&lt;=7,"0-7",IF($K168&lt;=30,"8-30",IF($K168&lt;=60,"31-60","60+")))))</f>
        <v/>
      </c>
      <c r="M168" s="35">
        <f>IF($A168="","",IF($B168="","YETİM",IF(COUNTIF(tblKartlar[KartId],$B168)=0,"YETİM","")))</f>
        <v/>
      </c>
      <c r="N168" s="35">
        <f>IF(OR($A168="",$D168=""),"",IF(OR($D168&amp;"|"&amp;$E168="",COUNTIF(ListeIzinliGecis,$D168&amp;"|"&amp;$E168)&gt;0),"","GEÇERSİZ GEÇİŞ"))</f>
        <v/>
      </c>
      <c r="O168" s="35">
        <f>IF($A168="","",IF(OR($F168="",$G168=""),"",IF(ABS($G168-$F168)&gt;zincirTolerans,"ZİNCİR KIRIK","OK")))</f>
        <v/>
      </c>
      <c r="P168" s="35">
        <f>IF($A168="","",1)</f>
        <v/>
      </c>
    </row>
    <row r="169">
      <c r="A169" s="29" t="n"/>
      <c r="B169" s="29" t="n"/>
      <c r="C169" s="70" t="n"/>
      <c r="D169" s="29" t="n"/>
      <c r="E169" s="29" t="n"/>
      <c r="F169" s="30" t="n"/>
      <c r="G169" s="30" t="n"/>
      <c r="H169" s="31" t="n"/>
      <c r="I169" s="31" t="n"/>
      <c r="J169" s="29" t="n"/>
      <c r="K169" s="35">
        <f>IF($A169="","",IF($C169="","",raporTarihi-$C169))</f>
        <v/>
      </c>
      <c r="L169" s="35">
        <f>IF($A169="","",IF($K169="","",IF($K169&lt;=7,"0-7",IF($K169&lt;=30,"8-30",IF($K169&lt;=60,"31-60","60+")))))</f>
        <v/>
      </c>
      <c r="M169" s="35">
        <f>IF($A169="","",IF($B169="","YETİM",IF(COUNTIF(tblKartlar[KartId],$B169)=0,"YETİM","")))</f>
        <v/>
      </c>
      <c r="N169" s="35">
        <f>IF(OR($A169="",$D169=""),"",IF(OR($D169&amp;"|"&amp;$E169="",COUNTIF(ListeIzinliGecis,$D169&amp;"|"&amp;$E169)&gt;0),"","GEÇERSİZ GEÇİŞ"))</f>
        <v/>
      </c>
      <c r="O169" s="35">
        <f>IF($A169="","",IF(OR($F169="",$G169=""),"",IF(ABS($G169-$F169)&gt;zincirTolerans,"ZİNCİR KIRIK","OK")))</f>
        <v/>
      </c>
      <c r="P169" s="35">
        <f>IF($A169="","",1)</f>
        <v/>
      </c>
    </row>
    <row r="170">
      <c r="A170" s="29" t="n"/>
      <c r="B170" s="29" t="n"/>
      <c r="C170" s="70" t="n"/>
      <c r="D170" s="29" t="n"/>
      <c r="E170" s="29" t="n"/>
      <c r="F170" s="30" t="n"/>
      <c r="G170" s="30" t="n"/>
      <c r="H170" s="31" t="n"/>
      <c r="I170" s="31" t="n"/>
      <c r="J170" s="29" t="n"/>
      <c r="K170" s="35">
        <f>IF($A170="","",IF($C170="","",raporTarihi-$C170))</f>
        <v/>
      </c>
      <c r="L170" s="35">
        <f>IF($A170="","",IF($K170="","",IF($K170&lt;=7,"0-7",IF($K170&lt;=30,"8-30",IF($K170&lt;=60,"31-60","60+")))))</f>
        <v/>
      </c>
      <c r="M170" s="35">
        <f>IF($A170="","",IF($B170="","YETİM",IF(COUNTIF(tblKartlar[KartId],$B170)=0,"YETİM","")))</f>
        <v/>
      </c>
      <c r="N170" s="35">
        <f>IF(OR($A170="",$D170=""),"",IF(OR($D170&amp;"|"&amp;$E170="",COUNTIF(ListeIzinliGecis,$D170&amp;"|"&amp;$E170)&gt;0),"","GEÇERSİZ GEÇİŞ"))</f>
        <v/>
      </c>
      <c r="O170" s="35">
        <f>IF($A170="","",IF(OR($F170="",$G170=""),"",IF(ABS($G170-$F170)&gt;zincirTolerans,"ZİNCİR KIRIK","OK")))</f>
        <v/>
      </c>
      <c r="P170" s="35">
        <f>IF($A170="","",1)</f>
        <v/>
      </c>
    </row>
    <row r="171">
      <c r="A171" s="29" t="n"/>
      <c r="B171" s="29" t="n"/>
      <c r="C171" s="70" t="n"/>
      <c r="D171" s="29" t="n"/>
      <c r="E171" s="29" t="n"/>
      <c r="F171" s="30" t="n"/>
      <c r="G171" s="30" t="n"/>
      <c r="H171" s="31" t="n"/>
      <c r="I171" s="31" t="n"/>
      <c r="J171" s="29" t="n"/>
      <c r="K171" s="35">
        <f>IF($A171="","",IF($C171="","",raporTarihi-$C171))</f>
        <v/>
      </c>
      <c r="L171" s="35">
        <f>IF($A171="","",IF($K171="","",IF($K171&lt;=7,"0-7",IF($K171&lt;=30,"8-30",IF($K171&lt;=60,"31-60","60+")))))</f>
        <v/>
      </c>
      <c r="M171" s="35">
        <f>IF($A171="","",IF($B171="","YETİM",IF(COUNTIF(tblKartlar[KartId],$B171)=0,"YETİM","")))</f>
        <v/>
      </c>
      <c r="N171" s="35">
        <f>IF(OR($A171="",$D171=""),"",IF(OR($D171&amp;"|"&amp;$E171="",COUNTIF(ListeIzinliGecis,$D171&amp;"|"&amp;$E171)&gt;0),"","GEÇERSİZ GEÇİŞ"))</f>
        <v/>
      </c>
      <c r="O171" s="35">
        <f>IF($A171="","",IF(OR($F171="",$G171=""),"",IF(ABS($G171-$F171)&gt;zincirTolerans,"ZİNCİR KIRIK","OK")))</f>
        <v/>
      </c>
      <c r="P171" s="35">
        <f>IF($A171="","",1)</f>
        <v/>
      </c>
    </row>
    <row r="172">
      <c r="A172" s="29" t="n"/>
      <c r="B172" s="29" t="n"/>
      <c r="C172" s="70" t="n"/>
      <c r="D172" s="29" t="n"/>
      <c r="E172" s="29" t="n"/>
      <c r="F172" s="30" t="n"/>
      <c r="G172" s="30" t="n"/>
      <c r="H172" s="31" t="n"/>
      <c r="I172" s="31" t="n"/>
      <c r="J172" s="29" t="n"/>
      <c r="K172" s="35">
        <f>IF($A172="","",IF($C172="","",raporTarihi-$C172))</f>
        <v/>
      </c>
      <c r="L172" s="35">
        <f>IF($A172="","",IF($K172="","",IF($K172&lt;=7,"0-7",IF($K172&lt;=30,"8-30",IF($K172&lt;=60,"31-60","60+")))))</f>
        <v/>
      </c>
      <c r="M172" s="35">
        <f>IF($A172="","",IF($B172="","YETİM",IF(COUNTIF(tblKartlar[KartId],$B172)=0,"YETİM","")))</f>
        <v/>
      </c>
      <c r="N172" s="35">
        <f>IF(OR($A172="",$D172=""),"",IF(OR($D172&amp;"|"&amp;$E172="",COUNTIF(ListeIzinliGecis,$D172&amp;"|"&amp;$E172)&gt;0),"","GEÇERSİZ GEÇİŞ"))</f>
        <v/>
      </c>
      <c r="O172" s="35">
        <f>IF($A172="","",IF(OR($F172="",$G172=""),"",IF(ABS($G172-$F172)&gt;zincirTolerans,"ZİNCİR KIRIK","OK")))</f>
        <v/>
      </c>
      <c r="P172" s="35">
        <f>IF($A172="","",1)</f>
        <v/>
      </c>
    </row>
    <row r="173">
      <c r="A173" s="29" t="n"/>
      <c r="B173" s="29" t="n"/>
      <c r="C173" s="70" t="n"/>
      <c r="D173" s="29" t="n"/>
      <c r="E173" s="29" t="n"/>
      <c r="F173" s="30" t="n"/>
      <c r="G173" s="30" t="n"/>
      <c r="H173" s="31" t="n"/>
      <c r="I173" s="31" t="n"/>
      <c r="J173" s="29" t="n"/>
      <c r="K173" s="35">
        <f>IF($A173="","",IF($C173="","",raporTarihi-$C173))</f>
        <v/>
      </c>
      <c r="L173" s="35">
        <f>IF($A173="","",IF($K173="","",IF($K173&lt;=7,"0-7",IF($K173&lt;=30,"8-30",IF($K173&lt;=60,"31-60","60+")))))</f>
        <v/>
      </c>
      <c r="M173" s="35">
        <f>IF($A173="","",IF($B173="","YETİM",IF(COUNTIF(tblKartlar[KartId],$B173)=0,"YETİM","")))</f>
        <v/>
      </c>
      <c r="N173" s="35">
        <f>IF(OR($A173="",$D173=""),"",IF(OR($D173&amp;"|"&amp;$E173="",COUNTIF(ListeIzinliGecis,$D173&amp;"|"&amp;$E173)&gt;0),"","GEÇERSİZ GEÇİŞ"))</f>
        <v/>
      </c>
      <c r="O173" s="35">
        <f>IF($A173="","",IF(OR($F173="",$G173=""),"",IF(ABS($G173-$F173)&gt;zincirTolerans,"ZİNCİR KIRIK","OK")))</f>
        <v/>
      </c>
      <c r="P173" s="35">
        <f>IF($A173="","",1)</f>
        <v/>
      </c>
    </row>
    <row r="174">
      <c r="A174" s="29" t="n"/>
      <c r="B174" s="29" t="n"/>
      <c r="C174" s="70" t="n"/>
      <c r="D174" s="29" t="n"/>
      <c r="E174" s="29" t="n"/>
      <c r="F174" s="30" t="n"/>
      <c r="G174" s="30" t="n"/>
      <c r="H174" s="31" t="n"/>
      <c r="I174" s="31" t="n"/>
      <c r="J174" s="29" t="n"/>
      <c r="K174" s="35">
        <f>IF($A174="","",IF($C174="","",raporTarihi-$C174))</f>
        <v/>
      </c>
      <c r="L174" s="35">
        <f>IF($A174="","",IF($K174="","",IF($K174&lt;=7,"0-7",IF($K174&lt;=30,"8-30",IF($K174&lt;=60,"31-60","60+")))))</f>
        <v/>
      </c>
      <c r="M174" s="35">
        <f>IF($A174="","",IF($B174="","YETİM",IF(COUNTIF(tblKartlar[KartId],$B174)=0,"YETİM","")))</f>
        <v/>
      </c>
      <c r="N174" s="35">
        <f>IF(OR($A174="",$D174=""),"",IF(OR($D174&amp;"|"&amp;$E174="",COUNTIF(ListeIzinliGecis,$D174&amp;"|"&amp;$E174)&gt;0),"","GEÇERSİZ GEÇİŞ"))</f>
        <v/>
      </c>
      <c r="O174" s="35">
        <f>IF($A174="","",IF(OR($F174="",$G174=""),"",IF(ABS($G174-$F174)&gt;zincirTolerans,"ZİNCİR KIRIK","OK")))</f>
        <v/>
      </c>
      <c r="P174" s="35">
        <f>IF($A174="","",1)</f>
        <v/>
      </c>
    </row>
    <row r="175">
      <c r="A175" s="29" t="n"/>
      <c r="B175" s="29" t="n"/>
      <c r="C175" s="70" t="n"/>
      <c r="D175" s="29" t="n"/>
      <c r="E175" s="29" t="n"/>
      <c r="F175" s="30" t="n"/>
      <c r="G175" s="30" t="n"/>
      <c r="H175" s="31" t="n"/>
      <c r="I175" s="31" t="n"/>
      <c r="J175" s="29" t="n"/>
      <c r="K175" s="35">
        <f>IF($A175="","",IF($C175="","",raporTarihi-$C175))</f>
        <v/>
      </c>
      <c r="L175" s="35">
        <f>IF($A175="","",IF($K175="","",IF($K175&lt;=7,"0-7",IF($K175&lt;=30,"8-30",IF($K175&lt;=60,"31-60","60+")))))</f>
        <v/>
      </c>
      <c r="M175" s="35">
        <f>IF($A175="","",IF($B175="","YETİM",IF(COUNTIF(tblKartlar[KartId],$B175)=0,"YETİM","")))</f>
        <v/>
      </c>
      <c r="N175" s="35">
        <f>IF(OR($A175="",$D175=""),"",IF(OR($D175&amp;"|"&amp;$E175="",COUNTIF(ListeIzinliGecis,$D175&amp;"|"&amp;$E175)&gt;0),"","GEÇERSİZ GEÇİŞ"))</f>
        <v/>
      </c>
      <c r="O175" s="35">
        <f>IF($A175="","",IF(OR($F175="",$G175=""),"",IF(ABS($G175-$F175)&gt;zincirTolerans,"ZİNCİR KIRIK","OK")))</f>
        <v/>
      </c>
      <c r="P175" s="35">
        <f>IF($A175="","",1)</f>
        <v/>
      </c>
    </row>
    <row r="176">
      <c r="A176" s="29" t="n"/>
      <c r="B176" s="29" t="n"/>
      <c r="C176" s="70" t="n"/>
      <c r="D176" s="29" t="n"/>
      <c r="E176" s="29" t="n"/>
      <c r="F176" s="30" t="n"/>
      <c r="G176" s="30" t="n"/>
      <c r="H176" s="31" t="n"/>
      <c r="I176" s="31" t="n"/>
      <c r="J176" s="29" t="n"/>
      <c r="K176" s="35">
        <f>IF($A176="","",IF($C176="","",raporTarihi-$C176))</f>
        <v/>
      </c>
      <c r="L176" s="35">
        <f>IF($A176="","",IF($K176="","",IF($K176&lt;=7,"0-7",IF($K176&lt;=30,"8-30",IF($K176&lt;=60,"31-60","60+")))))</f>
        <v/>
      </c>
      <c r="M176" s="35">
        <f>IF($A176="","",IF($B176="","YETİM",IF(COUNTIF(tblKartlar[KartId],$B176)=0,"YETİM","")))</f>
        <v/>
      </c>
      <c r="N176" s="35">
        <f>IF(OR($A176="",$D176=""),"",IF(OR($D176&amp;"|"&amp;$E176="",COUNTIF(ListeIzinliGecis,$D176&amp;"|"&amp;$E176)&gt;0),"","GEÇERSİZ GEÇİŞ"))</f>
        <v/>
      </c>
      <c r="O176" s="35">
        <f>IF($A176="","",IF(OR($F176="",$G176=""),"",IF(ABS($G176-$F176)&gt;zincirTolerans,"ZİNCİR KIRIK","OK")))</f>
        <v/>
      </c>
      <c r="P176" s="35">
        <f>IF($A176="","",1)</f>
        <v/>
      </c>
    </row>
    <row r="177">
      <c r="A177" s="29" t="n"/>
      <c r="B177" s="29" t="n"/>
      <c r="C177" s="70" t="n"/>
      <c r="D177" s="29" t="n"/>
      <c r="E177" s="29" t="n"/>
      <c r="F177" s="30" t="n"/>
      <c r="G177" s="30" t="n"/>
      <c r="H177" s="31" t="n"/>
      <c r="I177" s="31" t="n"/>
      <c r="J177" s="29" t="n"/>
      <c r="K177" s="35">
        <f>IF($A177="","",IF($C177="","",raporTarihi-$C177))</f>
        <v/>
      </c>
      <c r="L177" s="35">
        <f>IF($A177="","",IF($K177="","",IF($K177&lt;=7,"0-7",IF($K177&lt;=30,"8-30",IF($K177&lt;=60,"31-60","60+")))))</f>
        <v/>
      </c>
      <c r="M177" s="35">
        <f>IF($A177="","",IF($B177="","YETİM",IF(COUNTIF(tblKartlar[KartId],$B177)=0,"YETİM","")))</f>
        <v/>
      </c>
      <c r="N177" s="35">
        <f>IF(OR($A177="",$D177=""),"",IF(OR($D177&amp;"|"&amp;$E177="",COUNTIF(ListeIzinliGecis,$D177&amp;"|"&amp;$E177)&gt;0),"","GEÇERSİZ GEÇİŞ"))</f>
        <v/>
      </c>
      <c r="O177" s="35">
        <f>IF($A177="","",IF(OR($F177="",$G177=""),"",IF(ABS($G177-$F177)&gt;zincirTolerans,"ZİNCİR KIRIK","OK")))</f>
        <v/>
      </c>
      <c r="P177" s="35">
        <f>IF($A177="","",1)</f>
        <v/>
      </c>
    </row>
    <row r="178">
      <c r="A178" s="29" t="n"/>
      <c r="B178" s="29" t="n"/>
      <c r="C178" s="70" t="n"/>
      <c r="D178" s="29" t="n"/>
      <c r="E178" s="29" t="n"/>
      <c r="F178" s="30" t="n"/>
      <c r="G178" s="30" t="n"/>
      <c r="H178" s="31" t="n"/>
      <c r="I178" s="31" t="n"/>
      <c r="J178" s="29" t="n"/>
      <c r="K178" s="35">
        <f>IF($A178="","",IF($C178="","",raporTarihi-$C178))</f>
        <v/>
      </c>
      <c r="L178" s="35">
        <f>IF($A178="","",IF($K178="","",IF($K178&lt;=7,"0-7",IF($K178&lt;=30,"8-30",IF($K178&lt;=60,"31-60","60+")))))</f>
        <v/>
      </c>
      <c r="M178" s="35">
        <f>IF($A178="","",IF($B178="","YETİM",IF(COUNTIF(tblKartlar[KartId],$B178)=0,"YETİM","")))</f>
        <v/>
      </c>
      <c r="N178" s="35">
        <f>IF(OR($A178="",$D178=""),"",IF(OR($D178&amp;"|"&amp;$E178="",COUNTIF(ListeIzinliGecis,$D178&amp;"|"&amp;$E178)&gt;0),"","GEÇERSİZ GEÇİŞ"))</f>
        <v/>
      </c>
      <c r="O178" s="35">
        <f>IF($A178="","",IF(OR($F178="",$G178=""),"",IF(ABS($G178-$F178)&gt;zincirTolerans,"ZİNCİR KIRIK","OK")))</f>
        <v/>
      </c>
      <c r="P178" s="35">
        <f>IF($A178="","",1)</f>
        <v/>
      </c>
    </row>
    <row r="179">
      <c r="A179" s="29" t="n"/>
      <c r="B179" s="29" t="n"/>
      <c r="C179" s="70" t="n"/>
      <c r="D179" s="29" t="n"/>
      <c r="E179" s="29" t="n"/>
      <c r="F179" s="30" t="n"/>
      <c r="G179" s="30" t="n"/>
      <c r="H179" s="31" t="n"/>
      <c r="I179" s="31" t="n"/>
      <c r="J179" s="29" t="n"/>
      <c r="K179" s="35">
        <f>IF($A179="","",IF($C179="","",raporTarihi-$C179))</f>
        <v/>
      </c>
      <c r="L179" s="35">
        <f>IF($A179="","",IF($K179="","",IF($K179&lt;=7,"0-7",IF($K179&lt;=30,"8-30",IF($K179&lt;=60,"31-60","60+")))))</f>
        <v/>
      </c>
      <c r="M179" s="35">
        <f>IF($A179="","",IF($B179="","YETİM",IF(COUNTIF(tblKartlar[KartId],$B179)=0,"YETİM","")))</f>
        <v/>
      </c>
      <c r="N179" s="35">
        <f>IF(OR($A179="",$D179=""),"",IF(OR($D179&amp;"|"&amp;$E179="",COUNTIF(ListeIzinliGecis,$D179&amp;"|"&amp;$E179)&gt;0),"","GEÇERSİZ GEÇİŞ"))</f>
        <v/>
      </c>
      <c r="O179" s="35">
        <f>IF($A179="","",IF(OR($F179="",$G179=""),"",IF(ABS($G179-$F179)&gt;zincirTolerans,"ZİNCİR KIRIK","OK")))</f>
        <v/>
      </c>
      <c r="P179" s="35">
        <f>IF($A179="","",1)</f>
        <v/>
      </c>
    </row>
    <row r="180">
      <c r="A180" s="29" t="n"/>
      <c r="B180" s="29" t="n"/>
      <c r="C180" s="70" t="n"/>
      <c r="D180" s="29" t="n"/>
      <c r="E180" s="29" t="n"/>
      <c r="F180" s="30" t="n"/>
      <c r="G180" s="30" t="n"/>
      <c r="H180" s="31" t="n"/>
      <c r="I180" s="31" t="n"/>
      <c r="J180" s="29" t="n"/>
      <c r="K180" s="35">
        <f>IF($A180="","",IF($C180="","",raporTarihi-$C180))</f>
        <v/>
      </c>
      <c r="L180" s="35">
        <f>IF($A180="","",IF($K180="","",IF($K180&lt;=7,"0-7",IF($K180&lt;=30,"8-30",IF($K180&lt;=60,"31-60","60+")))))</f>
        <v/>
      </c>
      <c r="M180" s="35">
        <f>IF($A180="","",IF($B180="","YETİM",IF(COUNTIF(tblKartlar[KartId],$B180)=0,"YETİM","")))</f>
        <v/>
      </c>
      <c r="N180" s="35">
        <f>IF(OR($A180="",$D180=""),"",IF(OR($D180&amp;"|"&amp;$E180="",COUNTIF(ListeIzinliGecis,$D180&amp;"|"&amp;$E180)&gt;0),"","GEÇERSİZ GEÇİŞ"))</f>
        <v/>
      </c>
      <c r="O180" s="35">
        <f>IF($A180="","",IF(OR($F180="",$G180=""),"",IF(ABS($G180-$F180)&gt;zincirTolerans,"ZİNCİR KIRIK","OK")))</f>
        <v/>
      </c>
      <c r="P180" s="35">
        <f>IF($A180="","",1)</f>
        <v/>
      </c>
    </row>
    <row r="181">
      <c r="A181" s="29" t="n"/>
      <c r="B181" s="29" t="n"/>
      <c r="C181" s="70" t="n"/>
      <c r="D181" s="29" t="n"/>
      <c r="E181" s="29" t="n"/>
      <c r="F181" s="30" t="n"/>
      <c r="G181" s="30" t="n"/>
      <c r="H181" s="31" t="n"/>
      <c r="I181" s="31" t="n"/>
      <c r="J181" s="29" t="n"/>
      <c r="K181" s="35">
        <f>IF($A181="","",IF($C181="","",raporTarihi-$C181))</f>
        <v/>
      </c>
      <c r="L181" s="35">
        <f>IF($A181="","",IF($K181="","",IF($K181&lt;=7,"0-7",IF($K181&lt;=30,"8-30",IF($K181&lt;=60,"31-60","60+")))))</f>
        <v/>
      </c>
      <c r="M181" s="35">
        <f>IF($A181="","",IF($B181="","YETİM",IF(COUNTIF(tblKartlar[KartId],$B181)=0,"YETİM","")))</f>
        <v/>
      </c>
      <c r="N181" s="35">
        <f>IF(OR($A181="",$D181=""),"",IF(OR($D181&amp;"|"&amp;$E181="",COUNTIF(ListeIzinliGecis,$D181&amp;"|"&amp;$E181)&gt;0),"","GEÇERSİZ GEÇİŞ"))</f>
        <v/>
      </c>
      <c r="O181" s="35">
        <f>IF($A181="","",IF(OR($F181="",$G181=""),"",IF(ABS($G181-$F181)&gt;zincirTolerans,"ZİNCİR KIRIK","OK")))</f>
        <v/>
      </c>
      <c r="P181" s="35">
        <f>IF($A181="","",1)</f>
        <v/>
      </c>
    </row>
    <row r="182">
      <c r="A182" s="29" t="n"/>
      <c r="B182" s="29" t="n"/>
      <c r="C182" s="70" t="n"/>
      <c r="D182" s="29" t="n"/>
      <c r="E182" s="29" t="n"/>
      <c r="F182" s="30" t="n"/>
      <c r="G182" s="30" t="n"/>
      <c r="H182" s="31" t="n"/>
      <c r="I182" s="31" t="n"/>
      <c r="J182" s="29" t="n"/>
      <c r="K182" s="35">
        <f>IF($A182="","",IF($C182="","",raporTarihi-$C182))</f>
        <v/>
      </c>
      <c r="L182" s="35">
        <f>IF($A182="","",IF($K182="","",IF($K182&lt;=7,"0-7",IF($K182&lt;=30,"8-30",IF($K182&lt;=60,"31-60","60+")))))</f>
        <v/>
      </c>
      <c r="M182" s="35">
        <f>IF($A182="","",IF($B182="","YETİM",IF(COUNTIF(tblKartlar[KartId],$B182)=0,"YETİM","")))</f>
        <v/>
      </c>
      <c r="N182" s="35">
        <f>IF(OR($A182="",$D182=""),"",IF(OR($D182&amp;"|"&amp;$E182="",COUNTIF(ListeIzinliGecis,$D182&amp;"|"&amp;$E182)&gt;0),"","GEÇERSİZ GEÇİŞ"))</f>
        <v/>
      </c>
      <c r="O182" s="35">
        <f>IF($A182="","",IF(OR($F182="",$G182=""),"",IF(ABS($G182-$F182)&gt;zincirTolerans,"ZİNCİR KIRIK","OK")))</f>
        <v/>
      </c>
      <c r="P182" s="35">
        <f>IF($A182="","",1)</f>
        <v/>
      </c>
    </row>
    <row r="183">
      <c r="A183" s="29" t="n"/>
      <c r="B183" s="29" t="n"/>
      <c r="C183" s="70" t="n"/>
      <c r="D183" s="29" t="n"/>
      <c r="E183" s="29" t="n"/>
      <c r="F183" s="30" t="n"/>
      <c r="G183" s="30" t="n"/>
      <c r="H183" s="31" t="n"/>
      <c r="I183" s="31" t="n"/>
      <c r="J183" s="29" t="n"/>
      <c r="K183" s="35">
        <f>IF($A183="","",IF($C183="","",raporTarihi-$C183))</f>
        <v/>
      </c>
      <c r="L183" s="35">
        <f>IF($A183="","",IF($K183="","",IF($K183&lt;=7,"0-7",IF($K183&lt;=30,"8-30",IF($K183&lt;=60,"31-60","60+")))))</f>
        <v/>
      </c>
      <c r="M183" s="35">
        <f>IF($A183="","",IF($B183="","YETİM",IF(COUNTIF(tblKartlar[KartId],$B183)=0,"YETİM","")))</f>
        <v/>
      </c>
      <c r="N183" s="35">
        <f>IF(OR($A183="",$D183=""),"",IF(OR($D183&amp;"|"&amp;$E183="",COUNTIF(ListeIzinliGecis,$D183&amp;"|"&amp;$E183)&gt;0),"","GEÇERSİZ GEÇİŞ"))</f>
        <v/>
      </c>
      <c r="O183" s="35">
        <f>IF($A183="","",IF(OR($F183="",$G183=""),"",IF(ABS($G183-$F183)&gt;zincirTolerans,"ZİNCİR KIRIK","OK")))</f>
        <v/>
      </c>
      <c r="P183" s="35">
        <f>IF($A183="","",1)</f>
        <v/>
      </c>
    </row>
    <row r="184">
      <c r="A184" s="29" t="n"/>
      <c r="B184" s="29" t="n"/>
      <c r="C184" s="70" t="n"/>
      <c r="D184" s="29" t="n"/>
      <c r="E184" s="29" t="n"/>
      <c r="F184" s="30" t="n"/>
      <c r="G184" s="30" t="n"/>
      <c r="H184" s="31" t="n"/>
      <c r="I184" s="31" t="n"/>
      <c r="J184" s="29" t="n"/>
      <c r="K184" s="35">
        <f>IF($A184="","",IF($C184="","",raporTarihi-$C184))</f>
        <v/>
      </c>
      <c r="L184" s="35">
        <f>IF($A184="","",IF($K184="","",IF($K184&lt;=7,"0-7",IF($K184&lt;=30,"8-30",IF($K184&lt;=60,"31-60","60+")))))</f>
        <v/>
      </c>
      <c r="M184" s="35">
        <f>IF($A184="","",IF($B184="","YETİM",IF(COUNTIF(tblKartlar[KartId],$B184)=0,"YETİM","")))</f>
        <v/>
      </c>
      <c r="N184" s="35">
        <f>IF(OR($A184="",$D184=""),"",IF(OR($D184&amp;"|"&amp;$E184="",COUNTIF(ListeIzinliGecis,$D184&amp;"|"&amp;$E184)&gt;0),"","GEÇERSİZ GEÇİŞ"))</f>
        <v/>
      </c>
      <c r="O184" s="35">
        <f>IF($A184="","",IF(OR($F184="",$G184=""),"",IF(ABS($G184-$F184)&gt;zincirTolerans,"ZİNCİR KIRIK","OK")))</f>
        <v/>
      </c>
      <c r="P184" s="35">
        <f>IF($A184="","",1)</f>
        <v/>
      </c>
    </row>
    <row r="185">
      <c r="A185" s="29" t="n"/>
      <c r="B185" s="29" t="n"/>
      <c r="C185" s="70" t="n"/>
      <c r="D185" s="29" t="n"/>
      <c r="E185" s="29" t="n"/>
      <c r="F185" s="30" t="n"/>
      <c r="G185" s="30" t="n"/>
      <c r="H185" s="31" t="n"/>
      <c r="I185" s="31" t="n"/>
      <c r="J185" s="29" t="n"/>
      <c r="K185" s="35">
        <f>IF($A185="","",IF($C185="","",raporTarihi-$C185))</f>
        <v/>
      </c>
      <c r="L185" s="35">
        <f>IF($A185="","",IF($K185="","",IF($K185&lt;=7,"0-7",IF($K185&lt;=30,"8-30",IF($K185&lt;=60,"31-60","60+")))))</f>
        <v/>
      </c>
      <c r="M185" s="35">
        <f>IF($A185="","",IF($B185="","YETİM",IF(COUNTIF(tblKartlar[KartId],$B185)=0,"YETİM","")))</f>
        <v/>
      </c>
      <c r="N185" s="35">
        <f>IF(OR($A185="",$D185=""),"",IF(OR($D185&amp;"|"&amp;$E185="",COUNTIF(ListeIzinliGecis,$D185&amp;"|"&amp;$E185)&gt;0),"","GEÇERSİZ GEÇİŞ"))</f>
        <v/>
      </c>
      <c r="O185" s="35">
        <f>IF($A185="","",IF(OR($F185="",$G185=""),"",IF(ABS($G185-$F185)&gt;zincirTolerans,"ZİNCİR KIRIK","OK")))</f>
        <v/>
      </c>
      <c r="P185" s="35">
        <f>IF($A185="","",1)</f>
        <v/>
      </c>
    </row>
    <row r="186">
      <c r="A186" s="29" t="n"/>
      <c r="B186" s="29" t="n"/>
      <c r="C186" s="70" t="n"/>
      <c r="D186" s="29" t="n"/>
      <c r="E186" s="29" t="n"/>
      <c r="F186" s="30" t="n"/>
      <c r="G186" s="30" t="n"/>
      <c r="H186" s="31" t="n"/>
      <c r="I186" s="31" t="n"/>
      <c r="J186" s="29" t="n"/>
      <c r="K186" s="35">
        <f>IF($A186="","",IF($C186="","",raporTarihi-$C186))</f>
        <v/>
      </c>
      <c r="L186" s="35">
        <f>IF($A186="","",IF($K186="","",IF($K186&lt;=7,"0-7",IF($K186&lt;=30,"8-30",IF($K186&lt;=60,"31-60","60+")))))</f>
        <v/>
      </c>
      <c r="M186" s="35">
        <f>IF($A186="","",IF($B186="","YETİM",IF(COUNTIF(tblKartlar[KartId],$B186)=0,"YETİM","")))</f>
        <v/>
      </c>
      <c r="N186" s="35">
        <f>IF(OR($A186="",$D186=""),"",IF(OR($D186&amp;"|"&amp;$E186="",COUNTIF(ListeIzinliGecis,$D186&amp;"|"&amp;$E186)&gt;0),"","GEÇERSİZ GEÇİŞ"))</f>
        <v/>
      </c>
      <c r="O186" s="35">
        <f>IF($A186="","",IF(OR($F186="",$G186=""),"",IF(ABS($G186-$F186)&gt;zincirTolerans,"ZİNCİR KIRIK","OK")))</f>
        <v/>
      </c>
      <c r="P186" s="35">
        <f>IF($A186="","",1)</f>
        <v/>
      </c>
    </row>
    <row r="187">
      <c r="A187" s="29" t="n"/>
      <c r="B187" s="29" t="n"/>
      <c r="C187" s="70" t="n"/>
      <c r="D187" s="29" t="n"/>
      <c r="E187" s="29" t="n"/>
      <c r="F187" s="30" t="n"/>
      <c r="G187" s="30" t="n"/>
      <c r="H187" s="31" t="n"/>
      <c r="I187" s="31" t="n"/>
      <c r="J187" s="29" t="n"/>
      <c r="K187" s="35">
        <f>IF($A187="","",IF($C187="","",raporTarihi-$C187))</f>
        <v/>
      </c>
      <c r="L187" s="35">
        <f>IF($A187="","",IF($K187="","",IF($K187&lt;=7,"0-7",IF($K187&lt;=30,"8-30",IF($K187&lt;=60,"31-60","60+")))))</f>
        <v/>
      </c>
      <c r="M187" s="35">
        <f>IF($A187="","",IF($B187="","YETİM",IF(COUNTIF(tblKartlar[KartId],$B187)=0,"YETİM","")))</f>
        <v/>
      </c>
      <c r="N187" s="35">
        <f>IF(OR($A187="",$D187=""),"",IF(OR($D187&amp;"|"&amp;$E187="",COUNTIF(ListeIzinliGecis,$D187&amp;"|"&amp;$E187)&gt;0),"","GEÇERSİZ GEÇİŞ"))</f>
        <v/>
      </c>
      <c r="O187" s="35">
        <f>IF($A187="","",IF(OR($F187="",$G187=""),"",IF(ABS($G187-$F187)&gt;zincirTolerans,"ZİNCİR KIRIK","OK")))</f>
        <v/>
      </c>
      <c r="P187" s="35">
        <f>IF($A187="","",1)</f>
        <v/>
      </c>
    </row>
    <row r="188">
      <c r="A188" s="29" t="n"/>
      <c r="B188" s="29" t="n"/>
      <c r="C188" s="70" t="n"/>
      <c r="D188" s="29" t="n"/>
      <c r="E188" s="29" t="n"/>
      <c r="F188" s="30" t="n"/>
      <c r="G188" s="30" t="n"/>
      <c r="H188" s="31" t="n"/>
      <c r="I188" s="31" t="n"/>
      <c r="J188" s="29" t="n"/>
      <c r="K188" s="35">
        <f>IF($A188="","",IF($C188="","",raporTarihi-$C188))</f>
        <v/>
      </c>
      <c r="L188" s="35">
        <f>IF($A188="","",IF($K188="","",IF($K188&lt;=7,"0-7",IF($K188&lt;=30,"8-30",IF($K188&lt;=60,"31-60","60+")))))</f>
        <v/>
      </c>
      <c r="M188" s="35">
        <f>IF($A188="","",IF($B188="","YETİM",IF(COUNTIF(tblKartlar[KartId],$B188)=0,"YETİM","")))</f>
        <v/>
      </c>
      <c r="N188" s="35">
        <f>IF(OR($A188="",$D188=""),"",IF(OR($D188&amp;"|"&amp;$E188="",COUNTIF(ListeIzinliGecis,$D188&amp;"|"&amp;$E188)&gt;0),"","GEÇERSİZ GEÇİŞ"))</f>
        <v/>
      </c>
      <c r="O188" s="35">
        <f>IF($A188="","",IF(OR($F188="",$G188=""),"",IF(ABS($G188-$F188)&gt;zincirTolerans,"ZİNCİR KIRIK","OK")))</f>
        <v/>
      </c>
      <c r="P188" s="35">
        <f>IF($A188="","",1)</f>
        <v/>
      </c>
    </row>
    <row r="189">
      <c r="A189" s="29" t="n"/>
      <c r="B189" s="29" t="n"/>
      <c r="C189" s="70" t="n"/>
      <c r="D189" s="29" t="n"/>
      <c r="E189" s="29" t="n"/>
      <c r="F189" s="30" t="n"/>
      <c r="G189" s="30" t="n"/>
      <c r="H189" s="31" t="n"/>
      <c r="I189" s="31" t="n"/>
      <c r="J189" s="29" t="n"/>
      <c r="K189" s="35">
        <f>IF($A189="","",IF($C189="","",raporTarihi-$C189))</f>
        <v/>
      </c>
      <c r="L189" s="35">
        <f>IF($A189="","",IF($K189="","",IF($K189&lt;=7,"0-7",IF($K189&lt;=30,"8-30",IF($K189&lt;=60,"31-60","60+")))))</f>
        <v/>
      </c>
      <c r="M189" s="35">
        <f>IF($A189="","",IF($B189="","YETİM",IF(COUNTIF(tblKartlar[KartId],$B189)=0,"YETİM","")))</f>
        <v/>
      </c>
      <c r="N189" s="35">
        <f>IF(OR($A189="",$D189=""),"",IF(OR($D189&amp;"|"&amp;$E189="",COUNTIF(ListeIzinliGecis,$D189&amp;"|"&amp;$E189)&gt;0),"","GEÇERSİZ GEÇİŞ"))</f>
        <v/>
      </c>
      <c r="O189" s="35">
        <f>IF($A189="","",IF(OR($F189="",$G189=""),"",IF(ABS($G189-$F189)&gt;zincirTolerans,"ZİNCİR KIRIK","OK")))</f>
        <v/>
      </c>
      <c r="P189" s="35">
        <f>IF($A189="","",1)</f>
        <v/>
      </c>
    </row>
    <row r="190">
      <c r="A190" s="29" t="n"/>
      <c r="B190" s="29" t="n"/>
      <c r="C190" s="70" t="n"/>
      <c r="D190" s="29" t="n"/>
      <c r="E190" s="29" t="n"/>
      <c r="F190" s="30" t="n"/>
      <c r="G190" s="30" t="n"/>
      <c r="H190" s="31" t="n"/>
      <c r="I190" s="31" t="n"/>
      <c r="J190" s="29" t="n"/>
      <c r="K190" s="35">
        <f>IF($A190="","",IF($C190="","",raporTarihi-$C190))</f>
        <v/>
      </c>
      <c r="L190" s="35">
        <f>IF($A190="","",IF($K190="","",IF($K190&lt;=7,"0-7",IF($K190&lt;=30,"8-30",IF($K190&lt;=60,"31-60","60+")))))</f>
        <v/>
      </c>
      <c r="M190" s="35">
        <f>IF($A190="","",IF($B190="","YETİM",IF(COUNTIF(tblKartlar[KartId],$B190)=0,"YETİM","")))</f>
        <v/>
      </c>
      <c r="N190" s="35">
        <f>IF(OR($A190="",$D190=""),"",IF(OR($D190&amp;"|"&amp;$E190="",COUNTIF(ListeIzinliGecis,$D190&amp;"|"&amp;$E190)&gt;0),"","GEÇERSİZ GEÇİŞ"))</f>
        <v/>
      </c>
      <c r="O190" s="35">
        <f>IF($A190="","",IF(OR($F190="",$G190=""),"",IF(ABS($G190-$F190)&gt;zincirTolerans,"ZİNCİR KIRIK","OK")))</f>
        <v/>
      </c>
      <c r="P190" s="35">
        <f>IF($A190="","",1)</f>
        <v/>
      </c>
    </row>
    <row r="191">
      <c r="A191" s="29" t="n"/>
      <c r="B191" s="29" t="n"/>
      <c r="C191" s="70" t="n"/>
      <c r="D191" s="29" t="n"/>
      <c r="E191" s="29" t="n"/>
      <c r="F191" s="30" t="n"/>
      <c r="G191" s="30" t="n"/>
      <c r="H191" s="31" t="n"/>
      <c r="I191" s="31" t="n"/>
      <c r="J191" s="29" t="n"/>
      <c r="K191" s="35">
        <f>IF($A191="","",IF($C191="","",raporTarihi-$C191))</f>
        <v/>
      </c>
      <c r="L191" s="35">
        <f>IF($A191="","",IF($K191="","",IF($K191&lt;=7,"0-7",IF($K191&lt;=30,"8-30",IF($K191&lt;=60,"31-60","60+")))))</f>
        <v/>
      </c>
      <c r="M191" s="35">
        <f>IF($A191="","",IF($B191="","YETİM",IF(COUNTIF(tblKartlar[KartId],$B191)=0,"YETİM","")))</f>
        <v/>
      </c>
      <c r="N191" s="35">
        <f>IF(OR($A191="",$D191=""),"",IF(OR($D191&amp;"|"&amp;$E191="",COUNTIF(ListeIzinliGecis,$D191&amp;"|"&amp;$E191)&gt;0),"","GEÇERSİZ GEÇİŞ"))</f>
        <v/>
      </c>
      <c r="O191" s="35">
        <f>IF($A191="","",IF(OR($F191="",$G191=""),"",IF(ABS($G191-$F191)&gt;zincirTolerans,"ZİNCİR KIRIK","OK")))</f>
        <v/>
      </c>
      <c r="P191" s="35">
        <f>IF($A191="","",1)</f>
        <v/>
      </c>
    </row>
    <row r="192">
      <c r="A192" s="29" t="n"/>
      <c r="B192" s="29" t="n"/>
      <c r="C192" s="70" t="n"/>
      <c r="D192" s="29" t="n"/>
      <c r="E192" s="29" t="n"/>
      <c r="F192" s="30" t="n"/>
      <c r="G192" s="30" t="n"/>
      <c r="H192" s="31" t="n"/>
      <c r="I192" s="31" t="n"/>
      <c r="J192" s="29" t="n"/>
      <c r="K192" s="35">
        <f>IF($A192="","",IF($C192="","",raporTarihi-$C192))</f>
        <v/>
      </c>
      <c r="L192" s="35">
        <f>IF($A192="","",IF($K192="","",IF($K192&lt;=7,"0-7",IF($K192&lt;=30,"8-30",IF($K192&lt;=60,"31-60","60+")))))</f>
        <v/>
      </c>
      <c r="M192" s="35">
        <f>IF($A192="","",IF($B192="","YETİM",IF(COUNTIF(tblKartlar[KartId],$B192)=0,"YETİM","")))</f>
        <v/>
      </c>
      <c r="N192" s="35">
        <f>IF(OR($A192="",$D192=""),"",IF(OR($D192&amp;"|"&amp;$E192="",COUNTIF(ListeIzinliGecis,$D192&amp;"|"&amp;$E192)&gt;0),"","GEÇERSİZ GEÇİŞ"))</f>
        <v/>
      </c>
      <c r="O192" s="35">
        <f>IF($A192="","",IF(OR($F192="",$G192=""),"",IF(ABS($G192-$F192)&gt;zincirTolerans,"ZİNCİR KIRIK","OK")))</f>
        <v/>
      </c>
      <c r="P192" s="35">
        <f>IF($A192="","",1)</f>
        <v/>
      </c>
    </row>
    <row r="193">
      <c r="A193" s="29" t="n"/>
      <c r="B193" s="29" t="n"/>
      <c r="C193" s="70" t="n"/>
      <c r="D193" s="29" t="n"/>
      <c r="E193" s="29" t="n"/>
      <c r="F193" s="30" t="n"/>
      <c r="G193" s="30" t="n"/>
      <c r="H193" s="31" t="n"/>
      <c r="I193" s="31" t="n"/>
      <c r="J193" s="29" t="n"/>
      <c r="K193" s="35">
        <f>IF($A193="","",IF($C193="","",raporTarihi-$C193))</f>
        <v/>
      </c>
      <c r="L193" s="35">
        <f>IF($A193="","",IF($K193="","",IF($K193&lt;=7,"0-7",IF($K193&lt;=30,"8-30",IF($K193&lt;=60,"31-60","60+")))))</f>
        <v/>
      </c>
      <c r="M193" s="35">
        <f>IF($A193="","",IF($B193="","YETİM",IF(COUNTIF(tblKartlar[KartId],$B193)=0,"YETİM","")))</f>
        <v/>
      </c>
      <c r="N193" s="35">
        <f>IF(OR($A193="",$D193=""),"",IF(OR($D193&amp;"|"&amp;$E193="",COUNTIF(ListeIzinliGecis,$D193&amp;"|"&amp;$E193)&gt;0),"","GEÇERSİZ GEÇİŞ"))</f>
        <v/>
      </c>
      <c r="O193" s="35">
        <f>IF($A193="","",IF(OR($F193="",$G193=""),"",IF(ABS($G193-$F193)&gt;zincirTolerans,"ZİNCİR KIRIK","OK")))</f>
        <v/>
      </c>
      <c r="P193" s="35">
        <f>IF($A193="","",1)</f>
        <v/>
      </c>
    </row>
    <row r="194">
      <c r="A194" s="29" t="n"/>
      <c r="B194" s="29" t="n"/>
      <c r="C194" s="70" t="n"/>
      <c r="D194" s="29" t="n"/>
      <c r="E194" s="29" t="n"/>
      <c r="F194" s="30" t="n"/>
      <c r="G194" s="30" t="n"/>
      <c r="H194" s="31" t="n"/>
      <c r="I194" s="31" t="n"/>
      <c r="J194" s="29" t="n"/>
      <c r="K194" s="35">
        <f>IF($A194="","",IF($C194="","",raporTarihi-$C194))</f>
        <v/>
      </c>
      <c r="L194" s="35">
        <f>IF($A194="","",IF($K194="","",IF($K194&lt;=7,"0-7",IF($K194&lt;=30,"8-30",IF($K194&lt;=60,"31-60","60+")))))</f>
        <v/>
      </c>
      <c r="M194" s="35">
        <f>IF($A194="","",IF($B194="","YETİM",IF(COUNTIF(tblKartlar[KartId],$B194)=0,"YETİM","")))</f>
        <v/>
      </c>
      <c r="N194" s="35">
        <f>IF(OR($A194="",$D194=""),"",IF(OR($D194&amp;"|"&amp;$E194="",COUNTIF(ListeIzinliGecis,$D194&amp;"|"&amp;$E194)&gt;0),"","GEÇERSİZ GEÇİŞ"))</f>
        <v/>
      </c>
      <c r="O194" s="35">
        <f>IF($A194="","",IF(OR($F194="",$G194=""),"",IF(ABS($G194-$F194)&gt;zincirTolerans,"ZİNCİR KIRIK","OK")))</f>
        <v/>
      </c>
      <c r="P194" s="35">
        <f>IF($A194="","",1)</f>
        <v/>
      </c>
    </row>
    <row r="195">
      <c r="A195" s="29" t="n"/>
      <c r="B195" s="29" t="n"/>
      <c r="C195" s="70" t="n"/>
      <c r="D195" s="29" t="n"/>
      <c r="E195" s="29" t="n"/>
      <c r="F195" s="30" t="n"/>
      <c r="G195" s="30" t="n"/>
      <c r="H195" s="31" t="n"/>
      <c r="I195" s="31" t="n"/>
      <c r="J195" s="29" t="n"/>
      <c r="K195" s="35">
        <f>IF($A195="","",IF($C195="","",raporTarihi-$C195))</f>
        <v/>
      </c>
      <c r="L195" s="35">
        <f>IF($A195="","",IF($K195="","",IF($K195&lt;=7,"0-7",IF($K195&lt;=30,"8-30",IF($K195&lt;=60,"31-60","60+")))))</f>
        <v/>
      </c>
      <c r="M195" s="35">
        <f>IF($A195="","",IF($B195="","YETİM",IF(COUNTIF(tblKartlar[KartId],$B195)=0,"YETİM","")))</f>
        <v/>
      </c>
      <c r="N195" s="35">
        <f>IF(OR($A195="",$D195=""),"",IF(OR($D195&amp;"|"&amp;$E195="",COUNTIF(ListeIzinliGecis,$D195&amp;"|"&amp;$E195)&gt;0),"","GEÇERSİZ GEÇİŞ"))</f>
        <v/>
      </c>
      <c r="O195" s="35">
        <f>IF($A195="","",IF(OR($F195="",$G195=""),"",IF(ABS($G195-$F195)&gt;zincirTolerans,"ZİNCİR KIRIK","OK")))</f>
        <v/>
      </c>
      <c r="P195" s="35">
        <f>IF($A195="","",1)</f>
        <v/>
      </c>
    </row>
    <row r="196">
      <c r="A196" s="29" t="n"/>
      <c r="B196" s="29" t="n"/>
      <c r="C196" s="70" t="n"/>
      <c r="D196" s="29" t="n"/>
      <c r="E196" s="29" t="n"/>
      <c r="F196" s="30" t="n"/>
      <c r="G196" s="30" t="n"/>
      <c r="H196" s="31" t="n"/>
      <c r="I196" s="31" t="n"/>
      <c r="J196" s="29" t="n"/>
      <c r="K196" s="35">
        <f>IF($A196="","",IF($C196="","",raporTarihi-$C196))</f>
        <v/>
      </c>
      <c r="L196" s="35">
        <f>IF($A196="","",IF($K196="","",IF($K196&lt;=7,"0-7",IF($K196&lt;=30,"8-30",IF($K196&lt;=60,"31-60","60+")))))</f>
        <v/>
      </c>
      <c r="M196" s="35">
        <f>IF($A196="","",IF($B196="","YETİM",IF(COUNTIF(tblKartlar[KartId],$B196)=0,"YETİM","")))</f>
        <v/>
      </c>
      <c r="N196" s="35">
        <f>IF(OR($A196="",$D196=""),"",IF(OR($D196&amp;"|"&amp;$E196="",COUNTIF(ListeIzinliGecis,$D196&amp;"|"&amp;$E196)&gt;0),"","GEÇERSİZ GEÇİŞ"))</f>
        <v/>
      </c>
      <c r="O196" s="35">
        <f>IF($A196="","",IF(OR($F196="",$G196=""),"",IF(ABS($G196-$F196)&gt;zincirTolerans,"ZİNCİR KIRIK","OK")))</f>
        <v/>
      </c>
      <c r="P196" s="35">
        <f>IF($A196="","",1)</f>
        <v/>
      </c>
    </row>
    <row r="197">
      <c r="A197" s="29" t="n"/>
      <c r="B197" s="29" t="n"/>
      <c r="C197" s="70" t="n"/>
      <c r="D197" s="29" t="n"/>
      <c r="E197" s="29" t="n"/>
      <c r="F197" s="30" t="n"/>
      <c r="G197" s="30" t="n"/>
      <c r="H197" s="31" t="n"/>
      <c r="I197" s="31" t="n"/>
      <c r="J197" s="29" t="n"/>
      <c r="K197" s="35">
        <f>IF($A197="","",IF($C197="","",raporTarihi-$C197))</f>
        <v/>
      </c>
      <c r="L197" s="35">
        <f>IF($A197="","",IF($K197="","",IF($K197&lt;=7,"0-7",IF($K197&lt;=30,"8-30",IF($K197&lt;=60,"31-60","60+")))))</f>
        <v/>
      </c>
      <c r="M197" s="35">
        <f>IF($A197="","",IF($B197="","YETİM",IF(COUNTIF(tblKartlar[KartId],$B197)=0,"YETİM","")))</f>
        <v/>
      </c>
      <c r="N197" s="35">
        <f>IF(OR($A197="",$D197=""),"",IF(OR($D197&amp;"|"&amp;$E197="",COUNTIF(ListeIzinliGecis,$D197&amp;"|"&amp;$E197)&gt;0),"","GEÇERSİZ GEÇİŞ"))</f>
        <v/>
      </c>
      <c r="O197" s="35">
        <f>IF($A197="","",IF(OR($F197="",$G197=""),"",IF(ABS($G197-$F197)&gt;zincirTolerans,"ZİNCİR KIRIK","OK")))</f>
        <v/>
      </c>
      <c r="P197" s="35">
        <f>IF($A197="","",1)</f>
        <v/>
      </c>
    </row>
    <row r="198">
      <c r="A198" s="29" t="n"/>
      <c r="B198" s="29" t="n"/>
      <c r="C198" s="70" t="n"/>
      <c r="D198" s="29" t="n"/>
      <c r="E198" s="29" t="n"/>
      <c r="F198" s="30" t="n"/>
      <c r="G198" s="30" t="n"/>
      <c r="H198" s="31" t="n"/>
      <c r="I198" s="31" t="n"/>
      <c r="J198" s="29" t="n"/>
      <c r="K198" s="35">
        <f>IF($A198="","",IF($C198="","",raporTarihi-$C198))</f>
        <v/>
      </c>
      <c r="L198" s="35">
        <f>IF($A198="","",IF($K198="","",IF($K198&lt;=7,"0-7",IF($K198&lt;=30,"8-30",IF($K198&lt;=60,"31-60","60+")))))</f>
        <v/>
      </c>
      <c r="M198" s="35">
        <f>IF($A198="","",IF($B198="","YETİM",IF(COUNTIF(tblKartlar[KartId],$B198)=0,"YETİM","")))</f>
        <v/>
      </c>
      <c r="N198" s="35">
        <f>IF(OR($A198="",$D198=""),"",IF(OR($D198&amp;"|"&amp;$E198="",COUNTIF(ListeIzinliGecis,$D198&amp;"|"&amp;$E198)&gt;0),"","GEÇERSİZ GEÇİŞ"))</f>
        <v/>
      </c>
      <c r="O198" s="35">
        <f>IF($A198="","",IF(OR($F198="",$G198=""),"",IF(ABS($G198-$F198)&gt;zincirTolerans,"ZİNCİR KIRIK","OK")))</f>
        <v/>
      </c>
      <c r="P198" s="35">
        <f>IF($A198="","",1)</f>
        <v/>
      </c>
    </row>
    <row r="199">
      <c r="A199" s="29" t="n"/>
      <c r="B199" s="29" t="n"/>
      <c r="C199" s="70" t="n"/>
      <c r="D199" s="29" t="n"/>
      <c r="E199" s="29" t="n"/>
      <c r="F199" s="30" t="n"/>
      <c r="G199" s="30" t="n"/>
      <c r="H199" s="31" t="n"/>
      <c r="I199" s="31" t="n"/>
      <c r="J199" s="29" t="n"/>
      <c r="K199" s="35">
        <f>IF($A199="","",IF($C199="","",raporTarihi-$C199))</f>
        <v/>
      </c>
      <c r="L199" s="35">
        <f>IF($A199="","",IF($K199="","",IF($K199&lt;=7,"0-7",IF($K199&lt;=30,"8-30",IF($K199&lt;=60,"31-60","60+")))))</f>
        <v/>
      </c>
      <c r="M199" s="35">
        <f>IF($A199="","",IF($B199="","YETİM",IF(COUNTIF(tblKartlar[KartId],$B199)=0,"YETİM","")))</f>
        <v/>
      </c>
      <c r="N199" s="35">
        <f>IF(OR($A199="",$D199=""),"",IF(OR($D199&amp;"|"&amp;$E199="",COUNTIF(ListeIzinliGecis,$D199&amp;"|"&amp;$E199)&gt;0),"","GEÇERSİZ GEÇİŞ"))</f>
        <v/>
      </c>
      <c r="O199" s="35">
        <f>IF($A199="","",IF(OR($F199="",$G199=""),"",IF(ABS($G199-$F199)&gt;zincirTolerans,"ZİNCİR KIRIK","OK")))</f>
        <v/>
      </c>
      <c r="P199" s="35">
        <f>IF($A199="","",1)</f>
        <v/>
      </c>
    </row>
    <row r="200">
      <c r="A200" s="29" t="n"/>
      <c r="B200" s="29" t="n"/>
      <c r="C200" s="70" t="n"/>
      <c r="D200" s="29" t="n"/>
      <c r="E200" s="29" t="n"/>
      <c r="F200" s="30" t="n"/>
      <c r="G200" s="30" t="n"/>
      <c r="H200" s="31" t="n"/>
      <c r="I200" s="31" t="n"/>
      <c r="J200" s="29" t="n"/>
      <c r="K200" s="35">
        <f>IF($A200="","",IF($C200="","",raporTarihi-$C200))</f>
        <v/>
      </c>
      <c r="L200" s="35">
        <f>IF($A200="","",IF($K200="","",IF($K200&lt;=7,"0-7",IF($K200&lt;=30,"8-30",IF($K200&lt;=60,"31-60","60+")))))</f>
        <v/>
      </c>
      <c r="M200" s="35">
        <f>IF($A200="","",IF($B200="","YETİM",IF(COUNTIF(tblKartlar[KartId],$B200)=0,"YETİM","")))</f>
        <v/>
      </c>
      <c r="N200" s="35">
        <f>IF(OR($A200="",$D200=""),"",IF(OR($D200&amp;"|"&amp;$E200="",COUNTIF(ListeIzinliGecis,$D200&amp;"|"&amp;$E200)&gt;0),"","GEÇERSİZ GEÇİŞ"))</f>
        <v/>
      </c>
      <c r="O200" s="35">
        <f>IF($A200="","",IF(OR($F200="",$G200=""),"",IF(ABS($G200-$F200)&gt;zincirTolerans,"ZİNCİR KIRIK","OK")))</f>
        <v/>
      </c>
      <c r="P200" s="35">
        <f>IF($A200="","",1)</f>
        <v/>
      </c>
    </row>
    <row r="201">
      <c r="A201" s="29" t="n"/>
      <c r="B201" s="29" t="n"/>
      <c r="C201" s="70" t="n"/>
      <c r="D201" s="29" t="n"/>
      <c r="E201" s="29" t="n"/>
      <c r="F201" s="30" t="n"/>
      <c r="G201" s="30" t="n"/>
      <c r="H201" s="31" t="n"/>
      <c r="I201" s="31" t="n"/>
      <c r="J201" s="29" t="n"/>
      <c r="K201" s="35">
        <f>IF($A201="","",IF($C201="","",raporTarihi-$C201))</f>
        <v/>
      </c>
      <c r="L201" s="35">
        <f>IF($A201="","",IF($K201="","",IF($K201&lt;=7,"0-7",IF($K201&lt;=30,"8-30",IF($K201&lt;=60,"31-60","60+")))))</f>
        <v/>
      </c>
      <c r="M201" s="35">
        <f>IF($A201="","",IF($B201="","YETİM",IF(COUNTIF(tblKartlar[KartId],$B201)=0,"YETİM","")))</f>
        <v/>
      </c>
      <c r="N201" s="35">
        <f>IF(OR($A201="",$D201=""),"",IF(OR($D201&amp;"|"&amp;$E201="",COUNTIF(ListeIzinliGecis,$D201&amp;"|"&amp;$E201)&gt;0),"","GEÇERSİZ GEÇİŞ"))</f>
        <v/>
      </c>
      <c r="O201" s="35">
        <f>IF($A201="","",IF(OR($F201="",$G201=""),"",IF(ABS($G201-$F201)&gt;zincirTolerans,"ZİNCİR KIRIK","OK")))</f>
        <v/>
      </c>
      <c r="P201" s="35">
        <f>IF($A201="","",1)</f>
        <v/>
      </c>
    </row>
    <row r="202">
      <c r="A202" s="29" t="n"/>
      <c r="B202" s="29" t="n"/>
      <c r="C202" s="70" t="n"/>
      <c r="D202" s="29" t="n"/>
      <c r="E202" s="29" t="n"/>
      <c r="F202" s="30" t="n"/>
      <c r="G202" s="30" t="n"/>
      <c r="H202" s="31" t="n"/>
      <c r="I202" s="31" t="n"/>
      <c r="J202" s="29" t="n"/>
      <c r="K202" s="35">
        <f>IF($A202="","",IF($C202="","",raporTarihi-$C202))</f>
        <v/>
      </c>
      <c r="L202" s="35">
        <f>IF($A202="","",IF($K202="","",IF($K202&lt;=7,"0-7",IF($K202&lt;=30,"8-30",IF($K202&lt;=60,"31-60","60+")))))</f>
        <v/>
      </c>
      <c r="M202" s="35">
        <f>IF($A202="","",IF($B202="","YETİM",IF(COUNTIF(tblKartlar[KartId],$B202)=0,"YETİM","")))</f>
        <v/>
      </c>
      <c r="N202" s="35">
        <f>IF(OR($A202="",$D202=""),"",IF(OR($D202&amp;"|"&amp;$E202="",COUNTIF(ListeIzinliGecis,$D202&amp;"|"&amp;$E202)&gt;0),"","GEÇERSİZ GEÇİŞ"))</f>
        <v/>
      </c>
      <c r="O202" s="35">
        <f>IF($A202="","",IF(OR($F202="",$G202=""),"",IF(ABS($G202-$F202)&gt;zincirTolerans,"ZİNCİR KIRIK","OK")))</f>
        <v/>
      </c>
      <c r="P202" s="35">
        <f>IF($A202="","",1)</f>
        <v/>
      </c>
    </row>
    <row r="203">
      <c r="A203" s="29" t="n"/>
      <c r="B203" s="29" t="n"/>
      <c r="C203" s="70" t="n"/>
      <c r="D203" s="29" t="n"/>
      <c r="E203" s="29" t="n"/>
      <c r="F203" s="30" t="n"/>
      <c r="G203" s="30" t="n"/>
      <c r="H203" s="31" t="n"/>
      <c r="I203" s="31" t="n"/>
      <c r="J203" s="29" t="n"/>
      <c r="K203" s="35">
        <f>IF($A203="","",IF($C203="","",raporTarihi-$C203))</f>
        <v/>
      </c>
      <c r="L203" s="35">
        <f>IF($A203="","",IF($K203="","",IF($K203&lt;=7,"0-7",IF($K203&lt;=30,"8-30",IF($K203&lt;=60,"31-60","60+")))))</f>
        <v/>
      </c>
      <c r="M203" s="35">
        <f>IF($A203="","",IF($B203="","YETİM",IF(COUNTIF(tblKartlar[KartId],$B203)=0,"YETİM","")))</f>
        <v/>
      </c>
      <c r="N203" s="35">
        <f>IF(OR($A203="",$D203=""),"",IF(OR($D203&amp;"|"&amp;$E203="",COUNTIF(ListeIzinliGecis,$D203&amp;"|"&amp;$E203)&gt;0),"","GEÇERSİZ GEÇİŞ"))</f>
        <v/>
      </c>
      <c r="O203" s="35">
        <f>IF($A203="","",IF(OR($F203="",$G203=""),"",IF(ABS($G203-$F203)&gt;zincirTolerans,"ZİNCİR KIRIK","OK")))</f>
        <v/>
      </c>
      <c r="P203" s="35">
        <f>IF($A203="","",1)</f>
        <v/>
      </c>
    </row>
    <row r="204">
      <c r="A204" s="29" t="n"/>
      <c r="B204" s="29" t="n"/>
      <c r="C204" s="70" t="n"/>
      <c r="D204" s="29" t="n"/>
      <c r="E204" s="29" t="n"/>
      <c r="F204" s="30" t="n"/>
      <c r="G204" s="30" t="n"/>
      <c r="H204" s="31" t="n"/>
      <c r="I204" s="31" t="n"/>
      <c r="J204" s="29" t="n"/>
      <c r="K204" s="35">
        <f>IF($A204="","",IF($C204="","",raporTarihi-$C204))</f>
        <v/>
      </c>
      <c r="L204" s="35">
        <f>IF($A204="","",IF($K204="","",IF($K204&lt;=7,"0-7",IF($K204&lt;=30,"8-30",IF($K204&lt;=60,"31-60","60+")))))</f>
        <v/>
      </c>
      <c r="M204" s="35">
        <f>IF($A204="","",IF($B204="","YETİM",IF(COUNTIF(tblKartlar[KartId],$B204)=0,"YETİM","")))</f>
        <v/>
      </c>
      <c r="N204" s="35">
        <f>IF(OR($A204="",$D204=""),"",IF(OR($D204&amp;"|"&amp;$E204="",COUNTIF(ListeIzinliGecis,$D204&amp;"|"&amp;$E204)&gt;0),"","GEÇERSİZ GEÇİŞ"))</f>
        <v/>
      </c>
      <c r="O204" s="35">
        <f>IF($A204="","",IF(OR($F204="",$G204=""),"",IF(ABS($G204-$F204)&gt;zincirTolerans,"ZİNCİR KIRIK","OK")))</f>
        <v/>
      </c>
      <c r="P204" s="35">
        <f>IF($A204="","",1)</f>
        <v/>
      </c>
    </row>
    <row r="205">
      <c r="A205" s="29" t="n"/>
      <c r="B205" s="29" t="n"/>
      <c r="C205" s="70" t="n"/>
      <c r="D205" s="29" t="n"/>
      <c r="E205" s="29" t="n"/>
      <c r="F205" s="30" t="n"/>
      <c r="G205" s="30" t="n"/>
      <c r="H205" s="31" t="n"/>
      <c r="I205" s="31" t="n"/>
      <c r="J205" s="29" t="n"/>
      <c r="K205" s="35">
        <f>IF($A205="","",IF($C205="","",raporTarihi-$C205))</f>
        <v/>
      </c>
      <c r="L205" s="35">
        <f>IF($A205="","",IF($K205="","",IF($K205&lt;=7,"0-7",IF($K205&lt;=30,"8-30",IF($K205&lt;=60,"31-60","60+")))))</f>
        <v/>
      </c>
      <c r="M205" s="35">
        <f>IF($A205="","",IF($B205="","YETİM",IF(COUNTIF(tblKartlar[KartId],$B205)=0,"YETİM","")))</f>
        <v/>
      </c>
      <c r="N205" s="35">
        <f>IF(OR($A205="",$D205=""),"",IF(OR($D205&amp;"|"&amp;$E205="",COUNTIF(ListeIzinliGecis,$D205&amp;"|"&amp;$E205)&gt;0),"","GEÇERSİZ GEÇİŞ"))</f>
        <v/>
      </c>
      <c r="O205" s="35">
        <f>IF($A205="","",IF(OR($F205="",$G205=""),"",IF(ABS($G205-$F205)&gt;zincirTolerans,"ZİNCİR KIRIK","OK")))</f>
        <v/>
      </c>
      <c r="P205" s="35">
        <f>IF($A205="","",1)</f>
        <v/>
      </c>
    </row>
    <row r="206">
      <c r="A206" s="29" t="n"/>
      <c r="B206" s="29" t="n"/>
      <c r="C206" s="70" t="n"/>
      <c r="D206" s="29" t="n"/>
      <c r="E206" s="29" t="n"/>
      <c r="F206" s="30" t="n"/>
      <c r="G206" s="30" t="n"/>
      <c r="H206" s="31" t="n"/>
      <c r="I206" s="31" t="n"/>
      <c r="J206" s="29" t="n"/>
      <c r="K206" s="35">
        <f>IF($A206="","",IF($C206="","",raporTarihi-$C206))</f>
        <v/>
      </c>
      <c r="L206" s="35">
        <f>IF($A206="","",IF($K206="","",IF($K206&lt;=7,"0-7",IF($K206&lt;=30,"8-30",IF($K206&lt;=60,"31-60","60+")))))</f>
        <v/>
      </c>
      <c r="M206" s="35">
        <f>IF($A206="","",IF($B206="","YETİM",IF(COUNTIF(tblKartlar[KartId],$B206)=0,"YETİM","")))</f>
        <v/>
      </c>
      <c r="N206" s="35">
        <f>IF(OR($A206="",$D206=""),"",IF(OR($D206&amp;"|"&amp;$E206="",COUNTIF(ListeIzinliGecis,$D206&amp;"|"&amp;$E206)&gt;0),"","GEÇERSİZ GEÇİŞ"))</f>
        <v/>
      </c>
      <c r="O206" s="35">
        <f>IF($A206="","",IF(OR($F206="",$G206=""),"",IF(ABS($G206-$F206)&gt;zincirTolerans,"ZİNCİR KIRIK","OK")))</f>
        <v/>
      </c>
      <c r="P206" s="35">
        <f>IF($A206="","",1)</f>
        <v/>
      </c>
    </row>
    <row r="207">
      <c r="A207" s="29" t="n"/>
      <c r="B207" s="29" t="n"/>
      <c r="C207" s="70" t="n"/>
      <c r="D207" s="29" t="n"/>
      <c r="E207" s="29" t="n"/>
      <c r="F207" s="30" t="n"/>
      <c r="G207" s="30" t="n"/>
      <c r="H207" s="31" t="n"/>
      <c r="I207" s="31" t="n"/>
      <c r="J207" s="29" t="n"/>
      <c r="K207" s="35">
        <f>IF($A207="","",IF($C207="","",raporTarihi-$C207))</f>
        <v/>
      </c>
      <c r="L207" s="35">
        <f>IF($A207="","",IF($K207="","",IF($K207&lt;=7,"0-7",IF($K207&lt;=30,"8-30",IF($K207&lt;=60,"31-60","60+")))))</f>
        <v/>
      </c>
      <c r="M207" s="35">
        <f>IF($A207="","",IF($B207="","YETİM",IF(COUNTIF(tblKartlar[KartId],$B207)=0,"YETİM","")))</f>
        <v/>
      </c>
      <c r="N207" s="35">
        <f>IF(OR($A207="",$D207=""),"",IF(OR($D207&amp;"|"&amp;$E207="",COUNTIF(ListeIzinliGecis,$D207&amp;"|"&amp;$E207)&gt;0),"","GEÇERSİZ GEÇİŞ"))</f>
        <v/>
      </c>
      <c r="O207" s="35">
        <f>IF($A207="","",IF(OR($F207="",$G207=""),"",IF(ABS($G207-$F207)&gt;zincirTolerans,"ZİNCİR KIRIK","OK")))</f>
        <v/>
      </c>
      <c r="P207" s="35">
        <f>IF($A207="","",1)</f>
        <v/>
      </c>
    </row>
    <row r="208">
      <c r="A208" s="29" t="n"/>
      <c r="B208" s="29" t="n"/>
      <c r="C208" s="70" t="n"/>
      <c r="D208" s="29" t="n"/>
      <c r="E208" s="29" t="n"/>
      <c r="F208" s="30" t="n"/>
      <c r="G208" s="30" t="n"/>
      <c r="H208" s="31" t="n"/>
      <c r="I208" s="31" t="n"/>
      <c r="J208" s="29" t="n"/>
      <c r="K208" s="35">
        <f>IF($A208="","",IF($C208="","",raporTarihi-$C208))</f>
        <v/>
      </c>
      <c r="L208" s="35">
        <f>IF($A208="","",IF($K208="","",IF($K208&lt;=7,"0-7",IF($K208&lt;=30,"8-30",IF($K208&lt;=60,"31-60","60+")))))</f>
        <v/>
      </c>
      <c r="M208" s="35">
        <f>IF($A208="","",IF($B208="","YETİM",IF(COUNTIF(tblKartlar[KartId],$B208)=0,"YETİM","")))</f>
        <v/>
      </c>
      <c r="N208" s="35">
        <f>IF(OR($A208="",$D208=""),"",IF(OR($D208&amp;"|"&amp;$E208="",COUNTIF(ListeIzinliGecis,$D208&amp;"|"&amp;$E208)&gt;0),"","GEÇERSİZ GEÇİŞ"))</f>
        <v/>
      </c>
      <c r="O208" s="35">
        <f>IF($A208="","",IF(OR($F208="",$G208=""),"",IF(ABS($G208-$F208)&gt;zincirTolerans,"ZİNCİR KIRIK","OK")))</f>
        <v/>
      </c>
      <c r="P208" s="35">
        <f>IF($A208="","",1)</f>
        <v/>
      </c>
    </row>
    <row r="209">
      <c r="A209" s="29" t="n"/>
      <c r="B209" s="29" t="n"/>
      <c r="C209" s="70" t="n"/>
      <c r="D209" s="29" t="n"/>
      <c r="E209" s="29" t="n"/>
      <c r="F209" s="30" t="n"/>
      <c r="G209" s="30" t="n"/>
      <c r="H209" s="31" t="n"/>
      <c r="I209" s="31" t="n"/>
      <c r="J209" s="29" t="n"/>
      <c r="K209" s="35">
        <f>IF($A209="","",IF($C209="","",raporTarihi-$C209))</f>
        <v/>
      </c>
      <c r="L209" s="35">
        <f>IF($A209="","",IF($K209="","",IF($K209&lt;=7,"0-7",IF($K209&lt;=30,"8-30",IF($K209&lt;=60,"31-60","60+")))))</f>
        <v/>
      </c>
      <c r="M209" s="35">
        <f>IF($A209="","",IF($B209="","YETİM",IF(COUNTIF(tblKartlar[KartId],$B209)=0,"YETİM","")))</f>
        <v/>
      </c>
      <c r="N209" s="35">
        <f>IF(OR($A209="",$D209=""),"",IF(OR($D209&amp;"|"&amp;$E209="",COUNTIF(ListeIzinliGecis,$D209&amp;"|"&amp;$E209)&gt;0),"","GEÇERSİZ GEÇİŞ"))</f>
        <v/>
      </c>
      <c r="O209" s="35">
        <f>IF($A209="","",IF(OR($F209="",$G209=""),"",IF(ABS($G209-$F209)&gt;zincirTolerans,"ZİNCİR KIRIK","OK")))</f>
        <v/>
      </c>
      <c r="P209" s="35">
        <f>IF($A209="","",1)</f>
        <v/>
      </c>
    </row>
    <row r="210">
      <c r="A210" s="29" t="n"/>
      <c r="B210" s="29" t="n"/>
      <c r="C210" s="70" t="n"/>
      <c r="D210" s="29" t="n"/>
      <c r="E210" s="29" t="n"/>
      <c r="F210" s="30" t="n"/>
      <c r="G210" s="30" t="n"/>
      <c r="H210" s="31" t="n"/>
      <c r="I210" s="31" t="n"/>
      <c r="J210" s="29" t="n"/>
      <c r="K210" s="35">
        <f>IF($A210="","",IF($C210="","",raporTarihi-$C210))</f>
        <v/>
      </c>
      <c r="L210" s="35">
        <f>IF($A210="","",IF($K210="","",IF($K210&lt;=7,"0-7",IF($K210&lt;=30,"8-30",IF($K210&lt;=60,"31-60","60+")))))</f>
        <v/>
      </c>
      <c r="M210" s="35">
        <f>IF($A210="","",IF($B210="","YETİM",IF(COUNTIF(tblKartlar[KartId],$B210)=0,"YETİM","")))</f>
        <v/>
      </c>
      <c r="N210" s="35">
        <f>IF(OR($A210="",$D210=""),"",IF(OR($D210&amp;"|"&amp;$E210="",COUNTIF(ListeIzinliGecis,$D210&amp;"|"&amp;$E210)&gt;0),"","GEÇERSİZ GEÇİŞ"))</f>
        <v/>
      </c>
      <c r="O210" s="35">
        <f>IF($A210="","",IF(OR($F210="",$G210=""),"",IF(ABS($G210-$F210)&gt;zincirTolerans,"ZİNCİR KIRIK","OK")))</f>
        <v/>
      </c>
      <c r="P210" s="35">
        <f>IF($A210="","",1)</f>
        <v/>
      </c>
    </row>
    <row r="211">
      <c r="A211" s="29" t="n"/>
      <c r="B211" s="29" t="n"/>
      <c r="C211" s="70" t="n"/>
      <c r="D211" s="29" t="n"/>
      <c r="E211" s="29" t="n"/>
      <c r="F211" s="30" t="n"/>
      <c r="G211" s="30" t="n"/>
      <c r="H211" s="31" t="n"/>
      <c r="I211" s="31" t="n"/>
      <c r="J211" s="29" t="n"/>
      <c r="K211" s="35">
        <f>IF($A211="","",IF($C211="","",raporTarihi-$C211))</f>
        <v/>
      </c>
      <c r="L211" s="35">
        <f>IF($A211="","",IF($K211="","",IF($K211&lt;=7,"0-7",IF($K211&lt;=30,"8-30",IF($K211&lt;=60,"31-60","60+")))))</f>
        <v/>
      </c>
      <c r="M211" s="35">
        <f>IF($A211="","",IF($B211="","YETİM",IF(COUNTIF(tblKartlar[KartId],$B211)=0,"YETİM","")))</f>
        <v/>
      </c>
      <c r="N211" s="35">
        <f>IF(OR($A211="",$D211=""),"",IF(OR($D211&amp;"|"&amp;$E211="",COUNTIF(ListeIzinliGecis,$D211&amp;"|"&amp;$E211)&gt;0),"","GEÇERSİZ GEÇİŞ"))</f>
        <v/>
      </c>
      <c r="O211" s="35">
        <f>IF($A211="","",IF(OR($F211="",$G211=""),"",IF(ABS($G211-$F211)&gt;zincirTolerans,"ZİNCİR KIRIK","OK")))</f>
        <v/>
      </c>
      <c r="P211" s="35">
        <f>IF($A211="","",1)</f>
        <v/>
      </c>
    </row>
    <row r="212">
      <c r="A212" s="29" t="n"/>
      <c r="B212" s="29" t="n"/>
      <c r="C212" s="70" t="n"/>
      <c r="D212" s="29" t="n"/>
      <c r="E212" s="29" t="n"/>
      <c r="F212" s="30" t="n"/>
      <c r="G212" s="30" t="n"/>
      <c r="H212" s="31" t="n"/>
      <c r="I212" s="31" t="n"/>
      <c r="J212" s="29" t="n"/>
      <c r="K212" s="35">
        <f>IF($A212="","",IF($C212="","",raporTarihi-$C212))</f>
        <v/>
      </c>
      <c r="L212" s="35">
        <f>IF($A212="","",IF($K212="","",IF($K212&lt;=7,"0-7",IF($K212&lt;=30,"8-30",IF($K212&lt;=60,"31-60","60+")))))</f>
        <v/>
      </c>
      <c r="M212" s="35">
        <f>IF($A212="","",IF($B212="","YETİM",IF(COUNTIF(tblKartlar[KartId],$B212)=0,"YETİM","")))</f>
        <v/>
      </c>
      <c r="N212" s="35">
        <f>IF(OR($A212="",$D212=""),"",IF(OR($D212&amp;"|"&amp;$E212="",COUNTIF(ListeIzinliGecis,$D212&amp;"|"&amp;$E212)&gt;0),"","GEÇERSİZ GEÇİŞ"))</f>
        <v/>
      </c>
      <c r="O212" s="35">
        <f>IF($A212="","",IF(OR($F212="",$G212=""),"",IF(ABS($G212-$F212)&gt;zincirTolerans,"ZİNCİR KIRIK","OK")))</f>
        <v/>
      </c>
      <c r="P212" s="35">
        <f>IF($A212="","",1)</f>
        <v/>
      </c>
    </row>
    <row r="213">
      <c r="A213" s="29" t="n"/>
      <c r="B213" s="29" t="n"/>
      <c r="C213" s="70" t="n"/>
      <c r="D213" s="29" t="n"/>
      <c r="E213" s="29" t="n"/>
      <c r="F213" s="30" t="n"/>
      <c r="G213" s="30" t="n"/>
      <c r="H213" s="31" t="n"/>
      <c r="I213" s="31" t="n"/>
      <c r="J213" s="29" t="n"/>
      <c r="K213" s="35">
        <f>IF($A213="","",IF($C213="","",raporTarihi-$C213))</f>
        <v/>
      </c>
      <c r="L213" s="35">
        <f>IF($A213="","",IF($K213="","",IF($K213&lt;=7,"0-7",IF($K213&lt;=30,"8-30",IF($K213&lt;=60,"31-60","60+")))))</f>
        <v/>
      </c>
      <c r="M213" s="35">
        <f>IF($A213="","",IF($B213="","YETİM",IF(COUNTIF(tblKartlar[KartId],$B213)=0,"YETİM","")))</f>
        <v/>
      </c>
      <c r="N213" s="35">
        <f>IF(OR($A213="",$D213=""),"",IF(OR($D213&amp;"|"&amp;$E213="",COUNTIF(ListeIzinliGecis,$D213&amp;"|"&amp;$E213)&gt;0),"","GEÇERSİZ GEÇİŞ"))</f>
        <v/>
      </c>
      <c r="O213" s="35">
        <f>IF($A213="","",IF(OR($F213="",$G213=""),"",IF(ABS($G213-$F213)&gt;zincirTolerans,"ZİNCİR KIRIK","OK")))</f>
        <v/>
      </c>
      <c r="P213" s="35">
        <f>IF($A213="","",1)</f>
        <v/>
      </c>
    </row>
    <row r="214">
      <c r="A214" s="29" t="n"/>
      <c r="B214" s="29" t="n"/>
      <c r="C214" s="70" t="n"/>
      <c r="D214" s="29" t="n"/>
      <c r="E214" s="29" t="n"/>
      <c r="F214" s="30" t="n"/>
      <c r="G214" s="30" t="n"/>
      <c r="H214" s="31" t="n"/>
      <c r="I214" s="31" t="n"/>
      <c r="J214" s="29" t="n"/>
      <c r="K214" s="35">
        <f>IF($A214="","",IF($C214="","",raporTarihi-$C214))</f>
        <v/>
      </c>
      <c r="L214" s="35">
        <f>IF($A214="","",IF($K214="","",IF($K214&lt;=7,"0-7",IF($K214&lt;=30,"8-30",IF($K214&lt;=60,"31-60","60+")))))</f>
        <v/>
      </c>
      <c r="M214" s="35">
        <f>IF($A214="","",IF($B214="","YETİM",IF(COUNTIF(tblKartlar[KartId],$B214)=0,"YETİM","")))</f>
        <v/>
      </c>
      <c r="N214" s="35">
        <f>IF(OR($A214="",$D214=""),"",IF(OR($D214&amp;"|"&amp;$E214="",COUNTIF(ListeIzinliGecis,$D214&amp;"|"&amp;$E214)&gt;0),"","GEÇERSİZ GEÇİŞ"))</f>
        <v/>
      </c>
      <c r="O214" s="35">
        <f>IF($A214="","",IF(OR($F214="",$G214=""),"",IF(ABS($G214-$F214)&gt;zincirTolerans,"ZİNCİR KIRIK","OK")))</f>
        <v/>
      </c>
      <c r="P214" s="35">
        <f>IF($A214="","",1)</f>
        <v/>
      </c>
    </row>
    <row r="215">
      <c r="A215" s="29" t="n"/>
      <c r="B215" s="29" t="n"/>
      <c r="C215" s="70" t="n"/>
      <c r="D215" s="29" t="n"/>
      <c r="E215" s="29" t="n"/>
      <c r="F215" s="30" t="n"/>
      <c r="G215" s="30" t="n"/>
      <c r="H215" s="31" t="n"/>
      <c r="I215" s="31" t="n"/>
      <c r="J215" s="29" t="n"/>
      <c r="K215" s="35">
        <f>IF($A215="","",IF($C215="","",raporTarihi-$C215))</f>
        <v/>
      </c>
      <c r="L215" s="35">
        <f>IF($A215="","",IF($K215="","",IF($K215&lt;=7,"0-7",IF($K215&lt;=30,"8-30",IF($K215&lt;=60,"31-60","60+")))))</f>
        <v/>
      </c>
      <c r="M215" s="35">
        <f>IF($A215="","",IF($B215="","YETİM",IF(COUNTIF(tblKartlar[KartId],$B215)=0,"YETİM","")))</f>
        <v/>
      </c>
      <c r="N215" s="35">
        <f>IF(OR($A215="",$D215=""),"",IF(OR($D215&amp;"|"&amp;$E215="",COUNTIF(ListeIzinliGecis,$D215&amp;"|"&amp;$E215)&gt;0),"","GEÇERSİZ GEÇİŞ"))</f>
        <v/>
      </c>
      <c r="O215" s="35">
        <f>IF($A215="","",IF(OR($F215="",$G215=""),"",IF(ABS($G215-$F215)&gt;zincirTolerans,"ZİNCİR KIRIK","OK")))</f>
        <v/>
      </c>
      <c r="P215" s="35">
        <f>IF($A215="","",1)</f>
        <v/>
      </c>
    </row>
    <row r="216">
      <c r="A216" s="29" t="n"/>
      <c r="B216" s="29" t="n"/>
      <c r="C216" s="70" t="n"/>
      <c r="D216" s="29" t="n"/>
      <c r="E216" s="29" t="n"/>
      <c r="F216" s="30" t="n"/>
      <c r="G216" s="30" t="n"/>
      <c r="H216" s="31" t="n"/>
      <c r="I216" s="31" t="n"/>
      <c r="J216" s="29" t="n"/>
      <c r="K216" s="35">
        <f>IF($A216="","",IF($C216="","",raporTarihi-$C216))</f>
        <v/>
      </c>
      <c r="L216" s="35">
        <f>IF($A216="","",IF($K216="","",IF($K216&lt;=7,"0-7",IF($K216&lt;=30,"8-30",IF($K216&lt;=60,"31-60","60+")))))</f>
        <v/>
      </c>
      <c r="M216" s="35">
        <f>IF($A216="","",IF($B216="","YETİM",IF(COUNTIF(tblKartlar[KartId],$B216)=0,"YETİM","")))</f>
        <v/>
      </c>
      <c r="N216" s="35">
        <f>IF(OR($A216="",$D216=""),"",IF(OR($D216&amp;"|"&amp;$E216="",COUNTIF(ListeIzinliGecis,$D216&amp;"|"&amp;$E216)&gt;0),"","GEÇERSİZ GEÇİŞ"))</f>
        <v/>
      </c>
      <c r="O216" s="35">
        <f>IF($A216="","",IF(OR($F216="",$G216=""),"",IF(ABS($G216-$F216)&gt;zincirTolerans,"ZİNCİR KIRIK","OK")))</f>
        <v/>
      </c>
      <c r="P216" s="35">
        <f>IF($A216="","",1)</f>
        <v/>
      </c>
    </row>
    <row r="217">
      <c r="A217" s="29" t="n"/>
      <c r="B217" s="29" t="n"/>
      <c r="C217" s="70" t="n"/>
      <c r="D217" s="29" t="n"/>
      <c r="E217" s="29" t="n"/>
      <c r="F217" s="30" t="n"/>
      <c r="G217" s="30" t="n"/>
      <c r="H217" s="31" t="n"/>
      <c r="I217" s="31" t="n"/>
      <c r="J217" s="29" t="n"/>
      <c r="K217" s="35">
        <f>IF($A217="","",IF($C217="","",raporTarihi-$C217))</f>
        <v/>
      </c>
      <c r="L217" s="35">
        <f>IF($A217="","",IF($K217="","",IF($K217&lt;=7,"0-7",IF($K217&lt;=30,"8-30",IF($K217&lt;=60,"31-60","60+")))))</f>
        <v/>
      </c>
      <c r="M217" s="35">
        <f>IF($A217="","",IF($B217="","YETİM",IF(COUNTIF(tblKartlar[KartId],$B217)=0,"YETİM","")))</f>
        <v/>
      </c>
      <c r="N217" s="35">
        <f>IF(OR($A217="",$D217=""),"",IF(OR($D217&amp;"|"&amp;$E217="",COUNTIF(ListeIzinliGecis,$D217&amp;"|"&amp;$E217)&gt;0),"","GEÇERSİZ GEÇİŞ"))</f>
        <v/>
      </c>
      <c r="O217" s="35">
        <f>IF($A217="","",IF(OR($F217="",$G217=""),"",IF(ABS($G217-$F217)&gt;zincirTolerans,"ZİNCİR KIRIK","OK")))</f>
        <v/>
      </c>
      <c r="P217" s="35">
        <f>IF($A217="","",1)</f>
        <v/>
      </c>
    </row>
    <row r="218">
      <c r="A218" s="29" t="n"/>
      <c r="B218" s="29" t="n"/>
      <c r="C218" s="70" t="n"/>
      <c r="D218" s="29" t="n"/>
      <c r="E218" s="29" t="n"/>
      <c r="F218" s="30" t="n"/>
      <c r="G218" s="30" t="n"/>
      <c r="H218" s="31" t="n"/>
      <c r="I218" s="31" t="n"/>
      <c r="J218" s="29" t="n"/>
      <c r="K218" s="35">
        <f>IF($A218="","",IF($C218="","",raporTarihi-$C218))</f>
        <v/>
      </c>
      <c r="L218" s="35">
        <f>IF($A218="","",IF($K218="","",IF($K218&lt;=7,"0-7",IF($K218&lt;=30,"8-30",IF($K218&lt;=60,"31-60","60+")))))</f>
        <v/>
      </c>
      <c r="M218" s="35">
        <f>IF($A218="","",IF($B218="","YETİM",IF(COUNTIF(tblKartlar[KartId],$B218)=0,"YETİM","")))</f>
        <v/>
      </c>
      <c r="N218" s="35">
        <f>IF(OR($A218="",$D218=""),"",IF(OR($D218&amp;"|"&amp;$E218="",COUNTIF(ListeIzinliGecis,$D218&amp;"|"&amp;$E218)&gt;0),"","GEÇERSİZ GEÇİŞ"))</f>
        <v/>
      </c>
      <c r="O218" s="35">
        <f>IF($A218="","",IF(OR($F218="",$G218=""),"",IF(ABS($G218-$F218)&gt;zincirTolerans,"ZİNCİR KIRIK","OK")))</f>
        <v/>
      </c>
      <c r="P218" s="35">
        <f>IF($A218="","",1)</f>
        <v/>
      </c>
    </row>
    <row r="219">
      <c r="A219" s="29" t="n"/>
      <c r="B219" s="29" t="n"/>
      <c r="C219" s="70" t="n"/>
      <c r="D219" s="29" t="n"/>
      <c r="E219" s="29" t="n"/>
      <c r="F219" s="30" t="n"/>
      <c r="G219" s="30" t="n"/>
      <c r="H219" s="31" t="n"/>
      <c r="I219" s="31" t="n"/>
      <c r="J219" s="29" t="n"/>
      <c r="K219" s="35">
        <f>IF($A219="","",IF($C219="","",raporTarihi-$C219))</f>
        <v/>
      </c>
      <c r="L219" s="35">
        <f>IF($A219="","",IF($K219="","",IF($K219&lt;=7,"0-7",IF($K219&lt;=30,"8-30",IF($K219&lt;=60,"31-60","60+")))))</f>
        <v/>
      </c>
      <c r="M219" s="35">
        <f>IF($A219="","",IF($B219="","YETİM",IF(COUNTIF(tblKartlar[KartId],$B219)=0,"YETİM","")))</f>
        <v/>
      </c>
      <c r="N219" s="35">
        <f>IF(OR($A219="",$D219=""),"",IF(OR($D219&amp;"|"&amp;$E219="",COUNTIF(ListeIzinliGecis,$D219&amp;"|"&amp;$E219)&gt;0),"","GEÇERSİZ GEÇİŞ"))</f>
        <v/>
      </c>
      <c r="O219" s="35">
        <f>IF($A219="","",IF(OR($F219="",$G219=""),"",IF(ABS($G219-$F219)&gt;zincirTolerans,"ZİNCİR KIRIK","OK")))</f>
        <v/>
      </c>
      <c r="P219" s="35">
        <f>IF($A219="","",1)</f>
        <v/>
      </c>
    </row>
    <row r="220">
      <c r="A220" s="29" t="n"/>
      <c r="B220" s="29" t="n"/>
      <c r="C220" s="70" t="n"/>
      <c r="D220" s="29" t="n"/>
      <c r="E220" s="29" t="n"/>
      <c r="F220" s="30" t="n"/>
      <c r="G220" s="30" t="n"/>
      <c r="H220" s="31" t="n"/>
      <c r="I220" s="31" t="n"/>
      <c r="J220" s="29" t="n"/>
      <c r="K220" s="35">
        <f>IF($A220="","",IF($C220="","",raporTarihi-$C220))</f>
        <v/>
      </c>
      <c r="L220" s="35">
        <f>IF($A220="","",IF($K220="","",IF($K220&lt;=7,"0-7",IF($K220&lt;=30,"8-30",IF($K220&lt;=60,"31-60","60+")))))</f>
        <v/>
      </c>
      <c r="M220" s="35">
        <f>IF($A220="","",IF($B220="","YETİM",IF(COUNTIF(tblKartlar[KartId],$B220)=0,"YETİM","")))</f>
        <v/>
      </c>
      <c r="N220" s="35">
        <f>IF(OR($A220="",$D220=""),"",IF(OR($D220&amp;"|"&amp;$E220="",COUNTIF(ListeIzinliGecis,$D220&amp;"|"&amp;$E220)&gt;0),"","GEÇERSİZ GEÇİŞ"))</f>
        <v/>
      </c>
      <c r="O220" s="35">
        <f>IF($A220="","",IF(OR($F220="",$G220=""),"",IF(ABS($G220-$F220)&gt;zincirTolerans,"ZİNCİR KIRIK","OK")))</f>
        <v/>
      </c>
      <c r="P220" s="35">
        <f>IF($A220="","",1)</f>
        <v/>
      </c>
    </row>
    <row r="221">
      <c r="A221" s="29" t="n"/>
      <c r="B221" s="29" t="n"/>
      <c r="C221" s="70" t="n"/>
      <c r="D221" s="29" t="n"/>
      <c r="E221" s="29" t="n"/>
      <c r="F221" s="30" t="n"/>
      <c r="G221" s="30" t="n"/>
      <c r="H221" s="31" t="n"/>
      <c r="I221" s="31" t="n"/>
      <c r="J221" s="29" t="n"/>
      <c r="K221" s="35">
        <f>IF($A221="","",IF($C221="","",raporTarihi-$C221))</f>
        <v/>
      </c>
      <c r="L221" s="35">
        <f>IF($A221="","",IF($K221="","",IF($K221&lt;=7,"0-7",IF($K221&lt;=30,"8-30",IF($K221&lt;=60,"31-60","60+")))))</f>
        <v/>
      </c>
      <c r="M221" s="35">
        <f>IF($A221="","",IF($B221="","YETİM",IF(COUNTIF(tblKartlar[KartId],$B221)=0,"YETİM","")))</f>
        <v/>
      </c>
      <c r="N221" s="35">
        <f>IF(OR($A221="",$D221=""),"",IF(OR($D221&amp;"|"&amp;$E221="",COUNTIF(ListeIzinliGecis,$D221&amp;"|"&amp;$E221)&gt;0),"","GEÇERSİZ GEÇİŞ"))</f>
        <v/>
      </c>
      <c r="O221" s="35">
        <f>IF($A221="","",IF(OR($F221="",$G221=""),"",IF(ABS($G221-$F221)&gt;zincirTolerans,"ZİNCİR KIRIK","OK")))</f>
        <v/>
      </c>
      <c r="P221" s="35">
        <f>IF($A221="","",1)</f>
        <v/>
      </c>
    </row>
    <row r="222">
      <c r="A222" s="29" t="n"/>
      <c r="B222" s="29" t="n"/>
      <c r="C222" s="70" t="n"/>
      <c r="D222" s="29" t="n"/>
      <c r="E222" s="29" t="n"/>
      <c r="F222" s="30" t="n"/>
      <c r="G222" s="30" t="n"/>
      <c r="H222" s="31" t="n"/>
      <c r="I222" s="31" t="n"/>
      <c r="J222" s="29" t="n"/>
      <c r="K222" s="35">
        <f>IF($A222="","",IF($C222="","",raporTarihi-$C222))</f>
        <v/>
      </c>
      <c r="L222" s="35">
        <f>IF($A222="","",IF($K222="","",IF($K222&lt;=7,"0-7",IF($K222&lt;=30,"8-30",IF($K222&lt;=60,"31-60","60+")))))</f>
        <v/>
      </c>
      <c r="M222" s="35">
        <f>IF($A222="","",IF($B222="","YETİM",IF(COUNTIF(tblKartlar[KartId],$B222)=0,"YETİM","")))</f>
        <v/>
      </c>
      <c r="N222" s="35">
        <f>IF(OR($A222="",$D222=""),"",IF(OR($D222&amp;"|"&amp;$E222="",COUNTIF(ListeIzinliGecis,$D222&amp;"|"&amp;$E222)&gt;0),"","GEÇERSİZ GEÇİŞ"))</f>
        <v/>
      </c>
      <c r="O222" s="35">
        <f>IF($A222="","",IF(OR($F222="",$G222=""),"",IF(ABS($G222-$F222)&gt;zincirTolerans,"ZİNCİR KIRIK","OK")))</f>
        <v/>
      </c>
      <c r="P222" s="35">
        <f>IF($A222="","",1)</f>
        <v/>
      </c>
    </row>
    <row r="223">
      <c r="A223" s="29" t="n"/>
      <c r="B223" s="29" t="n"/>
      <c r="C223" s="70" t="n"/>
      <c r="D223" s="29" t="n"/>
      <c r="E223" s="29" t="n"/>
      <c r="F223" s="30" t="n"/>
      <c r="G223" s="30" t="n"/>
      <c r="H223" s="31" t="n"/>
      <c r="I223" s="31" t="n"/>
      <c r="J223" s="29" t="n"/>
      <c r="K223" s="35">
        <f>IF($A223="","",IF($C223="","",raporTarihi-$C223))</f>
        <v/>
      </c>
      <c r="L223" s="35">
        <f>IF($A223="","",IF($K223="","",IF($K223&lt;=7,"0-7",IF($K223&lt;=30,"8-30",IF($K223&lt;=60,"31-60","60+")))))</f>
        <v/>
      </c>
      <c r="M223" s="35">
        <f>IF($A223="","",IF($B223="","YETİM",IF(COUNTIF(tblKartlar[KartId],$B223)=0,"YETİM","")))</f>
        <v/>
      </c>
      <c r="N223" s="35">
        <f>IF(OR($A223="",$D223=""),"",IF(OR($D223&amp;"|"&amp;$E223="",COUNTIF(ListeIzinliGecis,$D223&amp;"|"&amp;$E223)&gt;0),"","GEÇERSİZ GEÇİŞ"))</f>
        <v/>
      </c>
      <c r="O223" s="35">
        <f>IF($A223="","",IF(OR($F223="",$G223=""),"",IF(ABS($G223-$F223)&gt;zincirTolerans,"ZİNCİR KIRIK","OK")))</f>
        <v/>
      </c>
      <c r="P223" s="35">
        <f>IF($A223="","",1)</f>
        <v/>
      </c>
    </row>
    <row r="224">
      <c r="A224" s="29" t="n"/>
      <c r="B224" s="29" t="n"/>
      <c r="C224" s="70" t="n"/>
      <c r="D224" s="29" t="n"/>
      <c r="E224" s="29" t="n"/>
      <c r="F224" s="30" t="n"/>
      <c r="G224" s="30" t="n"/>
      <c r="H224" s="31" t="n"/>
      <c r="I224" s="31" t="n"/>
      <c r="J224" s="29" t="n"/>
      <c r="K224" s="35">
        <f>IF($A224="","",IF($C224="","",raporTarihi-$C224))</f>
        <v/>
      </c>
      <c r="L224" s="35">
        <f>IF($A224="","",IF($K224="","",IF($K224&lt;=7,"0-7",IF($K224&lt;=30,"8-30",IF($K224&lt;=60,"31-60","60+")))))</f>
        <v/>
      </c>
      <c r="M224" s="35">
        <f>IF($A224="","",IF($B224="","YETİM",IF(COUNTIF(tblKartlar[KartId],$B224)=0,"YETİM","")))</f>
        <v/>
      </c>
      <c r="N224" s="35">
        <f>IF(OR($A224="",$D224=""),"",IF(OR($D224&amp;"|"&amp;$E224="",COUNTIF(ListeIzinliGecis,$D224&amp;"|"&amp;$E224)&gt;0),"","GEÇERSİZ GEÇİŞ"))</f>
        <v/>
      </c>
      <c r="O224" s="35">
        <f>IF($A224="","",IF(OR($F224="",$G224=""),"",IF(ABS($G224-$F224)&gt;zincirTolerans,"ZİNCİR KIRIK","OK")))</f>
        <v/>
      </c>
      <c r="P224" s="35">
        <f>IF($A224="","",1)</f>
        <v/>
      </c>
    </row>
    <row r="225">
      <c r="A225" s="29" t="n"/>
      <c r="B225" s="29" t="n"/>
      <c r="C225" s="70" t="n"/>
      <c r="D225" s="29" t="n"/>
      <c r="E225" s="29" t="n"/>
      <c r="F225" s="30" t="n"/>
      <c r="G225" s="30" t="n"/>
      <c r="H225" s="31" t="n"/>
      <c r="I225" s="31" t="n"/>
      <c r="J225" s="29" t="n"/>
      <c r="K225" s="35">
        <f>IF($A225="","",IF($C225="","",raporTarihi-$C225))</f>
        <v/>
      </c>
      <c r="L225" s="35">
        <f>IF($A225="","",IF($K225="","",IF($K225&lt;=7,"0-7",IF($K225&lt;=30,"8-30",IF($K225&lt;=60,"31-60","60+")))))</f>
        <v/>
      </c>
      <c r="M225" s="35">
        <f>IF($A225="","",IF($B225="","YETİM",IF(COUNTIF(tblKartlar[KartId],$B225)=0,"YETİM","")))</f>
        <v/>
      </c>
      <c r="N225" s="35">
        <f>IF(OR($A225="",$D225=""),"",IF(OR($D225&amp;"|"&amp;$E225="",COUNTIF(ListeIzinliGecis,$D225&amp;"|"&amp;$E225)&gt;0),"","GEÇERSİZ GEÇİŞ"))</f>
        <v/>
      </c>
      <c r="O225" s="35">
        <f>IF($A225="","",IF(OR($F225="",$G225=""),"",IF(ABS($G225-$F225)&gt;zincirTolerans,"ZİNCİR KIRIK","OK")))</f>
        <v/>
      </c>
      <c r="P225" s="35">
        <f>IF($A225="","",1)</f>
        <v/>
      </c>
    </row>
    <row r="226">
      <c r="A226" s="29" t="n"/>
      <c r="B226" s="29" t="n"/>
      <c r="C226" s="70" t="n"/>
      <c r="D226" s="29" t="n"/>
      <c r="E226" s="29" t="n"/>
      <c r="F226" s="30" t="n"/>
      <c r="G226" s="30" t="n"/>
      <c r="H226" s="31" t="n"/>
      <c r="I226" s="31" t="n"/>
      <c r="J226" s="29" t="n"/>
      <c r="K226" s="35">
        <f>IF($A226="","",IF($C226="","",raporTarihi-$C226))</f>
        <v/>
      </c>
      <c r="L226" s="35">
        <f>IF($A226="","",IF($K226="","",IF($K226&lt;=7,"0-7",IF($K226&lt;=30,"8-30",IF($K226&lt;=60,"31-60","60+")))))</f>
        <v/>
      </c>
      <c r="M226" s="35">
        <f>IF($A226="","",IF($B226="","YETİM",IF(COUNTIF(tblKartlar[KartId],$B226)=0,"YETİM","")))</f>
        <v/>
      </c>
      <c r="N226" s="35">
        <f>IF(OR($A226="",$D226=""),"",IF(OR($D226&amp;"|"&amp;$E226="",COUNTIF(ListeIzinliGecis,$D226&amp;"|"&amp;$E226)&gt;0),"","GEÇERSİZ GEÇİŞ"))</f>
        <v/>
      </c>
      <c r="O226" s="35">
        <f>IF($A226="","",IF(OR($F226="",$G226=""),"",IF(ABS($G226-$F226)&gt;zincirTolerans,"ZİNCİR KIRIK","OK")))</f>
        <v/>
      </c>
      <c r="P226" s="35">
        <f>IF($A226="","",1)</f>
        <v/>
      </c>
    </row>
    <row r="227">
      <c r="A227" s="29" t="n"/>
      <c r="B227" s="29" t="n"/>
      <c r="C227" s="70" t="n"/>
      <c r="D227" s="29" t="n"/>
      <c r="E227" s="29" t="n"/>
      <c r="F227" s="30" t="n"/>
      <c r="G227" s="30" t="n"/>
      <c r="H227" s="31" t="n"/>
      <c r="I227" s="31" t="n"/>
      <c r="J227" s="29" t="n"/>
      <c r="K227" s="35">
        <f>IF($A227="","",IF($C227="","",raporTarihi-$C227))</f>
        <v/>
      </c>
      <c r="L227" s="35">
        <f>IF($A227="","",IF($K227="","",IF($K227&lt;=7,"0-7",IF($K227&lt;=30,"8-30",IF($K227&lt;=60,"31-60","60+")))))</f>
        <v/>
      </c>
      <c r="M227" s="35">
        <f>IF($A227="","",IF($B227="","YETİM",IF(COUNTIF(tblKartlar[KartId],$B227)=0,"YETİM","")))</f>
        <v/>
      </c>
      <c r="N227" s="35">
        <f>IF(OR($A227="",$D227=""),"",IF(OR($D227&amp;"|"&amp;$E227="",COUNTIF(ListeIzinliGecis,$D227&amp;"|"&amp;$E227)&gt;0),"","GEÇERSİZ GEÇİŞ"))</f>
        <v/>
      </c>
      <c r="O227" s="35">
        <f>IF($A227="","",IF(OR($F227="",$G227=""),"",IF(ABS($G227-$F227)&gt;zincirTolerans,"ZİNCİR KIRIK","OK")))</f>
        <v/>
      </c>
      <c r="P227" s="35">
        <f>IF($A227="","",1)</f>
        <v/>
      </c>
    </row>
    <row r="228">
      <c r="A228" s="29" t="n"/>
      <c r="B228" s="29" t="n"/>
      <c r="C228" s="70" t="n"/>
      <c r="D228" s="29" t="n"/>
      <c r="E228" s="29" t="n"/>
      <c r="F228" s="30" t="n"/>
      <c r="G228" s="30" t="n"/>
      <c r="H228" s="31" t="n"/>
      <c r="I228" s="31" t="n"/>
      <c r="J228" s="29" t="n"/>
      <c r="K228" s="35">
        <f>IF($A228="","",IF($C228="","",raporTarihi-$C228))</f>
        <v/>
      </c>
      <c r="L228" s="35">
        <f>IF($A228="","",IF($K228="","",IF($K228&lt;=7,"0-7",IF($K228&lt;=30,"8-30",IF($K228&lt;=60,"31-60","60+")))))</f>
        <v/>
      </c>
      <c r="M228" s="35">
        <f>IF($A228="","",IF($B228="","YETİM",IF(COUNTIF(tblKartlar[KartId],$B228)=0,"YETİM","")))</f>
        <v/>
      </c>
      <c r="N228" s="35">
        <f>IF(OR($A228="",$D228=""),"",IF(OR($D228&amp;"|"&amp;$E228="",COUNTIF(ListeIzinliGecis,$D228&amp;"|"&amp;$E228)&gt;0),"","GEÇERSİZ GEÇİŞ"))</f>
        <v/>
      </c>
      <c r="O228" s="35">
        <f>IF($A228="","",IF(OR($F228="",$G228=""),"",IF(ABS($G228-$F228)&gt;zincirTolerans,"ZİNCİR KIRIK","OK")))</f>
        <v/>
      </c>
      <c r="P228" s="35">
        <f>IF($A228="","",1)</f>
        <v/>
      </c>
    </row>
    <row r="229">
      <c r="A229" s="29" t="n"/>
      <c r="B229" s="29" t="n"/>
      <c r="C229" s="70" t="n"/>
      <c r="D229" s="29" t="n"/>
      <c r="E229" s="29" t="n"/>
      <c r="F229" s="30" t="n"/>
      <c r="G229" s="30" t="n"/>
      <c r="H229" s="31" t="n"/>
      <c r="I229" s="31" t="n"/>
      <c r="J229" s="29" t="n"/>
      <c r="K229" s="35">
        <f>IF($A229="","",IF($C229="","",raporTarihi-$C229))</f>
        <v/>
      </c>
      <c r="L229" s="35">
        <f>IF($A229="","",IF($K229="","",IF($K229&lt;=7,"0-7",IF($K229&lt;=30,"8-30",IF($K229&lt;=60,"31-60","60+")))))</f>
        <v/>
      </c>
      <c r="M229" s="35">
        <f>IF($A229="","",IF($B229="","YETİM",IF(COUNTIF(tblKartlar[KartId],$B229)=0,"YETİM","")))</f>
        <v/>
      </c>
      <c r="N229" s="35">
        <f>IF(OR($A229="",$D229=""),"",IF(OR($D229&amp;"|"&amp;$E229="",COUNTIF(ListeIzinliGecis,$D229&amp;"|"&amp;$E229)&gt;0),"","GEÇERSİZ GEÇİŞ"))</f>
        <v/>
      </c>
      <c r="O229" s="35">
        <f>IF($A229="","",IF(OR($F229="",$G229=""),"",IF(ABS($G229-$F229)&gt;zincirTolerans,"ZİNCİR KIRIK","OK")))</f>
        <v/>
      </c>
      <c r="P229" s="35">
        <f>IF($A229="","",1)</f>
        <v/>
      </c>
    </row>
    <row r="230">
      <c r="A230" s="29" t="n"/>
      <c r="B230" s="29" t="n"/>
      <c r="C230" s="70" t="n"/>
      <c r="D230" s="29" t="n"/>
      <c r="E230" s="29" t="n"/>
      <c r="F230" s="30" t="n"/>
      <c r="G230" s="30" t="n"/>
      <c r="H230" s="31" t="n"/>
      <c r="I230" s="31" t="n"/>
      <c r="J230" s="29" t="n"/>
      <c r="K230" s="35">
        <f>IF($A230="","",IF($C230="","",raporTarihi-$C230))</f>
        <v/>
      </c>
      <c r="L230" s="35">
        <f>IF($A230="","",IF($K230="","",IF($K230&lt;=7,"0-7",IF($K230&lt;=30,"8-30",IF($K230&lt;=60,"31-60","60+")))))</f>
        <v/>
      </c>
      <c r="M230" s="35">
        <f>IF($A230="","",IF($B230="","YETİM",IF(COUNTIF(tblKartlar[KartId],$B230)=0,"YETİM","")))</f>
        <v/>
      </c>
      <c r="N230" s="35">
        <f>IF(OR($A230="",$D230=""),"",IF(OR($D230&amp;"|"&amp;$E230="",COUNTIF(ListeIzinliGecis,$D230&amp;"|"&amp;$E230)&gt;0),"","GEÇERSİZ GEÇİŞ"))</f>
        <v/>
      </c>
      <c r="O230" s="35">
        <f>IF($A230="","",IF(OR($F230="",$G230=""),"",IF(ABS($G230-$F230)&gt;zincirTolerans,"ZİNCİR KIRIK","OK")))</f>
        <v/>
      </c>
      <c r="P230" s="35">
        <f>IF($A230="","",1)</f>
        <v/>
      </c>
    </row>
    <row r="231">
      <c r="A231" s="29" t="n"/>
      <c r="B231" s="29" t="n"/>
      <c r="C231" s="70" t="n"/>
      <c r="D231" s="29" t="n"/>
      <c r="E231" s="29" t="n"/>
      <c r="F231" s="30" t="n"/>
      <c r="G231" s="30" t="n"/>
      <c r="H231" s="31" t="n"/>
      <c r="I231" s="31" t="n"/>
      <c r="J231" s="29" t="n"/>
      <c r="K231" s="35">
        <f>IF($A231="","",IF($C231="","",raporTarihi-$C231))</f>
        <v/>
      </c>
      <c r="L231" s="35">
        <f>IF($A231="","",IF($K231="","",IF($K231&lt;=7,"0-7",IF($K231&lt;=30,"8-30",IF($K231&lt;=60,"31-60","60+")))))</f>
        <v/>
      </c>
      <c r="M231" s="35">
        <f>IF($A231="","",IF($B231="","YETİM",IF(COUNTIF(tblKartlar[KartId],$B231)=0,"YETİM","")))</f>
        <v/>
      </c>
      <c r="N231" s="35">
        <f>IF(OR($A231="",$D231=""),"",IF(OR($D231&amp;"|"&amp;$E231="",COUNTIF(ListeIzinliGecis,$D231&amp;"|"&amp;$E231)&gt;0),"","GEÇERSİZ GEÇİŞ"))</f>
        <v/>
      </c>
      <c r="O231" s="35">
        <f>IF($A231="","",IF(OR($F231="",$G231=""),"",IF(ABS($G231-$F231)&gt;zincirTolerans,"ZİNCİR KIRIK","OK")))</f>
        <v/>
      </c>
      <c r="P231" s="35">
        <f>IF($A231="","",1)</f>
        <v/>
      </c>
    </row>
    <row r="232">
      <c r="A232" s="29" t="n"/>
      <c r="B232" s="29" t="n"/>
      <c r="C232" s="70" t="n"/>
      <c r="D232" s="29" t="n"/>
      <c r="E232" s="29" t="n"/>
      <c r="F232" s="30" t="n"/>
      <c r="G232" s="30" t="n"/>
      <c r="H232" s="31" t="n"/>
      <c r="I232" s="31" t="n"/>
      <c r="J232" s="29" t="n"/>
      <c r="K232" s="35">
        <f>IF($A232="","",IF($C232="","",raporTarihi-$C232))</f>
        <v/>
      </c>
      <c r="L232" s="35">
        <f>IF($A232="","",IF($K232="","",IF($K232&lt;=7,"0-7",IF($K232&lt;=30,"8-30",IF($K232&lt;=60,"31-60","60+")))))</f>
        <v/>
      </c>
      <c r="M232" s="35">
        <f>IF($A232="","",IF($B232="","YETİM",IF(COUNTIF(tblKartlar[KartId],$B232)=0,"YETİM","")))</f>
        <v/>
      </c>
      <c r="N232" s="35">
        <f>IF(OR($A232="",$D232=""),"",IF(OR($D232&amp;"|"&amp;$E232="",COUNTIF(ListeIzinliGecis,$D232&amp;"|"&amp;$E232)&gt;0),"","GEÇERSİZ GEÇİŞ"))</f>
        <v/>
      </c>
      <c r="O232" s="35">
        <f>IF($A232="","",IF(OR($F232="",$G232=""),"",IF(ABS($G232-$F232)&gt;zincirTolerans,"ZİNCİR KIRIK","OK")))</f>
        <v/>
      </c>
      <c r="P232" s="35">
        <f>IF($A232="","",1)</f>
        <v/>
      </c>
    </row>
    <row r="233">
      <c r="A233" s="29" t="n"/>
      <c r="B233" s="29" t="n"/>
      <c r="C233" s="70" t="n"/>
      <c r="D233" s="29" t="n"/>
      <c r="E233" s="29" t="n"/>
      <c r="F233" s="30" t="n"/>
      <c r="G233" s="30" t="n"/>
      <c r="H233" s="31" t="n"/>
      <c r="I233" s="31" t="n"/>
      <c r="J233" s="29" t="n"/>
      <c r="K233" s="35">
        <f>IF($A233="","",IF($C233="","",raporTarihi-$C233))</f>
        <v/>
      </c>
      <c r="L233" s="35">
        <f>IF($A233="","",IF($K233="","",IF($K233&lt;=7,"0-7",IF($K233&lt;=30,"8-30",IF($K233&lt;=60,"31-60","60+")))))</f>
        <v/>
      </c>
      <c r="M233" s="35">
        <f>IF($A233="","",IF($B233="","YETİM",IF(COUNTIF(tblKartlar[KartId],$B233)=0,"YETİM","")))</f>
        <v/>
      </c>
      <c r="N233" s="35">
        <f>IF(OR($A233="",$D233=""),"",IF(OR($D233&amp;"|"&amp;$E233="",COUNTIF(ListeIzinliGecis,$D233&amp;"|"&amp;$E233)&gt;0),"","GEÇERSİZ GEÇİŞ"))</f>
        <v/>
      </c>
      <c r="O233" s="35">
        <f>IF($A233="","",IF(OR($F233="",$G233=""),"",IF(ABS($G233-$F233)&gt;zincirTolerans,"ZİNCİR KIRIK","OK")))</f>
        <v/>
      </c>
      <c r="P233" s="35">
        <f>IF($A233="","",1)</f>
        <v/>
      </c>
    </row>
    <row r="234">
      <c r="A234" s="29" t="n"/>
      <c r="B234" s="29" t="n"/>
      <c r="C234" s="70" t="n"/>
      <c r="D234" s="29" t="n"/>
      <c r="E234" s="29" t="n"/>
      <c r="F234" s="30" t="n"/>
      <c r="G234" s="30" t="n"/>
      <c r="H234" s="31" t="n"/>
      <c r="I234" s="31" t="n"/>
      <c r="J234" s="29" t="n"/>
      <c r="K234" s="35">
        <f>IF($A234="","",IF($C234="","",raporTarihi-$C234))</f>
        <v/>
      </c>
      <c r="L234" s="35">
        <f>IF($A234="","",IF($K234="","",IF($K234&lt;=7,"0-7",IF($K234&lt;=30,"8-30",IF($K234&lt;=60,"31-60","60+")))))</f>
        <v/>
      </c>
      <c r="M234" s="35">
        <f>IF($A234="","",IF($B234="","YETİM",IF(COUNTIF(tblKartlar[KartId],$B234)=0,"YETİM","")))</f>
        <v/>
      </c>
      <c r="N234" s="35">
        <f>IF(OR($A234="",$D234=""),"",IF(OR($D234&amp;"|"&amp;$E234="",COUNTIF(ListeIzinliGecis,$D234&amp;"|"&amp;$E234)&gt;0),"","GEÇERSİZ GEÇİŞ"))</f>
        <v/>
      </c>
      <c r="O234" s="35">
        <f>IF($A234="","",IF(OR($F234="",$G234=""),"",IF(ABS($G234-$F234)&gt;zincirTolerans,"ZİNCİR KIRIK","OK")))</f>
        <v/>
      </c>
      <c r="P234" s="35">
        <f>IF($A234="","",1)</f>
        <v/>
      </c>
    </row>
    <row r="235">
      <c r="A235" s="29" t="n"/>
      <c r="B235" s="29" t="n"/>
      <c r="C235" s="70" t="n"/>
      <c r="D235" s="29" t="n"/>
      <c r="E235" s="29" t="n"/>
      <c r="F235" s="30" t="n"/>
      <c r="G235" s="30" t="n"/>
      <c r="H235" s="31" t="n"/>
      <c r="I235" s="31" t="n"/>
      <c r="J235" s="29" t="n"/>
      <c r="K235" s="35">
        <f>IF($A235="","",IF($C235="","",raporTarihi-$C235))</f>
        <v/>
      </c>
      <c r="L235" s="35">
        <f>IF($A235="","",IF($K235="","",IF($K235&lt;=7,"0-7",IF($K235&lt;=30,"8-30",IF($K235&lt;=60,"31-60","60+")))))</f>
        <v/>
      </c>
      <c r="M235" s="35">
        <f>IF($A235="","",IF($B235="","YETİM",IF(COUNTIF(tblKartlar[KartId],$B235)=0,"YETİM","")))</f>
        <v/>
      </c>
      <c r="N235" s="35">
        <f>IF(OR($A235="",$D235=""),"",IF(OR($D235&amp;"|"&amp;$E235="",COUNTIF(ListeIzinliGecis,$D235&amp;"|"&amp;$E235)&gt;0),"","GEÇERSİZ GEÇİŞ"))</f>
        <v/>
      </c>
      <c r="O235" s="35">
        <f>IF($A235="","",IF(OR($F235="",$G235=""),"",IF(ABS($G235-$F235)&gt;zincirTolerans,"ZİNCİR KIRIK","OK")))</f>
        <v/>
      </c>
      <c r="P235" s="35">
        <f>IF($A235="","",1)</f>
        <v/>
      </c>
    </row>
    <row r="236">
      <c r="A236" s="29" t="n"/>
      <c r="B236" s="29" t="n"/>
      <c r="C236" s="70" t="n"/>
      <c r="D236" s="29" t="n"/>
      <c r="E236" s="29" t="n"/>
      <c r="F236" s="30" t="n"/>
      <c r="G236" s="30" t="n"/>
      <c r="H236" s="31" t="n"/>
      <c r="I236" s="31" t="n"/>
      <c r="J236" s="29" t="n"/>
      <c r="K236" s="35">
        <f>IF($A236="","",IF($C236="","",raporTarihi-$C236))</f>
        <v/>
      </c>
      <c r="L236" s="35">
        <f>IF($A236="","",IF($K236="","",IF($K236&lt;=7,"0-7",IF($K236&lt;=30,"8-30",IF($K236&lt;=60,"31-60","60+")))))</f>
        <v/>
      </c>
      <c r="M236" s="35">
        <f>IF($A236="","",IF($B236="","YETİM",IF(COUNTIF(tblKartlar[KartId],$B236)=0,"YETİM","")))</f>
        <v/>
      </c>
      <c r="N236" s="35">
        <f>IF(OR($A236="",$D236=""),"",IF(OR($D236&amp;"|"&amp;$E236="",COUNTIF(ListeIzinliGecis,$D236&amp;"|"&amp;$E236)&gt;0),"","GEÇERSİZ GEÇİŞ"))</f>
        <v/>
      </c>
      <c r="O236" s="35">
        <f>IF($A236="","",IF(OR($F236="",$G236=""),"",IF(ABS($G236-$F236)&gt;zincirTolerans,"ZİNCİR KIRIK","OK")))</f>
        <v/>
      </c>
      <c r="P236" s="35">
        <f>IF($A236="","",1)</f>
        <v/>
      </c>
    </row>
    <row r="237">
      <c r="A237" s="29" t="n"/>
      <c r="B237" s="29" t="n"/>
      <c r="C237" s="70" t="n"/>
      <c r="D237" s="29" t="n"/>
      <c r="E237" s="29" t="n"/>
      <c r="F237" s="30" t="n"/>
      <c r="G237" s="30" t="n"/>
      <c r="H237" s="31" t="n"/>
      <c r="I237" s="31" t="n"/>
      <c r="J237" s="29" t="n"/>
      <c r="K237" s="35">
        <f>IF($A237="","",IF($C237="","",raporTarihi-$C237))</f>
        <v/>
      </c>
      <c r="L237" s="35">
        <f>IF($A237="","",IF($K237="","",IF($K237&lt;=7,"0-7",IF($K237&lt;=30,"8-30",IF($K237&lt;=60,"31-60","60+")))))</f>
        <v/>
      </c>
      <c r="M237" s="35">
        <f>IF($A237="","",IF($B237="","YETİM",IF(COUNTIF(tblKartlar[KartId],$B237)=0,"YETİM","")))</f>
        <v/>
      </c>
      <c r="N237" s="35">
        <f>IF(OR($A237="",$D237=""),"",IF(OR($D237&amp;"|"&amp;$E237="",COUNTIF(ListeIzinliGecis,$D237&amp;"|"&amp;$E237)&gt;0),"","GEÇERSİZ GEÇİŞ"))</f>
        <v/>
      </c>
      <c r="O237" s="35">
        <f>IF($A237="","",IF(OR($F237="",$G237=""),"",IF(ABS($G237-$F237)&gt;zincirTolerans,"ZİNCİR KIRIK","OK")))</f>
        <v/>
      </c>
      <c r="P237" s="35">
        <f>IF($A237="","",1)</f>
        <v/>
      </c>
    </row>
    <row r="238">
      <c r="A238" s="29" t="n"/>
      <c r="B238" s="29" t="n"/>
      <c r="C238" s="70" t="n"/>
      <c r="D238" s="29" t="n"/>
      <c r="E238" s="29" t="n"/>
      <c r="F238" s="30" t="n"/>
      <c r="G238" s="30" t="n"/>
      <c r="H238" s="31" t="n"/>
      <c r="I238" s="31" t="n"/>
      <c r="J238" s="29" t="n"/>
      <c r="K238" s="35">
        <f>IF($A238="","",IF($C238="","",raporTarihi-$C238))</f>
        <v/>
      </c>
      <c r="L238" s="35">
        <f>IF($A238="","",IF($K238="","",IF($K238&lt;=7,"0-7",IF($K238&lt;=30,"8-30",IF($K238&lt;=60,"31-60","60+")))))</f>
        <v/>
      </c>
      <c r="M238" s="35">
        <f>IF($A238="","",IF($B238="","YETİM",IF(COUNTIF(tblKartlar[KartId],$B238)=0,"YETİM","")))</f>
        <v/>
      </c>
      <c r="N238" s="35">
        <f>IF(OR($A238="",$D238=""),"",IF(OR($D238&amp;"|"&amp;$E238="",COUNTIF(ListeIzinliGecis,$D238&amp;"|"&amp;$E238)&gt;0),"","GEÇERSİZ GEÇİŞ"))</f>
        <v/>
      </c>
      <c r="O238" s="35">
        <f>IF($A238="","",IF(OR($F238="",$G238=""),"",IF(ABS($G238-$F238)&gt;zincirTolerans,"ZİNCİR KIRIK","OK")))</f>
        <v/>
      </c>
      <c r="P238" s="35">
        <f>IF($A238="","",1)</f>
        <v/>
      </c>
    </row>
    <row r="239">
      <c r="A239" s="29" t="n"/>
      <c r="B239" s="29" t="n"/>
      <c r="C239" s="70" t="n"/>
      <c r="D239" s="29" t="n"/>
      <c r="E239" s="29" t="n"/>
      <c r="F239" s="30" t="n"/>
      <c r="G239" s="30" t="n"/>
      <c r="H239" s="31" t="n"/>
      <c r="I239" s="31" t="n"/>
      <c r="J239" s="29" t="n"/>
      <c r="K239" s="35">
        <f>IF($A239="","",IF($C239="","",raporTarihi-$C239))</f>
        <v/>
      </c>
      <c r="L239" s="35">
        <f>IF($A239="","",IF($K239="","",IF($K239&lt;=7,"0-7",IF($K239&lt;=30,"8-30",IF($K239&lt;=60,"31-60","60+")))))</f>
        <v/>
      </c>
      <c r="M239" s="35">
        <f>IF($A239="","",IF($B239="","YETİM",IF(COUNTIF(tblKartlar[KartId],$B239)=0,"YETİM","")))</f>
        <v/>
      </c>
      <c r="N239" s="35">
        <f>IF(OR($A239="",$D239=""),"",IF(OR($D239&amp;"|"&amp;$E239="",COUNTIF(ListeIzinliGecis,$D239&amp;"|"&amp;$E239)&gt;0),"","GEÇERSİZ GEÇİŞ"))</f>
        <v/>
      </c>
      <c r="O239" s="35">
        <f>IF($A239="","",IF(OR($F239="",$G239=""),"",IF(ABS($G239-$F239)&gt;zincirTolerans,"ZİNCİR KIRIK","OK")))</f>
        <v/>
      </c>
      <c r="P239" s="35">
        <f>IF($A239="","",1)</f>
        <v/>
      </c>
    </row>
    <row r="240">
      <c r="A240" s="29" t="n"/>
      <c r="B240" s="29" t="n"/>
      <c r="C240" s="70" t="n"/>
      <c r="D240" s="29" t="n"/>
      <c r="E240" s="29" t="n"/>
      <c r="F240" s="30" t="n"/>
      <c r="G240" s="30" t="n"/>
      <c r="H240" s="31" t="n"/>
      <c r="I240" s="31" t="n"/>
      <c r="J240" s="29" t="n"/>
      <c r="K240" s="35">
        <f>IF($A240="","",IF($C240="","",raporTarihi-$C240))</f>
        <v/>
      </c>
      <c r="L240" s="35">
        <f>IF($A240="","",IF($K240="","",IF($K240&lt;=7,"0-7",IF($K240&lt;=30,"8-30",IF($K240&lt;=60,"31-60","60+")))))</f>
        <v/>
      </c>
      <c r="M240" s="35">
        <f>IF($A240="","",IF($B240="","YETİM",IF(COUNTIF(tblKartlar[KartId],$B240)=0,"YETİM","")))</f>
        <v/>
      </c>
      <c r="N240" s="35">
        <f>IF(OR($A240="",$D240=""),"",IF(OR($D240&amp;"|"&amp;$E240="",COUNTIF(ListeIzinliGecis,$D240&amp;"|"&amp;$E240)&gt;0),"","GEÇERSİZ GEÇİŞ"))</f>
        <v/>
      </c>
      <c r="O240" s="35">
        <f>IF($A240="","",IF(OR($F240="",$G240=""),"",IF(ABS($G240-$F240)&gt;zincirTolerans,"ZİNCİR KIRIK","OK")))</f>
        <v/>
      </c>
      <c r="P240" s="35">
        <f>IF($A240="","",1)</f>
        <v/>
      </c>
    </row>
    <row r="241">
      <c r="A241" s="29" t="n"/>
      <c r="B241" s="29" t="n"/>
      <c r="C241" s="70" t="n"/>
      <c r="D241" s="29" t="n"/>
      <c r="E241" s="29" t="n"/>
      <c r="F241" s="30" t="n"/>
      <c r="G241" s="30" t="n"/>
      <c r="H241" s="31" t="n"/>
      <c r="I241" s="31" t="n"/>
      <c r="J241" s="29" t="n"/>
      <c r="K241" s="35">
        <f>IF($A241="","",IF($C241="","",raporTarihi-$C241))</f>
        <v/>
      </c>
      <c r="L241" s="35">
        <f>IF($A241="","",IF($K241="","",IF($K241&lt;=7,"0-7",IF($K241&lt;=30,"8-30",IF($K241&lt;=60,"31-60","60+")))))</f>
        <v/>
      </c>
      <c r="M241" s="35">
        <f>IF($A241="","",IF($B241="","YETİM",IF(COUNTIF(tblKartlar[KartId],$B241)=0,"YETİM","")))</f>
        <v/>
      </c>
      <c r="N241" s="35">
        <f>IF(OR($A241="",$D241=""),"",IF(OR($D241&amp;"|"&amp;$E241="",COUNTIF(ListeIzinliGecis,$D241&amp;"|"&amp;$E241)&gt;0),"","GEÇERSİZ GEÇİŞ"))</f>
        <v/>
      </c>
      <c r="O241" s="35">
        <f>IF($A241="","",IF(OR($F241="",$G241=""),"",IF(ABS($G241-$F241)&gt;zincirTolerans,"ZİNCİR KIRIK","OK")))</f>
        <v/>
      </c>
      <c r="P241" s="35">
        <f>IF($A241="","",1)</f>
        <v/>
      </c>
    </row>
    <row r="242">
      <c r="A242" s="29" t="n"/>
      <c r="B242" s="29" t="n"/>
      <c r="C242" s="70" t="n"/>
      <c r="D242" s="29" t="n"/>
      <c r="E242" s="29" t="n"/>
      <c r="F242" s="30" t="n"/>
      <c r="G242" s="30" t="n"/>
      <c r="H242" s="31" t="n"/>
      <c r="I242" s="31" t="n"/>
      <c r="J242" s="29" t="n"/>
      <c r="K242" s="35">
        <f>IF($A242="","",IF($C242="","",raporTarihi-$C242))</f>
        <v/>
      </c>
      <c r="L242" s="35">
        <f>IF($A242="","",IF($K242="","",IF($K242&lt;=7,"0-7",IF($K242&lt;=30,"8-30",IF($K242&lt;=60,"31-60","60+")))))</f>
        <v/>
      </c>
      <c r="M242" s="35">
        <f>IF($A242="","",IF($B242="","YETİM",IF(COUNTIF(tblKartlar[KartId],$B242)=0,"YETİM","")))</f>
        <v/>
      </c>
      <c r="N242" s="35">
        <f>IF(OR($A242="",$D242=""),"",IF(OR($D242&amp;"|"&amp;$E242="",COUNTIF(ListeIzinliGecis,$D242&amp;"|"&amp;$E242)&gt;0),"","GEÇERSİZ GEÇİŞ"))</f>
        <v/>
      </c>
      <c r="O242" s="35">
        <f>IF($A242="","",IF(OR($F242="",$G242=""),"",IF(ABS($G242-$F242)&gt;zincirTolerans,"ZİNCİR KIRIK","OK")))</f>
        <v/>
      </c>
      <c r="P242" s="35">
        <f>IF($A242="","",1)</f>
        <v/>
      </c>
    </row>
    <row r="243">
      <c r="A243" s="29" t="n"/>
      <c r="B243" s="29" t="n"/>
      <c r="C243" s="70" t="n"/>
      <c r="D243" s="29" t="n"/>
      <c r="E243" s="29" t="n"/>
      <c r="F243" s="30" t="n"/>
      <c r="G243" s="30" t="n"/>
      <c r="H243" s="31" t="n"/>
      <c r="I243" s="31" t="n"/>
      <c r="J243" s="29" t="n"/>
      <c r="K243" s="35">
        <f>IF($A243="","",IF($C243="","",raporTarihi-$C243))</f>
        <v/>
      </c>
      <c r="L243" s="35">
        <f>IF($A243="","",IF($K243="","",IF($K243&lt;=7,"0-7",IF($K243&lt;=30,"8-30",IF($K243&lt;=60,"31-60","60+")))))</f>
        <v/>
      </c>
      <c r="M243" s="35">
        <f>IF($A243="","",IF($B243="","YETİM",IF(COUNTIF(tblKartlar[KartId],$B243)=0,"YETİM","")))</f>
        <v/>
      </c>
      <c r="N243" s="35">
        <f>IF(OR($A243="",$D243=""),"",IF(OR($D243&amp;"|"&amp;$E243="",COUNTIF(ListeIzinliGecis,$D243&amp;"|"&amp;$E243)&gt;0),"","GEÇERSİZ GEÇİŞ"))</f>
        <v/>
      </c>
      <c r="O243" s="35">
        <f>IF($A243="","",IF(OR($F243="",$G243=""),"",IF(ABS($G243-$F243)&gt;zincirTolerans,"ZİNCİR KIRIK","OK")))</f>
        <v/>
      </c>
      <c r="P243" s="35">
        <f>IF($A243="","",1)</f>
        <v/>
      </c>
    </row>
    <row r="244">
      <c r="A244" s="29" t="n"/>
      <c r="B244" s="29" t="n"/>
      <c r="C244" s="70" t="n"/>
      <c r="D244" s="29" t="n"/>
      <c r="E244" s="29" t="n"/>
      <c r="F244" s="30" t="n"/>
      <c r="G244" s="30" t="n"/>
      <c r="H244" s="31" t="n"/>
      <c r="I244" s="31" t="n"/>
      <c r="J244" s="29" t="n"/>
      <c r="K244" s="35">
        <f>IF($A244="","",IF($C244="","",raporTarihi-$C244))</f>
        <v/>
      </c>
      <c r="L244" s="35">
        <f>IF($A244="","",IF($K244="","",IF($K244&lt;=7,"0-7",IF($K244&lt;=30,"8-30",IF($K244&lt;=60,"31-60","60+")))))</f>
        <v/>
      </c>
      <c r="M244" s="35">
        <f>IF($A244="","",IF($B244="","YETİM",IF(COUNTIF(tblKartlar[KartId],$B244)=0,"YETİM","")))</f>
        <v/>
      </c>
      <c r="N244" s="35">
        <f>IF(OR($A244="",$D244=""),"",IF(OR($D244&amp;"|"&amp;$E244="",COUNTIF(ListeIzinliGecis,$D244&amp;"|"&amp;$E244)&gt;0),"","GEÇERSİZ GEÇİŞ"))</f>
        <v/>
      </c>
      <c r="O244" s="35">
        <f>IF($A244="","",IF(OR($F244="",$G244=""),"",IF(ABS($G244-$F244)&gt;zincirTolerans,"ZİNCİR KIRIK","OK")))</f>
        <v/>
      </c>
      <c r="P244" s="35">
        <f>IF($A244="","",1)</f>
        <v/>
      </c>
    </row>
    <row r="245">
      <c r="A245" s="29" t="n"/>
      <c r="B245" s="29" t="n"/>
      <c r="C245" s="70" t="n"/>
      <c r="D245" s="29" t="n"/>
      <c r="E245" s="29" t="n"/>
      <c r="F245" s="30" t="n"/>
      <c r="G245" s="30" t="n"/>
      <c r="H245" s="31" t="n"/>
      <c r="I245" s="31" t="n"/>
      <c r="J245" s="29" t="n"/>
      <c r="K245" s="35">
        <f>IF($A245="","",IF($C245="","",raporTarihi-$C245))</f>
        <v/>
      </c>
      <c r="L245" s="35">
        <f>IF($A245="","",IF($K245="","",IF($K245&lt;=7,"0-7",IF($K245&lt;=30,"8-30",IF($K245&lt;=60,"31-60","60+")))))</f>
        <v/>
      </c>
      <c r="M245" s="35">
        <f>IF($A245="","",IF($B245="","YETİM",IF(COUNTIF(tblKartlar[KartId],$B245)=0,"YETİM","")))</f>
        <v/>
      </c>
      <c r="N245" s="35">
        <f>IF(OR($A245="",$D245=""),"",IF(OR($D245&amp;"|"&amp;$E245="",COUNTIF(ListeIzinliGecis,$D245&amp;"|"&amp;$E245)&gt;0),"","GEÇERSİZ GEÇİŞ"))</f>
        <v/>
      </c>
      <c r="O245" s="35">
        <f>IF($A245="","",IF(OR($F245="",$G245=""),"",IF(ABS($G245-$F245)&gt;zincirTolerans,"ZİNCİR KIRIK","OK")))</f>
        <v/>
      </c>
      <c r="P245" s="35">
        <f>IF($A245="","",1)</f>
        <v/>
      </c>
    </row>
    <row r="246">
      <c r="A246" s="29" t="n"/>
      <c r="B246" s="29" t="n"/>
      <c r="C246" s="70" t="n"/>
      <c r="D246" s="29" t="n"/>
      <c r="E246" s="29" t="n"/>
      <c r="F246" s="30" t="n"/>
      <c r="G246" s="30" t="n"/>
      <c r="H246" s="31" t="n"/>
      <c r="I246" s="31" t="n"/>
      <c r="J246" s="29" t="n"/>
      <c r="K246" s="35">
        <f>IF($A246="","",IF($C246="","",raporTarihi-$C246))</f>
        <v/>
      </c>
      <c r="L246" s="35">
        <f>IF($A246="","",IF($K246="","",IF($K246&lt;=7,"0-7",IF($K246&lt;=30,"8-30",IF($K246&lt;=60,"31-60","60+")))))</f>
        <v/>
      </c>
      <c r="M246" s="35">
        <f>IF($A246="","",IF($B246="","YETİM",IF(COUNTIF(tblKartlar[KartId],$B246)=0,"YETİM","")))</f>
        <v/>
      </c>
      <c r="N246" s="35">
        <f>IF(OR($A246="",$D246=""),"",IF(OR($D246&amp;"|"&amp;$E246="",COUNTIF(ListeIzinliGecis,$D246&amp;"|"&amp;$E246)&gt;0),"","GEÇERSİZ GEÇİŞ"))</f>
        <v/>
      </c>
      <c r="O246" s="35">
        <f>IF($A246="","",IF(OR($F246="",$G246=""),"",IF(ABS($G246-$F246)&gt;zincirTolerans,"ZİNCİR KIRIK","OK")))</f>
        <v/>
      </c>
      <c r="P246" s="35">
        <f>IF($A246="","",1)</f>
        <v/>
      </c>
    </row>
    <row r="247">
      <c r="A247" s="29" t="n"/>
      <c r="B247" s="29" t="n"/>
      <c r="C247" s="70" t="n"/>
      <c r="D247" s="29" t="n"/>
      <c r="E247" s="29" t="n"/>
      <c r="F247" s="30" t="n"/>
      <c r="G247" s="30" t="n"/>
      <c r="H247" s="31" t="n"/>
      <c r="I247" s="31" t="n"/>
      <c r="J247" s="29" t="n"/>
      <c r="K247" s="35">
        <f>IF($A247="","",IF($C247="","",raporTarihi-$C247))</f>
        <v/>
      </c>
      <c r="L247" s="35">
        <f>IF($A247="","",IF($K247="","",IF($K247&lt;=7,"0-7",IF($K247&lt;=30,"8-30",IF($K247&lt;=60,"31-60","60+")))))</f>
        <v/>
      </c>
      <c r="M247" s="35">
        <f>IF($A247="","",IF($B247="","YETİM",IF(COUNTIF(tblKartlar[KartId],$B247)=0,"YETİM","")))</f>
        <v/>
      </c>
      <c r="N247" s="35">
        <f>IF(OR($A247="",$D247=""),"",IF(OR($D247&amp;"|"&amp;$E247="",COUNTIF(ListeIzinliGecis,$D247&amp;"|"&amp;$E247)&gt;0),"","GEÇERSİZ GEÇİŞ"))</f>
        <v/>
      </c>
      <c r="O247" s="35">
        <f>IF($A247="","",IF(OR($F247="",$G247=""),"",IF(ABS($G247-$F247)&gt;zincirTolerans,"ZİNCİR KIRIK","OK")))</f>
        <v/>
      </c>
      <c r="P247" s="35">
        <f>IF($A247="","",1)</f>
        <v/>
      </c>
    </row>
    <row r="248">
      <c r="A248" s="29" t="n"/>
      <c r="B248" s="29" t="n"/>
      <c r="C248" s="70" t="n"/>
      <c r="D248" s="29" t="n"/>
      <c r="E248" s="29" t="n"/>
      <c r="F248" s="30" t="n"/>
      <c r="G248" s="30" t="n"/>
      <c r="H248" s="31" t="n"/>
      <c r="I248" s="31" t="n"/>
      <c r="J248" s="29" t="n"/>
      <c r="K248" s="35">
        <f>IF($A248="","",IF($C248="","",raporTarihi-$C248))</f>
        <v/>
      </c>
      <c r="L248" s="35">
        <f>IF($A248="","",IF($K248="","",IF($K248&lt;=7,"0-7",IF($K248&lt;=30,"8-30",IF($K248&lt;=60,"31-60","60+")))))</f>
        <v/>
      </c>
      <c r="M248" s="35">
        <f>IF($A248="","",IF($B248="","YETİM",IF(COUNTIF(tblKartlar[KartId],$B248)=0,"YETİM","")))</f>
        <v/>
      </c>
      <c r="N248" s="35">
        <f>IF(OR($A248="",$D248=""),"",IF(OR($D248&amp;"|"&amp;$E248="",COUNTIF(ListeIzinliGecis,$D248&amp;"|"&amp;$E248)&gt;0),"","GEÇERSİZ GEÇİŞ"))</f>
        <v/>
      </c>
      <c r="O248" s="35">
        <f>IF($A248="","",IF(OR($F248="",$G248=""),"",IF(ABS($G248-$F248)&gt;zincirTolerans,"ZİNCİR KIRIK","OK")))</f>
        <v/>
      </c>
      <c r="P248" s="35">
        <f>IF($A248="","",1)</f>
        <v/>
      </c>
    </row>
    <row r="249">
      <c r="A249" s="29" t="n"/>
      <c r="B249" s="29" t="n"/>
      <c r="C249" s="70" t="n"/>
      <c r="D249" s="29" t="n"/>
      <c r="E249" s="29" t="n"/>
      <c r="F249" s="30" t="n"/>
      <c r="G249" s="30" t="n"/>
      <c r="H249" s="31" t="n"/>
      <c r="I249" s="31" t="n"/>
      <c r="J249" s="29" t="n"/>
      <c r="K249" s="35">
        <f>IF($A249="","",IF($C249="","",raporTarihi-$C249))</f>
        <v/>
      </c>
      <c r="L249" s="35">
        <f>IF($A249="","",IF($K249="","",IF($K249&lt;=7,"0-7",IF($K249&lt;=30,"8-30",IF($K249&lt;=60,"31-60","60+")))))</f>
        <v/>
      </c>
      <c r="M249" s="35">
        <f>IF($A249="","",IF($B249="","YETİM",IF(COUNTIF(tblKartlar[KartId],$B249)=0,"YETİM","")))</f>
        <v/>
      </c>
      <c r="N249" s="35">
        <f>IF(OR($A249="",$D249=""),"",IF(OR($D249&amp;"|"&amp;$E249="",COUNTIF(ListeIzinliGecis,$D249&amp;"|"&amp;$E249)&gt;0),"","GEÇERSİZ GEÇİŞ"))</f>
        <v/>
      </c>
      <c r="O249" s="35">
        <f>IF($A249="","",IF(OR($F249="",$G249=""),"",IF(ABS($G249-$F249)&gt;zincirTolerans,"ZİNCİR KIRIK","OK")))</f>
        <v/>
      </c>
      <c r="P249" s="35">
        <f>IF($A249="","",1)</f>
        <v/>
      </c>
    </row>
    <row r="250">
      <c r="A250" s="29" t="n"/>
      <c r="B250" s="29" t="n"/>
      <c r="C250" s="70" t="n"/>
      <c r="D250" s="29" t="n"/>
      <c r="E250" s="29" t="n"/>
      <c r="F250" s="30" t="n"/>
      <c r="G250" s="30" t="n"/>
      <c r="H250" s="31" t="n"/>
      <c r="I250" s="31" t="n"/>
      <c r="J250" s="29" t="n"/>
      <c r="K250" s="35">
        <f>IF($A250="","",IF($C250="","",raporTarihi-$C250))</f>
        <v/>
      </c>
      <c r="L250" s="35">
        <f>IF($A250="","",IF($K250="","",IF($K250&lt;=7,"0-7",IF($K250&lt;=30,"8-30",IF($K250&lt;=60,"31-60","60+")))))</f>
        <v/>
      </c>
      <c r="M250" s="35">
        <f>IF($A250="","",IF($B250="","YETİM",IF(COUNTIF(tblKartlar[KartId],$B250)=0,"YETİM","")))</f>
        <v/>
      </c>
      <c r="N250" s="35">
        <f>IF(OR($A250="",$D250=""),"",IF(OR($D250&amp;"|"&amp;$E250="",COUNTIF(ListeIzinliGecis,$D250&amp;"|"&amp;$E250)&gt;0),"","GEÇERSİZ GEÇİŞ"))</f>
        <v/>
      </c>
      <c r="O250" s="35">
        <f>IF($A250="","",IF(OR($F250="",$G250=""),"",IF(ABS($G250-$F250)&gt;zincirTolerans,"ZİNCİR KIRIK","OK")))</f>
        <v/>
      </c>
      <c r="P250" s="35">
        <f>IF($A250="","",1)</f>
        <v/>
      </c>
    </row>
    <row r="251">
      <c r="A251" s="29" t="n"/>
      <c r="B251" s="29" t="n"/>
      <c r="C251" s="70" t="n"/>
      <c r="D251" s="29" t="n"/>
      <c r="E251" s="29" t="n"/>
      <c r="F251" s="30" t="n"/>
      <c r="G251" s="30" t="n"/>
      <c r="H251" s="31" t="n"/>
      <c r="I251" s="31" t="n"/>
      <c r="J251" s="29" t="n"/>
      <c r="K251" s="35">
        <f>IF($A251="","",IF($C251="","",raporTarihi-$C251))</f>
        <v/>
      </c>
      <c r="L251" s="35">
        <f>IF($A251="","",IF($K251="","",IF($K251&lt;=7,"0-7",IF($K251&lt;=30,"8-30",IF($K251&lt;=60,"31-60","60+")))))</f>
        <v/>
      </c>
      <c r="M251" s="35">
        <f>IF($A251="","",IF($B251="","YETİM",IF(COUNTIF(tblKartlar[KartId],$B251)=0,"YETİM","")))</f>
        <v/>
      </c>
      <c r="N251" s="35">
        <f>IF(OR($A251="",$D251=""),"",IF(OR($D251&amp;"|"&amp;$E251="",COUNTIF(ListeIzinliGecis,$D251&amp;"|"&amp;$E251)&gt;0),"","GEÇERSİZ GEÇİŞ"))</f>
        <v/>
      </c>
      <c r="O251" s="35">
        <f>IF($A251="","",IF(OR($F251="",$G251=""),"",IF(ABS($G251-$F251)&gt;zincirTolerans,"ZİNCİR KIRIK","OK")))</f>
        <v/>
      </c>
      <c r="P251" s="35">
        <f>IF($A251="","",1)</f>
        <v/>
      </c>
    </row>
    <row r="252">
      <c r="A252" s="29" t="n"/>
      <c r="B252" s="29" t="n"/>
      <c r="C252" s="70" t="n"/>
      <c r="D252" s="29" t="n"/>
      <c r="E252" s="29" t="n"/>
      <c r="F252" s="30" t="n"/>
      <c r="G252" s="30" t="n"/>
      <c r="H252" s="31" t="n"/>
      <c r="I252" s="31" t="n"/>
      <c r="J252" s="29" t="n"/>
      <c r="K252" s="35">
        <f>IF($A252="","",IF($C252="","",raporTarihi-$C252))</f>
        <v/>
      </c>
      <c r="L252" s="35">
        <f>IF($A252="","",IF($K252="","",IF($K252&lt;=7,"0-7",IF($K252&lt;=30,"8-30",IF($K252&lt;=60,"31-60","60+")))))</f>
        <v/>
      </c>
      <c r="M252" s="35">
        <f>IF($A252="","",IF($B252="","YETİM",IF(COUNTIF(tblKartlar[KartId],$B252)=0,"YETİM","")))</f>
        <v/>
      </c>
      <c r="N252" s="35">
        <f>IF(OR($A252="",$D252=""),"",IF(OR($D252&amp;"|"&amp;$E252="",COUNTIF(ListeIzinliGecis,$D252&amp;"|"&amp;$E252)&gt;0),"","GEÇERSİZ GEÇİŞ"))</f>
        <v/>
      </c>
      <c r="O252" s="35">
        <f>IF($A252="","",IF(OR($F252="",$G252=""),"",IF(ABS($G252-$F252)&gt;zincirTolerans,"ZİNCİR KIRIK","OK")))</f>
        <v/>
      </c>
      <c r="P252" s="35">
        <f>IF($A252="","",1)</f>
        <v/>
      </c>
    </row>
    <row r="253">
      <c r="A253" s="29" t="n"/>
      <c r="B253" s="29" t="n"/>
      <c r="C253" s="70" t="n"/>
      <c r="D253" s="29" t="n"/>
      <c r="E253" s="29" t="n"/>
      <c r="F253" s="30" t="n"/>
      <c r="G253" s="30" t="n"/>
      <c r="H253" s="31" t="n"/>
      <c r="I253" s="31" t="n"/>
      <c r="J253" s="29" t="n"/>
      <c r="K253" s="35">
        <f>IF($A253="","",IF($C253="","",raporTarihi-$C253))</f>
        <v/>
      </c>
      <c r="L253" s="35">
        <f>IF($A253="","",IF($K253="","",IF($K253&lt;=7,"0-7",IF($K253&lt;=30,"8-30",IF($K253&lt;=60,"31-60","60+")))))</f>
        <v/>
      </c>
      <c r="M253" s="35">
        <f>IF($A253="","",IF($B253="","YETİM",IF(COUNTIF(tblKartlar[KartId],$B253)=0,"YETİM","")))</f>
        <v/>
      </c>
      <c r="N253" s="35">
        <f>IF(OR($A253="",$D253=""),"",IF(OR($D253&amp;"|"&amp;$E253="",COUNTIF(ListeIzinliGecis,$D253&amp;"|"&amp;$E253)&gt;0),"","GEÇERSİZ GEÇİŞ"))</f>
        <v/>
      </c>
      <c r="O253" s="35">
        <f>IF($A253="","",IF(OR($F253="",$G253=""),"",IF(ABS($G253-$F253)&gt;zincirTolerans,"ZİNCİR KIRIK","OK")))</f>
        <v/>
      </c>
      <c r="P253" s="35">
        <f>IF($A253="","",1)</f>
        <v/>
      </c>
    </row>
    <row r="254">
      <c r="A254" s="29" t="n"/>
      <c r="B254" s="29" t="n"/>
      <c r="C254" s="70" t="n"/>
      <c r="D254" s="29" t="n"/>
      <c r="E254" s="29" t="n"/>
      <c r="F254" s="30" t="n"/>
      <c r="G254" s="30" t="n"/>
      <c r="H254" s="31" t="n"/>
      <c r="I254" s="31" t="n"/>
      <c r="J254" s="29" t="n"/>
      <c r="K254" s="35">
        <f>IF($A254="","",IF($C254="","",raporTarihi-$C254))</f>
        <v/>
      </c>
      <c r="L254" s="35">
        <f>IF($A254="","",IF($K254="","",IF($K254&lt;=7,"0-7",IF($K254&lt;=30,"8-30",IF($K254&lt;=60,"31-60","60+")))))</f>
        <v/>
      </c>
      <c r="M254" s="35">
        <f>IF($A254="","",IF($B254="","YETİM",IF(COUNTIF(tblKartlar[KartId],$B254)=0,"YETİM","")))</f>
        <v/>
      </c>
      <c r="N254" s="35">
        <f>IF(OR($A254="",$D254=""),"",IF(OR($D254&amp;"|"&amp;$E254="",COUNTIF(ListeIzinliGecis,$D254&amp;"|"&amp;$E254)&gt;0),"","GEÇERSİZ GEÇİŞ"))</f>
        <v/>
      </c>
      <c r="O254" s="35">
        <f>IF($A254="","",IF(OR($F254="",$G254=""),"",IF(ABS($G254-$F254)&gt;zincirTolerans,"ZİNCİR KIRIK","OK")))</f>
        <v/>
      </c>
      <c r="P254" s="35">
        <f>IF($A254="","",1)</f>
        <v/>
      </c>
    </row>
    <row r="255">
      <c r="A255" s="29" t="n"/>
      <c r="B255" s="29" t="n"/>
      <c r="C255" s="70" t="n"/>
      <c r="D255" s="29" t="n"/>
      <c r="E255" s="29" t="n"/>
      <c r="F255" s="30" t="n"/>
      <c r="G255" s="30" t="n"/>
      <c r="H255" s="31" t="n"/>
      <c r="I255" s="31" t="n"/>
      <c r="J255" s="29" t="n"/>
      <c r="K255" s="35">
        <f>IF($A255="","",IF($C255="","",raporTarihi-$C255))</f>
        <v/>
      </c>
      <c r="L255" s="35">
        <f>IF($A255="","",IF($K255="","",IF($K255&lt;=7,"0-7",IF($K255&lt;=30,"8-30",IF($K255&lt;=60,"31-60","60+")))))</f>
        <v/>
      </c>
      <c r="M255" s="35">
        <f>IF($A255="","",IF($B255="","YETİM",IF(COUNTIF(tblKartlar[KartId],$B255)=0,"YETİM","")))</f>
        <v/>
      </c>
      <c r="N255" s="35">
        <f>IF(OR($A255="",$D255=""),"",IF(OR($D255&amp;"|"&amp;$E255="",COUNTIF(ListeIzinliGecis,$D255&amp;"|"&amp;$E255)&gt;0),"","GEÇERSİZ GEÇİŞ"))</f>
        <v/>
      </c>
      <c r="O255" s="35">
        <f>IF($A255="","",IF(OR($F255="",$G255=""),"",IF(ABS($G255-$F255)&gt;zincirTolerans,"ZİNCİR KIRIK","OK")))</f>
        <v/>
      </c>
      <c r="P255" s="35">
        <f>IF($A255="","",1)</f>
        <v/>
      </c>
    </row>
    <row r="256">
      <c r="A256" s="29" t="n"/>
      <c r="B256" s="29" t="n"/>
      <c r="C256" s="70" t="n"/>
      <c r="D256" s="29" t="n"/>
      <c r="E256" s="29" t="n"/>
      <c r="F256" s="30" t="n"/>
      <c r="G256" s="30" t="n"/>
      <c r="H256" s="31" t="n"/>
      <c r="I256" s="31" t="n"/>
      <c r="J256" s="29" t="n"/>
      <c r="K256" s="35">
        <f>IF($A256="","",IF($C256="","",raporTarihi-$C256))</f>
        <v/>
      </c>
      <c r="L256" s="35">
        <f>IF($A256="","",IF($K256="","",IF($K256&lt;=7,"0-7",IF($K256&lt;=30,"8-30",IF($K256&lt;=60,"31-60","60+")))))</f>
        <v/>
      </c>
      <c r="M256" s="35">
        <f>IF($A256="","",IF($B256="","YETİM",IF(COUNTIF(tblKartlar[KartId],$B256)=0,"YETİM","")))</f>
        <v/>
      </c>
      <c r="N256" s="35">
        <f>IF(OR($A256="",$D256=""),"",IF(OR($D256&amp;"|"&amp;$E256="",COUNTIF(ListeIzinliGecis,$D256&amp;"|"&amp;$E256)&gt;0),"","GEÇERSİZ GEÇİŞ"))</f>
        <v/>
      </c>
      <c r="O256" s="35">
        <f>IF($A256="","",IF(OR($F256="",$G256=""),"",IF(ABS($G256-$F256)&gt;zincirTolerans,"ZİNCİR KIRIK","OK")))</f>
        <v/>
      </c>
      <c r="P256" s="35">
        <f>IF($A256="","",1)</f>
        <v/>
      </c>
    </row>
    <row r="257">
      <c r="A257" s="29" t="n"/>
      <c r="B257" s="29" t="n"/>
      <c r="C257" s="70" t="n"/>
      <c r="D257" s="29" t="n"/>
      <c r="E257" s="29" t="n"/>
      <c r="F257" s="30" t="n"/>
      <c r="G257" s="30" t="n"/>
      <c r="H257" s="31" t="n"/>
      <c r="I257" s="31" t="n"/>
      <c r="J257" s="29" t="n"/>
      <c r="K257" s="35">
        <f>IF($A257="","",IF($C257="","",raporTarihi-$C257))</f>
        <v/>
      </c>
      <c r="L257" s="35">
        <f>IF($A257="","",IF($K257="","",IF($K257&lt;=7,"0-7",IF($K257&lt;=30,"8-30",IF($K257&lt;=60,"31-60","60+")))))</f>
        <v/>
      </c>
      <c r="M257" s="35">
        <f>IF($A257="","",IF($B257="","YETİM",IF(COUNTIF(tblKartlar[KartId],$B257)=0,"YETİM","")))</f>
        <v/>
      </c>
      <c r="N257" s="35">
        <f>IF(OR($A257="",$D257=""),"",IF(OR($D257&amp;"|"&amp;$E257="",COUNTIF(ListeIzinliGecis,$D257&amp;"|"&amp;$E257)&gt;0),"","GEÇERSİZ GEÇİŞ"))</f>
        <v/>
      </c>
      <c r="O257" s="35">
        <f>IF($A257="","",IF(OR($F257="",$G257=""),"",IF(ABS($G257-$F257)&gt;zincirTolerans,"ZİNCİR KIRIK","OK")))</f>
        <v/>
      </c>
      <c r="P257" s="35">
        <f>IF($A257="","",1)</f>
        <v/>
      </c>
    </row>
    <row r="258">
      <c r="A258" s="29" t="n"/>
      <c r="B258" s="29" t="n"/>
      <c r="C258" s="70" t="n"/>
      <c r="D258" s="29" t="n"/>
      <c r="E258" s="29" t="n"/>
      <c r="F258" s="30" t="n"/>
      <c r="G258" s="30" t="n"/>
      <c r="H258" s="31" t="n"/>
      <c r="I258" s="31" t="n"/>
      <c r="J258" s="29" t="n"/>
      <c r="K258" s="35">
        <f>IF($A258="","",IF($C258="","",raporTarihi-$C258))</f>
        <v/>
      </c>
      <c r="L258" s="35">
        <f>IF($A258="","",IF($K258="","",IF($K258&lt;=7,"0-7",IF($K258&lt;=30,"8-30",IF($K258&lt;=60,"31-60","60+")))))</f>
        <v/>
      </c>
      <c r="M258" s="35">
        <f>IF($A258="","",IF($B258="","YETİM",IF(COUNTIF(tblKartlar[KartId],$B258)=0,"YETİM","")))</f>
        <v/>
      </c>
      <c r="N258" s="35">
        <f>IF(OR($A258="",$D258=""),"",IF(OR($D258&amp;"|"&amp;$E258="",COUNTIF(ListeIzinliGecis,$D258&amp;"|"&amp;$E258)&gt;0),"","GEÇERSİZ GEÇİŞ"))</f>
        <v/>
      </c>
      <c r="O258" s="35">
        <f>IF($A258="","",IF(OR($F258="",$G258=""),"",IF(ABS($G258-$F258)&gt;zincirTolerans,"ZİNCİR KIRIK","OK")))</f>
        <v/>
      </c>
      <c r="P258" s="35">
        <f>IF($A258="","",1)</f>
        <v/>
      </c>
    </row>
    <row r="259">
      <c r="A259" s="29" t="n"/>
      <c r="B259" s="29" t="n"/>
      <c r="C259" s="70" t="n"/>
      <c r="D259" s="29" t="n"/>
      <c r="E259" s="29" t="n"/>
      <c r="F259" s="30" t="n"/>
      <c r="G259" s="30" t="n"/>
      <c r="H259" s="31" t="n"/>
      <c r="I259" s="31" t="n"/>
      <c r="J259" s="29" t="n"/>
      <c r="K259" s="35">
        <f>IF($A259="","",IF($C259="","",raporTarihi-$C259))</f>
        <v/>
      </c>
      <c r="L259" s="35">
        <f>IF($A259="","",IF($K259="","",IF($K259&lt;=7,"0-7",IF($K259&lt;=30,"8-30",IF($K259&lt;=60,"31-60","60+")))))</f>
        <v/>
      </c>
      <c r="M259" s="35">
        <f>IF($A259="","",IF($B259="","YETİM",IF(COUNTIF(tblKartlar[KartId],$B259)=0,"YETİM","")))</f>
        <v/>
      </c>
      <c r="N259" s="35">
        <f>IF(OR($A259="",$D259=""),"",IF(OR($D259&amp;"|"&amp;$E259="",COUNTIF(ListeIzinliGecis,$D259&amp;"|"&amp;$E259)&gt;0),"","GEÇERSİZ GEÇİŞ"))</f>
        <v/>
      </c>
      <c r="O259" s="35">
        <f>IF($A259="","",IF(OR($F259="",$G259=""),"",IF(ABS($G259-$F259)&gt;zincirTolerans,"ZİNCİR KIRIK","OK")))</f>
        <v/>
      </c>
      <c r="P259" s="35">
        <f>IF($A259="","",1)</f>
        <v/>
      </c>
    </row>
    <row r="260">
      <c r="A260" s="29" t="n"/>
      <c r="B260" s="29" t="n"/>
      <c r="C260" s="70" t="n"/>
      <c r="D260" s="29" t="n"/>
      <c r="E260" s="29" t="n"/>
      <c r="F260" s="30" t="n"/>
      <c r="G260" s="30" t="n"/>
      <c r="H260" s="31" t="n"/>
      <c r="I260" s="31" t="n"/>
      <c r="J260" s="29" t="n"/>
      <c r="K260" s="35">
        <f>IF($A260="","",IF($C260="","",raporTarihi-$C260))</f>
        <v/>
      </c>
      <c r="L260" s="35">
        <f>IF($A260="","",IF($K260="","",IF($K260&lt;=7,"0-7",IF($K260&lt;=30,"8-30",IF($K260&lt;=60,"31-60","60+")))))</f>
        <v/>
      </c>
      <c r="M260" s="35">
        <f>IF($A260="","",IF($B260="","YETİM",IF(COUNTIF(tblKartlar[KartId],$B260)=0,"YETİM","")))</f>
        <v/>
      </c>
      <c r="N260" s="35">
        <f>IF(OR($A260="",$D260=""),"",IF(OR($D260&amp;"|"&amp;$E260="",COUNTIF(ListeIzinliGecis,$D260&amp;"|"&amp;$E260)&gt;0),"","GEÇERSİZ GEÇİŞ"))</f>
        <v/>
      </c>
      <c r="O260" s="35">
        <f>IF($A260="","",IF(OR($F260="",$G260=""),"",IF(ABS($G260-$F260)&gt;zincirTolerans,"ZİNCİR KIRIK","OK")))</f>
        <v/>
      </c>
      <c r="P260" s="35">
        <f>IF($A260="","",1)</f>
        <v/>
      </c>
    </row>
    <row r="261">
      <c r="A261" s="29" t="n"/>
      <c r="B261" s="29" t="n"/>
      <c r="C261" s="70" t="n"/>
      <c r="D261" s="29" t="n"/>
      <c r="E261" s="29" t="n"/>
      <c r="F261" s="30" t="n"/>
      <c r="G261" s="30" t="n"/>
      <c r="H261" s="31" t="n"/>
      <c r="I261" s="31" t="n"/>
      <c r="J261" s="29" t="n"/>
      <c r="K261" s="35">
        <f>IF($A261="","",IF($C261="","",raporTarihi-$C261))</f>
        <v/>
      </c>
      <c r="L261" s="35">
        <f>IF($A261="","",IF($K261="","",IF($K261&lt;=7,"0-7",IF($K261&lt;=30,"8-30",IF($K261&lt;=60,"31-60","60+")))))</f>
        <v/>
      </c>
      <c r="M261" s="35">
        <f>IF($A261="","",IF($B261="","YETİM",IF(COUNTIF(tblKartlar[KartId],$B261)=0,"YETİM","")))</f>
        <v/>
      </c>
      <c r="N261" s="35">
        <f>IF(OR($A261="",$D261=""),"",IF(OR($D261&amp;"|"&amp;$E261="",COUNTIF(ListeIzinliGecis,$D261&amp;"|"&amp;$E261)&gt;0),"","GEÇERSİZ GEÇİŞ"))</f>
        <v/>
      </c>
      <c r="O261" s="35">
        <f>IF($A261="","",IF(OR($F261="",$G261=""),"",IF(ABS($G261-$F261)&gt;zincirTolerans,"ZİNCİR KIRIK","OK")))</f>
        <v/>
      </c>
      <c r="P261" s="35">
        <f>IF($A261="","",1)</f>
        <v/>
      </c>
    </row>
    <row r="262">
      <c r="A262" s="29" t="n"/>
      <c r="B262" s="29" t="n"/>
      <c r="C262" s="70" t="n"/>
      <c r="D262" s="29" t="n"/>
      <c r="E262" s="29" t="n"/>
      <c r="F262" s="30" t="n"/>
      <c r="G262" s="30" t="n"/>
      <c r="H262" s="31" t="n"/>
      <c r="I262" s="31" t="n"/>
      <c r="J262" s="29" t="n"/>
      <c r="K262" s="35">
        <f>IF($A262="","",IF($C262="","",raporTarihi-$C262))</f>
        <v/>
      </c>
      <c r="L262" s="35">
        <f>IF($A262="","",IF($K262="","",IF($K262&lt;=7,"0-7",IF($K262&lt;=30,"8-30",IF($K262&lt;=60,"31-60","60+")))))</f>
        <v/>
      </c>
      <c r="M262" s="35">
        <f>IF($A262="","",IF($B262="","YETİM",IF(COUNTIF(tblKartlar[KartId],$B262)=0,"YETİM","")))</f>
        <v/>
      </c>
      <c r="N262" s="35">
        <f>IF(OR($A262="",$D262=""),"",IF(OR($D262&amp;"|"&amp;$E262="",COUNTIF(ListeIzinliGecis,$D262&amp;"|"&amp;$E262)&gt;0),"","GEÇERSİZ GEÇİŞ"))</f>
        <v/>
      </c>
      <c r="O262" s="35">
        <f>IF($A262="","",IF(OR($F262="",$G262=""),"",IF(ABS($G262-$F262)&gt;zincirTolerans,"ZİNCİR KIRIK","OK")))</f>
        <v/>
      </c>
      <c r="P262" s="35">
        <f>IF($A262="","",1)</f>
        <v/>
      </c>
    </row>
    <row r="263">
      <c r="A263" s="29" t="n"/>
      <c r="B263" s="29" t="n"/>
      <c r="C263" s="70" t="n"/>
      <c r="D263" s="29" t="n"/>
      <c r="E263" s="29" t="n"/>
      <c r="F263" s="30" t="n"/>
      <c r="G263" s="30" t="n"/>
      <c r="H263" s="31" t="n"/>
      <c r="I263" s="31" t="n"/>
      <c r="J263" s="29" t="n"/>
      <c r="K263" s="35">
        <f>IF($A263="","",IF($C263="","",raporTarihi-$C263))</f>
        <v/>
      </c>
      <c r="L263" s="35">
        <f>IF($A263="","",IF($K263="","",IF($K263&lt;=7,"0-7",IF($K263&lt;=30,"8-30",IF($K263&lt;=60,"31-60","60+")))))</f>
        <v/>
      </c>
      <c r="M263" s="35">
        <f>IF($A263="","",IF($B263="","YETİM",IF(COUNTIF(tblKartlar[KartId],$B263)=0,"YETİM","")))</f>
        <v/>
      </c>
      <c r="N263" s="35">
        <f>IF(OR($A263="",$D263=""),"",IF(OR($D263&amp;"|"&amp;$E263="",COUNTIF(ListeIzinliGecis,$D263&amp;"|"&amp;$E263)&gt;0),"","GEÇERSİZ GEÇİŞ"))</f>
        <v/>
      </c>
      <c r="O263" s="35">
        <f>IF($A263="","",IF(OR($F263="",$G263=""),"",IF(ABS($G263-$F263)&gt;zincirTolerans,"ZİNCİR KIRIK","OK")))</f>
        <v/>
      </c>
      <c r="P263" s="35">
        <f>IF($A263="","",1)</f>
        <v/>
      </c>
    </row>
    <row r="264">
      <c r="A264" s="29" t="n"/>
      <c r="B264" s="29" t="n"/>
      <c r="C264" s="70" t="n"/>
      <c r="D264" s="29" t="n"/>
      <c r="E264" s="29" t="n"/>
      <c r="F264" s="30" t="n"/>
      <c r="G264" s="30" t="n"/>
      <c r="H264" s="31" t="n"/>
      <c r="I264" s="31" t="n"/>
      <c r="J264" s="29" t="n"/>
      <c r="K264" s="35">
        <f>IF($A264="","",IF($C264="","",raporTarihi-$C264))</f>
        <v/>
      </c>
      <c r="L264" s="35">
        <f>IF($A264="","",IF($K264="","",IF($K264&lt;=7,"0-7",IF($K264&lt;=30,"8-30",IF($K264&lt;=60,"31-60","60+")))))</f>
        <v/>
      </c>
      <c r="M264" s="35">
        <f>IF($A264="","",IF($B264="","YETİM",IF(COUNTIF(tblKartlar[KartId],$B264)=0,"YETİM","")))</f>
        <v/>
      </c>
      <c r="N264" s="35">
        <f>IF(OR($A264="",$D264=""),"",IF(OR($D264&amp;"|"&amp;$E264="",COUNTIF(ListeIzinliGecis,$D264&amp;"|"&amp;$E264)&gt;0),"","GEÇERSİZ GEÇİŞ"))</f>
        <v/>
      </c>
      <c r="O264" s="35">
        <f>IF($A264="","",IF(OR($F264="",$G264=""),"",IF(ABS($G264-$F264)&gt;zincirTolerans,"ZİNCİR KIRIK","OK")))</f>
        <v/>
      </c>
      <c r="P264" s="35">
        <f>IF($A264="","",1)</f>
        <v/>
      </c>
    </row>
    <row r="265">
      <c r="A265" s="29" t="n"/>
      <c r="B265" s="29" t="n"/>
      <c r="C265" s="70" t="n"/>
      <c r="D265" s="29" t="n"/>
      <c r="E265" s="29" t="n"/>
      <c r="F265" s="30" t="n"/>
      <c r="G265" s="30" t="n"/>
      <c r="H265" s="31" t="n"/>
      <c r="I265" s="31" t="n"/>
      <c r="J265" s="29" t="n"/>
      <c r="K265" s="35">
        <f>IF($A265="","",IF($C265="","",raporTarihi-$C265))</f>
        <v/>
      </c>
      <c r="L265" s="35">
        <f>IF($A265="","",IF($K265="","",IF($K265&lt;=7,"0-7",IF($K265&lt;=30,"8-30",IF($K265&lt;=60,"31-60","60+")))))</f>
        <v/>
      </c>
      <c r="M265" s="35">
        <f>IF($A265="","",IF($B265="","YETİM",IF(COUNTIF(tblKartlar[KartId],$B265)=0,"YETİM","")))</f>
        <v/>
      </c>
      <c r="N265" s="35">
        <f>IF(OR($A265="",$D265=""),"",IF(OR($D265&amp;"|"&amp;$E265="",COUNTIF(ListeIzinliGecis,$D265&amp;"|"&amp;$E265)&gt;0),"","GEÇERSİZ GEÇİŞ"))</f>
        <v/>
      </c>
      <c r="O265" s="35">
        <f>IF($A265="","",IF(OR($F265="",$G265=""),"",IF(ABS($G265-$F265)&gt;zincirTolerans,"ZİNCİR KIRIK","OK")))</f>
        <v/>
      </c>
      <c r="P265" s="35">
        <f>IF($A265="","",1)</f>
        <v/>
      </c>
    </row>
    <row r="266">
      <c r="A266" s="29" t="n"/>
      <c r="B266" s="29" t="n"/>
      <c r="C266" s="70" t="n"/>
      <c r="D266" s="29" t="n"/>
      <c r="E266" s="29" t="n"/>
      <c r="F266" s="30" t="n"/>
      <c r="G266" s="30" t="n"/>
      <c r="H266" s="31" t="n"/>
      <c r="I266" s="31" t="n"/>
      <c r="J266" s="29" t="n"/>
      <c r="K266" s="35">
        <f>IF($A266="","",IF($C266="","",raporTarihi-$C266))</f>
        <v/>
      </c>
      <c r="L266" s="35">
        <f>IF($A266="","",IF($K266="","",IF($K266&lt;=7,"0-7",IF($K266&lt;=30,"8-30",IF($K266&lt;=60,"31-60","60+")))))</f>
        <v/>
      </c>
      <c r="M266" s="35">
        <f>IF($A266="","",IF($B266="","YETİM",IF(COUNTIF(tblKartlar[KartId],$B266)=0,"YETİM","")))</f>
        <v/>
      </c>
      <c r="N266" s="35">
        <f>IF(OR($A266="",$D266=""),"",IF(OR($D266&amp;"|"&amp;$E266="",COUNTIF(ListeIzinliGecis,$D266&amp;"|"&amp;$E266)&gt;0),"","GEÇERSİZ GEÇİŞ"))</f>
        <v/>
      </c>
      <c r="O266" s="35">
        <f>IF($A266="","",IF(OR($F266="",$G266=""),"",IF(ABS($G266-$F266)&gt;zincirTolerans,"ZİNCİR KIRIK","OK")))</f>
        <v/>
      </c>
      <c r="P266" s="35">
        <f>IF($A266="","",1)</f>
        <v/>
      </c>
    </row>
    <row r="267">
      <c r="A267" s="29" t="n"/>
      <c r="B267" s="29" t="n"/>
      <c r="C267" s="70" t="n"/>
      <c r="D267" s="29" t="n"/>
      <c r="E267" s="29" t="n"/>
      <c r="F267" s="30" t="n"/>
      <c r="G267" s="30" t="n"/>
      <c r="H267" s="31" t="n"/>
      <c r="I267" s="31" t="n"/>
      <c r="J267" s="29" t="n"/>
      <c r="K267" s="35">
        <f>IF($A267="","",IF($C267="","",raporTarihi-$C267))</f>
        <v/>
      </c>
      <c r="L267" s="35">
        <f>IF($A267="","",IF($K267="","",IF($K267&lt;=7,"0-7",IF($K267&lt;=30,"8-30",IF($K267&lt;=60,"31-60","60+")))))</f>
        <v/>
      </c>
      <c r="M267" s="35">
        <f>IF($A267="","",IF($B267="","YETİM",IF(COUNTIF(tblKartlar[KartId],$B267)=0,"YETİM","")))</f>
        <v/>
      </c>
      <c r="N267" s="35">
        <f>IF(OR($A267="",$D267=""),"",IF(OR($D267&amp;"|"&amp;$E267="",COUNTIF(ListeIzinliGecis,$D267&amp;"|"&amp;$E267)&gt;0),"","GEÇERSİZ GEÇİŞ"))</f>
        <v/>
      </c>
      <c r="O267" s="35">
        <f>IF($A267="","",IF(OR($F267="",$G267=""),"",IF(ABS($G267-$F267)&gt;zincirTolerans,"ZİNCİR KIRIK","OK")))</f>
        <v/>
      </c>
      <c r="P267" s="35">
        <f>IF($A267="","",1)</f>
        <v/>
      </c>
    </row>
    <row r="268">
      <c r="A268" s="29" t="n"/>
      <c r="B268" s="29" t="n"/>
      <c r="C268" s="70" t="n"/>
      <c r="D268" s="29" t="n"/>
      <c r="E268" s="29" t="n"/>
      <c r="F268" s="30" t="n"/>
      <c r="G268" s="30" t="n"/>
      <c r="H268" s="31" t="n"/>
      <c r="I268" s="31" t="n"/>
      <c r="J268" s="29" t="n"/>
      <c r="K268" s="35">
        <f>IF($A268="","",IF($C268="","",raporTarihi-$C268))</f>
        <v/>
      </c>
      <c r="L268" s="35">
        <f>IF($A268="","",IF($K268="","",IF($K268&lt;=7,"0-7",IF($K268&lt;=30,"8-30",IF($K268&lt;=60,"31-60","60+")))))</f>
        <v/>
      </c>
      <c r="M268" s="35">
        <f>IF($A268="","",IF($B268="","YETİM",IF(COUNTIF(tblKartlar[KartId],$B268)=0,"YETİM","")))</f>
        <v/>
      </c>
      <c r="N268" s="35">
        <f>IF(OR($A268="",$D268=""),"",IF(OR($D268&amp;"|"&amp;$E268="",COUNTIF(ListeIzinliGecis,$D268&amp;"|"&amp;$E268)&gt;0),"","GEÇERSİZ GEÇİŞ"))</f>
        <v/>
      </c>
      <c r="O268" s="35">
        <f>IF($A268="","",IF(OR($F268="",$G268=""),"",IF(ABS($G268-$F268)&gt;zincirTolerans,"ZİNCİR KIRIK","OK")))</f>
        <v/>
      </c>
      <c r="P268" s="35">
        <f>IF($A268="","",1)</f>
        <v/>
      </c>
    </row>
    <row r="269">
      <c r="A269" s="29" t="n"/>
      <c r="B269" s="29" t="n"/>
      <c r="C269" s="70" t="n"/>
      <c r="D269" s="29" t="n"/>
      <c r="E269" s="29" t="n"/>
      <c r="F269" s="30" t="n"/>
      <c r="G269" s="30" t="n"/>
      <c r="H269" s="31" t="n"/>
      <c r="I269" s="31" t="n"/>
      <c r="J269" s="29" t="n"/>
      <c r="K269" s="35">
        <f>IF($A269="","",IF($C269="","",raporTarihi-$C269))</f>
        <v/>
      </c>
      <c r="L269" s="35">
        <f>IF($A269="","",IF($K269="","",IF($K269&lt;=7,"0-7",IF($K269&lt;=30,"8-30",IF($K269&lt;=60,"31-60","60+")))))</f>
        <v/>
      </c>
      <c r="M269" s="35">
        <f>IF($A269="","",IF($B269="","YETİM",IF(COUNTIF(tblKartlar[KartId],$B269)=0,"YETİM","")))</f>
        <v/>
      </c>
      <c r="N269" s="35">
        <f>IF(OR($A269="",$D269=""),"",IF(OR($D269&amp;"|"&amp;$E269="",COUNTIF(ListeIzinliGecis,$D269&amp;"|"&amp;$E269)&gt;0),"","GEÇERSİZ GEÇİŞ"))</f>
        <v/>
      </c>
      <c r="O269" s="35">
        <f>IF($A269="","",IF(OR($F269="",$G269=""),"",IF(ABS($G269-$F269)&gt;zincirTolerans,"ZİNCİR KIRIK","OK")))</f>
        <v/>
      </c>
      <c r="P269" s="35">
        <f>IF($A269="","",1)</f>
        <v/>
      </c>
    </row>
    <row r="270">
      <c r="A270" s="29" t="n"/>
      <c r="B270" s="29" t="n"/>
      <c r="C270" s="70" t="n"/>
      <c r="D270" s="29" t="n"/>
      <c r="E270" s="29" t="n"/>
      <c r="F270" s="30" t="n"/>
      <c r="G270" s="30" t="n"/>
      <c r="H270" s="31" t="n"/>
      <c r="I270" s="31" t="n"/>
      <c r="J270" s="29" t="n"/>
      <c r="K270" s="35">
        <f>IF($A270="","",IF($C270="","",raporTarihi-$C270))</f>
        <v/>
      </c>
      <c r="L270" s="35">
        <f>IF($A270="","",IF($K270="","",IF($K270&lt;=7,"0-7",IF($K270&lt;=30,"8-30",IF($K270&lt;=60,"31-60","60+")))))</f>
        <v/>
      </c>
      <c r="M270" s="35">
        <f>IF($A270="","",IF($B270="","YETİM",IF(COUNTIF(tblKartlar[KartId],$B270)=0,"YETİM","")))</f>
        <v/>
      </c>
      <c r="N270" s="35">
        <f>IF(OR($A270="",$D270=""),"",IF(OR($D270&amp;"|"&amp;$E270="",COUNTIF(ListeIzinliGecis,$D270&amp;"|"&amp;$E270)&gt;0),"","GEÇERSİZ GEÇİŞ"))</f>
        <v/>
      </c>
      <c r="O270" s="35">
        <f>IF($A270="","",IF(OR($F270="",$G270=""),"",IF(ABS($G270-$F270)&gt;zincirTolerans,"ZİNCİR KIRIK","OK")))</f>
        <v/>
      </c>
      <c r="P270" s="35">
        <f>IF($A270="","",1)</f>
        <v/>
      </c>
    </row>
    <row r="271">
      <c r="A271" s="29" t="n"/>
      <c r="B271" s="29" t="n"/>
      <c r="C271" s="70" t="n"/>
      <c r="D271" s="29" t="n"/>
      <c r="E271" s="29" t="n"/>
      <c r="F271" s="30" t="n"/>
      <c r="G271" s="30" t="n"/>
      <c r="H271" s="31" t="n"/>
      <c r="I271" s="31" t="n"/>
      <c r="J271" s="29" t="n"/>
      <c r="K271" s="35">
        <f>IF($A271="","",IF($C271="","",raporTarihi-$C271))</f>
        <v/>
      </c>
      <c r="L271" s="35">
        <f>IF($A271="","",IF($K271="","",IF($K271&lt;=7,"0-7",IF($K271&lt;=30,"8-30",IF($K271&lt;=60,"31-60","60+")))))</f>
        <v/>
      </c>
      <c r="M271" s="35">
        <f>IF($A271="","",IF($B271="","YETİM",IF(COUNTIF(tblKartlar[KartId],$B271)=0,"YETİM","")))</f>
        <v/>
      </c>
      <c r="N271" s="35">
        <f>IF(OR($A271="",$D271=""),"",IF(OR($D271&amp;"|"&amp;$E271="",COUNTIF(ListeIzinliGecis,$D271&amp;"|"&amp;$E271)&gt;0),"","GEÇERSİZ GEÇİŞ"))</f>
        <v/>
      </c>
      <c r="O271" s="35">
        <f>IF($A271="","",IF(OR($F271="",$G271=""),"",IF(ABS($G271-$F271)&gt;zincirTolerans,"ZİNCİR KIRIK","OK")))</f>
        <v/>
      </c>
      <c r="P271" s="35">
        <f>IF($A271="","",1)</f>
        <v/>
      </c>
    </row>
    <row r="272">
      <c r="A272" s="29" t="n"/>
      <c r="B272" s="29" t="n"/>
      <c r="C272" s="70" t="n"/>
      <c r="D272" s="29" t="n"/>
      <c r="E272" s="29" t="n"/>
      <c r="F272" s="30" t="n"/>
      <c r="G272" s="30" t="n"/>
      <c r="H272" s="31" t="n"/>
      <c r="I272" s="31" t="n"/>
      <c r="J272" s="29" t="n"/>
      <c r="K272" s="35">
        <f>IF($A272="","",IF($C272="","",raporTarihi-$C272))</f>
        <v/>
      </c>
      <c r="L272" s="35">
        <f>IF($A272="","",IF($K272="","",IF($K272&lt;=7,"0-7",IF($K272&lt;=30,"8-30",IF($K272&lt;=60,"31-60","60+")))))</f>
        <v/>
      </c>
      <c r="M272" s="35">
        <f>IF($A272="","",IF($B272="","YETİM",IF(COUNTIF(tblKartlar[KartId],$B272)=0,"YETİM","")))</f>
        <v/>
      </c>
      <c r="N272" s="35">
        <f>IF(OR($A272="",$D272=""),"",IF(OR($D272&amp;"|"&amp;$E272="",COUNTIF(ListeIzinliGecis,$D272&amp;"|"&amp;$E272)&gt;0),"","GEÇERSİZ GEÇİŞ"))</f>
        <v/>
      </c>
      <c r="O272" s="35">
        <f>IF($A272="","",IF(OR($F272="",$G272=""),"",IF(ABS($G272-$F272)&gt;zincirTolerans,"ZİNCİR KIRIK","OK")))</f>
        <v/>
      </c>
      <c r="P272" s="35">
        <f>IF($A272="","",1)</f>
        <v/>
      </c>
    </row>
    <row r="273">
      <c r="A273" s="29" t="n"/>
      <c r="B273" s="29" t="n"/>
      <c r="C273" s="70" t="n"/>
      <c r="D273" s="29" t="n"/>
      <c r="E273" s="29" t="n"/>
      <c r="F273" s="30" t="n"/>
      <c r="G273" s="30" t="n"/>
      <c r="H273" s="31" t="n"/>
      <c r="I273" s="31" t="n"/>
      <c r="J273" s="29" t="n"/>
      <c r="K273" s="35">
        <f>IF($A273="","",IF($C273="","",raporTarihi-$C273))</f>
        <v/>
      </c>
      <c r="L273" s="35">
        <f>IF($A273="","",IF($K273="","",IF($K273&lt;=7,"0-7",IF($K273&lt;=30,"8-30",IF($K273&lt;=60,"31-60","60+")))))</f>
        <v/>
      </c>
      <c r="M273" s="35">
        <f>IF($A273="","",IF($B273="","YETİM",IF(COUNTIF(tblKartlar[KartId],$B273)=0,"YETİM","")))</f>
        <v/>
      </c>
      <c r="N273" s="35">
        <f>IF(OR($A273="",$D273=""),"",IF(OR($D273&amp;"|"&amp;$E273="",COUNTIF(ListeIzinliGecis,$D273&amp;"|"&amp;$E273)&gt;0),"","GEÇERSİZ GEÇİŞ"))</f>
        <v/>
      </c>
      <c r="O273" s="35">
        <f>IF($A273="","",IF(OR($F273="",$G273=""),"",IF(ABS($G273-$F273)&gt;zincirTolerans,"ZİNCİR KIRIK","OK")))</f>
        <v/>
      </c>
      <c r="P273" s="35">
        <f>IF($A273="","",1)</f>
        <v/>
      </c>
    </row>
    <row r="274">
      <c r="A274" s="29" t="n"/>
      <c r="B274" s="29" t="n"/>
      <c r="C274" s="70" t="n"/>
      <c r="D274" s="29" t="n"/>
      <c r="E274" s="29" t="n"/>
      <c r="F274" s="30" t="n"/>
      <c r="G274" s="30" t="n"/>
      <c r="H274" s="31" t="n"/>
      <c r="I274" s="31" t="n"/>
      <c r="J274" s="29" t="n"/>
      <c r="K274" s="35">
        <f>IF($A274="","",IF($C274="","",raporTarihi-$C274))</f>
        <v/>
      </c>
      <c r="L274" s="35">
        <f>IF($A274="","",IF($K274="","",IF($K274&lt;=7,"0-7",IF($K274&lt;=30,"8-30",IF($K274&lt;=60,"31-60","60+")))))</f>
        <v/>
      </c>
      <c r="M274" s="35">
        <f>IF($A274="","",IF($B274="","YETİM",IF(COUNTIF(tblKartlar[KartId],$B274)=0,"YETİM","")))</f>
        <v/>
      </c>
      <c r="N274" s="35">
        <f>IF(OR($A274="",$D274=""),"",IF(OR($D274&amp;"|"&amp;$E274="",COUNTIF(ListeIzinliGecis,$D274&amp;"|"&amp;$E274)&gt;0),"","GEÇERSİZ GEÇİŞ"))</f>
        <v/>
      </c>
      <c r="O274" s="35">
        <f>IF($A274="","",IF(OR($F274="",$G274=""),"",IF(ABS($G274-$F274)&gt;zincirTolerans,"ZİNCİR KIRIK","OK")))</f>
        <v/>
      </c>
      <c r="P274" s="35">
        <f>IF($A274="","",1)</f>
        <v/>
      </c>
    </row>
    <row r="275">
      <c r="A275" s="29" t="n"/>
      <c r="B275" s="29" t="n"/>
      <c r="C275" s="70" t="n"/>
      <c r="D275" s="29" t="n"/>
      <c r="E275" s="29" t="n"/>
      <c r="F275" s="30" t="n"/>
      <c r="G275" s="30" t="n"/>
      <c r="H275" s="31" t="n"/>
      <c r="I275" s="31" t="n"/>
      <c r="J275" s="29" t="n"/>
      <c r="K275" s="35">
        <f>IF($A275="","",IF($C275="","",raporTarihi-$C275))</f>
        <v/>
      </c>
      <c r="L275" s="35">
        <f>IF($A275="","",IF($K275="","",IF($K275&lt;=7,"0-7",IF($K275&lt;=30,"8-30",IF($K275&lt;=60,"31-60","60+")))))</f>
        <v/>
      </c>
      <c r="M275" s="35">
        <f>IF($A275="","",IF($B275="","YETİM",IF(COUNTIF(tblKartlar[KartId],$B275)=0,"YETİM","")))</f>
        <v/>
      </c>
      <c r="N275" s="35">
        <f>IF(OR($A275="",$D275=""),"",IF(OR($D275&amp;"|"&amp;$E275="",COUNTIF(ListeIzinliGecis,$D275&amp;"|"&amp;$E275)&gt;0),"","GEÇERSİZ GEÇİŞ"))</f>
        <v/>
      </c>
      <c r="O275" s="35">
        <f>IF($A275="","",IF(OR($F275="",$G275=""),"",IF(ABS($G275-$F275)&gt;zincirTolerans,"ZİNCİR KIRIK","OK")))</f>
        <v/>
      </c>
      <c r="P275" s="35">
        <f>IF($A275="","",1)</f>
        <v/>
      </c>
    </row>
    <row r="276">
      <c r="A276" s="29" t="n"/>
      <c r="B276" s="29" t="n"/>
      <c r="C276" s="70" t="n"/>
      <c r="D276" s="29" t="n"/>
      <c r="E276" s="29" t="n"/>
      <c r="F276" s="30" t="n"/>
      <c r="G276" s="30" t="n"/>
      <c r="H276" s="31" t="n"/>
      <c r="I276" s="31" t="n"/>
      <c r="J276" s="29" t="n"/>
      <c r="K276" s="35">
        <f>IF($A276="","",IF($C276="","",raporTarihi-$C276))</f>
        <v/>
      </c>
      <c r="L276" s="35">
        <f>IF($A276="","",IF($K276="","",IF($K276&lt;=7,"0-7",IF($K276&lt;=30,"8-30",IF($K276&lt;=60,"31-60","60+")))))</f>
        <v/>
      </c>
      <c r="M276" s="35">
        <f>IF($A276="","",IF($B276="","YETİM",IF(COUNTIF(tblKartlar[KartId],$B276)=0,"YETİM","")))</f>
        <v/>
      </c>
      <c r="N276" s="35">
        <f>IF(OR($A276="",$D276=""),"",IF(OR($D276&amp;"|"&amp;$E276="",COUNTIF(ListeIzinliGecis,$D276&amp;"|"&amp;$E276)&gt;0),"","GEÇERSİZ GEÇİŞ"))</f>
        <v/>
      </c>
      <c r="O276" s="35">
        <f>IF($A276="","",IF(OR($F276="",$G276=""),"",IF(ABS($G276-$F276)&gt;zincirTolerans,"ZİNCİR KIRIK","OK")))</f>
        <v/>
      </c>
      <c r="P276" s="35">
        <f>IF($A276="","",1)</f>
        <v/>
      </c>
    </row>
    <row r="277">
      <c r="A277" s="29" t="n"/>
      <c r="B277" s="29" t="n"/>
      <c r="C277" s="70" t="n"/>
      <c r="D277" s="29" t="n"/>
      <c r="E277" s="29" t="n"/>
      <c r="F277" s="30" t="n"/>
      <c r="G277" s="30" t="n"/>
      <c r="H277" s="31" t="n"/>
      <c r="I277" s="31" t="n"/>
      <c r="J277" s="29" t="n"/>
      <c r="K277" s="35">
        <f>IF($A277="","",IF($C277="","",raporTarihi-$C277))</f>
        <v/>
      </c>
      <c r="L277" s="35">
        <f>IF($A277="","",IF($K277="","",IF($K277&lt;=7,"0-7",IF($K277&lt;=30,"8-30",IF($K277&lt;=60,"31-60","60+")))))</f>
        <v/>
      </c>
      <c r="M277" s="35">
        <f>IF($A277="","",IF($B277="","YETİM",IF(COUNTIF(tblKartlar[KartId],$B277)=0,"YETİM","")))</f>
        <v/>
      </c>
      <c r="N277" s="35">
        <f>IF(OR($A277="",$D277=""),"",IF(OR($D277&amp;"|"&amp;$E277="",COUNTIF(ListeIzinliGecis,$D277&amp;"|"&amp;$E277)&gt;0),"","GEÇERSİZ GEÇİŞ"))</f>
        <v/>
      </c>
      <c r="O277" s="35">
        <f>IF($A277="","",IF(OR($F277="",$G277=""),"",IF(ABS($G277-$F277)&gt;zincirTolerans,"ZİNCİR KIRIK","OK")))</f>
        <v/>
      </c>
      <c r="P277" s="35">
        <f>IF($A277="","",1)</f>
        <v/>
      </c>
    </row>
    <row r="278">
      <c r="A278" s="29" t="n"/>
      <c r="B278" s="29" t="n"/>
      <c r="C278" s="70" t="n"/>
      <c r="D278" s="29" t="n"/>
      <c r="E278" s="29" t="n"/>
      <c r="F278" s="30" t="n"/>
      <c r="G278" s="30" t="n"/>
      <c r="H278" s="31" t="n"/>
      <c r="I278" s="31" t="n"/>
      <c r="J278" s="29" t="n"/>
      <c r="K278" s="35">
        <f>IF($A278="","",IF($C278="","",raporTarihi-$C278))</f>
        <v/>
      </c>
      <c r="L278" s="35">
        <f>IF($A278="","",IF($K278="","",IF($K278&lt;=7,"0-7",IF($K278&lt;=30,"8-30",IF($K278&lt;=60,"31-60","60+")))))</f>
        <v/>
      </c>
      <c r="M278" s="35">
        <f>IF($A278="","",IF($B278="","YETİM",IF(COUNTIF(tblKartlar[KartId],$B278)=0,"YETİM","")))</f>
        <v/>
      </c>
      <c r="N278" s="35">
        <f>IF(OR($A278="",$D278=""),"",IF(OR($D278&amp;"|"&amp;$E278="",COUNTIF(ListeIzinliGecis,$D278&amp;"|"&amp;$E278)&gt;0),"","GEÇERSİZ GEÇİŞ"))</f>
        <v/>
      </c>
      <c r="O278" s="35">
        <f>IF($A278="","",IF(OR($F278="",$G278=""),"",IF(ABS($G278-$F278)&gt;zincirTolerans,"ZİNCİR KIRIK","OK")))</f>
        <v/>
      </c>
      <c r="P278" s="35">
        <f>IF($A278="","",1)</f>
        <v/>
      </c>
    </row>
    <row r="279">
      <c r="A279" s="29" t="n"/>
      <c r="B279" s="29" t="n"/>
      <c r="C279" s="70" t="n"/>
      <c r="D279" s="29" t="n"/>
      <c r="E279" s="29" t="n"/>
      <c r="F279" s="30" t="n"/>
      <c r="G279" s="30" t="n"/>
      <c r="H279" s="31" t="n"/>
      <c r="I279" s="31" t="n"/>
      <c r="J279" s="29" t="n"/>
      <c r="K279" s="35">
        <f>IF($A279="","",IF($C279="","",raporTarihi-$C279))</f>
        <v/>
      </c>
      <c r="L279" s="35">
        <f>IF($A279="","",IF($K279="","",IF($K279&lt;=7,"0-7",IF($K279&lt;=30,"8-30",IF($K279&lt;=60,"31-60","60+")))))</f>
        <v/>
      </c>
      <c r="M279" s="35">
        <f>IF($A279="","",IF($B279="","YETİM",IF(COUNTIF(tblKartlar[KartId],$B279)=0,"YETİM","")))</f>
        <v/>
      </c>
      <c r="N279" s="35">
        <f>IF(OR($A279="",$D279=""),"",IF(OR($D279&amp;"|"&amp;$E279="",COUNTIF(ListeIzinliGecis,$D279&amp;"|"&amp;$E279)&gt;0),"","GEÇERSİZ GEÇİŞ"))</f>
        <v/>
      </c>
      <c r="O279" s="35">
        <f>IF($A279="","",IF(OR($F279="",$G279=""),"",IF(ABS($G279-$F279)&gt;zincirTolerans,"ZİNCİR KIRIK","OK")))</f>
        <v/>
      </c>
      <c r="P279" s="35">
        <f>IF($A279="","",1)</f>
        <v/>
      </c>
    </row>
    <row r="280">
      <c r="A280" s="29" t="n"/>
      <c r="B280" s="29" t="n"/>
      <c r="C280" s="70" t="n"/>
      <c r="D280" s="29" t="n"/>
      <c r="E280" s="29" t="n"/>
      <c r="F280" s="30" t="n"/>
      <c r="G280" s="30" t="n"/>
      <c r="H280" s="31" t="n"/>
      <c r="I280" s="31" t="n"/>
      <c r="J280" s="29" t="n"/>
      <c r="K280" s="35">
        <f>IF($A280="","",IF($C280="","",raporTarihi-$C280))</f>
        <v/>
      </c>
      <c r="L280" s="35">
        <f>IF($A280="","",IF($K280="","",IF($K280&lt;=7,"0-7",IF($K280&lt;=30,"8-30",IF($K280&lt;=60,"31-60","60+")))))</f>
        <v/>
      </c>
      <c r="M280" s="35">
        <f>IF($A280="","",IF($B280="","YETİM",IF(COUNTIF(tblKartlar[KartId],$B280)=0,"YETİM","")))</f>
        <v/>
      </c>
      <c r="N280" s="35">
        <f>IF(OR($A280="",$D280=""),"",IF(OR($D280&amp;"|"&amp;$E280="",COUNTIF(ListeIzinliGecis,$D280&amp;"|"&amp;$E280)&gt;0),"","GEÇERSİZ GEÇİŞ"))</f>
        <v/>
      </c>
      <c r="O280" s="35">
        <f>IF($A280="","",IF(OR($F280="",$G280=""),"",IF(ABS($G280-$F280)&gt;zincirTolerans,"ZİNCİR KIRIK","OK")))</f>
        <v/>
      </c>
      <c r="P280" s="35">
        <f>IF($A280="","",1)</f>
        <v/>
      </c>
    </row>
    <row r="281">
      <c r="A281" s="29" t="n"/>
      <c r="B281" s="29" t="n"/>
      <c r="C281" s="70" t="n"/>
      <c r="D281" s="29" t="n"/>
      <c r="E281" s="29" t="n"/>
      <c r="F281" s="30" t="n"/>
      <c r="G281" s="30" t="n"/>
      <c r="H281" s="31" t="n"/>
      <c r="I281" s="31" t="n"/>
      <c r="J281" s="29" t="n"/>
      <c r="K281" s="35">
        <f>IF($A281="","",IF($C281="","",raporTarihi-$C281))</f>
        <v/>
      </c>
      <c r="L281" s="35">
        <f>IF($A281="","",IF($K281="","",IF($K281&lt;=7,"0-7",IF($K281&lt;=30,"8-30",IF($K281&lt;=60,"31-60","60+")))))</f>
        <v/>
      </c>
      <c r="M281" s="35">
        <f>IF($A281="","",IF($B281="","YETİM",IF(COUNTIF(tblKartlar[KartId],$B281)=0,"YETİM","")))</f>
        <v/>
      </c>
      <c r="N281" s="35">
        <f>IF(OR($A281="",$D281=""),"",IF(OR($D281&amp;"|"&amp;$E281="",COUNTIF(ListeIzinliGecis,$D281&amp;"|"&amp;$E281)&gt;0),"","GEÇERSİZ GEÇİŞ"))</f>
        <v/>
      </c>
      <c r="O281" s="35">
        <f>IF($A281="","",IF(OR($F281="",$G281=""),"",IF(ABS($G281-$F281)&gt;zincirTolerans,"ZİNCİR KIRIK","OK")))</f>
        <v/>
      </c>
      <c r="P281" s="35">
        <f>IF($A281="","",1)</f>
        <v/>
      </c>
    </row>
    <row r="282">
      <c r="A282" s="29" t="n"/>
      <c r="B282" s="29" t="n"/>
      <c r="C282" s="70" t="n"/>
      <c r="D282" s="29" t="n"/>
      <c r="E282" s="29" t="n"/>
      <c r="F282" s="30" t="n"/>
      <c r="G282" s="30" t="n"/>
      <c r="H282" s="31" t="n"/>
      <c r="I282" s="31" t="n"/>
      <c r="J282" s="29" t="n"/>
      <c r="K282" s="35">
        <f>IF($A282="","",IF($C282="","",raporTarihi-$C282))</f>
        <v/>
      </c>
      <c r="L282" s="35">
        <f>IF($A282="","",IF($K282="","",IF($K282&lt;=7,"0-7",IF($K282&lt;=30,"8-30",IF($K282&lt;=60,"31-60","60+")))))</f>
        <v/>
      </c>
      <c r="M282" s="35">
        <f>IF($A282="","",IF($B282="","YETİM",IF(COUNTIF(tblKartlar[KartId],$B282)=0,"YETİM","")))</f>
        <v/>
      </c>
      <c r="N282" s="35">
        <f>IF(OR($A282="",$D282=""),"",IF(OR($D282&amp;"|"&amp;$E282="",COUNTIF(ListeIzinliGecis,$D282&amp;"|"&amp;$E282)&gt;0),"","GEÇERSİZ GEÇİŞ"))</f>
        <v/>
      </c>
      <c r="O282" s="35">
        <f>IF($A282="","",IF(OR($F282="",$G282=""),"",IF(ABS($G282-$F282)&gt;zincirTolerans,"ZİNCİR KIRIK","OK")))</f>
        <v/>
      </c>
      <c r="P282" s="35">
        <f>IF($A282="","",1)</f>
        <v/>
      </c>
    </row>
    <row r="283">
      <c r="A283" s="29" t="n"/>
      <c r="B283" s="29" t="n"/>
      <c r="C283" s="70" t="n"/>
      <c r="D283" s="29" t="n"/>
      <c r="E283" s="29" t="n"/>
      <c r="F283" s="30" t="n"/>
      <c r="G283" s="30" t="n"/>
      <c r="H283" s="31" t="n"/>
      <c r="I283" s="31" t="n"/>
      <c r="J283" s="29" t="n"/>
      <c r="K283" s="35">
        <f>IF($A283="","",IF($C283="","",raporTarihi-$C283))</f>
        <v/>
      </c>
      <c r="L283" s="35">
        <f>IF($A283="","",IF($K283="","",IF($K283&lt;=7,"0-7",IF($K283&lt;=30,"8-30",IF($K283&lt;=60,"31-60","60+")))))</f>
        <v/>
      </c>
      <c r="M283" s="35">
        <f>IF($A283="","",IF($B283="","YETİM",IF(COUNTIF(tblKartlar[KartId],$B283)=0,"YETİM","")))</f>
        <v/>
      </c>
      <c r="N283" s="35">
        <f>IF(OR($A283="",$D283=""),"",IF(OR($D283&amp;"|"&amp;$E283="",COUNTIF(ListeIzinliGecis,$D283&amp;"|"&amp;$E283)&gt;0),"","GEÇERSİZ GEÇİŞ"))</f>
        <v/>
      </c>
      <c r="O283" s="35">
        <f>IF($A283="","",IF(OR($F283="",$G283=""),"",IF(ABS($G283-$F283)&gt;zincirTolerans,"ZİNCİR KIRIK","OK")))</f>
        <v/>
      </c>
      <c r="P283" s="35">
        <f>IF($A283="","",1)</f>
        <v/>
      </c>
    </row>
    <row r="284">
      <c r="A284" s="29" t="n"/>
      <c r="B284" s="29" t="n"/>
      <c r="C284" s="70" t="n"/>
      <c r="D284" s="29" t="n"/>
      <c r="E284" s="29" t="n"/>
      <c r="F284" s="30" t="n"/>
      <c r="G284" s="30" t="n"/>
      <c r="H284" s="31" t="n"/>
      <c r="I284" s="31" t="n"/>
      <c r="J284" s="29" t="n"/>
      <c r="K284" s="35">
        <f>IF($A284="","",IF($C284="","",raporTarihi-$C284))</f>
        <v/>
      </c>
      <c r="L284" s="35">
        <f>IF($A284="","",IF($K284="","",IF($K284&lt;=7,"0-7",IF($K284&lt;=30,"8-30",IF($K284&lt;=60,"31-60","60+")))))</f>
        <v/>
      </c>
      <c r="M284" s="35">
        <f>IF($A284="","",IF($B284="","YETİM",IF(COUNTIF(tblKartlar[KartId],$B284)=0,"YETİM","")))</f>
        <v/>
      </c>
      <c r="N284" s="35">
        <f>IF(OR($A284="",$D284=""),"",IF(OR($D284&amp;"|"&amp;$E284="",COUNTIF(ListeIzinliGecis,$D284&amp;"|"&amp;$E284)&gt;0),"","GEÇERSİZ GEÇİŞ"))</f>
        <v/>
      </c>
      <c r="O284" s="35">
        <f>IF($A284="","",IF(OR($F284="",$G284=""),"",IF(ABS($G284-$F284)&gt;zincirTolerans,"ZİNCİR KIRIK","OK")))</f>
        <v/>
      </c>
      <c r="P284" s="35">
        <f>IF($A284="","",1)</f>
        <v/>
      </c>
    </row>
    <row r="285">
      <c r="A285" s="29" t="n"/>
      <c r="B285" s="29" t="n"/>
      <c r="C285" s="70" t="n"/>
      <c r="D285" s="29" t="n"/>
      <c r="E285" s="29" t="n"/>
      <c r="F285" s="30" t="n"/>
      <c r="G285" s="30" t="n"/>
      <c r="H285" s="31" t="n"/>
      <c r="I285" s="31" t="n"/>
      <c r="J285" s="29" t="n"/>
      <c r="K285" s="35">
        <f>IF($A285="","",IF($C285="","",raporTarihi-$C285))</f>
        <v/>
      </c>
      <c r="L285" s="35">
        <f>IF($A285="","",IF($K285="","",IF($K285&lt;=7,"0-7",IF($K285&lt;=30,"8-30",IF($K285&lt;=60,"31-60","60+")))))</f>
        <v/>
      </c>
      <c r="M285" s="35">
        <f>IF($A285="","",IF($B285="","YETİM",IF(COUNTIF(tblKartlar[KartId],$B285)=0,"YETİM","")))</f>
        <v/>
      </c>
      <c r="N285" s="35">
        <f>IF(OR($A285="",$D285=""),"",IF(OR($D285&amp;"|"&amp;$E285="",COUNTIF(ListeIzinliGecis,$D285&amp;"|"&amp;$E285)&gt;0),"","GEÇERSİZ GEÇİŞ"))</f>
        <v/>
      </c>
      <c r="O285" s="35">
        <f>IF($A285="","",IF(OR($F285="",$G285=""),"",IF(ABS($G285-$F285)&gt;zincirTolerans,"ZİNCİR KIRIK","OK")))</f>
        <v/>
      </c>
      <c r="P285" s="35">
        <f>IF($A285="","",1)</f>
        <v/>
      </c>
    </row>
    <row r="286">
      <c r="A286" s="29" t="n"/>
      <c r="B286" s="29" t="n"/>
      <c r="C286" s="70" t="n"/>
      <c r="D286" s="29" t="n"/>
      <c r="E286" s="29" t="n"/>
      <c r="F286" s="30" t="n"/>
      <c r="G286" s="30" t="n"/>
      <c r="H286" s="31" t="n"/>
      <c r="I286" s="31" t="n"/>
      <c r="J286" s="29" t="n"/>
      <c r="K286" s="35">
        <f>IF($A286="","",IF($C286="","",raporTarihi-$C286))</f>
        <v/>
      </c>
      <c r="L286" s="35">
        <f>IF($A286="","",IF($K286="","",IF($K286&lt;=7,"0-7",IF($K286&lt;=30,"8-30",IF($K286&lt;=60,"31-60","60+")))))</f>
        <v/>
      </c>
      <c r="M286" s="35">
        <f>IF($A286="","",IF($B286="","YETİM",IF(COUNTIF(tblKartlar[KartId],$B286)=0,"YETİM","")))</f>
        <v/>
      </c>
      <c r="N286" s="35">
        <f>IF(OR($A286="",$D286=""),"",IF(OR($D286&amp;"|"&amp;$E286="",COUNTIF(ListeIzinliGecis,$D286&amp;"|"&amp;$E286)&gt;0),"","GEÇERSİZ GEÇİŞ"))</f>
        <v/>
      </c>
      <c r="O286" s="35">
        <f>IF($A286="","",IF(OR($F286="",$G286=""),"",IF(ABS($G286-$F286)&gt;zincirTolerans,"ZİNCİR KIRIK","OK")))</f>
        <v/>
      </c>
      <c r="P286" s="35">
        <f>IF($A286="","",1)</f>
        <v/>
      </c>
    </row>
    <row r="287">
      <c r="A287" s="29" t="n"/>
      <c r="B287" s="29" t="n"/>
      <c r="C287" s="70" t="n"/>
      <c r="D287" s="29" t="n"/>
      <c r="E287" s="29" t="n"/>
      <c r="F287" s="30" t="n"/>
      <c r="G287" s="30" t="n"/>
      <c r="H287" s="31" t="n"/>
      <c r="I287" s="31" t="n"/>
      <c r="J287" s="29" t="n"/>
      <c r="K287" s="35">
        <f>IF($A287="","",IF($C287="","",raporTarihi-$C287))</f>
        <v/>
      </c>
      <c r="L287" s="35">
        <f>IF($A287="","",IF($K287="","",IF($K287&lt;=7,"0-7",IF($K287&lt;=30,"8-30",IF($K287&lt;=60,"31-60","60+")))))</f>
        <v/>
      </c>
      <c r="M287" s="35">
        <f>IF($A287="","",IF($B287="","YETİM",IF(COUNTIF(tblKartlar[KartId],$B287)=0,"YETİM","")))</f>
        <v/>
      </c>
      <c r="N287" s="35">
        <f>IF(OR($A287="",$D287=""),"",IF(OR($D287&amp;"|"&amp;$E287="",COUNTIF(ListeIzinliGecis,$D287&amp;"|"&amp;$E287)&gt;0),"","GEÇERSİZ GEÇİŞ"))</f>
        <v/>
      </c>
      <c r="O287" s="35">
        <f>IF($A287="","",IF(OR($F287="",$G287=""),"",IF(ABS($G287-$F287)&gt;zincirTolerans,"ZİNCİR KIRIK","OK")))</f>
        <v/>
      </c>
      <c r="P287" s="35">
        <f>IF($A287="","",1)</f>
        <v/>
      </c>
    </row>
    <row r="288">
      <c r="A288" s="29" t="n"/>
      <c r="B288" s="29" t="n"/>
      <c r="C288" s="70" t="n"/>
      <c r="D288" s="29" t="n"/>
      <c r="E288" s="29" t="n"/>
      <c r="F288" s="30" t="n"/>
      <c r="G288" s="30" t="n"/>
      <c r="H288" s="31" t="n"/>
      <c r="I288" s="31" t="n"/>
      <c r="J288" s="29" t="n"/>
      <c r="K288" s="35">
        <f>IF($A288="","",IF($C288="","",raporTarihi-$C288))</f>
        <v/>
      </c>
      <c r="L288" s="35">
        <f>IF($A288="","",IF($K288="","",IF($K288&lt;=7,"0-7",IF($K288&lt;=30,"8-30",IF($K288&lt;=60,"31-60","60+")))))</f>
        <v/>
      </c>
      <c r="M288" s="35">
        <f>IF($A288="","",IF($B288="","YETİM",IF(COUNTIF(tblKartlar[KartId],$B288)=0,"YETİM","")))</f>
        <v/>
      </c>
      <c r="N288" s="35">
        <f>IF(OR($A288="",$D288=""),"",IF(OR($D288&amp;"|"&amp;$E288="",COUNTIF(ListeIzinliGecis,$D288&amp;"|"&amp;$E288)&gt;0),"","GEÇERSİZ GEÇİŞ"))</f>
        <v/>
      </c>
      <c r="O288" s="35">
        <f>IF($A288="","",IF(OR($F288="",$G288=""),"",IF(ABS($G288-$F288)&gt;zincirTolerans,"ZİNCİR KIRIK","OK")))</f>
        <v/>
      </c>
      <c r="P288" s="35">
        <f>IF($A288="","",1)</f>
        <v/>
      </c>
    </row>
    <row r="289">
      <c r="A289" s="29" t="n"/>
      <c r="B289" s="29" t="n"/>
      <c r="C289" s="70" t="n"/>
      <c r="D289" s="29" t="n"/>
      <c r="E289" s="29" t="n"/>
      <c r="F289" s="30" t="n"/>
      <c r="G289" s="30" t="n"/>
      <c r="H289" s="31" t="n"/>
      <c r="I289" s="31" t="n"/>
      <c r="J289" s="29" t="n"/>
      <c r="K289" s="35">
        <f>IF($A289="","",IF($C289="","",raporTarihi-$C289))</f>
        <v/>
      </c>
      <c r="L289" s="35">
        <f>IF($A289="","",IF($K289="","",IF($K289&lt;=7,"0-7",IF($K289&lt;=30,"8-30",IF($K289&lt;=60,"31-60","60+")))))</f>
        <v/>
      </c>
      <c r="M289" s="35">
        <f>IF($A289="","",IF($B289="","YETİM",IF(COUNTIF(tblKartlar[KartId],$B289)=0,"YETİM","")))</f>
        <v/>
      </c>
      <c r="N289" s="35">
        <f>IF(OR($A289="",$D289=""),"",IF(OR($D289&amp;"|"&amp;$E289="",COUNTIF(ListeIzinliGecis,$D289&amp;"|"&amp;$E289)&gt;0),"","GEÇERSİZ GEÇİŞ"))</f>
        <v/>
      </c>
      <c r="O289" s="35">
        <f>IF($A289="","",IF(OR($F289="",$G289=""),"",IF(ABS($G289-$F289)&gt;zincirTolerans,"ZİNCİR KIRIK","OK")))</f>
        <v/>
      </c>
      <c r="P289" s="35">
        <f>IF($A289="","",1)</f>
        <v/>
      </c>
    </row>
    <row r="290">
      <c r="A290" s="29" t="n"/>
      <c r="B290" s="29" t="n"/>
      <c r="C290" s="70" t="n"/>
      <c r="D290" s="29" t="n"/>
      <c r="E290" s="29" t="n"/>
      <c r="F290" s="30" t="n"/>
      <c r="G290" s="30" t="n"/>
      <c r="H290" s="31" t="n"/>
      <c r="I290" s="31" t="n"/>
      <c r="J290" s="29" t="n"/>
      <c r="K290" s="35">
        <f>IF($A290="","",IF($C290="","",raporTarihi-$C290))</f>
        <v/>
      </c>
      <c r="L290" s="35">
        <f>IF($A290="","",IF($K290="","",IF($K290&lt;=7,"0-7",IF($K290&lt;=30,"8-30",IF($K290&lt;=60,"31-60","60+")))))</f>
        <v/>
      </c>
      <c r="M290" s="35">
        <f>IF($A290="","",IF($B290="","YETİM",IF(COUNTIF(tblKartlar[KartId],$B290)=0,"YETİM","")))</f>
        <v/>
      </c>
      <c r="N290" s="35">
        <f>IF(OR($A290="",$D290=""),"",IF(OR($D290&amp;"|"&amp;$E290="",COUNTIF(ListeIzinliGecis,$D290&amp;"|"&amp;$E290)&gt;0),"","GEÇERSİZ GEÇİŞ"))</f>
        <v/>
      </c>
      <c r="O290" s="35">
        <f>IF($A290="","",IF(OR($F290="",$G290=""),"",IF(ABS($G290-$F290)&gt;zincirTolerans,"ZİNCİR KIRIK","OK")))</f>
        <v/>
      </c>
      <c r="P290" s="35">
        <f>IF($A290="","",1)</f>
        <v/>
      </c>
    </row>
    <row r="291">
      <c r="A291" s="29" t="n"/>
      <c r="B291" s="29" t="n"/>
      <c r="C291" s="70" t="n"/>
      <c r="D291" s="29" t="n"/>
      <c r="E291" s="29" t="n"/>
      <c r="F291" s="30" t="n"/>
      <c r="G291" s="30" t="n"/>
      <c r="H291" s="31" t="n"/>
      <c r="I291" s="31" t="n"/>
      <c r="J291" s="29" t="n"/>
      <c r="K291" s="35">
        <f>IF($A291="","",IF($C291="","",raporTarihi-$C291))</f>
        <v/>
      </c>
      <c r="L291" s="35">
        <f>IF($A291="","",IF($K291="","",IF($K291&lt;=7,"0-7",IF($K291&lt;=30,"8-30",IF($K291&lt;=60,"31-60","60+")))))</f>
        <v/>
      </c>
      <c r="M291" s="35">
        <f>IF($A291="","",IF($B291="","YETİM",IF(COUNTIF(tblKartlar[KartId],$B291)=0,"YETİM","")))</f>
        <v/>
      </c>
      <c r="N291" s="35">
        <f>IF(OR($A291="",$D291=""),"",IF(OR($D291&amp;"|"&amp;$E291="",COUNTIF(ListeIzinliGecis,$D291&amp;"|"&amp;$E291)&gt;0),"","GEÇERSİZ GEÇİŞ"))</f>
        <v/>
      </c>
      <c r="O291" s="35">
        <f>IF($A291="","",IF(OR($F291="",$G291=""),"",IF(ABS($G291-$F291)&gt;zincirTolerans,"ZİNCİR KIRIK","OK")))</f>
        <v/>
      </c>
      <c r="P291" s="35">
        <f>IF($A291="","",1)</f>
        <v/>
      </c>
    </row>
    <row r="292">
      <c r="A292" s="29" t="n"/>
      <c r="B292" s="29" t="n"/>
      <c r="C292" s="70" t="n"/>
      <c r="D292" s="29" t="n"/>
      <c r="E292" s="29" t="n"/>
      <c r="F292" s="30" t="n"/>
      <c r="G292" s="30" t="n"/>
      <c r="H292" s="31" t="n"/>
      <c r="I292" s="31" t="n"/>
      <c r="J292" s="29" t="n"/>
      <c r="K292" s="35">
        <f>IF($A292="","",IF($C292="","",raporTarihi-$C292))</f>
        <v/>
      </c>
      <c r="L292" s="35">
        <f>IF($A292="","",IF($K292="","",IF($K292&lt;=7,"0-7",IF($K292&lt;=30,"8-30",IF($K292&lt;=60,"31-60","60+")))))</f>
        <v/>
      </c>
      <c r="M292" s="35">
        <f>IF($A292="","",IF($B292="","YETİM",IF(COUNTIF(tblKartlar[KartId],$B292)=0,"YETİM","")))</f>
        <v/>
      </c>
      <c r="N292" s="35">
        <f>IF(OR($A292="",$D292=""),"",IF(OR($D292&amp;"|"&amp;$E292="",COUNTIF(ListeIzinliGecis,$D292&amp;"|"&amp;$E292)&gt;0),"","GEÇERSİZ GEÇİŞ"))</f>
        <v/>
      </c>
      <c r="O292" s="35">
        <f>IF($A292="","",IF(OR($F292="",$G292=""),"",IF(ABS($G292-$F292)&gt;zincirTolerans,"ZİNCİR KIRIK","OK")))</f>
        <v/>
      </c>
      <c r="P292" s="35">
        <f>IF($A292="","",1)</f>
        <v/>
      </c>
    </row>
    <row r="293">
      <c r="A293" s="29" t="n"/>
      <c r="B293" s="29" t="n"/>
      <c r="C293" s="70" t="n"/>
      <c r="D293" s="29" t="n"/>
      <c r="E293" s="29" t="n"/>
      <c r="F293" s="30" t="n"/>
      <c r="G293" s="30" t="n"/>
      <c r="H293" s="31" t="n"/>
      <c r="I293" s="31" t="n"/>
      <c r="J293" s="29" t="n"/>
      <c r="K293" s="35">
        <f>IF($A293="","",IF($C293="","",raporTarihi-$C293))</f>
        <v/>
      </c>
      <c r="L293" s="35">
        <f>IF($A293="","",IF($K293="","",IF($K293&lt;=7,"0-7",IF($K293&lt;=30,"8-30",IF($K293&lt;=60,"31-60","60+")))))</f>
        <v/>
      </c>
      <c r="M293" s="35">
        <f>IF($A293="","",IF($B293="","YETİM",IF(COUNTIF(tblKartlar[KartId],$B293)=0,"YETİM","")))</f>
        <v/>
      </c>
      <c r="N293" s="35">
        <f>IF(OR($A293="",$D293=""),"",IF(OR($D293&amp;"|"&amp;$E293="",COUNTIF(ListeIzinliGecis,$D293&amp;"|"&amp;$E293)&gt;0),"","GEÇERSİZ GEÇİŞ"))</f>
        <v/>
      </c>
      <c r="O293" s="35">
        <f>IF($A293="","",IF(OR($F293="",$G293=""),"",IF(ABS($G293-$F293)&gt;zincirTolerans,"ZİNCİR KIRIK","OK")))</f>
        <v/>
      </c>
      <c r="P293" s="35">
        <f>IF($A293="","",1)</f>
        <v/>
      </c>
    </row>
    <row r="294">
      <c r="A294" s="29" t="n"/>
      <c r="B294" s="29" t="n"/>
      <c r="C294" s="70" t="n"/>
      <c r="D294" s="29" t="n"/>
      <c r="E294" s="29" t="n"/>
      <c r="F294" s="30" t="n"/>
      <c r="G294" s="30" t="n"/>
      <c r="H294" s="31" t="n"/>
      <c r="I294" s="31" t="n"/>
      <c r="J294" s="29" t="n"/>
      <c r="K294" s="35">
        <f>IF($A294="","",IF($C294="","",raporTarihi-$C294))</f>
        <v/>
      </c>
      <c r="L294" s="35">
        <f>IF($A294="","",IF($K294="","",IF($K294&lt;=7,"0-7",IF($K294&lt;=30,"8-30",IF($K294&lt;=60,"31-60","60+")))))</f>
        <v/>
      </c>
      <c r="M294" s="35">
        <f>IF($A294="","",IF($B294="","YETİM",IF(COUNTIF(tblKartlar[KartId],$B294)=0,"YETİM","")))</f>
        <v/>
      </c>
      <c r="N294" s="35">
        <f>IF(OR($A294="",$D294=""),"",IF(OR($D294&amp;"|"&amp;$E294="",COUNTIF(ListeIzinliGecis,$D294&amp;"|"&amp;$E294)&gt;0),"","GEÇERSİZ GEÇİŞ"))</f>
        <v/>
      </c>
      <c r="O294" s="35">
        <f>IF($A294="","",IF(OR($F294="",$G294=""),"",IF(ABS($G294-$F294)&gt;zincirTolerans,"ZİNCİR KIRIK","OK")))</f>
        <v/>
      </c>
      <c r="P294" s="35">
        <f>IF($A294="","",1)</f>
        <v/>
      </c>
    </row>
    <row r="295">
      <c r="A295" s="29" t="n"/>
      <c r="B295" s="29" t="n"/>
      <c r="C295" s="70" t="n"/>
      <c r="D295" s="29" t="n"/>
      <c r="E295" s="29" t="n"/>
      <c r="F295" s="30" t="n"/>
      <c r="G295" s="30" t="n"/>
      <c r="H295" s="31" t="n"/>
      <c r="I295" s="31" t="n"/>
      <c r="J295" s="29" t="n"/>
      <c r="K295" s="35">
        <f>IF($A295="","",IF($C295="","",raporTarihi-$C295))</f>
        <v/>
      </c>
      <c r="L295" s="35">
        <f>IF($A295="","",IF($K295="","",IF($K295&lt;=7,"0-7",IF($K295&lt;=30,"8-30",IF($K295&lt;=60,"31-60","60+")))))</f>
        <v/>
      </c>
      <c r="M295" s="35">
        <f>IF($A295="","",IF($B295="","YETİM",IF(COUNTIF(tblKartlar[KartId],$B295)=0,"YETİM","")))</f>
        <v/>
      </c>
      <c r="N295" s="35">
        <f>IF(OR($A295="",$D295=""),"",IF(OR($D295&amp;"|"&amp;$E295="",COUNTIF(ListeIzinliGecis,$D295&amp;"|"&amp;$E295)&gt;0),"","GEÇERSİZ GEÇİŞ"))</f>
        <v/>
      </c>
      <c r="O295" s="35">
        <f>IF($A295="","",IF(OR($F295="",$G295=""),"",IF(ABS($G295-$F295)&gt;zincirTolerans,"ZİNCİR KIRIK","OK")))</f>
        <v/>
      </c>
      <c r="P295" s="35">
        <f>IF($A295="","",1)</f>
        <v/>
      </c>
    </row>
    <row r="296">
      <c r="A296" s="29" t="n"/>
      <c r="B296" s="29" t="n"/>
      <c r="C296" s="70" t="n"/>
      <c r="D296" s="29" t="n"/>
      <c r="E296" s="29" t="n"/>
      <c r="F296" s="30" t="n"/>
      <c r="G296" s="30" t="n"/>
      <c r="H296" s="31" t="n"/>
      <c r="I296" s="31" t="n"/>
      <c r="J296" s="29" t="n"/>
      <c r="K296" s="35">
        <f>IF($A296="","",IF($C296="","",raporTarihi-$C296))</f>
        <v/>
      </c>
      <c r="L296" s="35">
        <f>IF($A296="","",IF($K296="","",IF($K296&lt;=7,"0-7",IF($K296&lt;=30,"8-30",IF($K296&lt;=60,"31-60","60+")))))</f>
        <v/>
      </c>
      <c r="M296" s="35">
        <f>IF($A296="","",IF($B296="","YETİM",IF(COUNTIF(tblKartlar[KartId],$B296)=0,"YETİM","")))</f>
        <v/>
      </c>
      <c r="N296" s="35">
        <f>IF(OR($A296="",$D296=""),"",IF(OR($D296&amp;"|"&amp;$E296="",COUNTIF(ListeIzinliGecis,$D296&amp;"|"&amp;$E296)&gt;0),"","GEÇERSİZ GEÇİŞ"))</f>
        <v/>
      </c>
      <c r="O296" s="35">
        <f>IF($A296="","",IF(OR($F296="",$G296=""),"",IF(ABS($G296-$F296)&gt;zincirTolerans,"ZİNCİR KIRIK","OK")))</f>
        <v/>
      </c>
      <c r="P296" s="35">
        <f>IF($A296="","",1)</f>
        <v/>
      </c>
    </row>
    <row r="297">
      <c r="A297" s="29" t="n"/>
      <c r="B297" s="29" t="n"/>
      <c r="C297" s="70" t="n"/>
      <c r="D297" s="29" t="n"/>
      <c r="E297" s="29" t="n"/>
      <c r="F297" s="30" t="n"/>
      <c r="G297" s="30" t="n"/>
      <c r="H297" s="31" t="n"/>
      <c r="I297" s="31" t="n"/>
      <c r="J297" s="29" t="n"/>
      <c r="K297" s="35">
        <f>IF($A297="","",IF($C297="","",raporTarihi-$C297))</f>
        <v/>
      </c>
      <c r="L297" s="35">
        <f>IF($A297="","",IF($K297="","",IF($K297&lt;=7,"0-7",IF($K297&lt;=30,"8-30",IF($K297&lt;=60,"31-60","60+")))))</f>
        <v/>
      </c>
      <c r="M297" s="35">
        <f>IF($A297="","",IF($B297="","YETİM",IF(COUNTIF(tblKartlar[KartId],$B297)=0,"YETİM","")))</f>
        <v/>
      </c>
      <c r="N297" s="35">
        <f>IF(OR($A297="",$D297=""),"",IF(OR($D297&amp;"|"&amp;$E297="",COUNTIF(ListeIzinliGecis,$D297&amp;"|"&amp;$E297)&gt;0),"","GEÇERSİZ GEÇİŞ"))</f>
        <v/>
      </c>
      <c r="O297" s="35">
        <f>IF($A297="","",IF(OR($F297="",$G297=""),"",IF(ABS($G297-$F297)&gt;zincirTolerans,"ZİNCİR KIRIK","OK")))</f>
        <v/>
      </c>
      <c r="P297" s="35">
        <f>IF($A297="","",1)</f>
        <v/>
      </c>
    </row>
    <row r="298">
      <c r="A298" s="29" t="n"/>
      <c r="B298" s="29" t="n"/>
      <c r="C298" s="70" t="n"/>
      <c r="D298" s="29" t="n"/>
      <c r="E298" s="29" t="n"/>
      <c r="F298" s="30" t="n"/>
      <c r="G298" s="30" t="n"/>
      <c r="H298" s="31" t="n"/>
      <c r="I298" s="31" t="n"/>
      <c r="J298" s="29" t="n"/>
      <c r="K298" s="35">
        <f>IF($A298="","",IF($C298="","",raporTarihi-$C298))</f>
        <v/>
      </c>
      <c r="L298" s="35">
        <f>IF($A298="","",IF($K298="","",IF($K298&lt;=7,"0-7",IF($K298&lt;=30,"8-30",IF($K298&lt;=60,"31-60","60+")))))</f>
        <v/>
      </c>
      <c r="M298" s="35">
        <f>IF($A298="","",IF($B298="","YETİM",IF(COUNTIF(tblKartlar[KartId],$B298)=0,"YETİM","")))</f>
        <v/>
      </c>
      <c r="N298" s="35">
        <f>IF(OR($A298="",$D298=""),"",IF(OR($D298&amp;"|"&amp;$E298="",COUNTIF(ListeIzinliGecis,$D298&amp;"|"&amp;$E298)&gt;0),"","GEÇERSİZ GEÇİŞ"))</f>
        <v/>
      </c>
      <c r="O298" s="35">
        <f>IF($A298="","",IF(OR($F298="",$G298=""),"",IF(ABS($G298-$F298)&gt;zincirTolerans,"ZİNCİR KIRIK","OK")))</f>
        <v/>
      </c>
      <c r="P298" s="35">
        <f>IF($A298="","",1)</f>
        <v/>
      </c>
    </row>
    <row r="299">
      <c r="A299" s="29" t="n"/>
      <c r="B299" s="29" t="n"/>
      <c r="C299" s="70" t="n"/>
      <c r="D299" s="29" t="n"/>
      <c r="E299" s="29" t="n"/>
      <c r="F299" s="30" t="n"/>
      <c r="G299" s="30" t="n"/>
      <c r="H299" s="31" t="n"/>
      <c r="I299" s="31" t="n"/>
      <c r="J299" s="29" t="n"/>
      <c r="K299" s="35">
        <f>IF($A299="","",IF($C299="","",raporTarihi-$C299))</f>
        <v/>
      </c>
      <c r="L299" s="35">
        <f>IF($A299="","",IF($K299="","",IF($K299&lt;=7,"0-7",IF($K299&lt;=30,"8-30",IF($K299&lt;=60,"31-60","60+")))))</f>
        <v/>
      </c>
      <c r="M299" s="35">
        <f>IF($A299="","",IF($B299="","YETİM",IF(COUNTIF(tblKartlar[KartId],$B299)=0,"YETİM","")))</f>
        <v/>
      </c>
      <c r="N299" s="35">
        <f>IF(OR($A299="",$D299=""),"",IF(OR($D299&amp;"|"&amp;$E299="",COUNTIF(ListeIzinliGecis,$D299&amp;"|"&amp;$E299)&gt;0),"","GEÇERSİZ GEÇİŞ"))</f>
        <v/>
      </c>
      <c r="O299" s="35">
        <f>IF($A299="","",IF(OR($F299="",$G299=""),"",IF(ABS($G299-$F299)&gt;zincirTolerans,"ZİNCİR KIRIK","OK")))</f>
        <v/>
      </c>
      <c r="P299" s="35">
        <f>IF($A299="","",1)</f>
        <v/>
      </c>
    </row>
    <row r="300">
      <c r="A300" s="29" t="n"/>
      <c r="B300" s="29" t="n"/>
      <c r="C300" s="70" t="n"/>
      <c r="D300" s="29" t="n"/>
      <c r="E300" s="29" t="n"/>
      <c r="F300" s="30" t="n"/>
      <c r="G300" s="30" t="n"/>
      <c r="H300" s="31" t="n"/>
      <c r="I300" s="31" t="n"/>
      <c r="J300" s="29" t="n"/>
      <c r="K300" s="35">
        <f>IF($A300="","",IF($C300="","",raporTarihi-$C300))</f>
        <v/>
      </c>
      <c r="L300" s="35">
        <f>IF($A300="","",IF($K300="","",IF($K300&lt;=7,"0-7",IF($K300&lt;=30,"8-30",IF($K300&lt;=60,"31-60","60+")))))</f>
        <v/>
      </c>
      <c r="M300" s="35">
        <f>IF($A300="","",IF($B300="","YETİM",IF(COUNTIF(tblKartlar[KartId],$B300)=0,"YETİM","")))</f>
        <v/>
      </c>
      <c r="N300" s="35">
        <f>IF(OR($A300="",$D300=""),"",IF(OR($D300&amp;"|"&amp;$E300="",COUNTIF(ListeIzinliGecis,$D300&amp;"|"&amp;$E300)&gt;0),"","GEÇERSİZ GEÇİŞ"))</f>
        <v/>
      </c>
      <c r="O300" s="35">
        <f>IF($A300="","",IF(OR($F300="",$G300=""),"",IF(ABS($G300-$F300)&gt;zincirTolerans,"ZİNCİR KIRIK","OK")))</f>
        <v/>
      </c>
      <c r="P300" s="35">
        <f>IF($A300="","",1)</f>
        <v/>
      </c>
    </row>
    <row r="301">
      <c r="A301" s="29" t="n"/>
      <c r="B301" s="29" t="n"/>
      <c r="C301" s="70" t="n"/>
      <c r="D301" s="29" t="n"/>
      <c r="E301" s="29" t="n"/>
      <c r="F301" s="30" t="n"/>
      <c r="G301" s="30" t="n"/>
      <c r="H301" s="31" t="n"/>
      <c r="I301" s="31" t="n"/>
      <c r="J301" s="29" t="n"/>
      <c r="K301" s="35">
        <f>IF($A301="","",IF($C301="","",raporTarihi-$C301))</f>
        <v/>
      </c>
      <c r="L301" s="35">
        <f>IF($A301="","",IF($K301="","",IF($K301&lt;=7,"0-7",IF($K301&lt;=30,"8-30",IF($K301&lt;=60,"31-60","60+")))))</f>
        <v/>
      </c>
      <c r="M301" s="35">
        <f>IF($A301="","",IF($B301="","YETİM",IF(COUNTIF(tblKartlar[KartId],$B301)=0,"YETİM","")))</f>
        <v/>
      </c>
      <c r="N301" s="35">
        <f>IF(OR($A301="",$D301=""),"",IF(OR($D301&amp;"|"&amp;$E301="",COUNTIF(ListeIzinliGecis,$D301&amp;"|"&amp;$E301)&gt;0),"","GEÇERSİZ GEÇİŞ"))</f>
        <v/>
      </c>
      <c r="O301" s="35">
        <f>IF($A301="","",IF(OR($F301="",$G301=""),"",IF(ABS($G301-$F301)&gt;zincirTolerans,"ZİNCİR KIRIK","OK")))</f>
        <v/>
      </c>
      <c r="P301" s="35">
        <f>IF($A301="","",1)</f>
        <v/>
      </c>
    </row>
    <row r="302">
      <c r="A302" s="29" t="n"/>
      <c r="B302" s="29" t="n"/>
      <c r="C302" s="70" t="n"/>
      <c r="D302" s="29" t="n"/>
      <c r="E302" s="29" t="n"/>
      <c r="F302" s="30" t="n"/>
      <c r="G302" s="30" t="n"/>
      <c r="H302" s="31" t="n"/>
      <c r="I302" s="31" t="n"/>
      <c r="J302" s="29" t="n"/>
      <c r="K302" s="35">
        <f>IF($A302="","",IF($C302="","",raporTarihi-$C302))</f>
        <v/>
      </c>
      <c r="L302" s="35">
        <f>IF($A302="","",IF($K302="","",IF($K302&lt;=7,"0-7",IF($K302&lt;=30,"8-30",IF($K302&lt;=60,"31-60","60+")))))</f>
        <v/>
      </c>
      <c r="M302" s="35">
        <f>IF($A302="","",IF($B302="","YETİM",IF(COUNTIF(tblKartlar[KartId],$B302)=0,"YETİM","")))</f>
        <v/>
      </c>
      <c r="N302" s="35">
        <f>IF(OR($A302="",$D302=""),"",IF(OR($D302&amp;"|"&amp;$E302="",COUNTIF(ListeIzinliGecis,$D302&amp;"|"&amp;$E302)&gt;0),"","GEÇERSİZ GEÇİŞ"))</f>
        <v/>
      </c>
      <c r="O302" s="35">
        <f>IF($A302="","",IF(OR($F302="",$G302=""),"",IF(ABS($G302-$F302)&gt;zincirTolerans,"ZİNCİR KIRIK","OK")))</f>
        <v/>
      </c>
      <c r="P302" s="35">
        <f>IF($A302="","",1)</f>
        <v/>
      </c>
    </row>
    <row r="303">
      <c r="A303" s="29" t="n"/>
      <c r="B303" s="29" t="n"/>
      <c r="C303" s="70" t="n"/>
      <c r="D303" s="29" t="n"/>
      <c r="E303" s="29" t="n"/>
      <c r="F303" s="30" t="n"/>
      <c r="G303" s="30" t="n"/>
      <c r="H303" s="31" t="n"/>
      <c r="I303" s="31" t="n"/>
      <c r="J303" s="29" t="n"/>
      <c r="K303" s="35">
        <f>IF($A303="","",IF($C303="","",raporTarihi-$C303))</f>
        <v/>
      </c>
      <c r="L303" s="35">
        <f>IF($A303="","",IF($K303="","",IF($K303&lt;=7,"0-7",IF($K303&lt;=30,"8-30",IF($K303&lt;=60,"31-60","60+")))))</f>
        <v/>
      </c>
      <c r="M303" s="35">
        <f>IF($A303="","",IF($B303="","YETİM",IF(COUNTIF(tblKartlar[KartId],$B303)=0,"YETİM","")))</f>
        <v/>
      </c>
      <c r="N303" s="35">
        <f>IF(OR($A303="",$D303=""),"",IF(OR($D303&amp;"|"&amp;$E303="",COUNTIF(ListeIzinliGecis,$D303&amp;"|"&amp;$E303)&gt;0),"","GEÇERSİZ GEÇİŞ"))</f>
        <v/>
      </c>
      <c r="O303" s="35">
        <f>IF($A303="","",IF(OR($F303="",$G303=""),"",IF(ABS($G303-$F303)&gt;zincirTolerans,"ZİNCİR KIRIK","OK")))</f>
        <v/>
      </c>
      <c r="P303" s="35">
        <f>IF($A303="","",1)</f>
        <v/>
      </c>
    </row>
    <row r="304">
      <c r="A304" s="29" t="n"/>
      <c r="B304" s="29" t="n"/>
      <c r="C304" s="70" t="n"/>
      <c r="D304" s="29" t="n"/>
      <c r="E304" s="29" t="n"/>
      <c r="F304" s="30" t="n"/>
      <c r="G304" s="30" t="n"/>
      <c r="H304" s="31" t="n"/>
      <c r="I304" s="31" t="n"/>
      <c r="J304" s="29" t="n"/>
      <c r="K304" s="35">
        <f>IF($A304="","",IF($C304="","",raporTarihi-$C304))</f>
        <v/>
      </c>
      <c r="L304" s="35">
        <f>IF($A304="","",IF($K304="","",IF($K304&lt;=7,"0-7",IF($K304&lt;=30,"8-30",IF($K304&lt;=60,"31-60","60+")))))</f>
        <v/>
      </c>
      <c r="M304" s="35">
        <f>IF($A304="","",IF($B304="","YETİM",IF(COUNTIF(tblKartlar[KartId],$B304)=0,"YETİM","")))</f>
        <v/>
      </c>
      <c r="N304" s="35">
        <f>IF(OR($A304="",$D304=""),"",IF(OR($D304&amp;"|"&amp;$E304="",COUNTIF(ListeIzinliGecis,$D304&amp;"|"&amp;$E304)&gt;0),"","GEÇERSİZ GEÇİŞ"))</f>
        <v/>
      </c>
      <c r="O304" s="35">
        <f>IF($A304="","",IF(OR($F304="",$G304=""),"",IF(ABS($G304-$F304)&gt;zincirTolerans,"ZİNCİR KIRIK","OK")))</f>
        <v/>
      </c>
      <c r="P304" s="35">
        <f>IF($A304="","",1)</f>
        <v/>
      </c>
    </row>
    <row r="305">
      <c r="A305" s="29" t="n"/>
      <c r="B305" s="29" t="n"/>
      <c r="C305" s="70" t="n"/>
      <c r="D305" s="29" t="n"/>
      <c r="E305" s="29" t="n"/>
      <c r="F305" s="30" t="n"/>
      <c r="G305" s="30" t="n"/>
      <c r="H305" s="31" t="n"/>
      <c r="I305" s="31" t="n"/>
      <c r="J305" s="29" t="n"/>
      <c r="K305" s="35">
        <f>IF($A305="","",IF($C305="","",raporTarihi-$C305))</f>
        <v/>
      </c>
      <c r="L305" s="35">
        <f>IF($A305="","",IF($K305="","",IF($K305&lt;=7,"0-7",IF($K305&lt;=30,"8-30",IF($K305&lt;=60,"31-60","60+")))))</f>
        <v/>
      </c>
      <c r="M305" s="35">
        <f>IF($A305="","",IF($B305="","YETİM",IF(COUNTIF(tblKartlar[KartId],$B305)=0,"YETİM","")))</f>
        <v/>
      </c>
      <c r="N305" s="35">
        <f>IF(OR($A305="",$D305=""),"",IF(OR($D305&amp;"|"&amp;$E305="",COUNTIF(ListeIzinliGecis,$D305&amp;"|"&amp;$E305)&gt;0),"","GEÇERSİZ GEÇİŞ"))</f>
        <v/>
      </c>
      <c r="O305" s="35">
        <f>IF($A305="","",IF(OR($F305="",$G305=""),"",IF(ABS($G305-$F305)&gt;zincirTolerans,"ZİNCİR KIRIK","OK")))</f>
        <v/>
      </c>
      <c r="P305" s="35">
        <f>IF($A305="","",1)</f>
        <v/>
      </c>
    </row>
    <row r="306">
      <c r="A306" s="29" t="n"/>
      <c r="B306" s="29" t="n"/>
      <c r="C306" s="70" t="n"/>
      <c r="D306" s="29" t="n"/>
      <c r="E306" s="29" t="n"/>
      <c r="F306" s="30" t="n"/>
      <c r="G306" s="30" t="n"/>
      <c r="H306" s="31" t="n"/>
      <c r="I306" s="31" t="n"/>
      <c r="J306" s="29" t="n"/>
      <c r="K306" s="35">
        <f>IF($A306="","",IF($C306="","",raporTarihi-$C306))</f>
        <v/>
      </c>
      <c r="L306" s="35">
        <f>IF($A306="","",IF($K306="","",IF($K306&lt;=7,"0-7",IF($K306&lt;=30,"8-30",IF($K306&lt;=60,"31-60","60+")))))</f>
        <v/>
      </c>
      <c r="M306" s="35">
        <f>IF($A306="","",IF($B306="","YETİM",IF(COUNTIF(tblKartlar[KartId],$B306)=0,"YETİM","")))</f>
        <v/>
      </c>
      <c r="N306" s="35">
        <f>IF(OR($A306="",$D306=""),"",IF(OR($D306&amp;"|"&amp;$E306="",COUNTIF(ListeIzinliGecis,$D306&amp;"|"&amp;$E306)&gt;0),"","GEÇERSİZ GEÇİŞ"))</f>
        <v/>
      </c>
      <c r="O306" s="35">
        <f>IF($A306="","",IF(OR($F306="",$G306=""),"",IF(ABS($G306-$F306)&gt;zincirTolerans,"ZİNCİR KIRIK","OK")))</f>
        <v/>
      </c>
      <c r="P306" s="35">
        <f>IF($A306="","",1)</f>
        <v/>
      </c>
    </row>
    <row r="307">
      <c r="A307" s="29" t="n"/>
      <c r="B307" s="29" t="n"/>
      <c r="C307" s="70" t="n"/>
      <c r="D307" s="29" t="n"/>
      <c r="E307" s="29" t="n"/>
      <c r="F307" s="30" t="n"/>
      <c r="G307" s="30" t="n"/>
      <c r="H307" s="31" t="n"/>
      <c r="I307" s="31" t="n"/>
      <c r="J307" s="29" t="n"/>
      <c r="K307" s="35">
        <f>IF($A307="","",IF($C307="","",raporTarihi-$C307))</f>
        <v/>
      </c>
      <c r="L307" s="35">
        <f>IF($A307="","",IF($K307="","",IF($K307&lt;=7,"0-7",IF($K307&lt;=30,"8-30",IF($K307&lt;=60,"31-60","60+")))))</f>
        <v/>
      </c>
      <c r="M307" s="35">
        <f>IF($A307="","",IF($B307="","YETİM",IF(COUNTIF(tblKartlar[KartId],$B307)=0,"YETİM","")))</f>
        <v/>
      </c>
      <c r="N307" s="35">
        <f>IF(OR($A307="",$D307=""),"",IF(OR($D307&amp;"|"&amp;$E307="",COUNTIF(ListeIzinliGecis,$D307&amp;"|"&amp;$E307)&gt;0),"","GEÇERSİZ GEÇİŞ"))</f>
        <v/>
      </c>
      <c r="O307" s="35">
        <f>IF($A307="","",IF(OR($F307="",$G307=""),"",IF(ABS($G307-$F307)&gt;zincirTolerans,"ZİNCİR KIRIK","OK")))</f>
        <v/>
      </c>
      <c r="P307" s="35">
        <f>IF($A307="","",1)</f>
        <v/>
      </c>
    </row>
    <row r="308">
      <c r="A308" s="29" t="n"/>
      <c r="B308" s="29" t="n"/>
      <c r="C308" s="70" t="n"/>
      <c r="D308" s="29" t="n"/>
      <c r="E308" s="29" t="n"/>
      <c r="F308" s="30" t="n"/>
      <c r="G308" s="30" t="n"/>
      <c r="H308" s="31" t="n"/>
      <c r="I308" s="31" t="n"/>
      <c r="J308" s="29" t="n"/>
      <c r="K308" s="35">
        <f>IF($A308="","",IF($C308="","",raporTarihi-$C308))</f>
        <v/>
      </c>
      <c r="L308" s="35">
        <f>IF($A308="","",IF($K308="","",IF($K308&lt;=7,"0-7",IF($K308&lt;=30,"8-30",IF($K308&lt;=60,"31-60","60+")))))</f>
        <v/>
      </c>
      <c r="M308" s="35">
        <f>IF($A308="","",IF($B308="","YETİM",IF(COUNTIF(tblKartlar[KartId],$B308)=0,"YETİM","")))</f>
        <v/>
      </c>
      <c r="N308" s="35">
        <f>IF(OR($A308="",$D308=""),"",IF(OR($D308&amp;"|"&amp;$E308="",COUNTIF(ListeIzinliGecis,$D308&amp;"|"&amp;$E308)&gt;0),"","GEÇERSİZ GEÇİŞ"))</f>
        <v/>
      </c>
      <c r="O308" s="35">
        <f>IF($A308="","",IF(OR($F308="",$G308=""),"",IF(ABS($G308-$F308)&gt;zincirTolerans,"ZİNCİR KIRIK","OK")))</f>
        <v/>
      </c>
      <c r="P308" s="35">
        <f>IF($A308="","",1)</f>
        <v/>
      </c>
    </row>
    <row r="309">
      <c r="A309" s="29" t="n"/>
      <c r="B309" s="29" t="n"/>
      <c r="C309" s="70" t="n"/>
      <c r="D309" s="29" t="n"/>
      <c r="E309" s="29" t="n"/>
      <c r="F309" s="30" t="n"/>
      <c r="G309" s="30" t="n"/>
      <c r="H309" s="31" t="n"/>
      <c r="I309" s="31" t="n"/>
      <c r="J309" s="29" t="n"/>
      <c r="K309" s="35">
        <f>IF($A309="","",IF($C309="","",raporTarihi-$C309))</f>
        <v/>
      </c>
      <c r="L309" s="35">
        <f>IF($A309="","",IF($K309="","",IF($K309&lt;=7,"0-7",IF($K309&lt;=30,"8-30",IF($K309&lt;=60,"31-60","60+")))))</f>
        <v/>
      </c>
      <c r="M309" s="35">
        <f>IF($A309="","",IF($B309="","YETİM",IF(COUNTIF(tblKartlar[KartId],$B309)=0,"YETİM","")))</f>
        <v/>
      </c>
      <c r="N309" s="35">
        <f>IF(OR($A309="",$D309=""),"",IF(OR($D309&amp;"|"&amp;$E309="",COUNTIF(ListeIzinliGecis,$D309&amp;"|"&amp;$E309)&gt;0),"","GEÇERSİZ GEÇİŞ"))</f>
        <v/>
      </c>
      <c r="O309" s="35">
        <f>IF($A309="","",IF(OR($F309="",$G309=""),"",IF(ABS($G309-$F309)&gt;zincirTolerans,"ZİNCİR KIRIK","OK")))</f>
        <v/>
      </c>
      <c r="P309" s="35">
        <f>IF($A309="","",1)</f>
        <v/>
      </c>
    </row>
    <row r="310">
      <c r="A310" s="29" t="n"/>
      <c r="B310" s="29" t="n"/>
      <c r="C310" s="70" t="n"/>
      <c r="D310" s="29" t="n"/>
      <c r="E310" s="29" t="n"/>
      <c r="F310" s="30" t="n"/>
      <c r="G310" s="30" t="n"/>
      <c r="H310" s="31" t="n"/>
      <c r="I310" s="31" t="n"/>
      <c r="J310" s="29" t="n"/>
      <c r="K310" s="35">
        <f>IF($A310="","",IF($C310="","",raporTarihi-$C310))</f>
        <v/>
      </c>
      <c r="L310" s="35">
        <f>IF($A310="","",IF($K310="","",IF($K310&lt;=7,"0-7",IF($K310&lt;=30,"8-30",IF($K310&lt;=60,"31-60","60+")))))</f>
        <v/>
      </c>
      <c r="M310" s="35">
        <f>IF($A310="","",IF($B310="","YETİM",IF(COUNTIF(tblKartlar[KartId],$B310)=0,"YETİM","")))</f>
        <v/>
      </c>
      <c r="N310" s="35">
        <f>IF(OR($A310="",$D310=""),"",IF(OR($D310&amp;"|"&amp;$E310="",COUNTIF(ListeIzinliGecis,$D310&amp;"|"&amp;$E310)&gt;0),"","GEÇERSİZ GEÇİŞ"))</f>
        <v/>
      </c>
      <c r="O310" s="35">
        <f>IF($A310="","",IF(OR($F310="",$G310=""),"",IF(ABS($G310-$F310)&gt;zincirTolerans,"ZİNCİR KIRIK","OK")))</f>
        <v/>
      </c>
      <c r="P310" s="35">
        <f>IF($A310="","",1)</f>
        <v/>
      </c>
    </row>
    <row r="311">
      <c r="A311" s="29" t="n"/>
      <c r="B311" s="29" t="n"/>
      <c r="C311" s="70" t="n"/>
      <c r="D311" s="29" t="n"/>
      <c r="E311" s="29" t="n"/>
      <c r="F311" s="30" t="n"/>
      <c r="G311" s="30" t="n"/>
      <c r="H311" s="31" t="n"/>
      <c r="I311" s="31" t="n"/>
      <c r="J311" s="29" t="n"/>
      <c r="K311" s="35">
        <f>IF($A311="","",IF($C311="","",raporTarihi-$C311))</f>
        <v/>
      </c>
      <c r="L311" s="35">
        <f>IF($A311="","",IF($K311="","",IF($K311&lt;=7,"0-7",IF($K311&lt;=30,"8-30",IF($K311&lt;=60,"31-60","60+")))))</f>
        <v/>
      </c>
      <c r="M311" s="35">
        <f>IF($A311="","",IF($B311="","YETİM",IF(COUNTIF(tblKartlar[KartId],$B311)=0,"YETİM","")))</f>
        <v/>
      </c>
      <c r="N311" s="35">
        <f>IF(OR($A311="",$D311=""),"",IF(OR($D311&amp;"|"&amp;$E311="",COUNTIF(ListeIzinliGecis,$D311&amp;"|"&amp;$E311)&gt;0),"","GEÇERSİZ GEÇİŞ"))</f>
        <v/>
      </c>
      <c r="O311" s="35">
        <f>IF($A311="","",IF(OR($F311="",$G311=""),"",IF(ABS($G311-$F311)&gt;zincirTolerans,"ZİNCİR KIRIK","OK")))</f>
        <v/>
      </c>
      <c r="P311" s="35">
        <f>IF($A311="","",1)</f>
        <v/>
      </c>
    </row>
    <row r="312">
      <c r="A312" s="29" t="n"/>
      <c r="B312" s="29" t="n"/>
      <c r="C312" s="70" t="n"/>
      <c r="D312" s="29" t="n"/>
      <c r="E312" s="29" t="n"/>
      <c r="F312" s="30" t="n"/>
      <c r="G312" s="30" t="n"/>
      <c r="H312" s="31" t="n"/>
      <c r="I312" s="31" t="n"/>
      <c r="J312" s="29" t="n"/>
      <c r="K312" s="35">
        <f>IF($A312="","",IF($C312="","",raporTarihi-$C312))</f>
        <v/>
      </c>
      <c r="L312" s="35">
        <f>IF($A312="","",IF($K312="","",IF($K312&lt;=7,"0-7",IF($K312&lt;=30,"8-30",IF($K312&lt;=60,"31-60","60+")))))</f>
        <v/>
      </c>
      <c r="M312" s="35">
        <f>IF($A312="","",IF($B312="","YETİM",IF(COUNTIF(tblKartlar[KartId],$B312)=0,"YETİM","")))</f>
        <v/>
      </c>
      <c r="N312" s="35">
        <f>IF(OR($A312="",$D312=""),"",IF(OR($D312&amp;"|"&amp;$E312="",COUNTIF(ListeIzinliGecis,$D312&amp;"|"&amp;$E312)&gt;0),"","GEÇERSİZ GEÇİŞ"))</f>
        <v/>
      </c>
      <c r="O312" s="35">
        <f>IF($A312="","",IF(OR($F312="",$G312=""),"",IF(ABS($G312-$F312)&gt;zincirTolerans,"ZİNCİR KIRIK","OK")))</f>
        <v/>
      </c>
      <c r="P312" s="35">
        <f>IF($A312="","",1)</f>
        <v/>
      </c>
    </row>
    <row r="313">
      <c r="A313" s="29" t="n"/>
      <c r="B313" s="29" t="n"/>
      <c r="C313" s="70" t="n"/>
      <c r="D313" s="29" t="n"/>
      <c r="E313" s="29" t="n"/>
      <c r="F313" s="30" t="n"/>
      <c r="G313" s="30" t="n"/>
      <c r="H313" s="31" t="n"/>
      <c r="I313" s="31" t="n"/>
      <c r="J313" s="29" t="n"/>
      <c r="K313" s="35">
        <f>IF($A313="","",IF($C313="","",raporTarihi-$C313))</f>
        <v/>
      </c>
      <c r="L313" s="35">
        <f>IF($A313="","",IF($K313="","",IF($K313&lt;=7,"0-7",IF($K313&lt;=30,"8-30",IF($K313&lt;=60,"31-60","60+")))))</f>
        <v/>
      </c>
      <c r="M313" s="35">
        <f>IF($A313="","",IF($B313="","YETİM",IF(COUNTIF(tblKartlar[KartId],$B313)=0,"YETİM","")))</f>
        <v/>
      </c>
      <c r="N313" s="35">
        <f>IF(OR($A313="",$D313=""),"",IF(OR($D313&amp;"|"&amp;$E313="",COUNTIF(ListeIzinliGecis,$D313&amp;"|"&amp;$E313)&gt;0),"","GEÇERSİZ GEÇİŞ"))</f>
        <v/>
      </c>
      <c r="O313" s="35">
        <f>IF($A313="","",IF(OR($F313="",$G313=""),"",IF(ABS($G313-$F313)&gt;zincirTolerans,"ZİNCİR KIRIK","OK")))</f>
        <v/>
      </c>
      <c r="P313" s="35">
        <f>IF($A313="","",1)</f>
        <v/>
      </c>
    </row>
    <row r="314">
      <c r="A314" s="29" t="n"/>
      <c r="B314" s="29" t="n"/>
      <c r="C314" s="70" t="n"/>
      <c r="D314" s="29" t="n"/>
      <c r="E314" s="29" t="n"/>
      <c r="F314" s="30" t="n"/>
      <c r="G314" s="30" t="n"/>
      <c r="H314" s="31" t="n"/>
      <c r="I314" s="31" t="n"/>
      <c r="J314" s="29" t="n"/>
      <c r="K314" s="35">
        <f>IF($A314="","",IF($C314="","",raporTarihi-$C314))</f>
        <v/>
      </c>
      <c r="L314" s="35">
        <f>IF($A314="","",IF($K314="","",IF($K314&lt;=7,"0-7",IF($K314&lt;=30,"8-30",IF($K314&lt;=60,"31-60","60+")))))</f>
        <v/>
      </c>
      <c r="M314" s="35">
        <f>IF($A314="","",IF($B314="","YETİM",IF(COUNTIF(tblKartlar[KartId],$B314)=0,"YETİM","")))</f>
        <v/>
      </c>
      <c r="N314" s="35">
        <f>IF(OR($A314="",$D314=""),"",IF(OR($D314&amp;"|"&amp;$E314="",COUNTIF(ListeIzinliGecis,$D314&amp;"|"&amp;$E314)&gt;0),"","GEÇERSİZ GEÇİŞ"))</f>
        <v/>
      </c>
      <c r="O314" s="35">
        <f>IF($A314="","",IF(OR($F314="",$G314=""),"",IF(ABS($G314-$F314)&gt;zincirTolerans,"ZİNCİR KIRIK","OK")))</f>
        <v/>
      </c>
      <c r="P314" s="35">
        <f>IF($A314="","",1)</f>
        <v/>
      </c>
    </row>
    <row r="315">
      <c r="A315" s="29" t="n"/>
      <c r="B315" s="29" t="n"/>
      <c r="C315" s="70" t="n"/>
      <c r="D315" s="29" t="n"/>
      <c r="E315" s="29" t="n"/>
      <c r="F315" s="30" t="n"/>
      <c r="G315" s="30" t="n"/>
      <c r="H315" s="31" t="n"/>
      <c r="I315" s="31" t="n"/>
      <c r="J315" s="29" t="n"/>
      <c r="K315" s="35">
        <f>IF($A315="","",IF($C315="","",raporTarihi-$C315))</f>
        <v/>
      </c>
      <c r="L315" s="35">
        <f>IF($A315="","",IF($K315="","",IF($K315&lt;=7,"0-7",IF($K315&lt;=30,"8-30",IF($K315&lt;=60,"31-60","60+")))))</f>
        <v/>
      </c>
      <c r="M315" s="35">
        <f>IF($A315="","",IF($B315="","YETİM",IF(COUNTIF(tblKartlar[KartId],$B315)=0,"YETİM","")))</f>
        <v/>
      </c>
      <c r="N315" s="35">
        <f>IF(OR($A315="",$D315=""),"",IF(OR($D315&amp;"|"&amp;$E315="",COUNTIF(ListeIzinliGecis,$D315&amp;"|"&amp;$E315)&gt;0),"","GEÇERSİZ GEÇİŞ"))</f>
        <v/>
      </c>
      <c r="O315" s="35">
        <f>IF($A315="","",IF(OR($F315="",$G315=""),"",IF(ABS($G315-$F315)&gt;zincirTolerans,"ZİNCİR KIRIK","OK")))</f>
        <v/>
      </c>
      <c r="P315" s="35">
        <f>IF($A315="","",1)</f>
        <v/>
      </c>
    </row>
    <row r="316">
      <c r="A316" s="29" t="n"/>
      <c r="B316" s="29" t="n"/>
      <c r="C316" s="70" t="n"/>
      <c r="D316" s="29" t="n"/>
      <c r="E316" s="29" t="n"/>
      <c r="F316" s="30" t="n"/>
      <c r="G316" s="30" t="n"/>
      <c r="H316" s="31" t="n"/>
      <c r="I316" s="31" t="n"/>
      <c r="J316" s="29" t="n"/>
      <c r="K316" s="35">
        <f>IF($A316="","",IF($C316="","",raporTarihi-$C316))</f>
        <v/>
      </c>
      <c r="L316" s="35">
        <f>IF($A316="","",IF($K316="","",IF($K316&lt;=7,"0-7",IF($K316&lt;=30,"8-30",IF($K316&lt;=60,"31-60","60+")))))</f>
        <v/>
      </c>
      <c r="M316" s="35">
        <f>IF($A316="","",IF($B316="","YETİM",IF(COUNTIF(tblKartlar[KartId],$B316)=0,"YETİM","")))</f>
        <v/>
      </c>
      <c r="N316" s="35">
        <f>IF(OR($A316="",$D316=""),"",IF(OR($D316&amp;"|"&amp;$E316="",COUNTIF(ListeIzinliGecis,$D316&amp;"|"&amp;$E316)&gt;0),"","GEÇERSİZ GEÇİŞ"))</f>
        <v/>
      </c>
      <c r="O316" s="35">
        <f>IF($A316="","",IF(OR($F316="",$G316=""),"",IF(ABS($G316-$F316)&gt;zincirTolerans,"ZİNCİR KIRIK","OK")))</f>
        <v/>
      </c>
      <c r="P316" s="35">
        <f>IF($A316="","",1)</f>
        <v/>
      </c>
    </row>
    <row r="317">
      <c r="A317" s="29" t="n"/>
      <c r="B317" s="29" t="n"/>
      <c r="C317" s="70" t="n"/>
      <c r="D317" s="29" t="n"/>
      <c r="E317" s="29" t="n"/>
      <c r="F317" s="30" t="n"/>
      <c r="G317" s="30" t="n"/>
      <c r="H317" s="31" t="n"/>
      <c r="I317" s="31" t="n"/>
      <c r="J317" s="29" t="n"/>
      <c r="K317" s="35">
        <f>IF($A317="","",IF($C317="","",raporTarihi-$C317))</f>
        <v/>
      </c>
      <c r="L317" s="35">
        <f>IF($A317="","",IF($K317="","",IF($K317&lt;=7,"0-7",IF($K317&lt;=30,"8-30",IF($K317&lt;=60,"31-60","60+")))))</f>
        <v/>
      </c>
      <c r="M317" s="35">
        <f>IF($A317="","",IF($B317="","YETİM",IF(COUNTIF(tblKartlar[KartId],$B317)=0,"YETİM","")))</f>
        <v/>
      </c>
      <c r="N317" s="35">
        <f>IF(OR($A317="",$D317=""),"",IF(OR($D317&amp;"|"&amp;$E317="",COUNTIF(ListeIzinliGecis,$D317&amp;"|"&amp;$E317)&gt;0),"","GEÇERSİZ GEÇİŞ"))</f>
        <v/>
      </c>
      <c r="O317" s="35">
        <f>IF($A317="","",IF(OR($F317="",$G317=""),"",IF(ABS($G317-$F317)&gt;zincirTolerans,"ZİNCİR KIRIK","OK")))</f>
        <v/>
      </c>
      <c r="P317" s="35">
        <f>IF($A317="","",1)</f>
        <v/>
      </c>
    </row>
    <row r="318">
      <c r="A318" s="29" t="n"/>
      <c r="B318" s="29" t="n"/>
      <c r="C318" s="70" t="n"/>
      <c r="D318" s="29" t="n"/>
      <c r="E318" s="29" t="n"/>
      <c r="F318" s="30" t="n"/>
      <c r="G318" s="30" t="n"/>
      <c r="H318" s="31" t="n"/>
      <c r="I318" s="31" t="n"/>
      <c r="J318" s="29" t="n"/>
      <c r="K318" s="35">
        <f>IF($A318="","",IF($C318="","",raporTarihi-$C318))</f>
        <v/>
      </c>
      <c r="L318" s="35">
        <f>IF($A318="","",IF($K318="","",IF($K318&lt;=7,"0-7",IF($K318&lt;=30,"8-30",IF($K318&lt;=60,"31-60","60+")))))</f>
        <v/>
      </c>
      <c r="M318" s="35">
        <f>IF($A318="","",IF($B318="","YETİM",IF(COUNTIF(tblKartlar[KartId],$B318)=0,"YETİM","")))</f>
        <v/>
      </c>
      <c r="N318" s="35">
        <f>IF(OR($A318="",$D318=""),"",IF(OR($D318&amp;"|"&amp;$E318="",COUNTIF(ListeIzinliGecis,$D318&amp;"|"&amp;$E318)&gt;0),"","GEÇERSİZ GEÇİŞ"))</f>
        <v/>
      </c>
      <c r="O318" s="35">
        <f>IF($A318="","",IF(OR($F318="",$G318=""),"",IF(ABS($G318-$F318)&gt;zincirTolerans,"ZİNCİR KIRIK","OK")))</f>
        <v/>
      </c>
      <c r="P318" s="35">
        <f>IF($A318="","",1)</f>
        <v/>
      </c>
    </row>
    <row r="319">
      <c r="A319" s="29" t="n"/>
      <c r="B319" s="29" t="n"/>
      <c r="C319" s="70" t="n"/>
      <c r="D319" s="29" t="n"/>
      <c r="E319" s="29" t="n"/>
      <c r="F319" s="30" t="n"/>
      <c r="G319" s="30" t="n"/>
      <c r="H319" s="31" t="n"/>
      <c r="I319" s="31" t="n"/>
      <c r="J319" s="29" t="n"/>
      <c r="K319" s="35">
        <f>IF($A319="","",IF($C319="","",raporTarihi-$C319))</f>
        <v/>
      </c>
      <c r="L319" s="35">
        <f>IF($A319="","",IF($K319="","",IF($K319&lt;=7,"0-7",IF($K319&lt;=30,"8-30",IF($K319&lt;=60,"31-60","60+")))))</f>
        <v/>
      </c>
      <c r="M319" s="35">
        <f>IF($A319="","",IF($B319="","YETİM",IF(COUNTIF(tblKartlar[KartId],$B319)=0,"YETİM","")))</f>
        <v/>
      </c>
      <c r="N319" s="35">
        <f>IF(OR($A319="",$D319=""),"",IF(OR($D319&amp;"|"&amp;$E319="",COUNTIF(ListeIzinliGecis,$D319&amp;"|"&amp;$E319)&gt;0),"","GEÇERSİZ GEÇİŞ"))</f>
        <v/>
      </c>
      <c r="O319" s="35">
        <f>IF($A319="","",IF(OR($F319="",$G319=""),"",IF(ABS($G319-$F319)&gt;zincirTolerans,"ZİNCİR KIRIK","OK")))</f>
        <v/>
      </c>
      <c r="P319" s="35">
        <f>IF($A319="","",1)</f>
        <v/>
      </c>
    </row>
    <row r="320">
      <c r="A320" s="29" t="n"/>
      <c r="B320" s="29" t="n"/>
      <c r="C320" s="70" t="n"/>
      <c r="D320" s="29" t="n"/>
      <c r="E320" s="29" t="n"/>
      <c r="F320" s="30" t="n"/>
      <c r="G320" s="30" t="n"/>
      <c r="H320" s="31" t="n"/>
      <c r="I320" s="31" t="n"/>
      <c r="J320" s="29" t="n"/>
      <c r="K320" s="35">
        <f>IF($A320="","",IF($C320="","",raporTarihi-$C320))</f>
        <v/>
      </c>
      <c r="L320" s="35">
        <f>IF($A320="","",IF($K320="","",IF($K320&lt;=7,"0-7",IF($K320&lt;=30,"8-30",IF($K320&lt;=60,"31-60","60+")))))</f>
        <v/>
      </c>
      <c r="M320" s="35">
        <f>IF($A320="","",IF($B320="","YETİM",IF(COUNTIF(tblKartlar[KartId],$B320)=0,"YETİM","")))</f>
        <v/>
      </c>
      <c r="N320" s="35">
        <f>IF(OR($A320="",$D320=""),"",IF(OR($D320&amp;"|"&amp;$E320="",COUNTIF(ListeIzinliGecis,$D320&amp;"|"&amp;$E320)&gt;0),"","GEÇERSİZ GEÇİŞ"))</f>
        <v/>
      </c>
      <c r="O320" s="35">
        <f>IF($A320="","",IF(OR($F320="",$G320=""),"",IF(ABS($G320-$F320)&gt;zincirTolerans,"ZİNCİR KIRIK","OK")))</f>
        <v/>
      </c>
      <c r="P320" s="35">
        <f>IF($A320="","",1)</f>
        <v/>
      </c>
    </row>
    <row r="321">
      <c r="A321" s="29" t="n"/>
      <c r="B321" s="29" t="n"/>
      <c r="C321" s="70" t="n"/>
      <c r="D321" s="29" t="n"/>
      <c r="E321" s="29" t="n"/>
      <c r="F321" s="30" t="n"/>
      <c r="G321" s="30" t="n"/>
      <c r="H321" s="31" t="n"/>
      <c r="I321" s="31" t="n"/>
      <c r="J321" s="29" t="n"/>
      <c r="K321" s="35">
        <f>IF($A321="","",IF($C321="","",raporTarihi-$C321))</f>
        <v/>
      </c>
      <c r="L321" s="35">
        <f>IF($A321="","",IF($K321="","",IF($K321&lt;=7,"0-7",IF($K321&lt;=30,"8-30",IF($K321&lt;=60,"31-60","60+")))))</f>
        <v/>
      </c>
      <c r="M321" s="35">
        <f>IF($A321="","",IF($B321="","YETİM",IF(COUNTIF(tblKartlar[KartId],$B321)=0,"YETİM","")))</f>
        <v/>
      </c>
      <c r="N321" s="35">
        <f>IF(OR($A321="",$D321=""),"",IF(OR($D321&amp;"|"&amp;$E321="",COUNTIF(ListeIzinliGecis,$D321&amp;"|"&amp;$E321)&gt;0),"","GEÇERSİZ GEÇİŞ"))</f>
        <v/>
      </c>
      <c r="O321" s="35">
        <f>IF($A321="","",IF(OR($F321="",$G321=""),"",IF(ABS($G321-$F321)&gt;zincirTolerans,"ZİNCİR KIRIK","OK")))</f>
        <v/>
      </c>
      <c r="P321" s="35">
        <f>IF($A321="","",1)</f>
        <v/>
      </c>
    </row>
    <row r="322">
      <c r="A322" s="29" t="n"/>
      <c r="B322" s="29" t="n"/>
      <c r="C322" s="70" t="n"/>
      <c r="D322" s="29" t="n"/>
      <c r="E322" s="29" t="n"/>
      <c r="F322" s="30" t="n"/>
      <c r="G322" s="30" t="n"/>
      <c r="H322" s="31" t="n"/>
      <c r="I322" s="31" t="n"/>
      <c r="J322" s="29" t="n"/>
      <c r="K322" s="35">
        <f>IF($A322="","",IF($C322="","",raporTarihi-$C322))</f>
        <v/>
      </c>
      <c r="L322" s="35">
        <f>IF($A322="","",IF($K322="","",IF($K322&lt;=7,"0-7",IF($K322&lt;=30,"8-30",IF($K322&lt;=60,"31-60","60+")))))</f>
        <v/>
      </c>
      <c r="M322" s="35">
        <f>IF($A322="","",IF($B322="","YETİM",IF(COUNTIF(tblKartlar[KartId],$B322)=0,"YETİM","")))</f>
        <v/>
      </c>
      <c r="N322" s="35">
        <f>IF(OR($A322="",$D322=""),"",IF(OR($D322&amp;"|"&amp;$E322="",COUNTIF(ListeIzinliGecis,$D322&amp;"|"&amp;$E322)&gt;0),"","GEÇERSİZ GEÇİŞ"))</f>
        <v/>
      </c>
      <c r="O322" s="35">
        <f>IF($A322="","",IF(OR($F322="",$G322=""),"",IF(ABS($G322-$F322)&gt;zincirTolerans,"ZİNCİR KIRIK","OK")))</f>
        <v/>
      </c>
      <c r="P322" s="35">
        <f>IF($A322="","",1)</f>
        <v/>
      </c>
    </row>
    <row r="323">
      <c r="A323" s="29" t="n"/>
      <c r="B323" s="29" t="n"/>
      <c r="C323" s="70" t="n"/>
      <c r="D323" s="29" t="n"/>
      <c r="E323" s="29" t="n"/>
      <c r="F323" s="30" t="n"/>
      <c r="G323" s="30" t="n"/>
      <c r="H323" s="31" t="n"/>
      <c r="I323" s="31" t="n"/>
      <c r="J323" s="29" t="n"/>
      <c r="K323" s="35">
        <f>IF($A323="","",IF($C323="","",raporTarihi-$C323))</f>
        <v/>
      </c>
      <c r="L323" s="35">
        <f>IF($A323="","",IF($K323="","",IF($K323&lt;=7,"0-7",IF($K323&lt;=30,"8-30",IF($K323&lt;=60,"31-60","60+")))))</f>
        <v/>
      </c>
      <c r="M323" s="35">
        <f>IF($A323="","",IF($B323="","YETİM",IF(COUNTIF(tblKartlar[KartId],$B323)=0,"YETİM","")))</f>
        <v/>
      </c>
      <c r="N323" s="35">
        <f>IF(OR($A323="",$D323=""),"",IF(OR($D323&amp;"|"&amp;$E323="",COUNTIF(ListeIzinliGecis,$D323&amp;"|"&amp;$E323)&gt;0),"","GEÇERSİZ GEÇİŞ"))</f>
        <v/>
      </c>
      <c r="O323" s="35">
        <f>IF($A323="","",IF(OR($F323="",$G323=""),"",IF(ABS($G323-$F323)&gt;zincirTolerans,"ZİNCİR KIRIK","OK")))</f>
        <v/>
      </c>
      <c r="P323" s="35">
        <f>IF($A323="","",1)</f>
        <v/>
      </c>
    </row>
    <row r="324">
      <c r="A324" s="29" t="n"/>
      <c r="B324" s="29" t="n"/>
      <c r="C324" s="70" t="n"/>
      <c r="D324" s="29" t="n"/>
      <c r="E324" s="29" t="n"/>
      <c r="F324" s="30" t="n"/>
      <c r="G324" s="30" t="n"/>
      <c r="H324" s="31" t="n"/>
      <c r="I324" s="31" t="n"/>
      <c r="J324" s="29" t="n"/>
      <c r="K324" s="35">
        <f>IF($A324="","",IF($C324="","",raporTarihi-$C324))</f>
        <v/>
      </c>
      <c r="L324" s="35">
        <f>IF($A324="","",IF($K324="","",IF($K324&lt;=7,"0-7",IF($K324&lt;=30,"8-30",IF($K324&lt;=60,"31-60","60+")))))</f>
        <v/>
      </c>
      <c r="M324" s="35">
        <f>IF($A324="","",IF($B324="","YETİM",IF(COUNTIF(tblKartlar[KartId],$B324)=0,"YETİM","")))</f>
        <v/>
      </c>
      <c r="N324" s="35">
        <f>IF(OR($A324="",$D324=""),"",IF(OR($D324&amp;"|"&amp;$E324="",COUNTIF(ListeIzinliGecis,$D324&amp;"|"&amp;$E324)&gt;0),"","GEÇERSİZ GEÇİŞ"))</f>
        <v/>
      </c>
      <c r="O324" s="35">
        <f>IF($A324="","",IF(OR($F324="",$G324=""),"",IF(ABS($G324-$F324)&gt;zincirTolerans,"ZİNCİR KIRIK","OK")))</f>
        <v/>
      </c>
      <c r="P324" s="35">
        <f>IF($A324="","",1)</f>
        <v/>
      </c>
    </row>
    <row r="325">
      <c r="A325" s="29" t="n"/>
      <c r="B325" s="29" t="n"/>
      <c r="C325" s="70" t="n"/>
      <c r="D325" s="29" t="n"/>
      <c r="E325" s="29" t="n"/>
      <c r="F325" s="30" t="n"/>
      <c r="G325" s="30" t="n"/>
      <c r="H325" s="31" t="n"/>
      <c r="I325" s="31" t="n"/>
      <c r="J325" s="29" t="n"/>
      <c r="K325" s="35">
        <f>IF($A325="","",IF($C325="","",raporTarihi-$C325))</f>
        <v/>
      </c>
      <c r="L325" s="35">
        <f>IF($A325="","",IF($K325="","",IF($K325&lt;=7,"0-7",IF($K325&lt;=30,"8-30",IF($K325&lt;=60,"31-60","60+")))))</f>
        <v/>
      </c>
      <c r="M325" s="35">
        <f>IF($A325="","",IF($B325="","YETİM",IF(COUNTIF(tblKartlar[KartId],$B325)=0,"YETİM","")))</f>
        <v/>
      </c>
      <c r="N325" s="35">
        <f>IF(OR($A325="",$D325=""),"",IF(OR($D325&amp;"|"&amp;$E325="",COUNTIF(ListeIzinliGecis,$D325&amp;"|"&amp;$E325)&gt;0),"","GEÇERSİZ GEÇİŞ"))</f>
        <v/>
      </c>
      <c r="O325" s="35">
        <f>IF($A325="","",IF(OR($F325="",$G325=""),"",IF(ABS($G325-$F325)&gt;zincirTolerans,"ZİNCİR KIRIK","OK")))</f>
        <v/>
      </c>
      <c r="P325" s="35">
        <f>IF($A325="","",1)</f>
        <v/>
      </c>
    </row>
    <row r="326">
      <c r="A326" s="29" t="n"/>
      <c r="B326" s="29" t="n"/>
      <c r="C326" s="70" t="n"/>
      <c r="D326" s="29" t="n"/>
      <c r="E326" s="29" t="n"/>
      <c r="F326" s="30" t="n"/>
      <c r="G326" s="30" t="n"/>
      <c r="H326" s="31" t="n"/>
      <c r="I326" s="31" t="n"/>
      <c r="J326" s="29" t="n"/>
      <c r="K326" s="35">
        <f>IF($A326="","",IF($C326="","",raporTarihi-$C326))</f>
        <v/>
      </c>
      <c r="L326" s="35">
        <f>IF($A326="","",IF($K326="","",IF($K326&lt;=7,"0-7",IF($K326&lt;=30,"8-30",IF($K326&lt;=60,"31-60","60+")))))</f>
        <v/>
      </c>
      <c r="M326" s="35">
        <f>IF($A326="","",IF($B326="","YETİM",IF(COUNTIF(tblKartlar[KartId],$B326)=0,"YETİM","")))</f>
        <v/>
      </c>
      <c r="N326" s="35">
        <f>IF(OR($A326="",$D326=""),"",IF(OR($D326&amp;"|"&amp;$E326="",COUNTIF(ListeIzinliGecis,$D326&amp;"|"&amp;$E326)&gt;0),"","GEÇERSİZ GEÇİŞ"))</f>
        <v/>
      </c>
      <c r="O326" s="35">
        <f>IF($A326="","",IF(OR($F326="",$G326=""),"",IF(ABS($G326-$F326)&gt;zincirTolerans,"ZİNCİR KIRIK","OK")))</f>
        <v/>
      </c>
      <c r="P326" s="35">
        <f>IF($A326="","",1)</f>
        <v/>
      </c>
    </row>
    <row r="327">
      <c r="A327" s="29" t="n"/>
      <c r="B327" s="29" t="n"/>
      <c r="C327" s="70" t="n"/>
      <c r="D327" s="29" t="n"/>
      <c r="E327" s="29" t="n"/>
      <c r="F327" s="30" t="n"/>
      <c r="G327" s="30" t="n"/>
      <c r="H327" s="31" t="n"/>
      <c r="I327" s="31" t="n"/>
      <c r="J327" s="29" t="n"/>
      <c r="K327" s="35">
        <f>IF($A327="","",IF($C327="","",raporTarihi-$C327))</f>
        <v/>
      </c>
      <c r="L327" s="35">
        <f>IF($A327="","",IF($K327="","",IF($K327&lt;=7,"0-7",IF($K327&lt;=30,"8-30",IF($K327&lt;=60,"31-60","60+")))))</f>
        <v/>
      </c>
      <c r="M327" s="35">
        <f>IF($A327="","",IF($B327="","YETİM",IF(COUNTIF(tblKartlar[KartId],$B327)=0,"YETİM","")))</f>
        <v/>
      </c>
      <c r="N327" s="35">
        <f>IF(OR($A327="",$D327=""),"",IF(OR($D327&amp;"|"&amp;$E327="",COUNTIF(ListeIzinliGecis,$D327&amp;"|"&amp;$E327)&gt;0),"","GEÇERSİZ GEÇİŞ"))</f>
        <v/>
      </c>
      <c r="O327" s="35">
        <f>IF($A327="","",IF(OR($F327="",$G327=""),"",IF(ABS($G327-$F327)&gt;zincirTolerans,"ZİNCİR KIRIK","OK")))</f>
        <v/>
      </c>
      <c r="P327" s="35">
        <f>IF($A327="","",1)</f>
        <v/>
      </c>
    </row>
    <row r="328">
      <c r="A328" s="29" t="n"/>
      <c r="B328" s="29" t="n"/>
      <c r="C328" s="70" t="n"/>
      <c r="D328" s="29" t="n"/>
      <c r="E328" s="29" t="n"/>
      <c r="F328" s="30" t="n"/>
      <c r="G328" s="30" t="n"/>
      <c r="H328" s="31" t="n"/>
      <c r="I328" s="31" t="n"/>
      <c r="J328" s="29" t="n"/>
      <c r="K328" s="35">
        <f>IF($A328="","",IF($C328="","",raporTarihi-$C328))</f>
        <v/>
      </c>
      <c r="L328" s="35">
        <f>IF($A328="","",IF($K328="","",IF($K328&lt;=7,"0-7",IF($K328&lt;=30,"8-30",IF($K328&lt;=60,"31-60","60+")))))</f>
        <v/>
      </c>
      <c r="M328" s="35">
        <f>IF($A328="","",IF($B328="","YETİM",IF(COUNTIF(tblKartlar[KartId],$B328)=0,"YETİM","")))</f>
        <v/>
      </c>
      <c r="N328" s="35">
        <f>IF(OR($A328="",$D328=""),"",IF(OR($D328&amp;"|"&amp;$E328="",COUNTIF(ListeIzinliGecis,$D328&amp;"|"&amp;$E328)&gt;0),"","GEÇERSİZ GEÇİŞ"))</f>
        <v/>
      </c>
      <c r="O328" s="35">
        <f>IF($A328="","",IF(OR($F328="",$G328=""),"",IF(ABS($G328-$F328)&gt;zincirTolerans,"ZİNCİR KIRIK","OK")))</f>
        <v/>
      </c>
      <c r="P328" s="35">
        <f>IF($A328="","",1)</f>
        <v/>
      </c>
    </row>
    <row r="329">
      <c r="A329" s="29" t="n"/>
      <c r="B329" s="29" t="n"/>
      <c r="C329" s="70" t="n"/>
      <c r="D329" s="29" t="n"/>
      <c r="E329" s="29" t="n"/>
      <c r="F329" s="30" t="n"/>
      <c r="G329" s="30" t="n"/>
      <c r="H329" s="31" t="n"/>
      <c r="I329" s="31" t="n"/>
      <c r="J329" s="29" t="n"/>
      <c r="K329" s="35">
        <f>IF($A329="","",IF($C329="","",raporTarihi-$C329))</f>
        <v/>
      </c>
      <c r="L329" s="35">
        <f>IF($A329="","",IF($K329="","",IF($K329&lt;=7,"0-7",IF($K329&lt;=30,"8-30",IF($K329&lt;=60,"31-60","60+")))))</f>
        <v/>
      </c>
      <c r="M329" s="35">
        <f>IF($A329="","",IF($B329="","YETİM",IF(COUNTIF(tblKartlar[KartId],$B329)=0,"YETİM","")))</f>
        <v/>
      </c>
      <c r="N329" s="35">
        <f>IF(OR($A329="",$D329=""),"",IF(OR($D329&amp;"|"&amp;$E329="",COUNTIF(ListeIzinliGecis,$D329&amp;"|"&amp;$E329)&gt;0),"","GEÇERSİZ GEÇİŞ"))</f>
        <v/>
      </c>
      <c r="O329" s="35">
        <f>IF($A329="","",IF(OR($F329="",$G329=""),"",IF(ABS($G329-$F329)&gt;zincirTolerans,"ZİNCİR KIRIK","OK")))</f>
        <v/>
      </c>
      <c r="P329" s="35">
        <f>IF($A329="","",1)</f>
        <v/>
      </c>
    </row>
    <row r="330">
      <c r="A330" s="29" t="n"/>
      <c r="B330" s="29" t="n"/>
      <c r="C330" s="70" t="n"/>
      <c r="D330" s="29" t="n"/>
      <c r="E330" s="29" t="n"/>
      <c r="F330" s="30" t="n"/>
      <c r="G330" s="30" t="n"/>
      <c r="H330" s="31" t="n"/>
      <c r="I330" s="31" t="n"/>
      <c r="J330" s="29" t="n"/>
      <c r="K330" s="35">
        <f>IF($A330="","",IF($C330="","",raporTarihi-$C330))</f>
        <v/>
      </c>
      <c r="L330" s="35">
        <f>IF($A330="","",IF($K330="","",IF($K330&lt;=7,"0-7",IF($K330&lt;=30,"8-30",IF($K330&lt;=60,"31-60","60+")))))</f>
        <v/>
      </c>
      <c r="M330" s="35">
        <f>IF($A330="","",IF($B330="","YETİM",IF(COUNTIF(tblKartlar[KartId],$B330)=0,"YETİM","")))</f>
        <v/>
      </c>
      <c r="N330" s="35">
        <f>IF(OR($A330="",$D330=""),"",IF(OR($D330&amp;"|"&amp;$E330="",COUNTIF(ListeIzinliGecis,$D330&amp;"|"&amp;$E330)&gt;0),"","GEÇERSİZ GEÇİŞ"))</f>
        <v/>
      </c>
      <c r="O330" s="35">
        <f>IF($A330="","",IF(OR($F330="",$G330=""),"",IF(ABS($G330-$F330)&gt;zincirTolerans,"ZİNCİR KIRIK","OK")))</f>
        <v/>
      </c>
      <c r="P330" s="35">
        <f>IF($A330="","",1)</f>
        <v/>
      </c>
    </row>
    <row r="331">
      <c r="A331" s="29" t="n"/>
      <c r="B331" s="29" t="n"/>
      <c r="C331" s="70" t="n"/>
      <c r="D331" s="29" t="n"/>
      <c r="E331" s="29" t="n"/>
      <c r="F331" s="30" t="n"/>
      <c r="G331" s="30" t="n"/>
      <c r="H331" s="31" t="n"/>
      <c r="I331" s="31" t="n"/>
      <c r="J331" s="29" t="n"/>
      <c r="K331" s="35">
        <f>IF($A331="","",IF($C331="","",raporTarihi-$C331))</f>
        <v/>
      </c>
      <c r="L331" s="35">
        <f>IF($A331="","",IF($K331="","",IF($K331&lt;=7,"0-7",IF($K331&lt;=30,"8-30",IF($K331&lt;=60,"31-60","60+")))))</f>
        <v/>
      </c>
      <c r="M331" s="35">
        <f>IF($A331="","",IF($B331="","YETİM",IF(COUNTIF(tblKartlar[KartId],$B331)=0,"YETİM","")))</f>
        <v/>
      </c>
      <c r="N331" s="35">
        <f>IF(OR($A331="",$D331=""),"",IF(OR($D331&amp;"|"&amp;$E331="",COUNTIF(ListeIzinliGecis,$D331&amp;"|"&amp;$E331)&gt;0),"","GEÇERSİZ GEÇİŞ"))</f>
        <v/>
      </c>
      <c r="O331" s="35">
        <f>IF($A331="","",IF(OR($F331="",$G331=""),"",IF(ABS($G331-$F331)&gt;zincirTolerans,"ZİNCİR KIRIK","OK")))</f>
        <v/>
      </c>
      <c r="P331" s="35">
        <f>IF($A331="","",1)</f>
        <v/>
      </c>
    </row>
    <row r="332">
      <c r="A332" s="29" t="n"/>
      <c r="B332" s="29" t="n"/>
      <c r="C332" s="70" t="n"/>
      <c r="D332" s="29" t="n"/>
      <c r="E332" s="29" t="n"/>
      <c r="F332" s="30" t="n"/>
      <c r="G332" s="30" t="n"/>
      <c r="H332" s="31" t="n"/>
      <c r="I332" s="31" t="n"/>
      <c r="J332" s="29" t="n"/>
      <c r="K332" s="35">
        <f>IF($A332="","",IF($C332="","",raporTarihi-$C332))</f>
        <v/>
      </c>
      <c r="L332" s="35">
        <f>IF($A332="","",IF($K332="","",IF($K332&lt;=7,"0-7",IF($K332&lt;=30,"8-30",IF($K332&lt;=60,"31-60","60+")))))</f>
        <v/>
      </c>
      <c r="M332" s="35">
        <f>IF($A332="","",IF($B332="","YETİM",IF(COUNTIF(tblKartlar[KartId],$B332)=0,"YETİM","")))</f>
        <v/>
      </c>
      <c r="N332" s="35">
        <f>IF(OR($A332="",$D332=""),"",IF(OR($D332&amp;"|"&amp;$E332="",COUNTIF(ListeIzinliGecis,$D332&amp;"|"&amp;$E332)&gt;0),"","GEÇERSİZ GEÇİŞ"))</f>
        <v/>
      </c>
      <c r="O332" s="35">
        <f>IF($A332="","",IF(OR($F332="",$G332=""),"",IF(ABS($G332-$F332)&gt;zincirTolerans,"ZİNCİR KIRIK","OK")))</f>
        <v/>
      </c>
      <c r="P332" s="35">
        <f>IF($A332="","",1)</f>
        <v/>
      </c>
    </row>
    <row r="333">
      <c r="A333" s="29" t="n"/>
      <c r="B333" s="29" t="n"/>
      <c r="C333" s="70" t="n"/>
      <c r="D333" s="29" t="n"/>
      <c r="E333" s="29" t="n"/>
      <c r="F333" s="30" t="n"/>
      <c r="G333" s="30" t="n"/>
      <c r="H333" s="31" t="n"/>
      <c r="I333" s="31" t="n"/>
      <c r="J333" s="29" t="n"/>
      <c r="K333" s="35">
        <f>IF($A333="","",IF($C333="","",raporTarihi-$C333))</f>
        <v/>
      </c>
      <c r="L333" s="35">
        <f>IF($A333="","",IF($K333="","",IF($K333&lt;=7,"0-7",IF($K333&lt;=30,"8-30",IF($K333&lt;=60,"31-60","60+")))))</f>
        <v/>
      </c>
      <c r="M333" s="35">
        <f>IF($A333="","",IF($B333="","YETİM",IF(COUNTIF(tblKartlar[KartId],$B333)=0,"YETİM","")))</f>
        <v/>
      </c>
      <c r="N333" s="35">
        <f>IF(OR($A333="",$D333=""),"",IF(OR($D333&amp;"|"&amp;$E333="",COUNTIF(ListeIzinliGecis,$D333&amp;"|"&amp;$E333)&gt;0),"","GEÇERSİZ GEÇİŞ"))</f>
        <v/>
      </c>
      <c r="O333" s="35">
        <f>IF($A333="","",IF(OR($F333="",$G333=""),"",IF(ABS($G333-$F333)&gt;zincirTolerans,"ZİNCİR KIRIK","OK")))</f>
        <v/>
      </c>
      <c r="P333" s="35">
        <f>IF($A333="","",1)</f>
        <v/>
      </c>
    </row>
    <row r="334">
      <c r="A334" s="29" t="n"/>
      <c r="B334" s="29" t="n"/>
      <c r="C334" s="70" t="n"/>
      <c r="D334" s="29" t="n"/>
      <c r="E334" s="29" t="n"/>
      <c r="F334" s="30" t="n"/>
      <c r="G334" s="30" t="n"/>
      <c r="H334" s="31" t="n"/>
      <c r="I334" s="31" t="n"/>
      <c r="J334" s="29" t="n"/>
      <c r="K334" s="35">
        <f>IF($A334="","",IF($C334="","",raporTarihi-$C334))</f>
        <v/>
      </c>
      <c r="L334" s="35">
        <f>IF($A334="","",IF($K334="","",IF($K334&lt;=7,"0-7",IF($K334&lt;=30,"8-30",IF($K334&lt;=60,"31-60","60+")))))</f>
        <v/>
      </c>
      <c r="M334" s="35">
        <f>IF($A334="","",IF($B334="","YETİM",IF(COUNTIF(tblKartlar[KartId],$B334)=0,"YETİM","")))</f>
        <v/>
      </c>
      <c r="N334" s="35">
        <f>IF(OR($A334="",$D334=""),"",IF(OR($D334&amp;"|"&amp;$E334="",COUNTIF(ListeIzinliGecis,$D334&amp;"|"&amp;$E334)&gt;0),"","GEÇERSİZ GEÇİŞ"))</f>
        <v/>
      </c>
      <c r="O334" s="35">
        <f>IF($A334="","",IF(OR($F334="",$G334=""),"",IF(ABS($G334-$F334)&gt;zincirTolerans,"ZİNCİR KIRIK","OK")))</f>
        <v/>
      </c>
      <c r="P334" s="35">
        <f>IF($A334="","",1)</f>
        <v/>
      </c>
    </row>
    <row r="335">
      <c r="A335" s="29" t="n"/>
      <c r="B335" s="29" t="n"/>
      <c r="C335" s="70" t="n"/>
      <c r="D335" s="29" t="n"/>
      <c r="E335" s="29" t="n"/>
      <c r="F335" s="30" t="n"/>
      <c r="G335" s="30" t="n"/>
      <c r="H335" s="31" t="n"/>
      <c r="I335" s="31" t="n"/>
      <c r="J335" s="29" t="n"/>
      <c r="K335" s="35">
        <f>IF($A335="","",IF($C335="","",raporTarihi-$C335))</f>
        <v/>
      </c>
      <c r="L335" s="35">
        <f>IF($A335="","",IF($K335="","",IF($K335&lt;=7,"0-7",IF($K335&lt;=30,"8-30",IF($K335&lt;=60,"31-60","60+")))))</f>
        <v/>
      </c>
      <c r="M335" s="35">
        <f>IF($A335="","",IF($B335="","YETİM",IF(COUNTIF(tblKartlar[KartId],$B335)=0,"YETİM","")))</f>
        <v/>
      </c>
      <c r="N335" s="35">
        <f>IF(OR($A335="",$D335=""),"",IF(OR($D335&amp;"|"&amp;$E335="",COUNTIF(ListeIzinliGecis,$D335&amp;"|"&amp;$E335)&gt;0),"","GEÇERSİZ GEÇİŞ"))</f>
        <v/>
      </c>
      <c r="O335" s="35">
        <f>IF($A335="","",IF(OR($F335="",$G335=""),"",IF(ABS($G335-$F335)&gt;zincirTolerans,"ZİNCİR KIRIK","OK")))</f>
        <v/>
      </c>
      <c r="P335" s="35">
        <f>IF($A335="","",1)</f>
        <v/>
      </c>
    </row>
    <row r="336">
      <c r="A336" s="29" t="n"/>
      <c r="B336" s="29" t="n"/>
      <c r="C336" s="70" t="n"/>
      <c r="D336" s="29" t="n"/>
      <c r="E336" s="29" t="n"/>
      <c r="F336" s="30" t="n"/>
      <c r="G336" s="30" t="n"/>
      <c r="H336" s="31" t="n"/>
      <c r="I336" s="31" t="n"/>
      <c r="J336" s="29" t="n"/>
      <c r="K336" s="35">
        <f>IF($A336="","",IF($C336="","",raporTarihi-$C336))</f>
        <v/>
      </c>
      <c r="L336" s="35">
        <f>IF($A336="","",IF($K336="","",IF($K336&lt;=7,"0-7",IF($K336&lt;=30,"8-30",IF($K336&lt;=60,"31-60","60+")))))</f>
        <v/>
      </c>
      <c r="M336" s="35">
        <f>IF($A336="","",IF($B336="","YETİM",IF(COUNTIF(tblKartlar[KartId],$B336)=0,"YETİM","")))</f>
        <v/>
      </c>
      <c r="N336" s="35">
        <f>IF(OR($A336="",$D336=""),"",IF(OR($D336&amp;"|"&amp;$E336="",COUNTIF(ListeIzinliGecis,$D336&amp;"|"&amp;$E336)&gt;0),"","GEÇERSİZ GEÇİŞ"))</f>
        <v/>
      </c>
      <c r="O336" s="35">
        <f>IF($A336="","",IF(OR($F336="",$G336=""),"",IF(ABS($G336-$F336)&gt;zincirTolerans,"ZİNCİR KIRIK","OK")))</f>
        <v/>
      </c>
      <c r="P336" s="35">
        <f>IF($A336="","",1)</f>
        <v/>
      </c>
    </row>
    <row r="337">
      <c r="A337" s="29" t="n"/>
      <c r="B337" s="29" t="n"/>
      <c r="C337" s="70" t="n"/>
      <c r="D337" s="29" t="n"/>
      <c r="E337" s="29" t="n"/>
      <c r="F337" s="30" t="n"/>
      <c r="G337" s="30" t="n"/>
      <c r="H337" s="31" t="n"/>
      <c r="I337" s="31" t="n"/>
      <c r="J337" s="29" t="n"/>
      <c r="K337" s="35">
        <f>IF($A337="","",IF($C337="","",raporTarihi-$C337))</f>
        <v/>
      </c>
      <c r="L337" s="35">
        <f>IF($A337="","",IF($K337="","",IF($K337&lt;=7,"0-7",IF($K337&lt;=30,"8-30",IF($K337&lt;=60,"31-60","60+")))))</f>
        <v/>
      </c>
      <c r="M337" s="35">
        <f>IF($A337="","",IF($B337="","YETİM",IF(COUNTIF(tblKartlar[KartId],$B337)=0,"YETİM","")))</f>
        <v/>
      </c>
      <c r="N337" s="35">
        <f>IF(OR($A337="",$D337=""),"",IF(OR($D337&amp;"|"&amp;$E337="",COUNTIF(ListeIzinliGecis,$D337&amp;"|"&amp;$E337)&gt;0),"","GEÇERSİZ GEÇİŞ"))</f>
        <v/>
      </c>
      <c r="O337" s="35">
        <f>IF($A337="","",IF(OR($F337="",$G337=""),"",IF(ABS($G337-$F337)&gt;zincirTolerans,"ZİNCİR KIRIK","OK")))</f>
        <v/>
      </c>
      <c r="P337" s="35">
        <f>IF($A337="","",1)</f>
        <v/>
      </c>
    </row>
    <row r="338">
      <c r="A338" s="29" t="n"/>
      <c r="B338" s="29" t="n"/>
      <c r="C338" s="70" t="n"/>
      <c r="D338" s="29" t="n"/>
      <c r="E338" s="29" t="n"/>
      <c r="F338" s="30" t="n"/>
      <c r="G338" s="30" t="n"/>
      <c r="H338" s="31" t="n"/>
      <c r="I338" s="31" t="n"/>
      <c r="J338" s="29" t="n"/>
      <c r="K338" s="35">
        <f>IF($A338="","",IF($C338="","",raporTarihi-$C338))</f>
        <v/>
      </c>
      <c r="L338" s="35">
        <f>IF($A338="","",IF($K338="","",IF($K338&lt;=7,"0-7",IF($K338&lt;=30,"8-30",IF($K338&lt;=60,"31-60","60+")))))</f>
        <v/>
      </c>
      <c r="M338" s="35">
        <f>IF($A338="","",IF($B338="","YETİM",IF(COUNTIF(tblKartlar[KartId],$B338)=0,"YETİM","")))</f>
        <v/>
      </c>
      <c r="N338" s="35">
        <f>IF(OR($A338="",$D338=""),"",IF(OR($D338&amp;"|"&amp;$E338="",COUNTIF(ListeIzinliGecis,$D338&amp;"|"&amp;$E338)&gt;0),"","GEÇERSİZ GEÇİŞ"))</f>
        <v/>
      </c>
      <c r="O338" s="35">
        <f>IF($A338="","",IF(OR($F338="",$G338=""),"",IF(ABS($G338-$F338)&gt;zincirTolerans,"ZİNCİR KIRIK","OK")))</f>
        <v/>
      </c>
      <c r="P338" s="35">
        <f>IF($A338="","",1)</f>
        <v/>
      </c>
    </row>
    <row r="339">
      <c r="A339" s="29" t="n"/>
      <c r="B339" s="29" t="n"/>
      <c r="C339" s="70" t="n"/>
      <c r="D339" s="29" t="n"/>
      <c r="E339" s="29" t="n"/>
      <c r="F339" s="30" t="n"/>
      <c r="G339" s="30" t="n"/>
      <c r="H339" s="31" t="n"/>
      <c r="I339" s="31" t="n"/>
      <c r="J339" s="29" t="n"/>
      <c r="K339" s="35">
        <f>IF($A339="","",IF($C339="","",raporTarihi-$C339))</f>
        <v/>
      </c>
      <c r="L339" s="35">
        <f>IF($A339="","",IF($K339="","",IF($K339&lt;=7,"0-7",IF($K339&lt;=30,"8-30",IF($K339&lt;=60,"31-60","60+")))))</f>
        <v/>
      </c>
      <c r="M339" s="35">
        <f>IF($A339="","",IF($B339="","YETİM",IF(COUNTIF(tblKartlar[KartId],$B339)=0,"YETİM","")))</f>
        <v/>
      </c>
      <c r="N339" s="35">
        <f>IF(OR($A339="",$D339=""),"",IF(OR($D339&amp;"|"&amp;$E339="",COUNTIF(ListeIzinliGecis,$D339&amp;"|"&amp;$E339)&gt;0),"","GEÇERSİZ GEÇİŞ"))</f>
        <v/>
      </c>
      <c r="O339" s="35">
        <f>IF($A339="","",IF(OR($F339="",$G339=""),"",IF(ABS($G339-$F339)&gt;zincirTolerans,"ZİNCİR KIRIK","OK")))</f>
        <v/>
      </c>
      <c r="P339" s="35">
        <f>IF($A339="","",1)</f>
        <v/>
      </c>
    </row>
    <row r="340">
      <c r="A340" s="29" t="n"/>
      <c r="B340" s="29" t="n"/>
      <c r="C340" s="70" t="n"/>
      <c r="D340" s="29" t="n"/>
      <c r="E340" s="29" t="n"/>
      <c r="F340" s="30" t="n"/>
      <c r="G340" s="30" t="n"/>
      <c r="H340" s="31" t="n"/>
      <c r="I340" s="31" t="n"/>
      <c r="J340" s="29" t="n"/>
      <c r="K340" s="35">
        <f>IF($A340="","",IF($C340="","",raporTarihi-$C340))</f>
        <v/>
      </c>
      <c r="L340" s="35">
        <f>IF($A340="","",IF($K340="","",IF($K340&lt;=7,"0-7",IF($K340&lt;=30,"8-30",IF($K340&lt;=60,"31-60","60+")))))</f>
        <v/>
      </c>
      <c r="M340" s="35">
        <f>IF($A340="","",IF($B340="","YETİM",IF(COUNTIF(tblKartlar[KartId],$B340)=0,"YETİM","")))</f>
        <v/>
      </c>
      <c r="N340" s="35">
        <f>IF(OR($A340="",$D340=""),"",IF(OR($D340&amp;"|"&amp;$E340="",COUNTIF(ListeIzinliGecis,$D340&amp;"|"&amp;$E340)&gt;0),"","GEÇERSİZ GEÇİŞ"))</f>
        <v/>
      </c>
      <c r="O340" s="35">
        <f>IF($A340="","",IF(OR($F340="",$G340=""),"",IF(ABS($G340-$F340)&gt;zincirTolerans,"ZİNCİR KIRIK","OK")))</f>
        <v/>
      </c>
      <c r="P340" s="35">
        <f>IF($A340="","",1)</f>
        <v/>
      </c>
    </row>
    <row r="341">
      <c r="A341" s="29" t="n"/>
      <c r="B341" s="29" t="n"/>
      <c r="C341" s="70" t="n"/>
      <c r="D341" s="29" t="n"/>
      <c r="E341" s="29" t="n"/>
      <c r="F341" s="30" t="n"/>
      <c r="G341" s="30" t="n"/>
      <c r="H341" s="31" t="n"/>
      <c r="I341" s="31" t="n"/>
      <c r="J341" s="29" t="n"/>
      <c r="K341" s="35">
        <f>IF($A341="","",IF($C341="","",raporTarihi-$C341))</f>
        <v/>
      </c>
      <c r="L341" s="35">
        <f>IF($A341="","",IF($K341="","",IF($K341&lt;=7,"0-7",IF($K341&lt;=30,"8-30",IF($K341&lt;=60,"31-60","60+")))))</f>
        <v/>
      </c>
      <c r="M341" s="35">
        <f>IF($A341="","",IF($B341="","YETİM",IF(COUNTIF(tblKartlar[KartId],$B341)=0,"YETİM","")))</f>
        <v/>
      </c>
      <c r="N341" s="35">
        <f>IF(OR($A341="",$D341=""),"",IF(OR($D341&amp;"|"&amp;$E341="",COUNTIF(ListeIzinliGecis,$D341&amp;"|"&amp;$E341)&gt;0),"","GEÇERSİZ GEÇİŞ"))</f>
        <v/>
      </c>
      <c r="O341" s="35">
        <f>IF($A341="","",IF(OR($F341="",$G341=""),"",IF(ABS($G341-$F341)&gt;zincirTolerans,"ZİNCİR KIRIK","OK")))</f>
        <v/>
      </c>
      <c r="P341" s="35">
        <f>IF($A341="","",1)</f>
        <v/>
      </c>
    </row>
    <row r="342">
      <c r="A342" s="29" t="n"/>
      <c r="B342" s="29" t="n"/>
      <c r="C342" s="70" t="n"/>
      <c r="D342" s="29" t="n"/>
      <c r="E342" s="29" t="n"/>
      <c r="F342" s="30" t="n"/>
      <c r="G342" s="30" t="n"/>
      <c r="H342" s="31" t="n"/>
      <c r="I342" s="31" t="n"/>
      <c r="J342" s="29" t="n"/>
      <c r="K342" s="35">
        <f>IF($A342="","",IF($C342="","",raporTarihi-$C342))</f>
        <v/>
      </c>
      <c r="L342" s="35">
        <f>IF($A342="","",IF($K342="","",IF($K342&lt;=7,"0-7",IF($K342&lt;=30,"8-30",IF($K342&lt;=60,"31-60","60+")))))</f>
        <v/>
      </c>
      <c r="M342" s="35">
        <f>IF($A342="","",IF($B342="","YETİM",IF(COUNTIF(tblKartlar[KartId],$B342)=0,"YETİM","")))</f>
        <v/>
      </c>
      <c r="N342" s="35">
        <f>IF(OR($A342="",$D342=""),"",IF(OR($D342&amp;"|"&amp;$E342="",COUNTIF(ListeIzinliGecis,$D342&amp;"|"&amp;$E342)&gt;0),"","GEÇERSİZ GEÇİŞ"))</f>
        <v/>
      </c>
      <c r="O342" s="35">
        <f>IF($A342="","",IF(OR($F342="",$G342=""),"",IF(ABS($G342-$F342)&gt;zincirTolerans,"ZİNCİR KIRIK","OK")))</f>
        <v/>
      </c>
      <c r="P342" s="35">
        <f>IF($A342="","",1)</f>
        <v/>
      </c>
    </row>
    <row r="343">
      <c r="A343" s="29" t="n"/>
      <c r="B343" s="29" t="n"/>
      <c r="C343" s="70" t="n"/>
      <c r="D343" s="29" t="n"/>
      <c r="E343" s="29" t="n"/>
      <c r="F343" s="30" t="n"/>
      <c r="G343" s="30" t="n"/>
      <c r="H343" s="31" t="n"/>
      <c r="I343" s="31" t="n"/>
      <c r="J343" s="29" t="n"/>
      <c r="K343" s="35">
        <f>IF($A343="","",IF($C343="","",raporTarihi-$C343))</f>
        <v/>
      </c>
      <c r="L343" s="35">
        <f>IF($A343="","",IF($K343="","",IF($K343&lt;=7,"0-7",IF($K343&lt;=30,"8-30",IF($K343&lt;=60,"31-60","60+")))))</f>
        <v/>
      </c>
      <c r="M343" s="35">
        <f>IF($A343="","",IF($B343="","YETİM",IF(COUNTIF(tblKartlar[KartId],$B343)=0,"YETİM","")))</f>
        <v/>
      </c>
      <c r="N343" s="35">
        <f>IF(OR($A343="",$D343=""),"",IF(OR($D343&amp;"|"&amp;$E343="",COUNTIF(ListeIzinliGecis,$D343&amp;"|"&amp;$E343)&gt;0),"","GEÇERSİZ GEÇİŞ"))</f>
        <v/>
      </c>
      <c r="O343" s="35">
        <f>IF($A343="","",IF(OR($F343="",$G343=""),"",IF(ABS($G343-$F343)&gt;zincirTolerans,"ZİNCİR KIRIK","OK")))</f>
        <v/>
      </c>
      <c r="P343" s="35">
        <f>IF($A343="","",1)</f>
        <v/>
      </c>
    </row>
    <row r="344">
      <c r="A344" s="29" t="n"/>
      <c r="B344" s="29" t="n"/>
      <c r="C344" s="70" t="n"/>
      <c r="D344" s="29" t="n"/>
      <c r="E344" s="29" t="n"/>
      <c r="F344" s="30" t="n"/>
      <c r="G344" s="30" t="n"/>
      <c r="H344" s="31" t="n"/>
      <c r="I344" s="31" t="n"/>
      <c r="J344" s="29" t="n"/>
      <c r="K344" s="35">
        <f>IF($A344="","",IF($C344="","",raporTarihi-$C344))</f>
        <v/>
      </c>
      <c r="L344" s="35">
        <f>IF($A344="","",IF($K344="","",IF($K344&lt;=7,"0-7",IF($K344&lt;=30,"8-30",IF($K344&lt;=60,"31-60","60+")))))</f>
        <v/>
      </c>
      <c r="M344" s="35">
        <f>IF($A344="","",IF($B344="","YETİM",IF(COUNTIF(tblKartlar[KartId],$B344)=0,"YETİM","")))</f>
        <v/>
      </c>
      <c r="N344" s="35">
        <f>IF(OR($A344="",$D344=""),"",IF(OR($D344&amp;"|"&amp;$E344="",COUNTIF(ListeIzinliGecis,$D344&amp;"|"&amp;$E344)&gt;0),"","GEÇERSİZ GEÇİŞ"))</f>
        <v/>
      </c>
      <c r="O344" s="35">
        <f>IF($A344="","",IF(OR($F344="",$G344=""),"",IF(ABS($G344-$F344)&gt;zincirTolerans,"ZİNCİR KIRIK","OK")))</f>
        <v/>
      </c>
      <c r="P344" s="35">
        <f>IF($A344="","",1)</f>
        <v/>
      </c>
    </row>
    <row r="345">
      <c r="A345" s="29" t="n"/>
      <c r="B345" s="29" t="n"/>
      <c r="C345" s="70" t="n"/>
      <c r="D345" s="29" t="n"/>
      <c r="E345" s="29" t="n"/>
      <c r="F345" s="30" t="n"/>
      <c r="G345" s="30" t="n"/>
      <c r="H345" s="31" t="n"/>
      <c r="I345" s="31" t="n"/>
      <c r="J345" s="29" t="n"/>
      <c r="K345" s="35">
        <f>IF($A345="","",IF($C345="","",raporTarihi-$C345))</f>
        <v/>
      </c>
      <c r="L345" s="35">
        <f>IF($A345="","",IF($K345="","",IF($K345&lt;=7,"0-7",IF($K345&lt;=30,"8-30",IF($K345&lt;=60,"31-60","60+")))))</f>
        <v/>
      </c>
      <c r="M345" s="35">
        <f>IF($A345="","",IF($B345="","YETİM",IF(COUNTIF(tblKartlar[KartId],$B345)=0,"YETİM","")))</f>
        <v/>
      </c>
      <c r="N345" s="35">
        <f>IF(OR($A345="",$D345=""),"",IF(OR($D345&amp;"|"&amp;$E345="",COUNTIF(ListeIzinliGecis,$D345&amp;"|"&amp;$E345)&gt;0),"","GEÇERSİZ GEÇİŞ"))</f>
        <v/>
      </c>
      <c r="O345" s="35">
        <f>IF($A345="","",IF(OR($F345="",$G345=""),"",IF(ABS($G345-$F345)&gt;zincirTolerans,"ZİNCİR KIRIK","OK")))</f>
        <v/>
      </c>
      <c r="P345" s="35">
        <f>IF($A345="","",1)</f>
        <v/>
      </c>
    </row>
    <row r="346">
      <c r="A346" s="29" t="n"/>
      <c r="B346" s="29" t="n"/>
      <c r="C346" s="70" t="n"/>
      <c r="D346" s="29" t="n"/>
      <c r="E346" s="29" t="n"/>
      <c r="F346" s="30" t="n"/>
      <c r="G346" s="30" t="n"/>
      <c r="H346" s="31" t="n"/>
      <c r="I346" s="31" t="n"/>
      <c r="J346" s="29" t="n"/>
      <c r="K346" s="35">
        <f>IF($A346="","",IF($C346="","",raporTarihi-$C346))</f>
        <v/>
      </c>
      <c r="L346" s="35">
        <f>IF($A346="","",IF($K346="","",IF($K346&lt;=7,"0-7",IF($K346&lt;=30,"8-30",IF($K346&lt;=60,"31-60","60+")))))</f>
        <v/>
      </c>
      <c r="M346" s="35">
        <f>IF($A346="","",IF($B346="","YETİM",IF(COUNTIF(tblKartlar[KartId],$B346)=0,"YETİM","")))</f>
        <v/>
      </c>
      <c r="N346" s="35">
        <f>IF(OR($A346="",$D346=""),"",IF(OR($D346&amp;"|"&amp;$E346="",COUNTIF(ListeIzinliGecis,$D346&amp;"|"&amp;$E346)&gt;0),"","GEÇERSİZ GEÇİŞ"))</f>
        <v/>
      </c>
      <c r="O346" s="35">
        <f>IF($A346="","",IF(OR($F346="",$G346=""),"",IF(ABS($G346-$F346)&gt;zincirTolerans,"ZİNCİR KIRIK","OK")))</f>
        <v/>
      </c>
      <c r="P346" s="35">
        <f>IF($A346="","",1)</f>
        <v/>
      </c>
    </row>
    <row r="347">
      <c r="A347" s="29" t="n"/>
      <c r="B347" s="29" t="n"/>
      <c r="C347" s="70" t="n"/>
      <c r="D347" s="29" t="n"/>
      <c r="E347" s="29" t="n"/>
      <c r="F347" s="30" t="n"/>
      <c r="G347" s="30" t="n"/>
      <c r="H347" s="31" t="n"/>
      <c r="I347" s="31" t="n"/>
      <c r="J347" s="29" t="n"/>
      <c r="K347" s="35">
        <f>IF($A347="","",IF($C347="","",raporTarihi-$C347))</f>
        <v/>
      </c>
      <c r="L347" s="35">
        <f>IF($A347="","",IF($K347="","",IF($K347&lt;=7,"0-7",IF($K347&lt;=30,"8-30",IF($K347&lt;=60,"31-60","60+")))))</f>
        <v/>
      </c>
      <c r="M347" s="35">
        <f>IF($A347="","",IF($B347="","YETİM",IF(COUNTIF(tblKartlar[KartId],$B347)=0,"YETİM","")))</f>
        <v/>
      </c>
      <c r="N347" s="35">
        <f>IF(OR($A347="",$D347=""),"",IF(OR($D347&amp;"|"&amp;$E347="",COUNTIF(ListeIzinliGecis,$D347&amp;"|"&amp;$E347)&gt;0),"","GEÇERSİZ GEÇİŞ"))</f>
        <v/>
      </c>
      <c r="O347" s="35">
        <f>IF($A347="","",IF(OR($F347="",$G347=""),"",IF(ABS($G347-$F347)&gt;zincirTolerans,"ZİNCİR KIRIK","OK")))</f>
        <v/>
      </c>
      <c r="P347" s="35">
        <f>IF($A347="","",1)</f>
        <v/>
      </c>
    </row>
    <row r="348">
      <c r="A348" s="29" t="n"/>
      <c r="B348" s="29" t="n"/>
      <c r="C348" s="70" t="n"/>
      <c r="D348" s="29" t="n"/>
      <c r="E348" s="29" t="n"/>
      <c r="F348" s="30" t="n"/>
      <c r="G348" s="30" t="n"/>
      <c r="H348" s="31" t="n"/>
      <c r="I348" s="31" t="n"/>
      <c r="J348" s="29" t="n"/>
      <c r="K348" s="35">
        <f>IF($A348="","",IF($C348="","",raporTarihi-$C348))</f>
        <v/>
      </c>
      <c r="L348" s="35">
        <f>IF($A348="","",IF($K348="","",IF($K348&lt;=7,"0-7",IF($K348&lt;=30,"8-30",IF($K348&lt;=60,"31-60","60+")))))</f>
        <v/>
      </c>
      <c r="M348" s="35">
        <f>IF($A348="","",IF($B348="","YETİM",IF(COUNTIF(tblKartlar[KartId],$B348)=0,"YETİM","")))</f>
        <v/>
      </c>
      <c r="N348" s="35">
        <f>IF(OR($A348="",$D348=""),"",IF(OR($D348&amp;"|"&amp;$E348="",COUNTIF(ListeIzinliGecis,$D348&amp;"|"&amp;$E348)&gt;0),"","GEÇERSİZ GEÇİŞ"))</f>
        <v/>
      </c>
      <c r="O348" s="35">
        <f>IF($A348="","",IF(OR($F348="",$G348=""),"",IF(ABS($G348-$F348)&gt;zincirTolerans,"ZİNCİR KIRIK","OK")))</f>
        <v/>
      </c>
      <c r="P348" s="35">
        <f>IF($A348="","",1)</f>
        <v/>
      </c>
    </row>
    <row r="349">
      <c r="A349" s="29" t="n"/>
      <c r="B349" s="29" t="n"/>
      <c r="C349" s="70" t="n"/>
      <c r="D349" s="29" t="n"/>
      <c r="E349" s="29" t="n"/>
      <c r="F349" s="30" t="n"/>
      <c r="G349" s="30" t="n"/>
      <c r="H349" s="31" t="n"/>
      <c r="I349" s="31" t="n"/>
      <c r="J349" s="29" t="n"/>
      <c r="K349" s="35">
        <f>IF($A349="","",IF($C349="","",raporTarihi-$C349))</f>
        <v/>
      </c>
      <c r="L349" s="35">
        <f>IF($A349="","",IF($K349="","",IF($K349&lt;=7,"0-7",IF($K349&lt;=30,"8-30",IF($K349&lt;=60,"31-60","60+")))))</f>
        <v/>
      </c>
      <c r="M349" s="35">
        <f>IF($A349="","",IF($B349="","YETİM",IF(COUNTIF(tblKartlar[KartId],$B349)=0,"YETİM","")))</f>
        <v/>
      </c>
      <c r="N349" s="35">
        <f>IF(OR($A349="",$D349=""),"",IF(OR($D349&amp;"|"&amp;$E349="",COUNTIF(ListeIzinliGecis,$D349&amp;"|"&amp;$E349)&gt;0),"","GEÇERSİZ GEÇİŞ"))</f>
        <v/>
      </c>
      <c r="O349" s="35">
        <f>IF($A349="","",IF(OR($F349="",$G349=""),"",IF(ABS($G349-$F349)&gt;zincirTolerans,"ZİNCİR KIRIK","OK")))</f>
        <v/>
      </c>
      <c r="P349" s="35">
        <f>IF($A349="","",1)</f>
        <v/>
      </c>
    </row>
    <row r="350">
      <c r="A350" s="29" t="n"/>
      <c r="B350" s="29" t="n"/>
      <c r="C350" s="70" t="n"/>
      <c r="D350" s="29" t="n"/>
      <c r="E350" s="29" t="n"/>
      <c r="F350" s="30" t="n"/>
      <c r="G350" s="30" t="n"/>
      <c r="H350" s="31" t="n"/>
      <c r="I350" s="31" t="n"/>
      <c r="J350" s="29" t="n"/>
      <c r="K350" s="35">
        <f>IF($A350="","",IF($C350="","",raporTarihi-$C350))</f>
        <v/>
      </c>
      <c r="L350" s="35">
        <f>IF($A350="","",IF($K350="","",IF($K350&lt;=7,"0-7",IF($K350&lt;=30,"8-30",IF($K350&lt;=60,"31-60","60+")))))</f>
        <v/>
      </c>
      <c r="M350" s="35">
        <f>IF($A350="","",IF($B350="","YETİM",IF(COUNTIF(tblKartlar[KartId],$B350)=0,"YETİM","")))</f>
        <v/>
      </c>
      <c r="N350" s="35">
        <f>IF(OR($A350="",$D350=""),"",IF(OR($D350&amp;"|"&amp;$E350="",COUNTIF(ListeIzinliGecis,$D350&amp;"|"&amp;$E350)&gt;0),"","GEÇERSİZ GEÇİŞ"))</f>
        <v/>
      </c>
      <c r="O350" s="35">
        <f>IF($A350="","",IF(OR($F350="",$G350=""),"",IF(ABS($G350-$F350)&gt;zincirTolerans,"ZİNCİR KIRIK","OK")))</f>
        <v/>
      </c>
      <c r="P350" s="35">
        <f>IF($A350="","",1)</f>
        <v/>
      </c>
    </row>
    <row r="351">
      <c r="A351" s="29" t="n"/>
      <c r="B351" s="29" t="n"/>
      <c r="C351" s="70" t="n"/>
      <c r="D351" s="29" t="n"/>
      <c r="E351" s="29" t="n"/>
      <c r="F351" s="30" t="n"/>
      <c r="G351" s="30" t="n"/>
      <c r="H351" s="31" t="n"/>
      <c r="I351" s="31" t="n"/>
      <c r="J351" s="29" t="n"/>
      <c r="K351" s="35">
        <f>IF($A351="","",IF($C351="","",raporTarihi-$C351))</f>
        <v/>
      </c>
      <c r="L351" s="35">
        <f>IF($A351="","",IF($K351="","",IF($K351&lt;=7,"0-7",IF($K351&lt;=30,"8-30",IF($K351&lt;=60,"31-60","60+")))))</f>
        <v/>
      </c>
      <c r="M351" s="35">
        <f>IF($A351="","",IF($B351="","YETİM",IF(COUNTIF(tblKartlar[KartId],$B351)=0,"YETİM","")))</f>
        <v/>
      </c>
      <c r="N351" s="35">
        <f>IF(OR($A351="",$D351=""),"",IF(OR($D351&amp;"|"&amp;$E351="",COUNTIF(ListeIzinliGecis,$D351&amp;"|"&amp;$E351)&gt;0),"","GEÇERSİZ GEÇİŞ"))</f>
        <v/>
      </c>
      <c r="O351" s="35">
        <f>IF($A351="","",IF(OR($F351="",$G351=""),"",IF(ABS($G351-$F351)&gt;zincirTolerans,"ZİNCİR KIRIK","OK")))</f>
        <v/>
      </c>
      <c r="P351" s="35">
        <f>IF($A351="","",1)</f>
        <v/>
      </c>
    </row>
    <row r="352">
      <c r="A352" s="29" t="n"/>
      <c r="B352" s="29" t="n"/>
      <c r="C352" s="70" t="n"/>
      <c r="D352" s="29" t="n"/>
      <c r="E352" s="29" t="n"/>
      <c r="F352" s="30" t="n"/>
      <c r="G352" s="30" t="n"/>
      <c r="H352" s="31" t="n"/>
      <c r="I352" s="31" t="n"/>
      <c r="J352" s="29" t="n"/>
      <c r="K352" s="35">
        <f>IF($A352="","",IF($C352="","",raporTarihi-$C352))</f>
        <v/>
      </c>
      <c r="L352" s="35">
        <f>IF($A352="","",IF($K352="","",IF($K352&lt;=7,"0-7",IF($K352&lt;=30,"8-30",IF($K352&lt;=60,"31-60","60+")))))</f>
        <v/>
      </c>
      <c r="M352" s="35">
        <f>IF($A352="","",IF($B352="","YETİM",IF(COUNTIF(tblKartlar[KartId],$B352)=0,"YETİM","")))</f>
        <v/>
      </c>
      <c r="N352" s="35">
        <f>IF(OR($A352="",$D352=""),"",IF(OR($D352&amp;"|"&amp;$E352="",COUNTIF(ListeIzinliGecis,$D352&amp;"|"&amp;$E352)&gt;0),"","GEÇERSİZ GEÇİŞ"))</f>
        <v/>
      </c>
      <c r="O352" s="35">
        <f>IF($A352="","",IF(OR($F352="",$G352=""),"",IF(ABS($G352-$F352)&gt;zincirTolerans,"ZİNCİR KIRIK","OK")))</f>
        <v/>
      </c>
      <c r="P352" s="35">
        <f>IF($A352="","",1)</f>
        <v/>
      </c>
    </row>
    <row r="353">
      <c r="A353" s="29" t="n"/>
      <c r="B353" s="29" t="n"/>
      <c r="C353" s="70" t="n"/>
      <c r="D353" s="29" t="n"/>
      <c r="E353" s="29" t="n"/>
      <c r="F353" s="30" t="n"/>
      <c r="G353" s="30" t="n"/>
      <c r="H353" s="31" t="n"/>
      <c r="I353" s="31" t="n"/>
      <c r="J353" s="29" t="n"/>
      <c r="K353" s="35">
        <f>IF($A353="","",IF($C353="","",raporTarihi-$C353))</f>
        <v/>
      </c>
      <c r="L353" s="35">
        <f>IF($A353="","",IF($K353="","",IF($K353&lt;=7,"0-7",IF($K353&lt;=30,"8-30",IF($K353&lt;=60,"31-60","60+")))))</f>
        <v/>
      </c>
      <c r="M353" s="35">
        <f>IF($A353="","",IF($B353="","YETİM",IF(COUNTIF(tblKartlar[KartId],$B353)=0,"YETİM","")))</f>
        <v/>
      </c>
      <c r="N353" s="35">
        <f>IF(OR($A353="",$D353=""),"",IF(OR($D353&amp;"|"&amp;$E353="",COUNTIF(ListeIzinliGecis,$D353&amp;"|"&amp;$E353)&gt;0),"","GEÇERSİZ GEÇİŞ"))</f>
        <v/>
      </c>
      <c r="O353" s="35">
        <f>IF($A353="","",IF(OR($F353="",$G353=""),"",IF(ABS($G353-$F353)&gt;zincirTolerans,"ZİNCİR KIRIK","OK")))</f>
        <v/>
      </c>
      <c r="P353" s="35">
        <f>IF($A353="","",1)</f>
        <v/>
      </c>
    </row>
    <row r="354">
      <c r="A354" s="29" t="n"/>
      <c r="B354" s="29" t="n"/>
      <c r="C354" s="70" t="n"/>
      <c r="D354" s="29" t="n"/>
      <c r="E354" s="29" t="n"/>
      <c r="F354" s="30" t="n"/>
      <c r="G354" s="30" t="n"/>
      <c r="H354" s="31" t="n"/>
      <c r="I354" s="31" t="n"/>
      <c r="J354" s="29" t="n"/>
      <c r="K354" s="35">
        <f>IF($A354="","",IF($C354="","",raporTarihi-$C354))</f>
        <v/>
      </c>
      <c r="L354" s="35">
        <f>IF($A354="","",IF($K354="","",IF($K354&lt;=7,"0-7",IF($K354&lt;=30,"8-30",IF($K354&lt;=60,"31-60","60+")))))</f>
        <v/>
      </c>
      <c r="M354" s="35">
        <f>IF($A354="","",IF($B354="","YETİM",IF(COUNTIF(tblKartlar[KartId],$B354)=0,"YETİM","")))</f>
        <v/>
      </c>
      <c r="N354" s="35">
        <f>IF(OR($A354="",$D354=""),"",IF(OR($D354&amp;"|"&amp;$E354="",COUNTIF(ListeIzinliGecis,$D354&amp;"|"&amp;$E354)&gt;0),"","GEÇERSİZ GEÇİŞ"))</f>
        <v/>
      </c>
      <c r="O354" s="35">
        <f>IF($A354="","",IF(OR($F354="",$G354=""),"",IF(ABS($G354-$F354)&gt;zincirTolerans,"ZİNCİR KIRIK","OK")))</f>
        <v/>
      </c>
      <c r="P354" s="35">
        <f>IF($A354="","",1)</f>
        <v/>
      </c>
    </row>
    <row r="355">
      <c r="A355" s="29" t="n"/>
      <c r="B355" s="29" t="n"/>
      <c r="C355" s="70" t="n"/>
      <c r="D355" s="29" t="n"/>
      <c r="E355" s="29" t="n"/>
      <c r="F355" s="30" t="n"/>
      <c r="G355" s="30" t="n"/>
      <c r="H355" s="31" t="n"/>
      <c r="I355" s="31" t="n"/>
      <c r="J355" s="29" t="n"/>
      <c r="K355" s="35">
        <f>IF($A355="","",IF($C355="","",raporTarihi-$C355))</f>
        <v/>
      </c>
      <c r="L355" s="35">
        <f>IF($A355="","",IF($K355="","",IF($K355&lt;=7,"0-7",IF($K355&lt;=30,"8-30",IF($K355&lt;=60,"31-60","60+")))))</f>
        <v/>
      </c>
      <c r="M355" s="35">
        <f>IF($A355="","",IF($B355="","YETİM",IF(COUNTIF(tblKartlar[KartId],$B355)=0,"YETİM","")))</f>
        <v/>
      </c>
      <c r="N355" s="35">
        <f>IF(OR($A355="",$D355=""),"",IF(OR($D355&amp;"|"&amp;$E355="",COUNTIF(ListeIzinliGecis,$D355&amp;"|"&amp;$E355)&gt;0),"","GEÇERSİZ GEÇİŞ"))</f>
        <v/>
      </c>
      <c r="O355" s="35">
        <f>IF($A355="","",IF(OR($F355="",$G355=""),"",IF(ABS($G355-$F355)&gt;zincirTolerans,"ZİNCİR KIRIK","OK")))</f>
        <v/>
      </c>
      <c r="P355" s="35">
        <f>IF($A355="","",1)</f>
        <v/>
      </c>
    </row>
    <row r="356">
      <c r="A356" s="29" t="n"/>
      <c r="B356" s="29" t="n"/>
      <c r="C356" s="70" t="n"/>
      <c r="D356" s="29" t="n"/>
      <c r="E356" s="29" t="n"/>
      <c r="F356" s="30" t="n"/>
      <c r="G356" s="30" t="n"/>
      <c r="H356" s="31" t="n"/>
      <c r="I356" s="31" t="n"/>
      <c r="J356" s="29" t="n"/>
      <c r="K356" s="35">
        <f>IF($A356="","",IF($C356="","",raporTarihi-$C356))</f>
        <v/>
      </c>
      <c r="L356" s="35">
        <f>IF($A356="","",IF($K356="","",IF($K356&lt;=7,"0-7",IF($K356&lt;=30,"8-30",IF($K356&lt;=60,"31-60","60+")))))</f>
        <v/>
      </c>
      <c r="M356" s="35">
        <f>IF($A356="","",IF($B356="","YETİM",IF(COUNTIF(tblKartlar[KartId],$B356)=0,"YETİM","")))</f>
        <v/>
      </c>
      <c r="N356" s="35">
        <f>IF(OR($A356="",$D356=""),"",IF(OR($D356&amp;"|"&amp;$E356="",COUNTIF(ListeIzinliGecis,$D356&amp;"|"&amp;$E356)&gt;0),"","GEÇERSİZ GEÇİŞ"))</f>
        <v/>
      </c>
      <c r="O356" s="35">
        <f>IF($A356="","",IF(OR($F356="",$G356=""),"",IF(ABS($G356-$F356)&gt;zincirTolerans,"ZİNCİR KIRIK","OK")))</f>
        <v/>
      </c>
      <c r="P356" s="35">
        <f>IF($A356="","",1)</f>
        <v/>
      </c>
    </row>
    <row r="357">
      <c r="A357" s="29" t="n"/>
      <c r="B357" s="29" t="n"/>
      <c r="C357" s="70" t="n"/>
      <c r="D357" s="29" t="n"/>
      <c r="E357" s="29" t="n"/>
      <c r="F357" s="30" t="n"/>
      <c r="G357" s="30" t="n"/>
      <c r="H357" s="31" t="n"/>
      <c r="I357" s="31" t="n"/>
      <c r="J357" s="29" t="n"/>
      <c r="K357" s="35">
        <f>IF($A357="","",IF($C357="","",raporTarihi-$C357))</f>
        <v/>
      </c>
      <c r="L357" s="35">
        <f>IF($A357="","",IF($K357="","",IF($K357&lt;=7,"0-7",IF($K357&lt;=30,"8-30",IF($K357&lt;=60,"31-60","60+")))))</f>
        <v/>
      </c>
      <c r="M357" s="35">
        <f>IF($A357="","",IF($B357="","YETİM",IF(COUNTIF(tblKartlar[KartId],$B357)=0,"YETİM","")))</f>
        <v/>
      </c>
      <c r="N357" s="35">
        <f>IF(OR($A357="",$D357=""),"",IF(OR($D357&amp;"|"&amp;$E357="",COUNTIF(ListeIzinliGecis,$D357&amp;"|"&amp;$E357)&gt;0),"","GEÇERSİZ GEÇİŞ"))</f>
        <v/>
      </c>
      <c r="O357" s="35">
        <f>IF($A357="","",IF(OR($F357="",$G357=""),"",IF(ABS($G357-$F357)&gt;zincirTolerans,"ZİNCİR KIRIK","OK")))</f>
        <v/>
      </c>
      <c r="P357" s="35">
        <f>IF($A357="","",1)</f>
        <v/>
      </c>
    </row>
    <row r="358">
      <c r="A358" s="29" t="n"/>
      <c r="B358" s="29" t="n"/>
      <c r="C358" s="70" t="n"/>
      <c r="D358" s="29" t="n"/>
      <c r="E358" s="29" t="n"/>
      <c r="F358" s="30" t="n"/>
      <c r="G358" s="30" t="n"/>
      <c r="H358" s="31" t="n"/>
      <c r="I358" s="31" t="n"/>
      <c r="J358" s="29" t="n"/>
      <c r="K358" s="35">
        <f>IF($A358="","",IF($C358="","",raporTarihi-$C358))</f>
        <v/>
      </c>
      <c r="L358" s="35">
        <f>IF($A358="","",IF($K358="","",IF($K358&lt;=7,"0-7",IF($K358&lt;=30,"8-30",IF($K358&lt;=60,"31-60","60+")))))</f>
        <v/>
      </c>
      <c r="M358" s="35">
        <f>IF($A358="","",IF($B358="","YETİM",IF(COUNTIF(tblKartlar[KartId],$B358)=0,"YETİM","")))</f>
        <v/>
      </c>
      <c r="N358" s="35">
        <f>IF(OR($A358="",$D358=""),"",IF(OR($D358&amp;"|"&amp;$E358="",COUNTIF(ListeIzinliGecis,$D358&amp;"|"&amp;$E358)&gt;0),"","GEÇERSİZ GEÇİŞ"))</f>
        <v/>
      </c>
      <c r="O358" s="35">
        <f>IF($A358="","",IF(OR($F358="",$G358=""),"",IF(ABS($G358-$F358)&gt;zincirTolerans,"ZİNCİR KIRIK","OK")))</f>
        <v/>
      </c>
      <c r="P358" s="35">
        <f>IF($A358="","",1)</f>
        <v/>
      </c>
    </row>
    <row r="359">
      <c r="A359" s="29" t="n"/>
      <c r="B359" s="29" t="n"/>
      <c r="C359" s="70" t="n"/>
      <c r="D359" s="29" t="n"/>
      <c r="E359" s="29" t="n"/>
      <c r="F359" s="30" t="n"/>
      <c r="G359" s="30" t="n"/>
      <c r="H359" s="31" t="n"/>
      <c r="I359" s="31" t="n"/>
      <c r="J359" s="29" t="n"/>
      <c r="K359" s="35">
        <f>IF($A359="","",IF($C359="","",raporTarihi-$C359))</f>
        <v/>
      </c>
      <c r="L359" s="35">
        <f>IF($A359="","",IF($K359="","",IF($K359&lt;=7,"0-7",IF($K359&lt;=30,"8-30",IF($K359&lt;=60,"31-60","60+")))))</f>
        <v/>
      </c>
      <c r="M359" s="35">
        <f>IF($A359="","",IF($B359="","YETİM",IF(COUNTIF(tblKartlar[KartId],$B359)=0,"YETİM","")))</f>
        <v/>
      </c>
      <c r="N359" s="35">
        <f>IF(OR($A359="",$D359=""),"",IF(OR($D359&amp;"|"&amp;$E359="",COUNTIF(ListeIzinliGecis,$D359&amp;"|"&amp;$E359)&gt;0),"","GEÇERSİZ GEÇİŞ"))</f>
        <v/>
      </c>
      <c r="O359" s="35">
        <f>IF($A359="","",IF(OR($F359="",$G359=""),"",IF(ABS($G359-$F359)&gt;zincirTolerans,"ZİNCİR KIRIK","OK")))</f>
        <v/>
      </c>
      <c r="P359" s="35">
        <f>IF($A359="","",1)</f>
        <v/>
      </c>
    </row>
    <row r="360">
      <c r="A360" s="29" t="n"/>
      <c r="B360" s="29" t="n"/>
      <c r="C360" s="70" t="n"/>
      <c r="D360" s="29" t="n"/>
      <c r="E360" s="29" t="n"/>
      <c r="F360" s="30" t="n"/>
      <c r="G360" s="30" t="n"/>
      <c r="H360" s="31" t="n"/>
      <c r="I360" s="31" t="n"/>
      <c r="J360" s="29" t="n"/>
      <c r="K360" s="35">
        <f>IF($A360="","",IF($C360="","",raporTarihi-$C360))</f>
        <v/>
      </c>
      <c r="L360" s="35">
        <f>IF($A360="","",IF($K360="","",IF($K360&lt;=7,"0-7",IF($K360&lt;=30,"8-30",IF($K360&lt;=60,"31-60","60+")))))</f>
        <v/>
      </c>
      <c r="M360" s="35">
        <f>IF($A360="","",IF($B360="","YETİM",IF(COUNTIF(tblKartlar[KartId],$B360)=0,"YETİM","")))</f>
        <v/>
      </c>
      <c r="N360" s="35">
        <f>IF(OR($A360="",$D360=""),"",IF(OR($D360&amp;"|"&amp;$E360="",COUNTIF(ListeIzinliGecis,$D360&amp;"|"&amp;$E360)&gt;0),"","GEÇERSİZ GEÇİŞ"))</f>
        <v/>
      </c>
      <c r="O360" s="35">
        <f>IF($A360="","",IF(OR($F360="",$G360=""),"",IF(ABS($G360-$F360)&gt;zincirTolerans,"ZİNCİR KIRIK","OK")))</f>
        <v/>
      </c>
      <c r="P360" s="35">
        <f>IF($A360="","",1)</f>
        <v/>
      </c>
    </row>
    <row r="361">
      <c r="A361" s="29" t="n"/>
      <c r="B361" s="29" t="n"/>
      <c r="C361" s="70" t="n"/>
      <c r="D361" s="29" t="n"/>
      <c r="E361" s="29" t="n"/>
      <c r="F361" s="30" t="n"/>
      <c r="G361" s="30" t="n"/>
      <c r="H361" s="31" t="n"/>
      <c r="I361" s="31" t="n"/>
      <c r="J361" s="29" t="n"/>
      <c r="K361" s="35">
        <f>IF($A361="","",IF($C361="","",raporTarihi-$C361))</f>
        <v/>
      </c>
      <c r="L361" s="35">
        <f>IF($A361="","",IF($K361="","",IF($K361&lt;=7,"0-7",IF($K361&lt;=30,"8-30",IF($K361&lt;=60,"31-60","60+")))))</f>
        <v/>
      </c>
      <c r="M361" s="35">
        <f>IF($A361="","",IF($B361="","YETİM",IF(COUNTIF(tblKartlar[KartId],$B361)=0,"YETİM","")))</f>
        <v/>
      </c>
      <c r="N361" s="35">
        <f>IF(OR($A361="",$D361=""),"",IF(OR($D361&amp;"|"&amp;$E361="",COUNTIF(ListeIzinliGecis,$D361&amp;"|"&amp;$E361)&gt;0),"","GEÇERSİZ GEÇİŞ"))</f>
        <v/>
      </c>
      <c r="O361" s="35">
        <f>IF($A361="","",IF(OR($F361="",$G361=""),"",IF(ABS($G361-$F361)&gt;zincirTolerans,"ZİNCİR KIRIK","OK")))</f>
        <v/>
      </c>
      <c r="P361" s="35">
        <f>IF($A361="","",1)</f>
        <v/>
      </c>
    </row>
    <row r="362">
      <c r="A362" s="29" t="n"/>
      <c r="B362" s="29" t="n"/>
      <c r="C362" s="70" t="n"/>
      <c r="D362" s="29" t="n"/>
      <c r="E362" s="29" t="n"/>
      <c r="F362" s="30" t="n"/>
      <c r="G362" s="30" t="n"/>
      <c r="H362" s="31" t="n"/>
      <c r="I362" s="31" t="n"/>
      <c r="J362" s="29" t="n"/>
      <c r="K362" s="35">
        <f>IF($A362="","",IF($C362="","",raporTarihi-$C362))</f>
        <v/>
      </c>
      <c r="L362" s="35">
        <f>IF($A362="","",IF($K362="","",IF($K362&lt;=7,"0-7",IF($K362&lt;=30,"8-30",IF($K362&lt;=60,"31-60","60+")))))</f>
        <v/>
      </c>
      <c r="M362" s="35">
        <f>IF($A362="","",IF($B362="","YETİM",IF(COUNTIF(tblKartlar[KartId],$B362)=0,"YETİM","")))</f>
        <v/>
      </c>
      <c r="N362" s="35">
        <f>IF(OR($A362="",$D362=""),"",IF(OR($D362&amp;"|"&amp;$E362="",COUNTIF(ListeIzinliGecis,$D362&amp;"|"&amp;$E362)&gt;0),"","GEÇERSİZ GEÇİŞ"))</f>
        <v/>
      </c>
      <c r="O362" s="35">
        <f>IF($A362="","",IF(OR($F362="",$G362=""),"",IF(ABS($G362-$F362)&gt;zincirTolerans,"ZİNCİR KIRIK","OK")))</f>
        <v/>
      </c>
      <c r="P362" s="35">
        <f>IF($A362="","",1)</f>
        <v/>
      </c>
    </row>
    <row r="363">
      <c r="A363" s="29" t="n"/>
      <c r="B363" s="29" t="n"/>
      <c r="C363" s="70" t="n"/>
      <c r="D363" s="29" t="n"/>
      <c r="E363" s="29" t="n"/>
      <c r="F363" s="30" t="n"/>
      <c r="G363" s="30" t="n"/>
      <c r="H363" s="31" t="n"/>
      <c r="I363" s="31" t="n"/>
      <c r="J363" s="29" t="n"/>
      <c r="K363" s="35">
        <f>IF($A363="","",IF($C363="","",raporTarihi-$C363))</f>
        <v/>
      </c>
      <c r="L363" s="35">
        <f>IF($A363="","",IF($K363="","",IF($K363&lt;=7,"0-7",IF($K363&lt;=30,"8-30",IF($K363&lt;=60,"31-60","60+")))))</f>
        <v/>
      </c>
      <c r="M363" s="35">
        <f>IF($A363="","",IF($B363="","YETİM",IF(COUNTIF(tblKartlar[KartId],$B363)=0,"YETİM","")))</f>
        <v/>
      </c>
      <c r="N363" s="35">
        <f>IF(OR($A363="",$D363=""),"",IF(OR($D363&amp;"|"&amp;$E363="",COUNTIF(ListeIzinliGecis,$D363&amp;"|"&amp;$E363)&gt;0),"","GEÇERSİZ GEÇİŞ"))</f>
        <v/>
      </c>
      <c r="O363" s="35">
        <f>IF($A363="","",IF(OR($F363="",$G363=""),"",IF(ABS($G363-$F363)&gt;zincirTolerans,"ZİNCİR KIRIK","OK")))</f>
        <v/>
      </c>
      <c r="P363" s="35">
        <f>IF($A363="","",1)</f>
        <v/>
      </c>
    </row>
    <row r="364">
      <c r="A364" s="29" t="n"/>
      <c r="B364" s="29" t="n"/>
      <c r="C364" s="70" t="n"/>
      <c r="D364" s="29" t="n"/>
      <c r="E364" s="29" t="n"/>
      <c r="F364" s="30" t="n"/>
      <c r="G364" s="30" t="n"/>
      <c r="H364" s="31" t="n"/>
      <c r="I364" s="31" t="n"/>
      <c r="J364" s="29" t="n"/>
      <c r="K364" s="35">
        <f>IF($A364="","",IF($C364="","",raporTarihi-$C364))</f>
        <v/>
      </c>
      <c r="L364" s="35">
        <f>IF($A364="","",IF($K364="","",IF($K364&lt;=7,"0-7",IF($K364&lt;=30,"8-30",IF($K364&lt;=60,"31-60","60+")))))</f>
        <v/>
      </c>
      <c r="M364" s="35">
        <f>IF($A364="","",IF($B364="","YETİM",IF(COUNTIF(tblKartlar[KartId],$B364)=0,"YETİM","")))</f>
        <v/>
      </c>
      <c r="N364" s="35">
        <f>IF(OR($A364="",$D364=""),"",IF(OR($D364&amp;"|"&amp;$E364="",COUNTIF(ListeIzinliGecis,$D364&amp;"|"&amp;$E364)&gt;0),"","GEÇERSİZ GEÇİŞ"))</f>
        <v/>
      </c>
      <c r="O364" s="35">
        <f>IF($A364="","",IF(OR($F364="",$G364=""),"",IF(ABS($G364-$F364)&gt;zincirTolerans,"ZİNCİR KIRIK","OK")))</f>
        <v/>
      </c>
      <c r="P364" s="35">
        <f>IF($A364="","",1)</f>
        <v/>
      </c>
    </row>
    <row r="365">
      <c r="A365" s="29" t="n"/>
      <c r="B365" s="29" t="n"/>
      <c r="C365" s="70" t="n"/>
      <c r="D365" s="29" t="n"/>
      <c r="E365" s="29" t="n"/>
      <c r="F365" s="30" t="n"/>
      <c r="G365" s="30" t="n"/>
      <c r="H365" s="31" t="n"/>
      <c r="I365" s="31" t="n"/>
      <c r="J365" s="29" t="n"/>
      <c r="K365" s="35">
        <f>IF($A365="","",IF($C365="","",raporTarihi-$C365))</f>
        <v/>
      </c>
      <c r="L365" s="35">
        <f>IF($A365="","",IF($K365="","",IF($K365&lt;=7,"0-7",IF($K365&lt;=30,"8-30",IF($K365&lt;=60,"31-60","60+")))))</f>
        <v/>
      </c>
      <c r="M365" s="35">
        <f>IF($A365="","",IF($B365="","YETİM",IF(COUNTIF(tblKartlar[KartId],$B365)=0,"YETİM","")))</f>
        <v/>
      </c>
      <c r="N365" s="35">
        <f>IF(OR($A365="",$D365=""),"",IF(OR($D365&amp;"|"&amp;$E365="",COUNTIF(ListeIzinliGecis,$D365&amp;"|"&amp;$E365)&gt;0),"","GEÇERSİZ GEÇİŞ"))</f>
        <v/>
      </c>
      <c r="O365" s="35">
        <f>IF($A365="","",IF(OR($F365="",$G365=""),"",IF(ABS($G365-$F365)&gt;zincirTolerans,"ZİNCİR KIRIK","OK")))</f>
        <v/>
      </c>
      <c r="P365" s="35">
        <f>IF($A365="","",1)</f>
        <v/>
      </c>
    </row>
    <row r="366">
      <c r="A366" s="29" t="n"/>
      <c r="B366" s="29" t="n"/>
      <c r="C366" s="70" t="n"/>
      <c r="D366" s="29" t="n"/>
      <c r="E366" s="29" t="n"/>
      <c r="F366" s="30" t="n"/>
      <c r="G366" s="30" t="n"/>
      <c r="H366" s="31" t="n"/>
      <c r="I366" s="31" t="n"/>
      <c r="J366" s="29" t="n"/>
      <c r="K366" s="35">
        <f>IF($A366="","",IF($C366="","",raporTarihi-$C366))</f>
        <v/>
      </c>
      <c r="L366" s="35">
        <f>IF($A366="","",IF($K366="","",IF($K366&lt;=7,"0-7",IF($K366&lt;=30,"8-30",IF($K366&lt;=60,"31-60","60+")))))</f>
        <v/>
      </c>
      <c r="M366" s="35">
        <f>IF($A366="","",IF($B366="","YETİM",IF(COUNTIF(tblKartlar[KartId],$B366)=0,"YETİM","")))</f>
        <v/>
      </c>
      <c r="N366" s="35">
        <f>IF(OR($A366="",$D366=""),"",IF(OR($D366&amp;"|"&amp;$E366="",COUNTIF(ListeIzinliGecis,$D366&amp;"|"&amp;$E366)&gt;0),"","GEÇERSİZ GEÇİŞ"))</f>
        <v/>
      </c>
      <c r="O366" s="35">
        <f>IF($A366="","",IF(OR($F366="",$G366=""),"",IF(ABS($G366-$F366)&gt;zincirTolerans,"ZİNCİR KIRIK","OK")))</f>
        <v/>
      </c>
      <c r="P366" s="35">
        <f>IF($A366="","",1)</f>
        <v/>
      </c>
    </row>
    <row r="367">
      <c r="A367" s="29" t="n"/>
      <c r="B367" s="29" t="n"/>
      <c r="C367" s="70" t="n"/>
      <c r="D367" s="29" t="n"/>
      <c r="E367" s="29" t="n"/>
      <c r="F367" s="30" t="n"/>
      <c r="G367" s="30" t="n"/>
      <c r="H367" s="31" t="n"/>
      <c r="I367" s="31" t="n"/>
      <c r="J367" s="29" t="n"/>
      <c r="K367" s="35">
        <f>IF($A367="","",IF($C367="","",raporTarihi-$C367))</f>
        <v/>
      </c>
      <c r="L367" s="35">
        <f>IF($A367="","",IF($K367="","",IF($K367&lt;=7,"0-7",IF($K367&lt;=30,"8-30",IF($K367&lt;=60,"31-60","60+")))))</f>
        <v/>
      </c>
      <c r="M367" s="35">
        <f>IF($A367="","",IF($B367="","YETİM",IF(COUNTIF(tblKartlar[KartId],$B367)=0,"YETİM","")))</f>
        <v/>
      </c>
      <c r="N367" s="35">
        <f>IF(OR($A367="",$D367=""),"",IF(OR($D367&amp;"|"&amp;$E367="",COUNTIF(ListeIzinliGecis,$D367&amp;"|"&amp;$E367)&gt;0),"","GEÇERSİZ GEÇİŞ"))</f>
        <v/>
      </c>
      <c r="O367" s="35">
        <f>IF($A367="","",IF(OR($F367="",$G367=""),"",IF(ABS($G367-$F367)&gt;zincirTolerans,"ZİNCİR KIRIK","OK")))</f>
        <v/>
      </c>
      <c r="P367" s="35">
        <f>IF($A367="","",1)</f>
        <v/>
      </c>
    </row>
    <row r="368">
      <c r="A368" s="29" t="n"/>
      <c r="B368" s="29" t="n"/>
      <c r="C368" s="70" t="n"/>
      <c r="D368" s="29" t="n"/>
      <c r="E368" s="29" t="n"/>
      <c r="F368" s="30" t="n"/>
      <c r="G368" s="30" t="n"/>
      <c r="H368" s="31" t="n"/>
      <c r="I368" s="31" t="n"/>
      <c r="J368" s="29" t="n"/>
      <c r="K368" s="35">
        <f>IF($A368="","",IF($C368="","",raporTarihi-$C368))</f>
        <v/>
      </c>
      <c r="L368" s="35">
        <f>IF($A368="","",IF($K368="","",IF($K368&lt;=7,"0-7",IF($K368&lt;=30,"8-30",IF($K368&lt;=60,"31-60","60+")))))</f>
        <v/>
      </c>
      <c r="M368" s="35">
        <f>IF($A368="","",IF($B368="","YETİM",IF(COUNTIF(tblKartlar[KartId],$B368)=0,"YETİM","")))</f>
        <v/>
      </c>
      <c r="N368" s="35">
        <f>IF(OR($A368="",$D368=""),"",IF(OR($D368&amp;"|"&amp;$E368="",COUNTIF(ListeIzinliGecis,$D368&amp;"|"&amp;$E368)&gt;0),"","GEÇERSİZ GEÇİŞ"))</f>
        <v/>
      </c>
      <c r="O368" s="35">
        <f>IF($A368="","",IF(OR($F368="",$G368=""),"",IF(ABS($G368-$F368)&gt;zincirTolerans,"ZİNCİR KIRIK","OK")))</f>
        <v/>
      </c>
      <c r="P368" s="35">
        <f>IF($A368="","",1)</f>
        <v/>
      </c>
    </row>
    <row r="369">
      <c r="A369" s="29" t="n"/>
      <c r="B369" s="29" t="n"/>
      <c r="C369" s="70" t="n"/>
      <c r="D369" s="29" t="n"/>
      <c r="E369" s="29" t="n"/>
      <c r="F369" s="30" t="n"/>
      <c r="G369" s="30" t="n"/>
      <c r="H369" s="31" t="n"/>
      <c r="I369" s="31" t="n"/>
      <c r="J369" s="29" t="n"/>
      <c r="K369" s="35">
        <f>IF($A369="","",IF($C369="","",raporTarihi-$C369))</f>
        <v/>
      </c>
      <c r="L369" s="35">
        <f>IF($A369="","",IF($K369="","",IF($K369&lt;=7,"0-7",IF($K369&lt;=30,"8-30",IF($K369&lt;=60,"31-60","60+")))))</f>
        <v/>
      </c>
      <c r="M369" s="35">
        <f>IF($A369="","",IF($B369="","YETİM",IF(COUNTIF(tblKartlar[KartId],$B369)=0,"YETİM","")))</f>
        <v/>
      </c>
      <c r="N369" s="35">
        <f>IF(OR($A369="",$D369=""),"",IF(OR($D369&amp;"|"&amp;$E369="",COUNTIF(ListeIzinliGecis,$D369&amp;"|"&amp;$E369)&gt;0),"","GEÇERSİZ GEÇİŞ"))</f>
        <v/>
      </c>
      <c r="O369" s="35">
        <f>IF($A369="","",IF(OR($F369="",$G369=""),"",IF(ABS($G369-$F369)&gt;zincirTolerans,"ZİNCİR KIRIK","OK")))</f>
        <v/>
      </c>
      <c r="P369" s="35">
        <f>IF($A369="","",1)</f>
        <v/>
      </c>
    </row>
    <row r="370">
      <c r="A370" s="29" t="n"/>
      <c r="B370" s="29" t="n"/>
      <c r="C370" s="70" t="n"/>
      <c r="D370" s="29" t="n"/>
      <c r="E370" s="29" t="n"/>
      <c r="F370" s="30" t="n"/>
      <c r="G370" s="30" t="n"/>
      <c r="H370" s="31" t="n"/>
      <c r="I370" s="31" t="n"/>
      <c r="J370" s="29" t="n"/>
      <c r="K370" s="35">
        <f>IF($A370="","",IF($C370="","",raporTarihi-$C370))</f>
        <v/>
      </c>
      <c r="L370" s="35">
        <f>IF($A370="","",IF($K370="","",IF($K370&lt;=7,"0-7",IF($K370&lt;=30,"8-30",IF($K370&lt;=60,"31-60","60+")))))</f>
        <v/>
      </c>
      <c r="M370" s="35">
        <f>IF($A370="","",IF($B370="","YETİM",IF(COUNTIF(tblKartlar[KartId],$B370)=0,"YETİM","")))</f>
        <v/>
      </c>
      <c r="N370" s="35">
        <f>IF(OR($A370="",$D370=""),"",IF(OR($D370&amp;"|"&amp;$E370="",COUNTIF(ListeIzinliGecis,$D370&amp;"|"&amp;$E370)&gt;0),"","GEÇERSİZ GEÇİŞ"))</f>
        <v/>
      </c>
      <c r="O370" s="35">
        <f>IF($A370="","",IF(OR($F370="",$G370=""),"",IF(ABS($G370-$F370)&gt;zincirTolerans,"ZİNCİR KIRIK","OK")))</f>
        <v/>
      </c>
      <c r="P370" s="35">
        <f>IF($A370="","",1)</f>
        <v/>
      </c>
    </row>
    <row r="371">
      <c r="A371" s="29" t="n"/>
      <c r="B371" s="29" t="n"/>
      <c r="C371" s="70" t="n"/>
      <c r="D371" s="29" t="n"/>
      <c r="E371" s="29" t="n"/>
      <c r="F371" s="30" t="n"/>
      <c r="G371" s="30" t="n"/>
      <c r="H371" s="31" t="n"/>
      <c r="I371" s="31" t="n"/>
      <c r="J371" s="29" t="n"/>
      <c r="K371" s="35">
        <f>IF($A371="","",IF($C371="","",raporTarihi-$C371))</f>
        <v/>
      </c>
      <c r="L371" s="35">
        <f>IF($A371="","",IF($K371="","",IF($K371&lt;=7,"0-7",IF($K371&lt;=30,"8-30",IF($K371&lt;=60,"31-60","60+")))))</f>
        <v/>
      </c>
      <c r="M371" s="35">
        <f>IF($A371="","",IF($B371="","YETİM",IF(COUNTIF(tblKartlar[KartId],$B371)=0,"YETİM","")))</f>
        <v/>
      </c>
      <c r="N371" s="35">
        <f>IF(OR($A371="",$D371=""),"",IF(OR($D371&amp;"|"&amp;$E371="",COUNTIF(ListeIzinliGecis,$D371&amp;"|"&amp;$E371)&gt;0),"","GEÇERSİZ GEÇİŞ"))</f>
        <v/>
      </c>
      <c r="O371" s="35">
        <f>IF($A371="","",IF(OR($F371="",$G371=""),"",IF(ABS($G371-$F371)&gt;zincirTolerans,"ZİNCİR KIRIK","OK")))</f>
        <v/>
      </c>
      <c r="P371" s="35">
        <f>IF($A371="","",1)</f>
        <v/>
      </c>
    </row>
    <row r="372">
      <c r="A372" s="29" t="n"/>
      <c r="B372" s="29" t="n"/>
      <c r="C372" s="70" t="n"/>
      <c r="D372" s="29" t="n"/>
      <c r="E372" s="29" t="n"/>
      <c r="F372" s="30" t="n"/>
      <c r="G372" s="30" t="n"/>
      <c r="H372" s="31" t="n"/>
      <c r="I372" s="31" t="n"/>
      <c r="J372" s="29" t="n"/>
      <c r="K372" s="35">
        <f>IF($A372="","",IF($C372="","",raporTarihi-$C372))</f>
        <v/>
      </c>
      <c r="L372" s="35">
        <f>IF($A372="","",IF($K372="","",IF($K372&lt;=7,"0-7",IF($K372&lt;=30,"8-30",IF($K372&lt;=60,"31-60","60+")))))</f>
        <v/>
      </c>
      <c r="M372" s="35">
        <f>IF($A372="","",IF($B372="","YETİM",IF(COUNTIF(tblKartlar[KartId],$B372)=0,"YETİM","")))</f>
        <v/>
      </c>
      <c r="N372" s="35">
        <f>IF(OR($A372="",$D372=""),"",IF(OR($D372&amp;"|"&amp;$E372="",COUNTIF(ListeIzinliGecis,$D372&amp;"|"&amp;$E372)&gt;0),"","GEÇERSİZ GEÇİŞ"))</f>
        <v/>
      </c>
      <c r="O372" s="35">
        <f>IF($A372="","",IF(OR($F372="",$G372=""),"",IF(ABS($G372-$F372)&gt;zincirTolerans,"ZİNCİR KIRIK","OK")))</f>
        <v/>
      </c>
      <c r="P372" s="35">
        <f>IF($A372="","",1)</f>
        <v/>
      </c>
    </row>
    <row r="373">
      <c r="A373" s="29" t="n"/>
      <c r="B373" s="29" t="n"/>
      <c r="C373" s="70" t="n"/>
      <c r="D373" s="29" t="n"/>
      <c r="E373" s="29" t="n"/>
      <c r="F373" s="30" t="n"/>
      <c r="G373" s="30" t="n"/>
      <c r="H373" s="31" t="n"/>
      <c r="I373" s="31" t="n"/>
      <c r="J373" s="29" t="n"/>
      <c r="K373" s="35">
        <f>IF($A373="","",IF($C373="","",raporTarihi-$C373))</f>
        <v/>
      </c>
      <c r="L373" s="35">
        <f>IF($A373="","",IF($K373="","",IF($K373&lt;=7,"0-7",IF($K373&lt;=30,"8-30",IF($K373&lt;=60,"31-60","60+")))))</f>
        <v/>
      </c>
      <c r="M373" s="35">
        <f>IF($A373="","",IF($B373="","YETİM",IF(COUNTIF(tblKartlar[KartId],$B373)=0,"YETİM","")))</f>
        <v/>
      </c>
      <c r="N373" s="35">
        <f>IF(OR($A373="",$D373=""),"",IF(OR($D373&amp;"|"&amp;$E373="",COUNTIF(ListeIzinliGecis,$D373&amp;"|"&amp;$E373)&gt;0),"","GEÇERSİZ GEÇİŞ"))</f>
        <v/>
      </c>
      <c r="O373" s="35">
        <f>IF($A373="","",IF(OR($F373="",$G373=""),"",IF(ABS($G373-$F373)&gt;zincirTolerans,"ZİNCİR KIRIK","OK")))</f>
        <v/>
      </c>
      <c r="P373" s="35">
        <f>IF($A373="","",1)</f>
        <v/>
      </c>
    </row>
    <row r="374">
      <c r="A374" s="29" t="n"/>
      <c r="B374" s="29" t="n"/>
      <c r="C374" s="70" t="n"/>
      <c r="D374" s="29" t="n"/>
      <c r="E374" s="29" t="n"/>
      <c r="F374" s="30" t="n"/>
      <c r="G374" s="30" t="n"/>
      <c r="H374" s="31" t="n"/>
      <c r="I374" s="31" t="n"/>
      <c r="J374" s="29" t="n"/>
      <c r="K374" s="35">
        <f>IF($A374="","",IF($C374="","",raporTarihi-$C374))</f>
        <v/>
      </c>
      <c r="L374" s="35">
        <f>IF($A374="","",IF($K374="","",IF($K374&lt;=7,"0-7",IF($K374&lt;=30,"8-30",IF($K374&lt;=60,"31-60","60+")))))</f>
        <v/>
      </c>
      <c r="M374" s="35">
        <f>IF($A374="","",IF($B374="","YETİM",IF(COUNTIF(tblKartlar[KartId],$B374)=0,"YETİM","")))</f>
        <v/>
      </c>
      <c r="N374" s="35">
        <f>IF(OR($A374="",$D374=""),"",IF(OR($D374&amp;"|"&amp;$E374="",COUNTIF(ListeIzinliGecis,$D374&amp;"|"&amp;$E374)&gt;0),"","GEÇERSİZ GEÇİŞ"))</f>
        <v/>
      </c>
      <c r="O374" s="35">
        <f>IF($A374="","",IF(OR($F374="",$G374=""),"",IF(ABS($G374-$F374)&gt;zincirTolerans,"ZİNCİR KIRIK","OK")))</f>
        <v/>
      </c>
      <c r="P374" s="35">
        <f>IF($A374="","",1)</f>
        <v/>
      </c>
    </row>
    <row r="375">
      <c r="A375" s="29" t="n"/>
      <c r="B375" s="29" t="n"/>
      <c r="C375" s="70" t="n"/>
      <c r="D375" s="29" t="n"/>
      <c r="E375" s="29" t="n"/>
      <c r="F375" s="30" t="n"/>
      <c r="G375" s="30" t="n"/>
      <c r="H375" s="31" t="n"/>
      <c r="I375" s="31" t="n"/>
      <c r="J375" s="29" t="n"/>
      <c r="K375" s="35">
        <f>IF($A375="","",IF($C375="","",raporTarihi-$C375))</f>
        <v/>
      </c>
      <c r="L375" s="35">
        <f>IF($A375="","",IF($K375="","",IF($K375&lt;=7,"0-7",IF($K375&lt;=30,"8-30",IF($K375&lt;=60,"31-60","60+")))))</f>
        <v/>
      </c>
      <c r="M375" s="35">
        <f>IF($A375="","",IF($B375="","YETİM",IF(COUNTIF(tblKartlar[KartId],$B375)=0,"YETİM","")))</f>
        <v/>
      </c>
      <c r="N375" s="35">
        <f>IF(OR($A375="",$D375=""),"",IF(OR($D375&amp;"|"&amp;$E375="",COUNTIF(ListeIzinliGecis,$D375&amp;"|"&amp;$E375)&gt;0),"","GEÇERSİZ GEÇİŞ"))</f>
        <v/>
      </c>
      <c r="O375" s="35">
        <f>IF($A375="","",IF(OR($F375="",$G375=""),"",IF(ABS($G375-$F375)&gt;zincirTolerans,"ZİNCİR KIRIK","OK")))</f>
        <v/>
      </c>
      <c r="P375" s="35">
        <f>IF($A375="","",1)</f>
        <v/>
      </c>
    </row>
    <row r="376">
      <c r="A376" s="29" t="n"/>
      <c r="B376" s="29" t="n"/>
      <c r="C376" s="70" t="n"/>
      <c r="D376" s="29" t="n"/>
      <c r="E376" s="29" t="n"/>
      <c r="F376" s="30" t="n"/>
      <c r="G376" s="30" t="n"/>
      <c r="H376" s="31" t="n"/>
      <c r="I376" s="31" t="n"/>
      <c r="J376" s="29" t="n"/>
      <c r="K376" s="35">
        <f>IF($A376="","",IF($C376="","",raporTarihi-$C376))</f>
        <v/>
      </c>
      <c r="L376" s="35">
        <f>IF($A376="","",IF($K376="","",IF($K376&lt;=7,"0-7",IF($K376&lt;=30,"8-30",IF($K376&lt;=60,"31-60","60+")))))</f>
        <v/>
      </c>
      <c r="M376" s="35">
        <f>IF($A376="","",IF($B376="","YETİM",IF(COUNTIF(tblKartlar[KartId],$B376)=0,"YETİM","")))</f>
        <v/>
      </c>
      <c r="N376" s="35">
        <f>IF(OR($A376="",$D376=""),"",IF(OR($D376&amp;"|"&amp;$E376="",COUNTIF(ListeIzinliGecis,$D376&amp;"|"&amp;$E376)&gt;0),"","GEÇERSİZ GEÇİŞ"))</f>
        <v/>
      </c>
      <c r="O376" s="35">
        <f>IF($A376="","",IF(OR($F376="",$G376=""),"",IF(ABS($G376-$F376)&gt;zincirTolerans,"ZİNCİR KIRIK","OK")))</f>
        <v/>
      </c>
      <c r="P376" s="35">
        <f>IF($A376="","",1)</f>
        <v/>
      </c>
    </row>
    <row r="377">
      <c r="A377" s="29" t="n"/>
      <c r="B377" s="29" t="n"/>
      <c r="C377" s="70" t="n"/>
      <c r="D377" s="29" t="n"/>
      <c r="E377" s="29" t="n"/>
      <c r="F377" s="30" t="n"/>
      <c r="G377" s="30" t="n"/>
      <c r="H377" s="31" t="n"/>
      <c r="I377" s="31" t="n"/>
      <c r="J377" s="29" t="n"/>
      <c r="K377" s="35">
        <f>IF($A377="","",IF($C377="","",raporTarihi-$C377))</f>
        <v/>
      </c>
      <c r="L377" s="35">
        <f>IF($A377="","",IF($K377="","",IF($K377&lt;=7,"0-7",IF($K377&lt;=30,"8-30",IF($K377&lt;=60,"31-60","60+")))))</f>
        <v/>
      </c>
      <c r="M377" s="35">
        <f>IF($A377="","",IF($B377="","YETİM",IF(COUNTIF(tblKartlar[KartId],$B377)=0,"YETİM","")))</f>
        <v/>
      </c>
      <c r="N377" s="35">
        <f>IF(OR($A377="",$D377=""),"",IF(OR($D377&amp;"|"&amp;$E377="",COUNTIF(ListeIzinliGecis,$D377&amp;"|"&amp;$E377)&gt;0),"","GEÇERSİZ GEÇİŞ"))</f>
        <v/>
      </c>
      <c r="O377" s="35">
        <f>IF($A377="","",IF(OR($F377="",$G377=""),"",IF(ABS($G377-$F377)&gt;zincirTolerans,"ZİNCİR KIRIK","OK")))</f>
        <v/>
      </c>
      <c r="P377" s="35">
        <f>IF($A377="","",1)</f>
        <v/>
      </c>
    </row>
    <row r="378">
      <c r="A378" s="29" t="n"/>
      <c r="B378" s="29" t="n"/>
      <c r="C378" s="70" t="n"/>
      <c r="D378" s="29" t="n"/>
      <c r="E378" s="29" t="n"/>
      <c r="F378" s="30" t="n"/>
      <c r="G378" s="30" t="n"/>
      <c r="H378" s="31" t="n"/>
      <c r="I378" s="31" t="n"/>
      <c r="J378" s="29" t="n"/>
      <c r="K378" s="35">
        <f>IF($A378="","",IF($C378="","",raporTarihi-$C378))</f>
        <v/>
      </c>
      <c r="L378" s="35">
        <f>IF($A378="","",IF($K378="","",IF($K378&lt;=7,"0-7",IF($K378&lt;=30,"8-30",IF($K378&lt;=60,"31-60","60+")))))</f>
        <v/>
      </c>
      <c r="M378" s="35">
        <f>IF($A378="","",IF($B378="","YETİM",IF(COUNTIF(tblKartlar[KartId],$B378)=0,"YETİM","")))</f>
        <v/>
      </c>
      <c r="N378" s="35">
        <f>IF(OR($A378="",$D378=""),"",IF(OR($D378&amp;"|"&amp;$E378="",COUNTIF(ListeIzinliGecis,$D378&amp;"|"&amp;$E378)&gt;0),"","GEÇERSİZ GEÇİŞ"))</f>
        <v/>
      </c>
      <c r="O378" s="35">
        <f>IF($A378="","",IF(OR($F378="",$G378=""),"",IF(ABS($G378-$F378)&gt;zincirTolerans,"ZİNCİR KIRIK","OK")))</f>
        <v/>
      </c>
      <c r="P378" s="35">
        <f>IF($A378="","",1)</f>
        <v/>
      </c>
    </row>
    <row r="379">
      <c r="A379" s="29" t="n"/>
      <c r="B379" s="29" t="n"/>
      <c r="C379" s="70" t="n"/>
      <c r="D379" s="29" t="n"/>
      <c r="E379" s="29" t="n"/>
      <c r="F379" s="30" t="n"/>
      <c r="G379" s="30" t="n"/>
      <c r="H379" s="31" t="n"/>
      <c r="I379" s="31" t="n"/>
      <c r="J379" s="29" t="n"/>
      <c r="K379" s="35">
        <f>IF($A379="","",IF($C379="","",raporTarihi-$C379))</f>
        <v/>
      </c>
      <c r="L379" s="35">
        <f>IF($A379="","",IF($K379="","",IF($K379&lt;=7,"0-7",IF($K379&lt;=30,"8-30",IF($K379&lt;=60,"31-60","60+")))))</f>
        <v/>
      </c>
      <c r="M379" s="35">
        <f>IF($A379="","",IF($B379="","YETİM",IF(COUNTIF(tblKartlar[KartId],$B379)=0,"YETİM","")))</f>
        <v/>
      </c>
      <c r="N379" s="35">
        <f>IF(OR($A379="",$D379=""),"",IF(OR($D379&amp;"|"&amp;$E379="",COUNTIF(ListeIzinliGecis,$D379&amp;"|"&amp;$E379)&gt;0),"","GEÇERSİZ GEÇİŞ"))</f>
        <v/>
      </c>
      <c r="O379" s="35">
        <f>IF($A379="","",IF(OR($F379="",$G379=""),"",IF(ABS($G379-$F379)&gt;zincirTolerans,"ZİNCİR KIRIK","OK")))</f>
        <v/>
      </c>
      <c r="P379" s="35">
        <f>IF($A379="","",1)</f>
        <v/>
      </c>
    </row>
    <row r="380">
      <c r="A380" s="29" t="n"/>
      <c r="B380" s="29" t="n"/>
      <c r="C380" s="70" t="n"/>
      <c r="D380" s="29" t="n"/>
      <c r="E380" s="29" t="n"/>
      <c r="F380" s="30" t="n"/>
      <c r="G380" s="30" t="n"/>
      <c r="H380" s="31" t="n"/>
      <c r="I380" s="31" t="n"/>
      <c r="J380" s="29" t="n"/>
      <c r="K380" s="35">
        <f>IF($A380="","",IF($C380="","",raporTarihi-$C380))</f>
        <v/>
      </c>
      <c r="L380" s="35">
        <f>IF($A380="","",IF($K380="","",IF($K380&lt;=7,"0-7",IF($K380&lt;=30,"8-30",IF($K380&lt;=60,"31-60","60+")))))</f>
        <v/>
      </c>
      <c r="M380" s="35">
        <f>IF($A380="","",IF($B380="","YETİM",IF(COUNTIF(tblKartlar[KartId],$B380)=0,"YETİM","")))</f>
        <v/>
      </c>
      <c r="N380" s="35">
        <f>IF(OR($A380="",$D380=""),"",IF(OR($D380&amp;"|"&amp;$E380="",COUNTIF(ListeIzinliGecis,$D380&amp;"|"&amp;$E380)&gt;0),"","GEÇERSİZ GEÇİŞ"))</f>
        <v/>
      </c>
      <c r="O380" s="35">
        <f>IF($A380="","",IF(OR($F380="",$G380=""),"",IF(ABS($G380-$F380)&gt;zincirTolerans,"ZİNCİR KIRIK","OK")))</f>
        <v/>
      </c>
      <c r="P380" s="35">
        <f>IF($A380="","",1)</f>
        <v/>
      </c>
    </row>
    <row r="381">
      <c r="A381" s="29" t="n"/>
      <c r="B381" s="29" t="n"/>
      <c r="C381" s="70" t="n"/>
      <c r="D381" s="29" t="n"/>
      <c r="E381" s="29" t="n"/>
      <c r="F381" s="30" t="n"/>
      <c r="G381" s="30" t="n"/>
      <c r="H381" s="31" t="n"/>
      <c r="I381" s="31" t="n"/>
      <c r="J381" s="29" t="n"/>
      <c r="K381" s="35">
        <f>IF($A381="","",IF($C381="","",raporTarihi-$C381))</f>
        <v/>
      </c>
      <c r="L381" s="35">
        <f>IF($A381="","",IF($K381="","",IF($K381&lt;=7,"0-7",IF($K381&lt;=30,"8-30",IF($K381&lt;=60,"31-60","60+")))))</f>
        <v/>
      </c>
      <c r="M381" s="35">
        <f>IF($A381="","",IF($B381="","YETİM",IF(COUNTIF(tblKartlar[KartId],$B381)=0,"YETİM","")))</f>
        <v/>
      </c>
      <c r="N381" s="35">
        <f>IF(OR($A381="",$D381=""),"",IF(OR($D381&amp;"|"&amp;$E381="",COUNTIF(ListeIzinliGecis,$D381&amp;"|"&amp;$E381)&gt;0),"","GEÇERSİZ GEÇİŞ"))</f>
        <v/>
      </c>
      <c r="O381" s="35">
        <f>IF($A381="","",IF(OR($F381="",$G381=""),"",IF(ABS($G381-$F381)&gt;zincirTolerans,"ZİNCİR KIRIK","OK")))</f>
        <v/>
      </c>
      <c r="P381" s="35">
        <f>IF($A381="","",1)</f>
        <v/>
      </c>
    </row>
    <row r="382">
      <c r="A382" s="29" t="n"/>
      <c r="B382" s="29" t="n"/>
      <c r="C382" s="70" t="n"/>
      <c r="D382" s="29" t="n"/>
      <c r="E382" s="29" t="n"/>
      <c r="F382" s="30" t="n"/>
      <c r="G382" s="30" t="n"/>
      <c r="H382" s="31" t="n"/>
      <c r="I382" s="31" t="n"/>
      <c r="J382" s="29" t="n"/>
      <c r="K382" s="35">
        <f>IF($A382="","",IF($C382="","",raporTarihi-$C382))</f>
        <v/>
      </c>
      <c r="L382" s="35">
        <f>IF($A382="","",IF($K382="","",IF($K382&lt;=7,"0-7",IF($K382&lt;=30,"8-30",IF($K382&lt;=60,"31-60","60+")))))</f>
        <v/>
      </c>
      <c r="M382" s="35">
        <f>IF($A382="","",IF($B382="","YETİM",IF(COUNTIF(tblKartlar[KartId],$B382)=0,"YETİM","")))</f>
        <v/>
      </c>
      <c r="N382" s="35">
        <f>IF(OR($A382="",$D382=""),"",IF(OR($D382&amp;"|"&amp;$E382="",COUNTIF(ListeIzinliGecis,$D382&amp;"|"&amp;$E382)&gt;0),"","GEÇERSİZ GEÇİŞ"))</f>
        <v/>
      </c>
      <c r="O382" s="35">
        <f>IF($A382="","",IF(OR($F382="",$G382=""),"",IF(ABS($G382-$F382)&gt;zincirTolerans,"ZİNCİR KIRIK","OK")))</f>
        <v/>
      </c>
      <c r="P382" s="35">
        <f>IF($A382="","",1)</f>
        <v/>
      </c>
    </row>
    <row r="383">
      <c r="A383" s="29" t="n"/>
      <c r="B383" s="29" t="n"/>
      <c r="C383" s="70" t="n"/>
      <c r="D383" s="29" t="n"/>
      <c r="E383" s="29" t="n"/>
      <c r="F383" s="30" t="n"/>
      <c r="G383" s="30" t="n"/>
      <c r="H383" s="31" t="n"/>
      <c r="I383" s="31" t="n"/>
      <c r="J383" s="29" t="n"/>
      <c r="K383" s="35">
        <f>IF($A383="","",IF($C383="","",raporTarihi-$C383))</f>
        <v/>
      </c>
      <c r="L383" s="35">
        <f>IF($A383="","",IF($K383="","",IF($K383&lt;=7,"0-7",IF($K383&lt;=30,"8-30",IF($K383&lt;=60,"31-60","60+")))))</f>
        <v/>
      </c>
      <c r="M383" s="35">
        <f>IF($A383="","",IF($B383="","YETİM",IF(COUNTIF(tblKartlar[KartId],$B383)=0,"YETİM","")))</f>
        <v/>
      </c>
      <c r="N383" s="35">
        <f>IF(OR($A383="",$D383=""),"",IF(OR($D383&amp;"|"&amp;$E383="",COUNTIF(ListeIzinliGecis,$D383&amp;"|"&amp;$E383)&gt;0),"","GEÇERSİZ GEÇİŞ"))</f>
        <v/>
      </c>
      <c r="O383" s="35">
        <f>IF($A383="","",IF(OR($F383="",$G383=""),"",IF(ABS($G383-$F383)&gt;zincirTolerans,"ZİNCİR KIRIK","OK")))</f>
        <v/>
      </c>
      <c r="P383" s="35">
        <f>IF($A383="","",1)</f>
        <v/>
      </c>
    </row>
    <row r="384">
      <c r="A384" s="29" t="n"/>
      <c r="B384" s="29" t="n"/>
      <c r="C384" s="70" t="n"/>
      <c r="D384" s="29" t="n"/>
      <c r="E384" s="29" t="n"/>
      <c r="F384" s="30" t="n"/>
      <c r="G384" s="30" t="n"/>
      <c r="H384" s="31" t="n"/>
      <c r="I384" s="31" t="n"/>
      <c r="J384" s="29" t="n"/>
      <c r="K384" s="35">
        <f>IF($A384="","",IF($C384="","",raporTarihi-$C384))</f>
        <v/>
      </c>
      <c r="L384" s="35">
        <f>IF($A384="","",IF($K384="","",IF($K384&lt;=7,"0-7",IF($K384&lt;=30,"8-30",IF($K384&lt;=60,"31-60","60+")))))</f>
        <v/>
      </c>
      <c r="M384" s="35">
        <f>IF($A384="","",IF($B384="","YETİM",IF(COUNTIF(tblKartlar[KartId],$B384)=0,"YETİM","")))</f>
        <v/>
      </c>
      <c r="N384" s="35">
        <f>IF(OR($A384="",$D384=""),"",IF(OR($D384&amp;"|"&amp;$E384="",COUNTIF(ListeIzinliGecis,$D384&amp;"|"&amp;$E384)&gt;0),"","GEÇERSİZ GEÇİŞ"))</f>
        <v/>
      </c>
      <c r="O384" s="35">
        <f>IF($A384="","",IF(OR($F384="",$G384=""),"",IF(ABS($G384-$F384)&gt;zincirTolerans,"ZİNCİR KIRIK","OK")))</f>
        <v/>
      </c>
      <c r="P384" s="35">
        <f>IF($A384="","",1)</f>
        <v/>
      </c>
    </row>
    <row r="385">
      <c r="A385" s="29" t="n"/>
      <c r="B385" s="29" t="n"/>
      <c r="C385" s="70" t="n"/>
      <c r="D385" s="29" t="n"/>
      <c r="E385" s="29" t="n"/>
      <c r="F385" s="30" t="n"/>
      <c r="G385" s="30" t="n"/>
      <c r="H385" s="31" t="n"/>
      <c r="I385" s="31" t="n"/>
      <c r="J385" s="29" t="n"/>
      <c r="K385" s="35">
        <f>IF($A385="","",IF($C385="","",raporTarihi-$C385))</f>
        <v/>
      </c>
      <c r="L385" s="35">
        <f>IF($A385="","",IF($K385="","",IF($K385&lt;=7,"0-7",IF($K385&lt;=30,"8-30",IF($K385&lt;=60,"31-60","60+")))))</f>
        <v/>
      </c>
      <c r="M385" s="35">
        <f>IF($A385="","",IF($B385="","YETİM",IF(COUNTIF(tblKartlar[KartId],$B385)=0,"YETİM","")))</f>
        <v/>
      </c>
      <c r="N385" s="35">
        <f>IF(OR($A385="",$D385=""),"",IF(OR($D385&amp;"|"&amp;$E385="",COUNTIF(ListeIzinliGecis,$D385&amp;"|"&amp;$E385)&gt;0),"","GEÇERSİZ GEÇİŞ"))</f>
        <v/>
      </c>
      <c r="O385" s="35">
        <f>IF($A385="","",IF(OR($F385="",$G385=""),"",IF(ABS($G385-$F385)&gt;zincirTolerans,"ZİNCİR KIRIK","OK")))</f>
        <v/>
      </c>
      <c r="P385" s="35">
        <f>IF($A385="","",1)</f>
        <v/>
      </c>
    </row>
    <row r="386">
      <c r="A386" s="29" t="n"/>
      <c r="B386" s="29" t="n"/>
      <c r="C386" s="70" t="n"/>
      <c r="D386" s="29" t="n"/>
      <c r="E386" s="29" t="n"/>
      <c r="F386" s="30" t="n"/>
      <c r="G386" s="30" t="n"/>
      <c r="H386" s="31" t="n"/>
      <c r="I386" s="31" t="n"/>
      <c r="J386" s="29" t="n"/>
      <c r="K386" s="35">
        <f>IF($A386="","",IF($C386="","",raporTarihi-$C386))</f>
        <v/>
      </c>
      <c r="L386" s="35">
        <f>IF($A386="","",IF($K386="","",IF($K386&lt;=7,"0-7",IF($K386&lt;=30,"8-30",IF($K386&lt;=60,"31-60","60+")))))</f>
        <v/>
      </c>
      <c r="M386" s="35">
        <f>IF($A386="","",IF($B386="","YETİM",IF(COUNTIF(tblKartlar[KartId],$B386)=0,"YETİM","")))</f>
        <v/>
      </c>
      <c r="N386" s="35">
        <f>IF(OR($A386="",$D386=""),"",IF(OR($D386&amp;"|"&amp;$E386="",COUNTIF(ListeIzinliGecis,$D386&amp;"|"&amp;$E386)&gt;0),"","GEÇERSİZ GEÇİŞ"))</f>
        <v/>
      </c>
      <c r="O386" s="35">
        <f>IF($A386="","",IF(OR($F386="",$G386=""),"",IF(ABS($G386-$F386)&gt;zincirTolerans,"ZİNCİR KIRIK","OK")))</f>
        <v/>
      </c>
      <c r="P386" s="35">
        <f>IF($A386="","",1)</f>
        <v/>
      </c>
    </row>
    <row r="387">
      <c r="A387" s="29" t="n"/>
      <c r="B387" s="29" t="n"/>
      <c r="C387" s="70" t="n"/>
      <c r="D387" s="29" t="n"/>
      <c r="E387" s="29" t="n"/>
      <c r="F387" s="30" t="n"/>
      <c r="G387" s="30" t="n"/>
      <c r="H387" s="31" t="n"/>
      <c r="I387" s="31" t="n"/>
      <c r="J387" s="29" t="n"/>
      <c r="K387" s="35">
        <f>IF($A387="","",IF($C387="","",raporTarihi-$C387))</f>
        <v/>
      </c>
      <c r="L387" s="35">
        <f>IF($A387="","",IF($K387="","",IF($K387&lt;=7,"0-7",IF($K387&lt;=30,"8-30",IF($K387&lt;=60,"31-60","60+")))))</f>
        <v/>
      </c>
      <c r="M387" s="35">
        <f>IF($A387="","",IF($B387="","YETİM",IF(COUNTIF(tblKartlar[KartId],$B387)=0,"YETİM","")))</f>
        <v/>
      </c>
      <c r="N387" s="35">
        <f>IF(OR($A387="",$D387=""),"",IF(OR($D387&amp;"|"&amp;$E387="",COUNTIF(ListeIzinliGecis,$D387&amp;"|"&amp;$E387)&gt;0),"","GEÇERSİZ GEÇİŞ"))</f>
        <v/>
      </c>
      <c r="O387" s="35">
        <f>IF($A387="","",IF(OR($F387="",$G387=""),"",IF(ABS($G387-$F387)&gt;zincirTolerans,"ZİNCİR KIRIK","OK")))</f>
        <v/>
      </c>
      <c r="P387" s="35">
        <f>IF($A387="","",1)</f>
        <v/>
      </c>
    </row>
    <row r="388">
      <c r="A388" s="29" t="n"/>
      <c r="B388" s="29" t="n"/>
      <c r="C388" s="70" t="n"/>
      <c r="D388" s="29" t="n"/>
      <c r="E388" s="29" t="n"/>
      <c r="F388" s="30" t="n"/>
      <c r="G388" s="30" t="n"/>
      <c r="H388" s="31" t="n"/>
      <c r="I388" s="31" t="n"/>
      <c r="J388" s="29" t="n"/>
      <c r="K388" s="35">
        <f>IF($A388="","",IF($C388="","",raporTarihi-$C388))</f>
        <v/>
      </c>
      <c r="L388" s="35">
        <f>IF($A388="","",IF($K388="","",IF($K388&lt;=7,"0-7",IF($K388&lt;=30,"8-30",IF($K388&lt;=60,"31-60","60+")))))</f>
        <v/>
      </c>
      <c r="M388" s="35">
        <f>IF($A388="","",IF($B388="","YETİM",IF(COUNTIF(tblKartlar[KartId],$B388)=0,"YETİM","")))</f>
        <v/>
      </c>
      <c r="N388" s="35">
        <f>IF(OR($A388="",$D388=""),"",IF(OR($D388&amp;"|"&amp;$E388="",COUNTIF(ListeIzinliGecis,$D388&amp;"|"&amp;$E388)&gt;0),"","GEÇERSİZ GEÇİŞ"))</f>
        <v/>
      </c>
      <c r="O388" s="35">
        <f>IF($A388="","",IF(OR($F388="",$G388=""),"",IF(ABS($G388-$F388)&gt;zincirTolerans,"ZİNCİR KIRIK","OK")))</f>
        <v/>
      </c>
      <c r="P388" s="35">
        <f>IF($A388="","",1)</f>
        <v/>
      </c>
    </row>
    <row r="389">
      <c r="A389" s="29" t="n"/>
      <c r="B389" s="29" t="n"/>
      <c r="C389" s="70" t="n"/>
      <c r="D389" s="29" t="n"/>
      <c r="E389" s="29" t="n"/>
      <c r="F389" s="30" t="n"/>
      <c r="G389" s="30" t="n"/>
      <c r="H389" s="31" t="n"/>
      <c r="I389" s="31" t="n"/>
      <c r="J389" s="29" t="n"/>
      <c r="K389" s="35">
        <f>IF($A389="","",IF($C389="","",raporTarihi-$C389))</f>
        <v/>
      </c>
      <c r="L389" s="35">
        <f>IF($A389="","",IF($K389="","",IF($K389&lt;=7,"0-7",IF($K389&lt;=30,"8-30",IF($K389&lt;=60,"31-60","60+")))))</f>
        <v/>
      </c>
      <c r="M389" s="35">
        <f>IF($A389="","",IF($B389="","YETİM",IF(COUNTIF(tblKartlar[KartId],$B389)=0,"YETİM","")))</f>
        <v/>
      </c>
      <c r="N389" s="35">
        <f>IF(OR($A389="",$D389=""),"",IF(OR($D389&amp;"|"&amp;$E389="",COUNTIF(ListeIzinliGecis,$D389&amp;"|"&amp;$E389)&gt;0),"","GEÇERSİZ GEÇİŞ"))</f>
        <v/>
      </c>
      <c r="O389" s="35">
        <f>IF($A389="","",IF(OR($F389="",$G389=""),"",IF(ABS($G389-$F389)&gt;zincirTolerans,"ZİNCİR KIRIK","OK")))</f>
        <v/>
      </c>
      <c r="P389" s="35">
        <f>IF($A389="","",1)</f>
        <v/>
      </c>
    </row>
    <row r="390">
      <c r="A390" s="29" t="n"/>
      <c r="B390" s="29" t="n"/>
      <c r="C390" s="70" t="n"/>
      <c r="D390" s="29" t="n"/>
      <c r="E390" s="29" t="n"/>
      <c r="F390" s="30" t="n"/>
      <c r="G390" s="30" t="n"/>
      <c r="H390" s="31" t="n"/>
      <c r="I390" s="31" t="n"/>
      <c r="J390" s="29" t="n"/>
      <c r="K390" s="35">
        <f>IF($A390="","",IF($C390="","",raporTarihi-$C390))</f>
        <v/>
      </c>
      <c r="L390" s="35">
        <f>IF($A390="","",IF($K390="","",IF($K390&lt;=7,"0-7",IF($K390&lt;=30,"8-30",IF($K390&lt;=60,"31-60","60+")))))</f>
        <v/>
      </c>
      <c r="M390" s="35">
        <f>IF($A390="","",IF($B390="","YETİM",IF(COUNTIF(tblKartlar[KartId],$B390)=0,"YETİM","")))</f>
        <v/>
      </c>
      <c r="N390" s="35">
        <f>IF(OR($A390="",$D390=""),"",IF(OR($D390&amp;"|"&amp;$E390="",COUNTIF(ListeIzinliGecis,$D390&amp;"|"&amp;$E390)&gt;0),"","GEÇERSİZ GEÇİŞ"))</f>
        <v/>
      </c>
      <c r="O390" s="35">
        <f>IF($A390="","",IF(OR($F390="",$G390=""),"",IF(ABS($G390-$F390)&gt;zincirTolerans,"ZİNCİR KIRIK","OK")))</f>
        <v/>
      </c>
      <c r="P390" s="35">
        <f>IF($A390="","",1)</f>
        <v/>
      </c>
    </row>
    <row r="391">
      <c r="A391" s="29" t="n"/>
      <c r="B391" s="29" t="n"/>
      <c r="C391" s="70" t="n"/>
      <c r="D391" s="29" t="n"/>
      <c r="E391" s="29" t="n"/>
      <c r="F391" s="30" t="n"/>
      <c r="G391" s="30" t="n"/>
      <c r="H391" s="31" t="n"/>
      <c r="I391" s="31" t="n"/>
      <c r="J391" s="29" t="n"/>
      <c r="K391" s="35">
        <f>IF($A391="","",IF($C391="","",raporTarihi-$C391))</f>
        <v/>
      </c>
      <c r="L391" s="35">
        <f>IF($A391="","",IF($K391="","",IF($K391&lt;=7,"0-7",IF($K391&lt;=30,"8-30",IF($K391&lt;=60,"31-60","60+")))))</f>
        <v/>
      </c>
      <c r="M391" s="35">
        <f>IF($A391="","",IF($B391="","YETİM",IF(COUNTIF(tblKartlar[KartId],$B391)=0,"YETİM","")))</f>
        <v/>
      </c>
      <c r="N391" s="35">
        <f>IF(OR($A391="",$D391=""),"",IF(OR($D391&amp;"|"&amp;$E391="",COUNTIF(ListeIzinliGecis,$D391&amp;"|"&amp;$E391)&gt;0),"","GEÇERSİZ GEÇİŞ"))</f>
        <v/>
      </c>
      <c r="O391" s="35">
        <f>IF($A391="","",IF(OR($F391="",$G391=""),"",IF(ABS($G391-$F391)&gt;zincirTolerans,"ZİNCİR KIRIK","OK")))</f>
        <v/>
      </c>
      <c r="P391" s="35">
        <f>IF($A391="","",1)</f>
        <v/>
      </c>
    </row>
    <row r="392">
      <c r="A392" s="29" t="n"/>
      <c r="B392" s="29" t="n"/>
      <c r="C392" s="70" t="n"/>
      <c r="D392" s="29" t="n"/>
      <c r="E392" s="29" t="n"/>
      <c r="F392" s="30" t="n"/>
      <c r="G392" s="30" t="n"/>
      <c r="H392" s="31" t="n"/>
      <c r="I392" s="31" t="n"/>
      <c r="J392" s="29" t="n"/>
      <c r="K392" s="35">
        <f>IF($A392="","",IF($C392="","",raporTarihi-$C392))</f>
        <v/>
      </c>
      <c r="L392" s="35">
        <f>IF($A392="","",IF($K392="","",IF($K392&lt;=7,"0-7",IF($K392&lt;=30,"8-30",IF($K392&lt;=60,"31-60","60+")))))</f>
        <v/>
      </c>
      <c r="M392" s="35">
        <f>IF($A392="","",IF($B392="","YETİM",IF(COUNTIF(tblKartlar[KartId],$B392)=0,"YETİM","")))</f>
        <v/>
      </c>
      <c r="N392" s="35">
        <f>IF(OR($A392="",$D392=""),"",IF(OR($D392&amp;"|"&amp;$E392="",COUNTIF(ListeIzinliGecis,$D392&amp;"|"&amp;$E392)&gt;0),"","GEÇERSİZ GEÇİŞ"))</f>
        <v/>
      </c>
      <c r="O392" s="35">
        <f>IF($A392="","",IF(OR($F392="",$G392=""),"",IF(ABS($G392-$F392)&gt;zincirTolerans,"ZİNCİR KIRIK","OK")))</f>
        <v/>
      </c>
      <c r="P392" s="35">
        <f>IF($A392="","",1)</f>
        <v/>
      </c>
    </row>
    <row r="393">
      <c r="A393" s="29" t="n"/>
      <c r="B393" s="29" t="n"/>
      <c r="C393" s="70" t="n"/>
      <c r="D393" s="29" t="n"/>
      <c r="E393" s="29" t="n"/>
      <c r="F393" s="30" t="n"/>
      <c r="G393" s="30" t="n"/>
      <c r="H393" s="31" t="n"/>
      <c r="I393" s="31" t="n"/>
      <c r="J393" s="29" t="n"/>
      <c r="K393" s="35">
        <f>IF($A393="","",IF($C393="","",raporTarihi-$C393))</f>
        <v/>
      </c>
      <c r="L393" s="35">
        <f>IF($A393="","",IF($K393="","",IF($K393&lt;=7,"0-7",IF($K393&lt;=30,"8-30",IF($K393&lt;=60,"31-60","60+")))))</f>
        <v/>
      </c>
      <c r="M393" s="35">
        <f>IF($A393="","",IF($B393="","YETİM",IF(COUNTIF(tblKartlar[KartId],$B393)=0,"YETİM","")))</f>
        <v/>
      </c>
      <c r="N393" s="35">
        <f>IF(OR($A393="",$D393=""),"",IF(OR($D393&amp;"|"&amp;$E393="",COUNTIF(ListeIzinliGecis,$D393&amp;"|"&amp;$E393)&gt;0),"","GEÇERSİZ GEÇİŞ"))</f>
        <v/>
      </c>
      <c r="O393" s="35">
        <f>IF($A393="","",IF(OR($F393="",$G393=""),"",IF(ABS($G393-$F393)&gt;zincirTolerans,"ZİNCİR KIRIK","OK")))</f>
        <v/>
      </c>
      <c r="P393" s="35">
        <f>IF($A393="","",1)</f>
        <v/>
      </c>
    </row>
    <row r="394">
      <c r="A394" s="29" t="n"/>
      <c r="B394" s="29" t="n"/>
      <c r="C394" s="70" t="n"/>
      <c r="D394" s="29" t="n"/>
      <c r="E394" s="29" t="n"/>
      <c r="F394" s="30" t="n"/>
      <c r="G394" s="30" t="n"/>
      <c r="H394" s="31" t="n"/>
      <c r="I394" s="31" t="n"/>
      <c r="J394" s="29" t="n"/>
      <c r="K394" s="35">
        <f>IF($A394="","",IF($C394="","",raporTarihi-$C394))</f>
        <v/>
      </c>
      <c r="L394" s="35">
        <f>IF($A394="","",IF($K394="","",IF($K394&lt;=7,"0-7",IF($K394&lt;=30,"8-30",IF($K394&lt;=60,"31-60","60+")))))</f>
        <v/>
      </c>
      <c r="M394" s="35">
        <f>IF($A394="","",IF($B394="","YETİM",IF(COUNTIF(tblKartlar[KartId],$B394)=0,"YETİM","")))</f>
        <v/>
      </c>
      <c r="N394" s="35">
        <f>IF(OR($A394="",$D394=""),"",IF(OR($D394&amp;"|"&amp;$E394="",COUNTIF(ListeIzinliGecis,$D394&amp;"|"&amp;$E394)&gt;0),"","GEÇERSİZ GEÇİŞ"))</f>
        <v/>
      </c>
      <c r="O394" s="35">
        <f>IF($A394="","",IF(OR($F394="",$G394=""),"",IF(ABS($G394-$F394)&gt;zincirTolerans,"ZİNCİR KIRIK","OK")))</f>
        <v/>
      </c>
      <c r="P394" s="35">
        <f>IF($A394="","",1)</f>
        <v/>
      </c>
    </row>
    <row r="395">
      <c r="A395" s="29" t="n"/>
      <c r="B395" s="29" t="n"/>
      <c r="C395" s="70" t="n"/>
      <c r="D395" s="29" t="n"/>
      <c r="E395" s="29" t="n"/>
      <c r="F395" s="30" t="n"/>
      <c r="G395" s="30" t="n"/>
      <c r="H395" s="31" t="n"/>
      <c r="I395" s="31" t="n"/>
      <c r="J395" s="29" t="n"/>
      <c r="K395" s="35">
        <f>IF($A395="","",IF($C395="","",raporTarihi-$C395))</f>
        <v/>
      </c>
      <c r="L395" s="35">
        <f>IF($A395="","",IF($K395="","",IF($K395&lt;=7,"0-7",IF($K395&lt;=30,"8-30",IF($K395&lt;=60,"31-60","60+")))))</f>
        <v/>
      </c>
      <c r="M395" s="35">
        <f>IF($A395="","",IF($B395="","YETİM",IF(COUNTIF(tblKartlar[KartId],$B395)=0,"YETİM","")))</f>
        <v/>
      </c>
      <c r="N395" s="35">
        <f>IF(OR($A395="",$D395=""),"",IF(OR($D395&amp;"|"&amp;$E395="",COUNTIF(ListeIzinliGecis,$D395&amp;"|"&amp;$E395)&gt;0),"","GEÇERSİZ GEÇİŞ"))</f>
        <v/>
      </c>
      <c r="O395" s="35">
        <f>IF($A395="","",IF(OR($F395="",$G395=""),"",IF(ABS($G395-$F395)&gt;zincirTolerans,"ZİNCİR KIRIK","OK")))</f>
        <v/>
      </c>
      <c r="P395" s="35">
        <f>IF($A395="","",1)</f>
        <v/>
      </c>
    </row>
    <row r="396">
      <c r="A396" s="29" t="n"/>
      <c r="B396" s="29" t="n"/>
      <c r="C396" s="70" t="n"/>
      <c r="D396" s="29" t="n"/>
      <c r="E396" s="29" t="n"/>
      <c r="F396" s="30" t="n"/>
      <c r="G396" s="30" t="n"/>
      <c r="H396" s="31" t="n"/>
      <c r="I396" s="31" t="n"/>
      <c r="J396" s="29" t="n"/>
      <c r="K396" s="35">
        <f>IF($A396="","",IF($C396="","",raporTarihi-$C396))</f>
        <v/>
      </c>
      <c r="L396" s="35">
        <f>IF($A396="","",IF($K396="","",IF($K396&lt;=7,"0-7",IF($K396&lt;=30,"8-30",IF($K396&lt;=60,"31-60","60+")))))</f>
        <v/>
      </c>
      <c r="M396" s="35">
        <f>IF($A396="","",IF($B396="","YETİM",IF(COUNTIF(tblKartlar[KartId],$B396)=0,"YETİM","")))</f>
        <v/>
      </c>
      <c r="N396" s="35">
        <f>IF(OR($A396="",$D396=""),"",IF(OR($D396&amp;"|"&amp;$E396="",COUNTIF(ListeIzinliGecis,$D396&amp;"|"&amp;$E396)&gt;0),"","GEÇERSİZ GEÇİŞ"))</f>
        <v/>
      </c>
      <c r="O396" s="35">
        <f>IF($A396="","",IF(OR($F396="",$G396=""),"",IF(ABS($G396-$F396)&gt;zincirTolerans,"ZİNCİR KIRIK","OK")))</f>
        <v/>
      </c>
      <c r="P396" s="35">
        <f>IF($A396="","",1)</f>
        <v/>
      </c>
    </row>
    <row r="397">
      <c r="A397" s="29" t="n"/>
      <c r="B397" s="29" t="n"/>
      <c r="C397" s="70" t="n"/>
      <c r="D397" s="29" t="n"/>
      <c r="E397" s="29" t="n"/>
      <c r="F397" s="30" t="n"/>
      <c r="G397" s="30" t="n"/>
      <c r="H397" s="31" t="n"/>
      <c r="I397" s="31" t="n"/>
      <c r="J397" s="29" t="n"/>
      <c r="K397" s="35">
        <f>IF($A397="","",IF($C397="","",raporTarihi-$C397))</f>
        <v/>
      </c>
      <c r="L397" s="35">
        <f>IF($A397="","",IF($K397="","",IF($K397&lt;=7,"0-7",IF($K397&lt;=30,"8-30",IF($K397&lt;=60,"31-60","60+")))))</f>
        <v/>
      </c>
      <c r="M397" s="35">
        <f>IF($A397="","",IF($B397="","YETİM",IF(COUNTIF(tblKartlar[KartId],$B397)=0,"YETİM","")))</f>
        <v/>
      </c>
      <c r="N397" s="35">
        <f>IF(OR($A397="",$D397=""),"",IF(OR($D397&amp;"|"&amp;$E397="",COUNTIF(ListeIzinliGecis,$D397&amp;"|"&amp;$E397)&gt;0),"","GEÇERSİZ GEÇİŞ"))</f>
        <v/>
      </c>
      <c r="O397" s="35">
        <f>IF($A397="","",IF(OR($F397="",$G397=""),"",IF(ABS($G397-$F397)&gt;zincirTolerans,"ZİNCİR KIRIK","OK")))</f>
        <v/>
      </c>
      <c r="P397" s="35">
        <f>IF($A397="","",1)</f>
        <v/>
      </c>
    </row>
    <row r="398">
      <c r="A398" s="29" t="n"/>
      <c r="B398" s="29" t="n"/>
      <c r="C398" s="70" t="n"/>
      <c r="D398" s="29" t="n"/>
      <c r="E398" s="29" t="n"/>
      <c r="F398" s="30" t="n"/>
      <c r="G398" s="30" t="n"/>
      <c r="H398" s="31" t="n"/>
      <c r="I398" s="31" t="n"/>
      <c r="J398" s="29" t="n"/>
      <c r="K398" s="35">
        <f>IF($A398="","",IF($C398="","",raporTarihi-$C398))</f>
        <v/>
      </c>
      <c r="L398" s="35">
        <f>IF($A398="","",IF($K398="","",IF($K398&lt;=7,"0-7",IF($K398&lt;=30,"8-30",IF($K398&lt;=60,"31-60","60+")))))</f>
        <v/>
      </c>
      <c r="M398" s="35">
        <f>IF($A398="","",IF($B398="","YETİM",IF(COUNTIF(tblKartlar[KartId],$B398)=0,"YETİM","")))</f>
        <v/>
      </c>
      <c r="N398" s="35">
        <f>IF(OR($A398="",$D398=""),"",IF(OR($D398&amp;"|"&amp;$E398="",COUNTIF(ListeIzinliGecis,$D398&amp;"|"&amp;$E398)&gt;0),"","GEÇERSİZ GEÇİŞ"))</f>
        <v/>
      </c>
      <c r="O398" s="35">
        <f>IF($A398="","",IF(OR($F398="",$G398=""),"",IF(ABS($G398-$F398)&gt;zincirTolerans,"ZİNCİR KIRIK","OK")))</f>
        <v/>
      </c>
      <c r="P398" s="35">
        <f>IF($A398="","",1)</f>
        <v/>
      </c>
    </row>
    <row r="399">
      <c r="A399" s="29" t="n"/>
      <c r="B399" s="29" t="n"/>
      <c r="C399" s="70" t="n"/>
      <c r="D399" s="29" t="n"/>
      <c r="E399" s="29" t="n"/>
      <c r="F399" s="30" t="n"/>
      <c r="G399" s="30" t="n"/>
      <c r="H399" s="31" t="n"/>
      <c r="I399" s="31" t="n"/>
      <c r="J399" s="29" t="n"/>
      <c r="K399" s="35">
        <f>IF($A399="","",IF($C399="","",raporTarihi-$C399))</f>
        <v/>
      </c>
      <c r="L399" s="35">
        <f>IF($A399="","",IF($K399="","",IF($K399&lt;=7,"0-7",IF($K399&lt;=30,"8-30",IF($K399&lt;=60,"31-60","60+")))))</f>
        <v/>
      </c>
      <c r="M399" s="35">
        <f>IF($A399="","",IF($B399="","YETİM",IF(COUNTIF(tblKartlar[KartId],$B399)=0,"YETİM","")))</f>
        <v/>
      </c>
      <c r="N399" s="35">
        <f>IF(OR($A399="",$D399=""),"",IF(OR($D399&amp;"|"&amp;$E399="",COUNTIF(ListeIzinliGecis,$D399&amp;"|"&amp;$E399)&gt;0),"","GEÇERSİZ GEÇİŞ"))</f>
        <v/>
      </c>
      <c r="O399" s="35">
        <f>IF($A399="","",IF(OR($F399="",$G399=""),"",IF(ABS($G399-$F399)&gt;zincirTolerans,"ZİNCİR KIRIK","OK")))</f>
        <v/>
      </c>
      <c r="P399" s="35">
        <f>IF($A399="","",1)</f>
        <v/>
      </c>
    </row>
    <row r="400">
      <c r="A400" s="29" t="n"/>
      <c r="B400" s="29" t="n"/>
      <c r="C400" s="70" t="n"/>
      <c r="D400" s="29" t="n"/>
      <c r="E400" s="29" t="n"/>
      <c r="F400" s="30" t="n"/>
      <c r="G400" s="30" t="n"/>
      <c r="H400" s="31" t="n"/>
      <c r="I400" s="31" t="n"/>
      <c r="J400" s="29" t="n"/>
      <c r="K400" s="35">
        <f>IF($A400="","",IF($C400="","",raporTarihi-$C400))</f>
        <v/>
      </c>
      <c r="L400" s="35">
        <f>IF($A400="","",IF($K400="","",IF($K400&lt;=7,"0-7",IF($K400&lt;=30,"8-30",IF($K400&lt;=60,"31-60","60+")))))</f>
        <v/>
      </c>
      <c r="M400" s="35">
        <f>IF($A400="","",IF($B400="","YETİM",IF(COUNTIF(tblKartlar[KartId],$B400)=0,"YETİM","")))</f>
        <v/>
      </c>
      <c r="N400" s="35">
        <f>IF(OR($A400="",$D400=""),"",IF(OR($D400&amp;"|"&amp;$E400="",COUNTIF(ListeIzinliGecis,$D400&amp;"|"&amp;$E400)&gt;0),"","GEÇERSİZ GEÇİŞ"))</f>
        <v/>
      </c>
      <c r="O400" s="35">
        <f>IF($A400="","",IF(OR($F400="",$G400=""),"",IF(ABS($G400-$F400)&gt;zincirTolerans,"ZİNCİR KIRIK","OK")))</f>
        <v/>
      </c>
      <c r="P400" s="35">
        <f>IF($A400="","",1)</f>
        <v/>
      </c>
    </row>
    <row r="401">
      <c r="A401" s="29" t="n"/>
      <c r="B401" s="29" t="n"/>
      <c r="C401" s="70" t="n"/>
      <c r="D401" s="29" t="n"/>
      <c r="E401" s="29" t="n"/>
      <c r="F401" s="30" t="n"/>
      <c r="G401" s="30" t="n"/>
      <c r="H401" s="31" t="n"/>
      <c r="I401" s="31" t="n"/>
      <c r="J401" s="29" t="n"/>
      <c r="K401" s="35">
        <f>IF($A401="","",IF($C401="","",raporTarihi-$C401))</f>
        <v/>
      </c>
      <c r="L401" s="35">
        <f>IF($A401="","",IF($K401="","",IF($K401&lt;=7,"0-7",IF($K401&lt;=30,"8-30",IF($K401&lt;=60,"31-60","60+")))))</f>
        <v/>
      </c>
      <c r="M401" s="35">
        <f>IF($A401="","",IF($B401="","YETİM",IF(COUNTIF(tblKartlar[KartId],$B401)=0,"YETİM","")))</f>
        <v/>
      </c>
      <c r="N401" s="35">
        <f>IF(OR($A401="",$D401=""),"",IF(OR($D401&amp;"|"&amp;$E401="",COUNTIF(ListeIzinliGecis,$D401&amp;"|"&amp;$E401)&gt;0),"","GEÇERSİZ GEÇİŞ"))</f>
        <v/>
      </c>
      <c r="O401" s="35">
        <f>IF($A401="","",IF(OR($F401="",$G401=""),"",IF(ABS($G401-$F401)&gt;zincirTolerans,"ZİNCİR KIRIK","OK")))</f>
        <v/>
      </c>
      <c r="P401" s="35">
        <f>IF($A401="","",1)</f>
        <v/>
      </c>
    </row>
    <row r="402">
      <c r="A402" s="29" t="n"/>
      <c r="B402" s="29" t="n"/>
      <c r="C402" s="70" t="n"/>
      <c r="D402" s="29" t="n"/>
      <c r="E402" s="29" t="n"/>
      <c r="F402" s="30" t="n"/>
      <c r="G402" s="30" t="n"/>
      <c r="H402" s="31" t="n"/>
      <c r="I402" s="31" t="n"/>
      <c r="J402" s="29" t="n"/>
      <c r="K402" s="35">
        <f>IF($A402="","",IF($C402="","",raporTarihi-$C402))</f>
        <v/>
      </c>
      <c r="L402" s="35">
        <f>IF($A402="","",IF($K402="","",IF($K402&lt;=7,"0-7",IF($K402&lt;=30,"8-30",IF($K402&lt;=60,"31-60","60+")))))</f>
        <v/>
      </c>
      <c r="M402" s="35">
        <f>IF($A402="","",IF($B402="","YETİM",IF(COUNTIF(tblKartlar[KartId],$B402)=0,"YETİM","")))</f>
        <v/>
      </c>
      <c r="N402" s="35">
        <f>IF(OR($A402="",$D402=""),"",IF(OR($D402&amp;"|"&amp;$E402="",COUNTIF(ListeIzinliGecis,$D402&amp;"|"&amp;$E402)&gt;0),"","GEÇERSİZ GEÇİŞ"))</f>
        <v/>
      </c>
      <c r="O402" s="35">
        <f>IF($A402="","",IF(OR($F402="",$G402=""),"",IF(ABS($G402-$F402)&gt;zincirTolerans,"ZİNCİR KIRIK","OK")))</f>
        <v/>
      </c>
      <c r="P402" s="35">
        <f>IF($A402="","",1)</f>
        <v/>
      </c>
    </row>
    <row r="403">
      <c r="A403" s="29" t="n"/>
      <c r="B403" s="29" t="n"/>
      <c r="C403" s="70" t="n"/>
      <c r="D403" s="29" t="n"/>
      <c r="E403" s="29" t="n"/>
      <c r="F403" s="30" t="n"/>
      <c r="G403" s="30" t="n"/>
      <c r="H403" s="31" t="n"/>
      <c r="I403" s="31" t="n"/>
      <c r="J403" s="29" t="n"/>
      <c r="K403" s="35">
        <f>IF($A403="","",IF($C403="","",raporTarihi-$C403))</f>
        <v/>
      </c>
      <c r="L403" s="35">
        <f>IF($A403="","",IF($K403="","",IF($K403&lt;=7,"0-7",IF($K403&lt;=30,"8-30",IF($K403&lt;=60,"31-60","60+")))))</f>
        <v/>
      </c>
      <c r="M403" s="35">
        <f>IF($A403="","",IF($B403="","YETİM",IF(COUNTIF(tblKartlar[KartId],$B403)=0,"YETİM","")))</f>
        <v/>
      </c>
      <c r="N403" s="35">
        <f>IF(OR($A403="",$D403=""),"",IF(OR($D403&amp;"|"&amp;$E403="",COUNTIF(ListeIzinliGecis,$D403&amp;"|"&amp;$E403)&gt;0),"","GEÇERSİZ GEÇİŞ"))</f>
        <v/>
      </c>
      <c r="O403" s="35">
        <f>IF($A403="","",IF(OR($F403="",$G403=""),"",IF(ABS($G403-$F403)&gt;zincirTolerans,"ZİNCİR KIRIK","OK")))</f>
        <v/>
      </c>
      <c r="P403" s="35">
        <f>IF($A403="","",1)</f>
        <v/>
      </c>
    </row>
    <row r="404">
      <c r="A404" s="29" t="n"/>
      <c r="B404" s="29" t="n"/>
      <c r="C404" s="70" t="n"/>
      <c r="D404" s="29" t="n"/>
      <c r="E404" s="29" t="n"/>
      <c r="F404" s="30" t="n"/>
      <c r="G404" s="30" t="n"/>
      <c r="H404" s="31" t="n"/>
      <c r="I404" s="31" t="n"/>
      <c r="J404" s="29" t="n"/>
      <c r="K404" s="35">
        <f>IF($A404="","",IF($C404="","",raporTarihi-$C404))</f>
        <v/>
      </c>
      <c r="L404" s="35">
        <f>IF($A404="","",IF($K404="","",IF($K404&lt;=7,"0-7",IF($K404&lt;=30,"8-30",IF($K404&lt;=60,"31-60","60+")))))</f>
        <v/>
      </c>
      <c r="M404" s="35">
        <f>IF($A404="","",IF($B404="","YETİM",IF(COUNTIF(tblKartlar[KartId],$B404)=0,"YETİM","")))</f>
        <v/>
      </c>
      <c r="N404" s="35">
        <f>IF(OR($A404="",$D404=""),"",IF(OR($D404&amp;"|"&amp;$E404="",COUNTIF(ListeIzinliGecis,$D404&amp;"|"&amp;$E404)&gt;0),"","GEÇERSİZ GEÇİŞ"))</f>
        <v/>
      </c>
      <c r="O404" s="35">
        <f>IF($A404="","",IF(OR($F404="",$G404=""),"",IF(ABS($G404-$F404)&gt;zincirTolerans,"ZİNCİR KIRIK","OK")))</f>
        <v/>
      </c>
      <c r="P404" s="35">
        <f>IF($A404="","",1)</f>
        <v/>
      </c>
    </row>
    <row r="405">
      <c r="A405" s="29" t="n"/>
      <c r="B405" s="29" t="n"/>
      <c r="C405" s="70" t="n"/>
      <c r="D405" s="29" t="n"/>
      <c r="E405" s="29" t="n"/>
      <c r="F405" s="30" t="n"/>
      <c r="G405" s="30" t="n"/>
      <c r="H405" s="31" t="n"/>
      <c r="I405" s="31" t="n"/>
      <c r="J405" s="29" t="n"/>
      <c r="K405" s="35">
        <f>IF($A405="","",IF($C405="","",raporTarihi-$C405))</f>
        <v/>
      </c>
      <c r="L405" s="35">
        <f>IF($A405="","",IF($K405="","",IF($K405&lt;=7,"0-7",IF($K405&lt;=30,"8-30",IF($K405&lt;=60,"31-60","60+")))))</f>
        <v/>
      </c>
      <c r="M405" s="35">
        <f>IF($A405="","",IF($B405="","YETİM",IF(COUNTIF(tblKartlar[KartId],$B405)=0,"YETİM","")))</f>
        <v/>
      </c>
      <c r="N405" s="35">
        <f>IF(OR($A405="",$D405=""),"",IF(OR($D405&amp;"|"&amp;$E405="",COUNTIF(ListeIzinliGecis,$D405&amp;"|"&amp;$E405)&gt;0),"","GEÇERSİZ GEÇİŞ"))</f>
        <v/>
      </c>
      <c r="O405" s="35">
        <f>IF($A405="","",IF(OR($F405="",$G405=""),"",IF(ABS($G405-$F405)&gt;zincirTolerans,"ZİNCİR KIRIK","OK")))</f>
        <v/>
      </c>
      <c r="P405" s="35">
        <f>IF($A405="","",1)</f>
        <v/>
      </c>
    </row>
    <row r="406">
      <c r="A406" s="29" t="n"/>
      <c r="B406" s="29" t="n"/>
      <c r="C406" s="70" t="n"/>
      <c r="D406" s="29" t="n"/>
      <c r="E406" s="29" t="n"/>
      <c r="F406" s="30" t="n"/>
      <c r="G406" s="30" t="n"/>
      <c r="H406" s="31" t="n"/>
      <c r="I406" s="31" t="n"/>
      <c r="J406" s="29" t="n"/>
      <c r="K406" s="35">
        <f>IF($A406="","",IF($C406="","",raporTarihi-$C406))</f>
        <v/>
      </c>
      <c r="L406" s="35">
        <f>IF($A406="","",IF($K406="","",IF($K406&lt;=7,"0-7",IF($K406&lt;=30,"8-30",IF($K406&lt;=60,"31-60","60+")))))</f>
        <v/>
      </c>
      <c r="M406" s="35">
        <f>IF($A406="","",IF($B406="","YETİM",IF(COUNTIF(tblKartlar[KartId],$B406)=0,"YETİM","")))</f>
        <v/>
      </c>
      <c r="N406" s="35">
        <f>IF(OR($A406="",$D406=""),"",IF(OR($D406&amp;"|"&amp;$E406="",COUNTIF(ListeIzinliGecis,$D406&amp;"|"&amp;$E406)&gt;0),"","GEÇERSİZ GEÇİŞ"))</f>
        <v/>
      </c>
      <c r="O406" s="35">
        <f>IF($A406="","",IF(OR($F406="",$G406=""),"",IF(ABS($G406-$F406)&gt;zincirTolerans,"ZİNCİR KIRIK","OK")))</f>
        <v/>
      </c>
      <c r="P406" s="35">
        <f>IF($A406="","",1)</f>
        <v/>
      </c>
    </row>
    <row r="407">
      <c r="A407" s="29" t="n"/>
      <c r="B407" s="29" t="n"/>
      <c r="C407" s="70" t="n"/>
      <c r="D407" s="29" t="n"/>
      <c r="E407" s="29" t="n"/>
      <c r="F407" s="30" t="n"/>
      <c r="G407" s="30" t="n"/>
      <c r="H407" s="31" t="n"/>
      <c r="I407" s="31" t="n"/>
      <c r="J407" s="29" t="n"/>
      <c r="K407" s="35">
        <f>IF($A407="","",IF($C407="","",raporTarihi-$C407))</f>
        <v/>
      </c>
      <c r="L407" s="35">
        <f>IF($A407="","",IF($K407="","",IF($K407&lt;=7,"0-7",IF($K407&lt;=30,"8-30",IF($K407&lt;=60,"31-60","60+")))))</f>
        <v/>
      </c>
      <c r="M407" s="35">
        <f>IF($A407="","",IF($B407="","YETİM",IF(COUNTIF(tblKartlar[KartId],$B407)=0,"YETİM","")))</f>
        <v/>
      </c>
      <c r="N407" s="35">
        <f>IF(OR($A407="",$D407=""),"",IF(OR($D407&amp;"|"&amp;$E407="",COUNTIF(ListeIzinliGecis,$D407&amp;"|"&amp;$E407)&gt;0),"","GEÇERSİZ GEÇİŞ"))</f>
        <v/>
      </c>
      <c r="O407" s="35">
        <f>IF($A407="","",IF(OR($F407="",$G407=""),"",IF(ABS($G407-$F407)&gt;zincirTolerans,"ZİNCİR KIRIK","OK")))</f>
        <v/>
      </c>
      <c r="P407" s="35">
        <f>IF($A407="","",1)</f>
        <v/>
      </c>
    </row>
    <row r="408">
      <c r="A408" s="29" t="n"/>
      <c r="B408" s="29" t="n"/>
      <c r="C408" s="70" t="n"/>
      <c r="D408" s="29" t="n"/>
      <c r="E408" s="29" t="n"/>
      <c r="F408" s="30" t="n"/>
      <c r="G408" s="30" t="n"/>
      <c r="H408" s="31" t="n"/>
      <c r="I408" s="31" t="n"/>
      <c r="J408" s="29" t="n"/>
      <c r="K408" s="35">
        <f>IF($A408="","",IF($C408="","",raporTarihi-$C408))</f>
        <v/>
      </c>
      <c r="L408" s="35">
        <f>IF($A408="","",IF($K408="","",IF($K408&lt;=7,"0-7",IF($K408&lt;=30,"8-30",IF($K408&lt;=60,"31-60","60+")))))</f>
        <v/>
      </c>
      <c r="M408" s="35">
        <f>IF($A408="","",IF($B408="","YETİM",IF(COUNTIF(tblKartlar[KartId],$B408)=0,"YETİM","")))</f>
        <v/>
      </c>
      <c r="N408" s="35">
        <f>IF(OR($A408="",$D408=""),"",IF(OR($D408&amp;"|"&amp;$E408="",COUNTIF(ListeIzinliGecis,$D408&amp;"|"&amp;$E408)&gt;0),"","GEÇERSİZ GEÇİŞ"))</f>
        <v/>
      </c>
      <c r="O408" s="35">
        <f>IF($A408="","",IF(OR($F408="",$G408=""),"",IF(ABS($G408-$F408)&gt;zincirTolerans,"ZİNCİR KIRIK","OK")))</f>
        <v/>
      </c>
      <c r="P408" s="35">
        <f>IF($A408="","",1)</f>
        <v/>
      </c>
    </row>
    <row r="409">
      <c r="A409" s="29" t="n"/>
      <c r="B409" s="29" t="n"/>
      <c r="C409" s="70" t="n"/>
      <c r="D409" s="29" t="n"/>
      <c r="E409" s="29" t="n"/>
      <c r="F409" s="30" t="n"/>
      <c r="G409" s="30" t="n"/>
      <c r="H409" s="31" t="n"/>
      <c r="I409" s="31" t="n"/>
      <c r="J409" s="29" t="n"/>
      <c r="K409" s="35">
        <f>IF($A409="","",IF($C409="","",raporTarihi-$C409))</f>
        <v/>
      </c>
      <c r="L409" s="35">
        <f>IF($A409="","",IF($K409="","",IF($K409&lt;=7,"0-7",IF($K409&lt;=30,"8-30",IF($K409&lt;=60,"31-60","60+")))))</f>
        <v/>
      </c>
      <c r="M409" s="35">
        <f>IF($A409="","",IF($B409="","YETİM",IF(COUNTIF(tblKartlar[KartId],$B409)=0,"YETİM","")))</f>
        <v/>
      </c>
      <c r="N409" s="35">
        <f>IF(OR($A409="",$D409=""),"",IF(OR($D409&amp;"|"&amp;$E409="",COUNTIF(ListeIzinliGecis,$D409&amp;"|"&amp;$E409)&gt;0),"","GEÇERSİZ GEÇİŞ"))</f>
        <v/>
      </c>
      <c r="O409" s="35">
        <f>IF($A409="","",IF(OR($F409="",$G409=""),"",IF(ABS($G409-$F409)&gt;zincirTolerans,"ZİNCİR KIRIK","OK")))</f>
        <v/>
      </c>
      <c r="P409" s="35">
        <f>IF($A409="","",1)</f>
        <v/>
      </c>
    </row>
    <row r="410">
      <c r="A410" s="29" t="n"/>
      <c r="B410" s="29" t="n"/>
      <c r="C410" s="70" t="n"/>
      <c r="D410" s="29" t="n"/>
      <c r="E410" s="29" t="n"/>
      <c r="F410" s="30" t="n"/>
      <c r="G410" s="30" t="n"/>
      <c r="H410" s="31" t="n"/>
      <c r="I410" s="31" t="n"/>
      <c r="J410" s="29" t="n"/>
      <c r="K410" s="35">
        <f>IF($A410="","",IF($C410="","",raporTarihi-$C410))</f>
        <v/>
      </c>
      <c r="L410" s="35">
        <f>IF($A410="","",IF($K410="","",IF($K410&lt;=7,"0-7",IF($K410&lt;=30,"8-30",IF($K410&lt;=60,"31-60","60+")))))</f>
        <v/>
      </c>
      <c r="M410" s="35">
        <f>IF($A410="","",IF($B410="","YETİM",IF(COUNTIF(tblKartlar[KartId],$B410)=0,"YETİM","")))</f>
        <v/>
      </c>
      <c r="N410" s="35">
        <f>IF(OR($A410="",$D410=""),"",IF(OR($D410&amp;"|"&amp;$E410="",COUNTIF(ListeIzinliGecis,$D410&amp;"|"&amp;$E410)&gt;0),"","GEÇERSİZ GEÇİŞ"))</f>
        <v/>
      </c>
      <c r="O410" s="35">
        <f>IF($A410="","",IF(OR($F410="",$G410=""),"",IF(ABS($G410-$F410)&gt;zincirTolerans,"ZİNCİR KIRIK","OK")))</f>
        <v/>
      </c>
      <c r="P410" s="35">
        <f>IF($A410="","",1)</f>
        <v/>
      </c>
    </row>
    <row r="411">
      <c r="A411" s="29" t="n"/>
      <c r="B411" s="29" t="n"/>
      <c r="C411" s="70" t="n"/>
      <c r="D411" s="29" t="n"/>
      <c r="E411" s="29" t="n"/>
      <c r="F411" s="30" t="n"/>
      <c r="G411" s="30" t="n"/>
      <c r="H411" s="31" t="n"/>
      <c r="I411" s="31" t="n"/>
      <c r="J411" s="29" t="n"/>
      <c r="K411" s="35">
        <f>IF($A411="","",IF($C411="","",raporTarihi-$C411))</f>
        <v/>
      </c>
      <c r="L411" s="35">
        <f>IF($A411="","",IF($K411="","",IF($K411&lt;=7,"0-7",IF($K411&lt;=30,"8-30",IF($K411&lt;=60,"31-60","60+")))))</f>
        <v/>
      </c>
      <c r="M411" s="35">
        <f>IF($A411="","",IF($B411="","YETİM",IF(COUNTIF(tblKartlar[KartId],$B411)=0,"YETİM","")))</f>
        <v/>
      </c>
      <c r="N411" s="35">
        <f>IF(OR($A411="",$D411=""),"",IF(OR($D411&amp;"|"&amp;$E411="",COUNTIF(ListeIzinliGecis,$D411&amp;"|"&amp;$E411)&gt;0),"","GEÇERSİZ GEÇİŞ"))</f>
        <v/>
      </c>
      <c r="O411" s="35">
        <f>IF($A411="","",IF(OR($F411="",$G411=""),"",IF(ABS($G411-$F411)&gt;zincirTolerans,"ZİNCİR KIRIK","OK")))</f>
        <v/>
      </c>
      <c r="P411" s="35">
        <f>IF($A411="","",1)</f>
        <v/>
      </c>
    </row>
    <row r="412">
      <c r="A412" s="29" t="n"/>
      <c r="B412" s="29" t="n"/>
      <c r="C412" s="70" t="n"/>
      <c r="D412" s="29" t="n"/>
      <c r="E412" s="29" t="n"/>
      <c r="F412" s="30" t="n"/>
      <c r="G412" s="30" t="n"/>
      <c r="H412" s="31" t="n"/>
      <c r="I412" s="31" t="n"/>
      <c r="J412" s="29" t="n"/>
      <c r="K412" s="35">
        <f>IF($A412="","",IF($C412="","",raporTarihi-$C412))</f>
        <v/>
      </c>
      <c r="L412" s="35">
        <f>IF($A412="","",IF($K412="","",IF($K412&lt;=7,"0-7",IF($K412&lt;=30,"8-30",IF($K412&lt;=60,"31-60","60+")))))</f>
        <v/>
      </c>
      <c r="M412" s="35">
        <f>IF($A412="","",IF($B412="","YETİM",IF(COUNTIF(tblKartlar[KartId],$B412)=0,"YETİM","")))</f>
        <v/>
      </c>
      <c r="N412" s="35">
        <f>IF(OR($A412="",$D412=""),"",IF(OR($D412&amp;"|"&amp;$E412="",COUNTIF(ListeIzinliGecis,$D412&amp;"|"&amp;$E412)&gt;0),"","GEÇERSİZ GEÇİŞ"))</f>
        <v/>
      </c>
      <c r="O412" s="35">
        <f>IF($A412="","",IF(OR($F412="",$G412=""),"",IF(ABS($G412-$F412)&gt;zincirTolerans,"ZİNCİR KIRIK","OK")))</f>
        <v/>
      </c>
      <c r="P412" s="35">
        <f>IF($A412="","",1)</f>
        <v/>
      </c>
    </row>
    <row r="413">
      <c r="A413" s="29" t="n"/>
      <c r="B413" s="29" t="n"/>
      <c r="C413" s="70" t="n"/>
      <c r="D413" s="29" t="n"/>
      <c r="E413" s="29" t="n"/>
      <c r="F413" s="30" t="n"/>
      <c r="G413" s="30" t="n"/>
      <c r="H413" s="31" t="n"/>
      <c r="I413" s="31" t="n"/>
      <c r="J413" s="29" t="n"/>
      <c r="K413" s="35">
        <f>IF($A413="","",IF($C413="","",raporTarihi-$C413))</f>
        <v/>
      </c>
      <c r="L413" s="35">
        <f>IF($A413="","",IF($K413="","",IF($K413&lt;=7,"0-7",IF($K413&lt;=30,"8-30",IF($K413&lt;=60,"31-60","60+")))))</f>
        <v/>
      </c>
      <c r="M413" s="35">
        <f>IF($A413="","",IF($B413="","YETİM",IF(COUNTIF(tblKartlar[KartId],$B413)=0,"YETİM","")))</f>
        <v/>
      </c>
      <c r="N413" s="35">
        <f>IF(OR($A413="",$D413=""),"",IF(OR($D413&amp;"|"&amp;$E413="",COUNTIF(ListeIzinliGecis,$D413&amp;"|"&amp;$E413)&gt;0),"","GEÇERSİZ GEÇİŞ"))</f>
        <v/>
      </c>
      <c r="O413" s="35">
        <f>IF($A413="","",IF(OR($F413="",$G413=""),"",IF(ABS($G413-$F413)&gt;zincirTolerans,"ZİNCİR KIRIK","OK")))</f>
        <v/>
      </c>
      <c r="P413" s="35">
        <f>IF($A413="","",1)</f>
        <v/>
      </c>
    </row>
    <row r="414">
      <c r="A414" s="29" t="n"/>
      <c r="B414" s="29" t="n"/>
      <c r="C414" s="70" t="n"/>
      <c r="D414" s="29" t="n"/>
      <c r="E414" s="29" t="n"/>
      <c r="F414" s="30" t="n"/>
      <c r="G414" s="30" t="n"/>
      <c r="H414" s="31" t="n"/>
      <c r="I414" s="31" t="n"/>
      <c r="J414" s="29" t="n"/>
      <c r="K414" s="35">
        <f>IF($A414="","",IF($C414="","",raporTarihi-$C414))</f>
        <v/>
      </c>
      <c r="L414" s="35">
        <f>IF($A414="","",IF($K414="","",IF($K414&lt;=7,"0-7",IF($K414&lt;=30,"8-30",IF($K414&lt;=60,"31-60","60+")))))</f>
        <v/>
      </c>
      <c r="M414" s="35">
        <f>IF($A414="","",IF($B414="","YETİM",IF(COUNTIF(tblKartlar[KartId],$B414)=0,"YETİM","")))</f>
        <v/>
      </c>
      <c r="N414" s="35">
        <f>IF(OR($A414="",$D414=""),"",IF(OR($D414&amp;"|"&amp;$E414="",COUNTIF(ListeIzinliGecis,$D414&amp;"|"&amp;$E414)&gt;0),"","GEÇERSİZ GEÇİŞ"))</f>
        <v/>
      </c>
      <c r="O414" s="35">
        <f>IF($A414="","",IF(OR($F414="",$G414=""),"",IF(ABS($G414-$F414)&gt;zincirTolerans,"ZİNCİR KIRIK","OK")))</f>
        <v/>
      </c>
      <c r="P414" s="35">
        <f>IF($A414="","",1)</f>
        <v/>
      </c>
    </row>
    <row r="415">
      <c r="A415" s="29" t="n"/>
      <c r="B415" s="29" t="n"/>
      <c r="C415" s="70" t="n"/>
      <c r="D415" s="29" t="n"/>
      <c r="E415" s="29" t="n"/>
      <c r="F415" s="30" t="n"/>
      <c r="G415" s="30" t="n"/>
      <c r="H415" s="31" t="n"/>
      <c r="I415" s="31" t="n"/>
      <c r="J415" s="29" t="n"/>
      <c r="K415" s="35">
        <f>IF($A415="","",IF($C415="","",raporTarihi-$C415))</f>
        <v/>
      </c>
      <c r="L415" s="35">
        <f>IF($A415="","",IF($K415="","",IF($K415&lt;=7,"0-7",IF($K415&lt;=30,"8-30",IF($K415&lt;=60,"31-60","60+")))))</f>
        <v/>
      </c>
      <c r="M415" s="35">
        <f>IF($A415="","",IF($B415="","YETİM",IF(COUNTIF(tblKartlar[KartId],$B415)=0,"YETİM","")))</f>
        <v/>
      </c>
      <c r="N415" s="35">
        <f>IF(OR($A415="",$D415=""),"",IF(OR($D415&amp;"|"&amp;$E415="",COUNTIF(ListeIzinliGecis,$D415&amp;"|"&amp;$E415)&gt;0),"","GEÇERSİZ GEÇİŞ"))</f>
        <v/>
      </c>
      <c r="O415" s="35">
        <f>IF($A415="","",IF(OR($F415="",$G415=""),"",IF(ABS($G415-$F415)&gt;zincirTolerans,"ZİNCİR KIRIK","OK")))</f>
        <v/>
      </c>
      <c r="P415" s="35">
        <f>IF($A415="","",1)</f>
        <v/>
      </c>
    </row>
    <row r="416">
      <c r="A416" s="29" t="n"/>
      <c r="B416" s="29" t="n"/>
      <c r="C416" s="70" t="n"/>
      <c r="D416" s="29" t="n"/>
      <c r="E416" s="29" t="n"/>
      <c r="F416" s="30" t="n"/>
      <c r="G416" s="30" t="n"/>
      <c r="H416" s="31" t="n"/>
      <c r="I416" s="31" t="n"/>
      <c r="J416" s="29" t="n"/>
      <c r="K416" s="35">
        <f>IF($A416="","",IF($C416="","",raporTarihi-$C416))</f>
        <v/>
      </c>
      <c r="L416" s="35">
        <f>IF($A416="","",IF($K416="","",IF($K416&lt;=7,"0-7",IF($K416&lt;=30,"8-30",IF($K416&lt;=60,"31-60","60+")))))</f>
        <v/>
      </c>
      <c r="M416" s="35">
        <f>IF($A416="","",IF($B416="","YETİM",IF(COUNTIF(tblKartlar[KartId],$B416)=0,"YETİM","")))</f>
        <v/>
      </c>
      <c r="N416" s="35">
        <f>IF(OR($A416="",$D416=""),"",IF(OR($D416&amp;"|"&amp;$E416="",COUNTIF(ListeIzinliGecis,$D416&amp;"|"&amp;$E416)&gt;0),"","GEÇERSİZ GEÇİŞ"))</f>
        <v/>
      </c>
      <c r="O416" s="35">
        <f>IF($A416="","",IF(OR($F416="",$G416=""),"",IF(ABS($G416-$F416)&gt;zincirTolerans,"ZİNCİR KIRIK","OK")))</f>
        <v/>
      </c>
      <c r="P416" s="35">
        <f>IF($A416="","",1)</f>
        <v/>
      </c>
    </row>
    <row r="417">
      <c r="A417" s="29" t="n"/>
      <c r="B417" s="29" t="n"/>
      <c r="C417" s="70" t="n"/>
      <c r="D417" s="29" t="n"/>
      <c r="E417" s="29" t="n"/>
      <c r="F417" s="30" t="n"/>
      <c r="G417" s="30" t="n"/>
      <c r="H417" s="31" t="n"/>
      <c r="I417" s="31" t="n"/>
      <c r="J417" s="29" t="n"/>
      <c r="K417" s="35">
        <f>IF($A417="","",IF($C417="","",raporTarihi-$C417))</f>
        <v/>
      </c>
      <c r="L417" s="35">
        <f>IF($A417="","",IF($K417="","",IF($K417&lt;=7,"0-7",IF($K417&lt;=30,"8-30",IF($K417&lt;=60,"31-60","60+")))))</f>
        <v/>
      </c>
      <c r="M417" s="35">
        <f>IF($A417="","",IF($B417="","YETİM",IF(COUNTIF(tblKartlar[KartId],$B417)=0,"YETİM","")))</f>
        <v/>
      </c>
      <c r="N417" s="35">
        <f>IF(OR($A417="",$D417=""),"",IF(OR($D417&amp;"|"&amp;$E417="",COUNTIF(ListeIzinliGecis,$D417&amp;"|"&amp;$E417)&gt;0),"","GEÇERSİZ GEÇİŞ"))</f>
        <v/>
      </c>
      <c r="O417" s="35">
        <f>IF($A417="","",IF(OR($F417="",$G417=""),"",IF(ABS($G417-$F417)&gt;zincirTolerans,"ZİNCİR KIRIK","OK")))</f>
        <v/>
      </c>
      <c r="P417" s="35">
        <f>IF($A417="","",1)</f>
        <v/>
      </c>
    </row>
    <row r="418">
      <c r="A418" s="29" t="n"/>
      <c r="B418" s="29" t="n"/>
      <c r="C418" s="70" t="n"/>
      <c r="D418" s="29" t="n"/>
      <c r="E418" s="29" t="n"/>
      <c r="F418" s="30" t="n"/>
      <c r="G418" s="30" t="n"/>
      <c r="H418" s="31" t="n"/>
      <c r="I418" s="31" t="n"/>
      <c r="J418" s="29" t="n"/>
      <c r="K418" s="35">
        <f>IF($A418="","",IF($C418="","",raporTarihi-$C418))</f>
        <v/>
      </c>
      <c r="L418" s="35">
        <f>IF($A418="","",IF($K418="","",IF($K418&lt;=7,"0-7",IF($K418&lt;=30,"8-30",IF($K418&lt;=60,"31-60","60+")))))</f>
        <v/>
      </c>
      <c r="M418" s="35">
        <f>IF($A418="","",IF($B418="","YETİM",IF(COUNTIF(tblKartlar[KartId],$B418)=0,"YETİM","")))</f>
        <v/>
      </c>
      <c r="N418" s="35">
        <f>IF(OR($A418="",$D418=""),"",IF(OR($D418&amp;"|"&amp;$E418="",COUNTIF(ListeIzinliGecis,$D418&amp;"|"&amp;$E418)&gt;0),"","GEÇERSİZ GEÇİŞ"))</f>
        <v/>
      </c>
      <c r="O418" s="35">
        <f>IF($A418="","",IF(OR($F418="",$G418=""),"",IF(ABS($G418-$F418)&gt;zincirTolerans,"ZİNCİR KIRIK","OK")))</f>
        <v/>
      </c>
      <c r="P418" s="35">
        <f>IF($A418="","",1)</f>
        <v/>
      </c>
    </row>
    <row r="419">
      <c r="A419" s="29" t="n"/>
      <c r="B419" s="29" t="n"/>
      <c r="C419" s="70" t="n"/>
      <c r="D419" s="29" t="n"/>
      <c r="E419" s="29" t="n"/>
      <c r="F419" s="30" t="n"/>
      <c r="G419" s="30" t="n"/>
      <c r="H419" s="31" t="n"/>
      <c r="I419" s="31" t="n"/>
      <c r="J419" s="29" t="n"/>
      <c r="K419" s="35">
        <f>IF($A419="","",IF($C419="","",raporTarihi-$C419))</f>
        <v/>
      </c>
      <c r="L419" s="35">
        <f>IF($A419="","",IF($K419="","",IF($K419&lt;=7,"0-7",IF($K419&lt;=30,"8-30",IF($K419&lt;=60,"31-60","60+")))))</f>
        <v/>
      </c>
      <c r="M419" s="35">
        <f>IF($A419="","",IF($B419="","YETİM",IF(COUNTIF(tblKartlar[KartId],$B419)=0,"YETİM","")))</f>
        <v/>
      </c>
      <c r="N419" s="35">
        <f>IF(OR($A419="",$D419=""),"",IF(OR($D419&amp;"|"&amp;$E419="",COUNTIF(ListeIzinliGecis,$D419&amp;"|"&amp;$E419)&gt;0),"","GEÇERSİZ GEÇİŞ"))</f>
        <v/>
      </c>
      <c r="O419" s="35">
        <f>IF($A419="","",IF(OR($F419="",$G419=""),"",IF(ABS($G419-$F419)&gt;zincirTolerans,"ZİNCİR KIRIK","OK")))</f>
        <v/>
      </c>
      <c r="P419" s="35">
        <f>IF($A419="","",1)</f>
        <v/>
      </c>
    </row>
    <row r="420">
      <c r="A420" s="29" t="n"/>
      <c r="B420" s="29" t="n"/>
      <c r="C420" s="70" t="n"/>
      <c r="D420" s="29" t="n"/>
      <c r="E420" s="29" t="n"/>
      <c r="F420" s="30" t="n"/>
      <c r="G420" s="30" t="n"/>
      <c r="H420" s="31" t="n"/>
      <c r="I420" s="31" t="n"/>
      <c r="J420" s="29" t="n"/>
      <c r="K420" s="35">
        <f>IF($A420="","",IF($C420="","",raporTarihi-$C420))</f>
        <v/>
      </c>
      <c r="L420" s="35">
        <f>IF($A420="","",IF($K420="","",IF($K420&lt;=7,"0-7",IF($K420&lt;=30,"8-30",IF($K420&lt;=60,"31-60","60+")))))</f>
        <v/>
      </c>
      <c r="M420" s="35">
        <f>IF($A420="","",IF($B420="","YETİM",IF(COUNTIF(tblKartlar[KartId],$B420)=0,"YETİM","")))</f>
        <v/>
      </c>
      <c r="N420" s="35">
        <f>IF(OR($A420="",$D420=""),"",IF(OR($D420&amp;"|"&amp;$E420="",COUNTIF(ListeIzinliGecis,$D420&amp;"|"&amp;$E420)&gt;0),"","GEÇERSİZ GEÇİŞ"))</f>
        <v/>
      </c>
      <c r="O420" s="35">
        <f>IF($A420="","",IF(OR($F420="",$G420=""),"",IF(ABS($G420-$F420)&gt;zincirTolerans,"ZİNCİR KIRIK","OK")))</f>
        <v/>
      </c>
      <c r="P420" s="35">
        <f>IF($A420="","",1)</f>
        <v/>
      </c>
    </row>
    <row r="421">
      <c r="A421" s="29" t="n"/>
      <c r="B421" s="29" t="n"/>
      <c r="C421" s="70" t="n"/>
      <c r="D421" s="29" t="n"/>
      <c r="E421" s="29" t="n"/>
      <c r="F421" s="30" t="n"/>
      <c r="G421" s="30" t="n"/>
      <c r="H421" s="31" t="n"/>
      <c r="I421" s="31" t="n"/>
      <c r="J421" s="29" t="n"/>
      <c r="K421" s="35">
        <f>IF($A421="","",IF($C421="","",raporTarihi-$C421))</f>
        <v/>
      </c>
      <c r="L421" s="35">
        <f>IF($A421="","",IF($K421="","",IF($K421&lt;=7,"0-7",IF($K421&lt;=30,"8-30",IF($K421&lt;=60,"31-60","60+")))))</f>
        <v/>
      </c>
      <c r="M421" s="35">
        <f>IF($A421="","",IF($B421="","YETİM",IF(COUNTIF(tblKartlar[KartId],$B421)=0,"YETİM","")))</f>
        <v/>
      </c>
      <c r="N421" s="35">
        <f>IF(OR($A421="",$D421=""),"",IF(OR($D421&amp;"|"&amp;$E421="",COUNTIF(ListeIzinliGecis,$D421&amp;"|"&amp;$E421)&gt;0),"","GEÇERSİZ GEÇİŞ"))</f>
        <v/>
      </c>
      <c r="O421" s="35">
        <f>IF($A421="","",IF(OR($F421="",$G421=""),"",IF(ABS($G421-$F421)&gt;zincirTolerans,"ZİNCİR KIRIK","OK")))</f>
        <v/>
      </c>
      <c r="P421" s="35">
        <f>IF($A421="","",1)</f>
        <v/>
      </c>
    </row>
    <row r="422">
      <c r="A422" s="29" t="n"/>
      <c r="B422" s="29" t="n"/>
      <c r="C422" s="70" t="n"/>
      <c r="D422" s="29" t="n"/>
      <c r="E422" s="29" t="n"/>
      <c r="F422" s="30" t="n"/>
      <c r="G422" s="30" t="n"/>
      <c r="H422" s="31" t="n"/>
      <c r="I422" s="31" t="n"/>
      <c r="J422" s="29" t="n"/>
      <c r="K422" s="35">
        <f>IF($A422="","",IF($C422="","",raporTarihi-$C422))</f>
        <v/>
      </c>
      <c r="L422" s="35">
        <f>IF($A422="","",IF($K422="","",IF($K422&lt;=7,"0-7",IF($K422&lt;=30,"8-30",IF($K422&lt;=60,"31-60","60+")))))</f>
        <v/>
      </c>
      <c r="M422" s="35">
        <f>IF($A422="","",IF($B422="","YETİM",IF(COUNTIF(tblKartlar[KartId],$B422)=0,"YETİM","")))</f>
        <v/>
      </c>
      <c r="N422" s="35">
        <f>IF(OR($A422="",$D422=""),"",IF(OR($D422&amp;"|"&amp;$E422="",COUNTIF(ListeIzinliGecis,$D422&amp;"|"&amp;$E422)&gt;0),"","GEÇERSİZ GEÇİŞ"))</f>
        <v/>
      </c>
      <c r="O422" s="35">
        <f>IF($A422="","",IF(OR($F422="",$G422=""),"",IF(ABS($G422-$F422)&gt;zincirTolerans,"ZİNCİR KIRIK","OK")))</f>
        <v/>
      </c>
      <c r="P422" s="35">
        <f>IF($A422="","",1)</f>
        <v/>
      </c>
    </row>
    <row r="423">
      <c r="A423" s="29" t="n"/>
      <c r="B423" s="29" t="n"/>
      <c r="C423" s="70" t="n"/>
      <c r="D423" s="29" t="n"/>
      <c r="E423" s="29" t="n"/>
      <c r="F423" s="30" t="n"/>
      <c r="G423" s="30" t="n"/>
      <c r="H423" s="31" t="n"/>
      <c r="I423" s="31" t="n"/>
      <c r="J423" s="29" t="n"/>
      <c r="K423" s="35">
        <f>IF($A423="","",IF($C423="","",raporTarihi-$C423))</f>
        <v/>
      </c>
      <c r="L423" s="35">
        <f>IF($A423="","",IF($K423="","",IF($K423&lt;=7,"0-7",IF($K423&lt;=30,"8-30",IF($K423&lt;=60,"31-60","60+")))))</f>
        <v/>
      </c>
      <c r="M423" s="35">
        <f>IF($A423="","",IF($B423="","YETİM",IF(COUNTIF(tblKartlar[KartId],$B423)=0,"YETİM","")))</f>
        <v/>
      </c>
      <c r="N423" s="35">
        <f>IF(OR($A423="",$D423=""),"",IF(OR($D423&amp;"|"&amp;$E423="",COUNTIF(ListeIzinliGecis,$D423&amp;"|"&amp;$E423)&gt;0),"","GEÇERSİZ GEÇİŞ"))</f>
        <v/>
      </c>
      <c r="O423" s="35">
        <f>IF($A423="","",IF(OR($F423="",$G423=""),"",IF(ABS($G423-$F423)&gt;zincirTolerans,"ZİNCİR KIRIK","OK")))</f>
        <v/>
      </c>
      <c r="P423" s="35">
        <f>IF($A423="","",1)</f>
        <v/>
      </c>
    </row>
    <row r="424">
      <c r="A424" s="29" t="n"/>
      <c r="B424" s="29" t="n"/>
      <c r="C424" s="70" t="n"/>
      <c r="D424" s="29" t="n"/>
      <c r="E424" s="29" t="n"/>
      <c r="F424" s="30" t="n"/>
      <c r="G424" s="30" t="n"/>
      <c r="H424" s="31" t="n"/>
      <c r="I424" s="31" t="n"/>
      <c r="J424" s="29" t="n"/>
      <c r="K424" s="35">
        <f>IF($A424="","",IF($C424="","",raporTarihi-$C424))</f>
        <v/>
      </c>
      <c r="L424" s="35">
        <f>IF($A424="","",IF($K424="","",IF($K424&lt;=7,"0-7",IF($K424&lt;=30,"8-30",IF($K424&lt;=60,"31-60","60+")))))</f>
        <v/>
      </c>
      <c r="M424" s="35">
        <f>IF($A424="","",IF($B424="","YETİM",IF(COUNTIF(tblKartlar[KartId],$B424)=0,"YETİM","")))</f>
        <v/>
      </c>
      <c r="N424" s="35">
        <f>IF(OR($A424="",$D424=""),"",IF(OR($D424&amp;"|"&amp;$E424="",COUNTIF(ListeIzinliGecis,$D424&amp;"|"&amp;$E424)&gt;0),"","GEÇERSİZ GEÇİŞ"))</f>
        <v/>
      </c>
      <c r="O424" s="35">
        <f>IF($A424="","",IF(OR($F424="",$G424=""),"",IF(ABS($G424-$F424)&gt;zincirTolerans,"ZİNCİR KIRIK","OK")))</f>
        <v/>
      </c>
      <c r="P424" s="35">
        <f>IF($A424="","",1)</f>
        <v/>
      </c>
    </row>
    <row r="425">
      <c r="A425" s="29" t="n"/>
      <c r="B425" s="29" t="n"/>
      <c r="C425" s="70" t="n"/>
      <c r="D425" s="29" t="n"/>
      <c r="E425" s="29" t="n"/>
      <c r="F425" s="30" t="n"/>
      <c r="G425" s="30" t="n"/>
      <c r="H425" s="31" t="n"/>
      <c r="I425" s="31" t="n"/>
      <c r="J425" s="29" t="n"/>
      <c r="K425" s="35">
        <f>IF($A425="","",IF($C425="","",raporTarihi-$C425))</f>
        <v/>
      </c>
      <c r="L425" s="35">
        <f>IF($A425="","",IF($K425="","",IF($K425&lt;=7,"0-7",IF($K425&lt;=30,"8-30",IF($K425&lt;=60,"31-60","60+")))))</f>
        <v/>
      </c>
      <c r="M425" s="35">
        <f>IF($A425="","",IF($B425="","YETİM",IF(COUNTIF(tblKartlar[KartId],$B425)=0,"YETİM","")))</f>
        <v/>
      </c>
      <c r="N425" s="35">
        <f>IF(OR($A425="",$D425=""),"",IF(OR($D425&amp;"|"&amp;$E425="",COUNTIF(ListeIzinliGecis,$D425&amp;"|"&amp;$E425)&gt;0),"","GEÇERSİZ GEÇİŞ"))</f>
        <v/>
      </c>
      <c r="O425" s="35">
        <f>IF($A425="","",IF(OR($F425="",$G425=""),"",IF(ABS($G425-$F425)&gt;zincirTolerans,"ZİNCİR KIRIK","OK")))</f>
        <v/>
      </c>
      <c r="P425" s="35">
        <f>IF($A425="","",1)</f>
        <v/>
      </c>
    </row>
    <row r="426">
      <c r="A426" s="29" t="n"/>
      <c r="B426" s="29" t="n"/>
      <c r="C426" s="70" t="n"/>
      <c r="D426" s="29" t="n"/>
      <c r="E426" s="29" t="n"/>
      <c r="F426" s="30" t="n"/>
      <c r="G426" s="30" t="n"/>
      <c r="H426" s="31" t="n"/>
      <c r="I426" s="31" t="n"/>
      <c r="J426" s="29" t="n"/>
      <c r="K426" s="35">
        <f>IF($A426="","",IF($C426="","",raporTarihi-$C426))</f>
        <v/>
      </c>
      <c r="L426" s="35">
        <f>IF($A426="","",IF($K426="","",IF($K426&lt;=7,"0-7",IF($K426&lt;=30,"8-30",IF($K426&lt;=60,"31-60","60+")))))</f>
        <v/>
      </c>
      <c r="M426" s="35">
        <f>IF($A426="","",IF($B426="","YETİM",IF(COUNTIF(tblKartlar[KartId],$B426)=0,"YETİM","")))</f>
        <v/>
      </c>
      <c r="N426" s="35">
        <f>IF(OR($A426="",$D426=""),"",IF(OR($D426&amp;"|"&amp;$E426="",COUNTIF(ListeIzinliGecis,$D426&amp;"|"&amp;$E426)&gt;0),"","GEÇERSİZ GEÇİŞ"))</f>
        <v/>
      </c>
      <c r="O426" s="35">
        <f>IF($A426="","",IF(OR($F426="",$G426=""),"",IF(ABS($G426-$F426)&gt;zincirTolerans,"ZİNCİR KIRIK","OK")))</f>
        <v/>
      </c>
      <c r="P426" s="35">
        <f>IF($A426="","",1)</f>
        <v/>
      </c>
    </row>
    <row r="427">
      <c r="A427" s="29" t="n"/>
      <c r="B427" s="29" t="n"/>
      <c r="C427" s="70" t="n"/>
      <c r="D427" s="29" t="n"/>
      <c r="E427" s="29" t="n"/>
      <c r="F427" s="30" t="n"/>
      <c r="G427" s="30" t="n"/>
      <c r="H427" s="31" t="n"/>
      <c r="I427" s="31" t="n"/>
      <c r="J427" s="29" t="n"/>
      <c r="K427" s="35">
        <f>IF($A427="","",IF($C427="","",raporTarihi-$C427))</f>
        <v/>
      </c>
      <c r="L427" s="35">
        <f>IF($A427="","",IF($K427="","",IF($K427&lt;=7,"0-7",IF($K427&lt;=30,"8-30",IF($K427&lt;=60,"31-60","60+")))))</f>
        <v/>
      </c>
      <c r="M427" s="35">
        <f>IF($A427="","",IF($B427="","YETİM",IF(COUNTIF(tblKartlar[KartId],$B427)=0,"YETİM","")))</f>
        <v/>
      </c>
      <c r="N427" s="35">
        <f>IF(OR($A427="",$D427=""),"",IF(OR($D427&amp;"|"&amp;$E427="",COUNTIF(ListeIzinliGecis,$D427&amp;"|"&amp;$E427)&gt;0),"","GEÇERSİZ GEÇİŞ"))</f>
        <v/>
      </c>
      <c r="O427" s="35">
        <f>IF($A427="","",IF(OR($F427="",$G427=""),"",IF(ABS($G427-$F427)&gt;zincirTolerans,"ZİNCİR KIRIK","OK")))</f>
        <v/>
      </c>
      <c r="P427" s="35">
        <f>IF($A427="","",1)</f>
        <v/>
      </c>
    </row>
    <row r="428">
      <c r="A428" s="29" t="n"/>
      <c r="B428" s="29" t="n"/>
      <c r="C428" s="70" t="n"/>
      <c r="D428" s="29" t="n"/>
      <c r="E428" s="29" t="n"/>
      <c r="F428" s="30" t="n"/>
      <c r="G428" s="30" t="n"/>
      <c r="H428" s="31" t="n"/>
      <c r="I428" s="31" t="n"/>
      <c r="J428" s="29" t="n"/>
      <c r="K428" s="35">
        <f>IF($A428="","",IF($C428="","",raporTarihi-$C428))</f>
        <v/>
      </c>
      <c r="L428" s="35">
        <f>IF($A428="","",IF($K428="","",IF($K428&lt;=7,"0-7",IF($K428&lt;=30,"8-30",IF($K428&lt;=60,"31-60","60+")))))</f>
        <v/>
      </c>
      <c r="M428" s="35">
        <f>IF($A428="","",IF($B428="","YETİM",IF(COUNTIF(tblKartlar[KartId],$B428)=0,"YETİM","")))</f>
        <v/>
      </c>
      <c r="N428" s="35">
        <f>IF(OR($A428="",$D428=""),"",IF(OR($D428&amp;"|"&amp;$E428="",COUNTIF(ListeIzinliGecis,$D428&amp;"|"&amp;$E428)&gt;0),"","GEÇERSİZ GEÇİŞ"))</f>
        <v/>
      </c>
      <c r="O428" s="35">
        <f>IF($A428="","",IF(OR($F428="",$G428=""),"",IF(ABS($G428-$F428)&gt;zincirTolerans,"ZİNCİR KIRIK","OK")))</f>
        <v/>
      </c>
      <c r="P428" s="35">
        <f>IF($A428="","",1)</f>
        <v/>
      </c>
    </row>
    <row r="429">
      <c r="A429" s="29" t="n"/>
      <c r="B429" s="29" t="n"/>
      <c r="C429" s="70" t="n"/>
      <c r="D429" s="29" t="n"/>
      <c r="E429" s="29" t="n"/>
      <c r="F429" s="30" t="n"/>
      <c r="G429" s="30" t="n"/>
      <c r="H429" s="31" t="n"/>
      <c r="I429" s="31" t="n"/>
      <c r="J429" s="29" t="n"/>
      <c r="K429" s="35">
        <f>IF($A429="","",IF($C429="","",raporTarihi-$C429))</f>
        <v/>
      </c>
      <c r="L429" s="35">
        <f>IF($A429="","",IF($K429="","",IF($K429&lt;=7,"0-7",IF($K429&lt;=30,"8-30",IF($K429&lt;=60,"31-60","60+")))))</f>
        <v/>
      </c>
      <c r="M429" s="35">
        <f>IF($A429="","",IF($B429="","YETİM",IF(COUNTIF(tblKartlar[KartId],$B429)=0,"YETİM","")))</f>
        <v/>
      </c>
      <c r="N429" s="35">
        <f>IF(OR($A429="",$D429=""),"",IF(OR($D429&amp;"|"&amp;$E429="",COUNTIF(ListeIzinliGecis,$D429&amp;"|"&amp;$E429)&gt;0),"","GEÇERSİZ GEÇİŞ"))</f>
        <v/>
      </c>
      <c r="O429" s="35">
        <f>IF($A429="","",IF(OR($F429="",$G429=""),"",IF(ABS($G429-$F429)&gt;zincirTolerans,"ZİNCİR KIRIK","OK")))</f>
        <v/>
      </c>
      <c r="P429" s="35">
        <f>IF($A429="","",1)</f>
        <v/>
      </c>
    </row>
    <row r="430">
      <c r="A430" s="29" t="n"/>
      <c r="B430" s="29" t="n"/>
      <c r="C430" s="70" t="n"/>
      <c r="D430" s="29" t="n"/>
      <c r="E430" s="29" t="n"/>
      <c r="F430" s="30" t="n"/>
      <c r="G430" s="30" t="n"/>
      <c r="H430" s="31" t="n"/>
      <c r="I430" s="31" t="n"/>
      <c r="J430" s="29" t="n"/>
      <c r="K430" s="35">
        <f>IF($A430="","",IF($C430="","",raporTarihi-$C430))</f>
        <v/>
      </c>
      <c r="L430" s="35">
        <f>IF($A430="","",IF($K430="","",IF($K430&lt;=7,"0-7",IF($K430&lt;=30,"8-30",IF($K430&lt;=60,"31-60","60+")))))</f>
        <v/>
      </c>
      <c r="M430" s="35">
        <f>IF($A430="","",IF($B430="","YETİM",IF(COUNTIF(tblKartlar[KartId],$B430)=0,"YETİM","")))</f>
        <v/>
      </c>
      <c r="N430" s="35">
        <f>IF(OR($A430="",$D430=""),"",IF(OR($D430&amp;"|"&amp;$E430="",COUNTIF(ListeIzinliGecis,$D430&amp;"|"&amp;$E430)&gt;0),"","GEÇERSİZ GEÇİŞ"))</f>
        <v/>
      </c>
      <c r="O430" s="35">
        <f>IF($A430="","",IF(OR($F430="",$G430=""),"",IF(ABS($G430-$F430)&gt;zincirTolerans,"ZİNCİR KIRIK","OK")))</f>
        <v/>
      </c>
      <c r="P430" s="35">
        <f>IF($A430="","",1)</f>
        <v/>
      </c>
    </row>
    <row r="431">
      <c r="A431" s="29" t="n"/>
      <c r="B431" s="29" t="n"/>
      <c r="C431" s="70" t="n"/>
      <c r="D431" s="29" t="n"/>
      <c r="E431" s="29" t="n"/>
      <c r="F431" s="30" t="n"/>
      <c r="G431" s="30" t="n"/>
      <c r="H431" s="31" t="n"/>
      <c r="I431" s="31" t="n"/>
      <c r="J431" s="29" t="n"/>
      <c r="K431" s="35">
        <f>IF($A431="","",IF($C431="","",raporTarihi-$C431))</f>
        <v/>
      </c>
      <c r="L431" s="35">
        <f>IF($A431="","",IF($K431="","",IF($K431&lt;=7,"0-7",IF($K431&lt;=30,"8-30",IF($K431&lt;=60,"31-60","60+")))))</f>
        <v/>
      </c>
      <c r="M431" s="35">
        <f>IF($A431="","",IF($B431="","YETİM",IF(COUNTIF(tblKartlar[KartId],$B431)=0,"YETİM","")))</f>
        <v/>
      </c>
      <c r="N431" s="35">
        <f>IF(OR($A431="",$D431=""),"",IF(OR($D431&amp;"|"&amp;$E431="",COUNTIF(ListeIzinliGecis,$D431&amp;"|"&amp;$E431)&gt;0),"","GEÇERSİZ GEÇİŞ"))</f>
        <v/>
      </c>
      <c r="O431" s="35">
        <f>IF($A431="","",IF(OR($F431="",$G431=""),"",IF(ABS($G431-$F431)&gt;zincirTolerans,"ZİNCİR KIRIK","OK")))</f>
        <v/>
      </c>
      <c r="P431" s="35">
        <f>IF($A431="","",1)</f>
        <v/>
      </c>
    </row>
    <row r="432">
      <c r="A432" s="29" t="n"/>
      <c r="B432" s="29" t="n"/>
      <c r="C432" s="70" t="n"/>
      <c r="D432" s="29" t="n"/>
      <c r="E432" s="29" t="n"/>
      <c r="F432" s="30" t="n"/>
      <c r="G432" s="30" t="n"/>
      <c r="H432" s="31" t="n"/>
      <c r="I432" s="31" t="n"/>
      <c r="J432" s="29" t="n"/>
      <c r="K432" s="35">
        <f>IF($A432="","",IF($C432="","",raporTarihi-$C432))</f>
        <v/>
      </c>
      <c r="L432" s="35">
        <f>IF($A432="","",IF($K432="","",IF($K432&lt;=7,"0-7",IF($K432&lt;=30,"8-30",IF($K432&lt;=60,"31-60","60+")))))</f>
        <v/>
      </c>
      <c r="M432" s="35">
        <f>IF($A432="","",IF($B432="","YETİM",IF(COUNTIF(tblKartlar[KartId],$B432)=0,"YETİM","")))</f>
        <v/>
      </c>
      <c r="N432" s="35">
        <f>IF(OR($A432="",$D432=""),"",IF(OR($D432&amp;"|"&amp;$E432="",COUNTIF(ListeIzinliGecis,$D432&amp;"|"&amp;$E432)&gt;0),"","GEÇERSİZ GEÇİŞ"))</f>
        <v/>
      </c>
      <c r="O432" s="35">
        <f>IF($A432="","",IF(OR($F432="",$G432=""),"",IF(ABS($G432-$F432)&gt;zincirTolerans,"ZİNCİR KIRIK","OK")))</f>
        <v/>
      </c>
      <c r="P432" s="35">
        <f>IF($A432="","",1)</f>
        <v/>
      </c>
    </row>
    <row r="433">
      <c r="A433" s="29" t="n"/>
      <c r="B433" s="29" t="n"/>
      <c r="C433" s="70" t="n"/>
      <c r="D433" s="29" t="n"/>
      <c r="E433" s="29" t="n"/>
      <c r="F433" s="30" t="n"/>
      <c r="G433" s="30" t="n"/>
      <c r="H433" s="31" t="n"/>
      <c r="I433" s="31" t="n"/>
      <c r="J433" s="29" t="n"/>
      <c r="K433" s="35">
        <f>IF($A433="","",IF($C433="","",raporTarihi-$C433))</f>
        <v/>
      </c>
      <c r="L433" s="35">
        <f>IF($A433="","",IF($K433="","",IF($K433&lt;=7,"0-7",IF($K433&lt;=30,"8-30",IF($K433&lt;=60,"31-60","60+")))))</f>
        <v/>
      </c>
      <c r="M433" s="35">
        <f>IF($A433="","",IF($B433="","YETİM",IF(COUNTIF(tblKartlar[KartId],$B433)=0,"YETİM","")))</f>
        <v/>
      </c>
      <c r="N433" s="35">
        <f>IF(OR($A433="",$D433=""),"",IF(OR($D433&amp;"|"&amp;$E433="",COUNTIF(ListeIzinliGecis,$D433&amp;"|"&amp;$E433)&gt;0),"","GEÇERSİZ GEÇİŞ"))</f>
        <v/>
      </c>
      <c r="O433" s="35">
        <f>IF($A433="","",IF(OR($F433="",$G433=""),"",IF(ABS($G433-$F433)&gt;zincirTolerans,"ZİNCİR KIRIK","OK")))</f>
        <v/>
      </c>
      <c r="P433" s="35">
        <f>IF($A433="","",1)</f>
        <v/>
      </c>
    </row>
    <row r="434">
      <c r="A434" s="29" t="n"/>
      <c r="B434" s="29" t="n"/>
      <c r="C434" s="70" t="n"/>
      <c r="D434" s="29" t="n"/>
      <c r="E434" s="29" t="n"/>
      <c r="F434" s="30" t="n"/>
      <c r="G434" s="30" t="n"/>
      <c r="H434" s="31" t="n"/>
      <c r="I434" s="31" t="n"/>
      <c r="J434" s="29" t="n"/>
      <c r="K434" s="35">
        <f>IF($A434="","",IF($C434="","",raporTarihi-$C434))</f>
        <v/>
      </c>
      <c r="L434" s="35">
        <f>IF($A434="","",IF($K434="","",IF($K434&lt;=7,"0-7",IF($K434&lt;=30,"8-30",IF($K434&lt;=60,"31-60","60+")))))</f>
        <v/>
      </c>
      <c r="M434" s="35">
        <f>IF($A434="","",IF($B434="","YETİM",IF(COUNTIF(tblKartlar[KartId],$B434)=0,"YETİM","")))</f>
        <v/>
      </c>
      <c r="N434" s="35">
        <f>IF(OR($A434="",$D434=""),"",IF(OR($D434&amp;"|"&amp;$E434="",COUNTIF(ListeIzinliGecis,$D434&amp;"|"&amp;$E434)&gt;0),"","GEÇERSİZ GEÇİŞ"))</f>
        <v/>
      </c>
      <c r="O434" s="35">
        <f>IF($A434="","",IF(OR($F434="",$G434=""),"",IF(ABS($G434-$F434)&gt;zincirTolerans,"ZİNCİR KIRIK","OK")))</f>
        <v/>
      </c>
      <c r="P434" s="35">
        <f>IF($A434="","",1)</f>
        <v/>
      </c>
    </row>
    <row r="435">
      <c r="A435" s="29" t="n"/>
      <c r="B435" s="29" t="n"/>
      <c r="C435" s="70" t="n"/>
      <c r="D435" s="29" t="n"/>
      <c r="E435" s="29" t="n"/>
      <c r="F435" s="30" t="n"/>
      <c r="G435" s="30" t="n"/>
      <c r="H435" s="31" t="n"/>
      <c r="I435" s="31" t="n"/>
      <c r="J435" s="29" t="n"/>
      <c r="K435" s="35">
        <f>IF($A435="","",IF($C435="","",raporTarihi-$C435))</f>
        <v/>
      </c>
      <c r="L435" s="35">
        <f>IF($A435="","",IF($K435="","",IF($K435&lt;=7,"0-7",IF($K435&lt;=30,"8-30",IF($K435&lt;=60,"31-60","60+")))))</f>
        <v/>
      </c>
      <c r="M435" s="35">
        <f>IF($A435="","",IF($B435="","YETİM",IF(COUNTIF(tblKartlar[KartId],$B435)=0,"YETİM","")))</f>
        <v/>
      </c>
      <c r="N435" s="35">
        <f>IF(OR($A435="",$D435=""),"",IF(OR($D435&amp;"|"&amp;$E435="",COUNTIF(ListeIzinliGecis,$D435&amp;"|"&amp;$E435)&gt;0),"","GEÇERSİZ GEÇİŞ"))</f>
        <v/>
      </c>
      <c r="O435" s="35">
        <f>IF($A435="","",IF(OR($F435="",$G435=""),"",IF(ABS($G435-$F435)&gt;zincirTolerans,"ZİNCİR KIRIK","OK")))</f>
        <v/>
      </c>
      <c r="P435" s="35">
        <f>IF($A435="","",1)</f>
        <v/>
      </c>
    </row>
    <row r="436">
      <c r="A436" s="29" t="n"/>
      <c r="B436" s="29" t="n"/>
      <c r="C436" s="70" t="n"/>
      <c r="D436" s="29" t="n"/>
      <c r="E436" s="29" t="n"/>
      <c r="F436" s="30" t="n"/>
      <c r="G436" s="30" t="n"/>
      <c r="H436" s="31" t="n"/>
      <c r="I436" s="31" t="n"/>
      <c r="J436" s="29" t="n"/>
      <c r="K436" s="35">
        <f>IF($A436="","",IF($C436="","",raporTarihi-$C436))</f>
        <v/>
      </c>
      <c r="L436" s="35">
        <f>IF($A436="","",IF($K436="","",IF($K436&lt;=7,"0-7",IF($K436&lt;=30,"8-30",IF($K436&lt;=60,"31-60","60+")))))</f>
        <v/>
      </c>
      <c r="M436" s="35">
        <f>IF($A436="","",IF($B436="","YETİM",IF(COUNTIF(tblKartlar[KartId],$B436)=0,"YETİM","")))</f>
        <v/>
      </c>
      <c r="N436" s="35">
        <f>IF(OR($A436="",$D436=""),"",IF(OR($D436&amp;"|"&amp;$E436="",COUNTIF(ListeIzinliGecis,$D436&amp;"|"&amp;$E436)&gt;0),"","GEÇERSİZ GEÇİŞ"))</f>
        <v/>
      </c>
      <c r="O436" s="35">
        <f>IF($A436="","",IF(OR($F436="",$G436=""),"",IF(ABS($G436-$F436)&gt;zincirTolerans,"ZİNCİR KIRIK","OK")))</f>
        <v/>
      </c>
      <c r="P436" s="35">
        <f>IF($A436="","",1)</f>
        <v/>
      </c>
    </row>
    <row r="437">
      <c r="A437" s="29" t="n"/>
      <c r="B437" s="29" t="n"/>
      <c r="C437" s="70" t="n"/>
      <c r="D437" s="29" t="n"/>
      <c r="E437" s="29" t="n"/>
      <c r="F437" s="30" t="n"/>
      <c r="G437" s="30" t="n"/>
      <c r="H437" s="31" t="n"/>
      <c r="I437" s="31" t="n"/>
      <c r="J437" s="29" t="n"/>
      <c r="K437" s="35">
        <f>IF($A437="","",IF($C437="","",raporTarihi-$C437))</f>
        <v/>
      </c>
      <c r="L437" s="35">
        <f>IF($A437="","",IF($K437="","",IF($K437&lt;=7,"0-7",IF($K437&lt;=30,"8-30",IF($K437&lt;=60,"31-60","60+")))))</f>
        <v/>
      </c>
      <c r="M437" s="35">
        <f>IF($A437="","",IF($B437="","YETİM",IF(COUNTIF(tblKartlar[KartId],$B437)=0,"YETİM","")))</f>
        <v/>
      </c>
      <c r="N437" s="35">
        <f>IF(OR($A437="",$D437=""),"",IF(OR($D437&amp;"|"&amp;$E437="",COUNTIF(ListeIzinliGecis,$D437&amp;"|"&amp;$E437)&gt;0),"","GEÇERSİZ GEÇİŞ"))</f>
        <v/>
      </c>
      <c r="O437" s="35">
        <f>IF($A437="","",IF(OR($F437="",$G437=""),"",IF(ABS($G437-$F437)&gt;zincirTolerans,"ZİNCİR KIRIK","OK")))</f>
        <v/>
      </c>
      <c r="P437" s="35">
        <f>IF($A437="","",1)</f>
        <v/>
      </c>
    </row>
    <row r="438">
      <c r="A438" s="29" t="n"/>
      <c r="B438" s="29" t="n"/>
      <c r="C438" s="70" t="n"/>
      <c r="D438" s="29" t="n"/>
      <c r="E438" s="29" t="n"/>
      <c r="F438" s="30" t="n"/>
      <c r="G438" s="30" t="n"/>
      <c r="H438" s="31" t="n"/>
      <c r="I438" s="31" t="n"/>
      <c r="J438" s="29" t="n"/>
      <c r="K438" s="35">
        <f>IF($A438="","",IF($C438="","",raporTarihi-$C438))</f>
        <v/>
      </c>
      <c r="L438" s="35">
        <f>IF($A438="","",IF($K438="","",IF($K438&lt;=7,"0-7",IF($K438&lt;=30,"8-30",IF($K438&lt;=60,"31-60","60+")))))</f>
        <v/>
      </c>
      <c r="M438" s="35">
        <f>IF($A438="","",IF($B438="","YETİM",IF(COUNTIF(tblKartlar[KartId],$B438)=0,"YETİM","")))</f>
        <v/>
      </c>
      <c r="N438" s="35">
        <f>IF(OR($A438="",$D438=""),"",IF(OR($D438&amp;"|"&amp;$E438="",COUNTIF(ListeIzinliGecis,$D438&amp;"|"&amp;$E438)&gt;0),"","GEÇERSİZ GEÇİŞ"))</f>
        <v/>
      </c>
      <c r="O438" s="35">
        <f>IF($A438="","",IF(OR($F438="",$G438=""),"",IF(ABS($G438-$F438)&gt;zincirTolerans,"ZİNCİR KIRIK","OK")))</f>
        <v/>
      </c>
      <c r="P438" s="35">
        <f>IF($A438="","",1)</f>
        <v/>
      </c>
    </row>
    <row r="439">
      <c r="A439" s="29" t="n"/>
      <c r="B439" s="29" t="n"/>
      <c r="C439" s="70" t="n"/>
      <c r="D439" s="29" t="n"/>
      <c r="E439" s="29" t="n"/>
      <c r="F439" s="30" t="n"/>
      <c r="G439" s="30" t="n"/>
      <c r="H439" s="31" t="n"/>
      <c r="I439" s="31" t="n"/>
      <c r="J439" s="29" t="n"/>
      <c r="K439" s="35">
        <f>IF($A439="","",IF($C439="","",raporTarihi-$C439))</f>
        <v/>
      </c>
      <c r="L439" s="35">
        <f>IF($A439="","",IF($K439="","",IF($K439&lt;=7,"0-7",IF($K439&lt;=30,"8-30",IF($K439&lt;=60,"31-60","60+")))))</f>
        <v/>
      </c>
      <c r="M439" s="35">
        <f>IF($A439="","",IF($B439="","YETİM",IF(COUNTIF(tblKartlar[KartId],$B439)=0,"YETİM","")))</f>
        <v/>
      </c>
      <c r="N439" s="35">
        <f>IF(OR($A439="",$D439=""),"",IF(OR($D439&amp;"|"&amp;$E439="",COUNTIF(ListeIzinliGecis,$D439&amp;"|"&amp;$E439)&gt;0),"","GEÇERSİZ GEÇİŞ"))</f>
        <v/>
      </c>
      <c r="O439" s="35">
        <f>IF($A439="","",IF(OR($F439="",$G439=""),"",IF(ABS($G439-$F439)&gt;zincirTolerans,"ZİNCİR KIRIK","OK")))</f>
        <v/>
      </c>
      <c r="P439" s="35">
        <f>IF($A439="","",1)</f>
        <v/>
      </c>
    </row>
    <row r="440">
      <c r="A440" s="29" t="n"/>
      <c r="B440" s="29" t="n"/>
      <c r="C440" s="70" t="n"/>
      <c r="D440" s="29" t="n"/>
      <c r="E440" s="29" t="n"/>
      <c r="F440" s="30" t="n"/>
      <c r="G440" s="30" t="n"/>
      <c r="H440" s="31" t="n"/>
      <c r="I440" s="31" t="n"/>
      <c r="J440" s="29" t="n"/>
      <c r="K440" s="35">
        <f>IF($A440="","",IF($C440="","",raporTarihi-$C440))</f>
        <v/>
      </c>
      <c r="L440" s="35">
        <f>IF($A440="","",IF($K440="","",IF($K440&lt;=7,"0-7",IF($K440&lt;=30,"8-30",IF($K440&lt;=60,"31-60","60+")))))</f>
        <v/>
      </c>
      <c r="M440" s="35">
        <f>IF($A440="","",IF($B440="","YETİM",IF(COUNTIF(tblKartlar[KartId],$B440)=0,"YETİM","")))</f>
        <v/>
      </c>
      <c r="N440" s="35">
        <f>IF(OR($A440="",$D440=""),"",IF(OR($D440&amp;"|"&amp;$E440="",COUNTIF(ListeIzinliGecis,$D440&amp;"|"&amp;$E440)&gt;0),"","GEÇERSİZ GEÇİŞ"))</f>
        <v/>
      </c>
      <c r="O440" s="35">
        <f>IF($A440="","",IF(OR($F440="",$G440=""),"",IF(ABS($G440-$F440)&gt;zincirTolerans,"ZİNCİR KIRIK","OK")))</f>
        <v/>
      </c>
      <c r="P440" s="35">
        <f>IF($A440="","",1)</f>
        <v/>
      </c>
    </row>
    <row r="441">
      <c r="A441" s="29" t="n"/>
      <c r="B441" s="29" t="n"/>
      <c r="C441" s="70" t="n"/>
      <c r="D441" s="29" t="n"/>
      <c r="E441" s="29" t="n"/>
      <c r="F441" s="30" t="n"/>
      <c r="G441" s="30" t="n"/>
      <c r="H441" s="31" t="n"/>
      <c r="I441" s="31" t="n"/>
      <c r="J441" s="29" t="n"/>
      <c r="K441" s="35">
        <f>IF($A441="","",IF($C441="","",raporTarihi-$C441))</f>
        <v/>
      </c>
      <c r="L441" s="35">
        <f>IF($A441="","",IF($K441="","",IF($K441&lt;=7,"0-7",IF($K441&lt;=30,"8-30",IF($K441&lt;=60,"31-60","60+")))))</f>
        <v/>
      </c>
      <c r="M441" s="35">
        <f>IF($A441="","",IF($B441="","YETİM",IF(COUNTIF(tblKartlar[KartId],$B441)=0,"YETİM","")))</f>
        <v/>
      </c>
      <c r="N441" s="35">
        <f>IF(OR($A441="",$D441=""),"",IF(OR($D441&amp;"|"&amp;$E441="",COUNTIF(ListeIzinliGecis,$D441&amp;"|"&amp;$E441)&gt;0),"","GEÇERSİZ GEÇİŞ"))</f>
        <v/>
      </c>
      <c r="O441" s="35">
        <f>IF($A441="","",IF(OR($F441="",$G441=""),"",IF(ABS($G441-$F441)&gt;zincirTolerans,"ZİNCİR KIRIK","OK")))</f>
        <v/>
      </c>
      <c r="P441" s="35">
        <f>IF($A441="","",1)</f>
        <v/>
      </c>
    </row>
    <row r="442">
      <c r="A442" s="29" t="n"/>
      <c r="B442" s="29" t="n"/>
      <c r="C442" s="70" t="n"/>
      <c r="D442" s="29" t="n"/>
      <c r="E442" s="29" t="n"/>
      <c r="F442" s="30" t="n"/>
      <c r="G442" s="30" t="n"/>
      <c r="H442" s="31" t="n"/>
      <c r="I442" s="31" t="n"/>
      <c r="J442" s="29" t="n"/>
      <c r="K442" s="35">
        <f>IF($A442="","",IF($C442="","",raporTarihi-$C442))</f>
        <v/>
      </c>
      <c r="L442" s="35">
        <f>IF($A442="","",IF($K442="","",IF($K442&lt;=7,"0-7",IF($K442&lt;=30,"8-30",IF($K442&lt;=60,"31-60","60+")))))</f>
        <v/>
      </c>
      <c r="M442" s="35">
        <f>IF($A442="","",IF($B442="","YETİM",IF(COUNTIF(tblKartlar[KartId],$B442)=0,"YETİM","")))</f>
        <v/>
      </c>
      <c r="N442" s="35">
        <f>IF(OR($A442="",$D442=""),"",IF(OR($D442&amp;"|"&amp;$E442="",COUNTIF(ListeIzinliGecis,$D442&amp;"|"&amp;$E442)&gt;0),"","GEÇERSİZ GEÇİŞ"))</f>
        <v/>
      </c>
      <c r="O442" s="35">
        <f>IF($A442="","",IF(OR($F442="",$G442=""),"",IF(ABS($G442-$F442)&gt;zincirTolerans,"ZİNCİR KIRIK","OK")))</f>
        <v/>
      </c>
      <c r="P442" s="35">
        <f>IF($A442="","",1)</f>
        <v/>
      </c>
    </row>
    <row r="443">
      <c r="A443" s="29" t="n"/>
      <c r="B443" s="29" t="n"/>
      <c r="C443" s="70" t="n"/>
      <c r="D443" s="29" t="n"/>
      <c r="E443" s="29" t="n"/>
      <c r="F443" s="30" t="n"/>
      <c r="G443" s="30" t="n"/>
      <c r="H443" s="31" t="n"/>
      <c r="I443" s="31" t="n"/>
      <c r="J443" s="29" t="n"/>
      <c r="K443" s="35">
        <f>IF($A443="","",IF($C443="","",raporTarihi-$C443))</f>
        <v/>
      </c>
      <c r="L443" s="35">
        <f>IF($A443="","",IF($K443="","",IF($K443&lt;=7,"0-7",IF($K443&lt;=30,"8-30",IF($K443&lt;=60,"31-60","60+")))))</f>
        <v/>
      </c>
      <c r="M443" s="35">
        <f>IF($A443="","",IF($B443="","YETİM",IF(COUNTIF(tblKartlar[KartId],$B443)=0,"YETİM","")))</f>
        <v/>
      </c>
      <c r="N443" s="35">
        <f>IF(OR($A443="",$D443=""),"",IF(OR($D443&amp;"|"&amp;$E443="",COUNTIF(ListeIzinliGecis,$D443&amp;"|"&amp;$E443)&gt;0),"","GEÇERSİZ GEÇİŞ"))</f>
        <v/>
      </c>
      <c r="O443" s="35">
        <f>IF($A443="","",IF(OR($F443="",$G443=""),"",IF(ABS($G443-$F443)&gt;zincirTolerans,"ZİNCİR KIRIK","OK")))</f>
        <v/>
      </c>
      <c r="P443" s="35">
        <f>IF($A443="","",1)</f>
        <v/>
      </c>
    </row>
    <row r="444">
      <c r="A444" s="29" t="n"/>
      <c r="B444" s="29" t="n"/>
      <c r="C444" s="70" t="n"/>
      <c r="D444" s="29" t="n"/>
      <c r="E444" s="29" t="n"/>
      <c r="F444" s="30" t="n"/>
      <c r="G444" s="30" t="n"/>
      <c r="H444" s="31" t="n"/>
      <c r="I444" s="31" t="n"/>
      <c r="J444" s="29" t="n"/>
      <c r="K444" s="35">
        <f>IF($A444="","",IF($C444="","",raporTarihi-$C444))</f>
        <v/>
      </c>
      <c r="L444" s="35">
        <f>IF($A444="","",IF($K444="","",IF($K444&lt;=7,"0-7",IF($K444&lt;=30,"8-30",IF($K444&lt;=60,"31-60","60+")))))</f>
        <v/>
      </c>
      <c r="M444" s="35">
        <f>IF($A444="","",IF($B444="","YETİM",IF(COUNTIF(tblKartlar[KartId],$B444)=0,"YETİM","")))</f>
        <v/>
      </c>
      <c r="N444" s="35">
        <f>IF(OR($A444="",$D444=""),"",IF(OR($D444&amp;"|"&amp;$E444="",COUNTIF(ListeIzinliGecis,$D444&amp;"|"&amp;$E444)&gt;0),"","GEÇERSİZ GEÇİŞ"))</f>
        <v/>
      </c>
      <c r="O444" s="35">
        <f>IF($A444="","",IF(OR($F444="",$G444=""),"",IF(ABS($G444-$F444)&gt;zincirTolerans,"ZİNCİR KIRIK","OK")))</f>
        <v/>
      </c>
      <c r="P444" s="35">
        <f>IF($A444="","",1)</f>
        <v/>
      </c>
    </row>
    <row r="445">
      <c r="A445" s="29" t="n"/>
      <c r="B445" s="29" t="n"/>
      <c r="C445" s="70" t="n"/>
      <c r="D445" s="29" t="n"/>
      <c r="E445" s="29" t="n"/>
      <c r="F445" s="30" t="n"/>
      <c r="G445" s="30" t="n"/>
      <c r="H445" s="31" t="n"/>
      <c r="I445" s="31" t="n"/>
      <c r="J445" s="29" t="n"/>
      <c r="K445" s="35">
        <f>IF($A445="","",IF($C445="","",raporTarihi-$C445))</f>
        <v/>
      </c>
      <c r="L445" s="35">
        <f>IF($A445="","",IF($K445="","",IF($K445&lt;=7,"0-7",IF($K445&lt;=30,"8-30",IF($K445&lt;=60,"31-60","60+")))))</f>
        <v/>
      </c>
      <c r="M445" s="35">
        <f>IF($A445="","",IF($B445="","YETİM",IF(COUNTIF(tblKartlar[KartId],$B445)=0,"YETİM","")))</f>
        <v/>
      </c>
      <c r="N445" s="35">
        <f>IF(OR($A445="",$D445=""),"",IF(OR($D445&amp;"|"&amp;$E445="",COUNTIF(ListeIzinliGecis,$D445&amp;"|"&amp;$E445)&gt;0),"","GEÇERSİZ GEÇİŞ"))</f>
        <v/>
      </c>
      <c r="O445" s="35">
        <f>IF($A445="","",IF(OR($F445="",$G445=""),"",IF(ABS($G445-$F445)&gt;zincirTolerans,"ZİNCİR KIRIK","OK")))</f>
        <v/>
      </c>
      <c r="P445" s="35">
        <f>IF($A445="","",1)</f>
        <v/>
      </c>
    </row>
    <row r="446">
      <c r="A446" s="29" t="n"/>
      <c r="B446" s="29" t="n"/>
      <c r="C446" s="70" t="n"/>
      <c r="D446" s="29" t="n"/>
      <c r="E446" s="29" t="n"/>
      <c r="F446" s="30" t="n"/>
      <c r="G446" s="30" t="n"/>
      <c r="H446" s="31" t="n"/>
      <c r="I446" s="31" t="n"/>
      <c r="J446" s="29" t="n"/>
      <c r="K446" s="35">
        <f>IF($A446="","",IF($C446="","",raporTarihi-$C446))</f>
        <v/>
      </c>
      <c r="L446" s="35">
        <f>IF($A446="","",IF($K446="","",IF($K446&lt;=7,"0-7",IF($K446&lt;=30,"8-30",IF($K446&lt;=60,"31-60","60+")))))</f>
        <v/>
      </c>
      <c r="M446" s="35">
        <f>IF($A446="","",IF($B446="","YETİM",IF(COUNTIF(tblKartlar[KartId],$B446)=0,"YETİM","")))</f>
        <v/>
      </c>
      <c r="N446" s="35">
        <f>IF(OR($A446="",$D446=""),"",IF(OR($D446&amp;"|"&amp;$E446="",COUNTIF(ListeIzinliGecis,$D446&amp;"|"&amp;$E446)&gt;0),"","GEÇERSİZ GEÇİŞ"))</f>
        <v/>
      </c>
      <c r="O446" s="35">
        <f>IF($A446="","",IF(OR($F446="",$G446=""),"",IF(ABS($G446-$F446)&gt;zincirTolerans,"ZİNCİR KIRIK","OK")))</f>
        <v/>
      </c>
      <c r="P446" s="35">
        <f>IF($A446="","",1)</f>
        <v/>
      </c>
    </row>
    <row r="447">
      <c r="A447" s="29" t="n"/>
      <c r="B447" s="29" t="n"/>
      <c r="C447" s="70" t="n"/>
      <c r="D447" s="29" t="n"/>
      <c r="E447" s="29" t="n"/>
      <c r="F447" s="30" t="n"/>
      <c r="G447" s="30" t="n"/>
      <c r="H447" s="31" t="n"/>
      <c r="I447" s="31" t="n"/>
      <c r="J447" s="29" t="n"/>
      <c r="K447" s="35">
        <f>IF($A447="","",IF($C447="","",raporTarihi-$C447))</f>
        <v/>
      </c>
      <c r="L447" s="35">
        <f>IF($A447="","",IF($K447="","",IF($K447&lt;=7,"0-7",IF($K447&lt;=30,"8-30",IF($K447&lt;=60,"31-60","60+")))))</f>
        <v/>
      </c>
      <c r="M447" s="35">
        <f>IF($A447="","",IF($B447="","YETİM",IF(COUNTIF(tblKartlar[KartId],$B447)=0,"YETİM","")))</f>
        <v/>
      </c>
      <c r="N447" s="35">
        <f>IF(OR($A447="",$D447=""),"",IF(OR($D447&amp;"|"&amp;$E447="",COUNTIF(ListeIzinliGecis,$D447&amp;"|"&amp;$E447)&gt;0),"","GEÇERSİZ GEÇİŞ"))</f>
        <v/>
      </c>
      <c r="O447" s="35">
        <f>IF($A447="","",IF(OR($F447="",$G447=""),"",IF(ABS($G447-$F447)&gt;zincirTolerans,"ZİNCİR KIRIK","OK")))</f>
        <v/>
      </c>
      <c r="P447" s="35">
        <f>IF($A447="","",1)</f>
        <v/>
      </c>
    </row>
    <row r="448">
      <c r="A448" s="29" t="n"/>
      <c r="B448" s="29" t="n"/>
      <c r="C448" s="70" t="n"/>
      <c r="D448" s="29" t="n"/>
      <c r="E448" s="29" t="n"/>
      <c r="F448" s="30" t="n"/>
      <c r="G448" s="30" t="n"/>
      <c r="H448" s="31" t="n"/>
      <c r="I448" s="31" t="n"/>
      <c r="J448" s="29" t="n"/>
      <c r="K448" s="35">
        <f>IF($A448="","",IF($C448="","",raporTarihi-$C448))</f>
        <v/>
      </c>
      <c r="L448" s="35">
        <f>IF($A448="","",IF($K448="","",IF($K448&lt;=7,"0-7",IF($K448&lt;=30,"8-30",IF($K448&lt;=60,"31-60","60+")))))</f>
        <v/>
      </c>
      <c r="M448" s="35">
        <f>IF($A448="","",IF($B448="","YETİM",IF(COUNTIF(tblKartlar[KartId],$B448)=0,"YETİM","")))</f>
        <v/>
      </c>
      <c r="N448" s="35">
        <f>IF(OR($A448="",$D448=""),"",IF(OR($D448&amp;"|"&amp;$E448="",COUNTIF(ListeIzinliGecis,$D448&amp;"|"&amp;$E448)&gt;0),"","GEÇERSİZ GEÇİŞ"))</f>
        <v/>
      </c>
      <c r="O448" s="35">
        <f>IF($A448="","",IF(OR($F448="",$G448=""),"",IF(ABS($G448-$F448)&gt;zincirTolerans,"ZİNCİR KIRIK","OK")))</f>
        <v/>
      </c>
      <c r="P448" s="35">
        <f>IF($A448="","",1)</f>
        <v/>
      </c>
    </row>
    <row r="449">
      <c r="A449" s="29" t="n"/>
      <c r="B449" s="29" t="n"/>
      <c r="C449" s="70" t="n"/>
      <c r="D449" s="29" t="n"/>
      <c r="E449" s="29" t="n"/>
      <c r="F449" s="30" t="n"/>
      <c r="G449" s="30" t="n"/>
      <c r="H449" s="31" t="n"/>
      <c r="I449" s="31" t="n"/>
      <c r="J449" s="29" t="n"/>
      <c r="K449" s="35">
        <f>IF($A449="","",IF($C449="","",raporTarihi-$C449))</f>
        <v/>
      </c>
      <c r="L449" s="35">
        <f>IF($A449="","",IF($K449="","",IF($K449&lt;=7,"0-7",IF($K449&lt;=30,"8-30",IF($K449&lt;=60,"31-60","60+")))))</f>
        <v/>
      </c>
      <c r="M449" s="35">
        <f>IF($A449="","",IF($B449="","YETİM",IF(COUNTIF(tblKartlar[KartId],$B449)=0,"YETİM","")))</f>
        <v/>
      </c>
      <c r="N449" s="35">
        <f>IF(OR($A449="",$D449=""),"",IF(OR($D449&amp;"|"&amp;$E449="",COUNTIF(ListeIzinliGecis,$D449&amp;"|"&amp;$E449)&gt;0),"","GEÇERSİZ GEÇİŞ"))</f>
        <v/>
      </c>
      <c r="O449" s="35">
        <f>IF($A449="","",IF(OR($F449="",$G449=""),"",IF(ABS($G449-$F449)&gt;zincirTolerans,"ZİNCİR KIRIK","OK")))</f>
        <v/>
      </c>
      <c r="P449" s="35">
        <f>IF($A449="","",1)</f>
        <v/>
      </c>
    </row>
    <row r="450">
      <c r="A450" s="29" t="n"/>
      <c r="B450" s="29" t="n"/>
      <c r="C450" s="70" t="n"/>
      <c r="D450" s="29" t="n"/>
      <c r="E450" s="29" t="n"/>
      <c r="F450" s="30" t="n"/>
      <c r="G450" s="30" t="n"/>
      <c r="H450" s="31" t="n"/>
      <c r="I450" s="31" t="n"/>
      <c r="J450" s="29" t="n"/>
      <c r="K450" s="35">
        <f>IF($A450="","",IF($C450="","",raporTarihi-$C450))</f>
        <v/>
      </c>
      <c r="L450" s="35">
        <f>IF($A450="","",IF($K450="","",IF($K450&lt;=7,"0-7",IF($K450&lt;=30,"8-30",IF($K450&lt;=60,"31-60","60+")))))</f>
        <v/>
      </c>
      <c r="M450" s="35">
        <f>IF($A450="","",IF($B450="","YETİM",IF(COUNTIF(tblKartlar[KartId],$B450)=0,"YETİM","")))</f>
        <v/>
      </c>
      <c r="N450" s="35">
        <f>IF(OR($A450="",$D450=""),"",IF(OR($D450&amp;"|"&amp;$E450="",COUNTIF(ListeIzinliGecis,$D450&amp;"|"&amp;$E450)&gt;0),"","GEÇERSİZ GEÇİŞ"))</f>
        <v/>
      </c>
      <c r="O450" s="35">
        <f>IF($A450="","",IF(OR($F450="",$G450=""),"",IF(ABS($G450-$F450)&gt;zincirTolerans,"ZİNCİR KIRIK","OK")))</f>
        <v/>
      </c>
      <c r="P450" s="35">
        <f>IF($A450="","",1)</f>
        <v/>
      </c>
    </row>
    <row r="451">
      <c r="A451" s="29" t="n"/>
      <c r="B451" s="29" t="n"/>
      <c r="C451" s="70" t="n"/>
      <c r="D451" s="29" t="n"/>
      <c r="E451" s="29" t="n"/>
      <c r="F451" s="30" t="n"/>
      <c r="G451" s="30" t="n"/>
      <c r="H451" s="31" t="n"/>
      <c r="I451" s="31" t="n"/>
      <c r="J451" s="29" t="n"/>
      <c r="K451" s="35">
        <f>IF($A451="","",IF($C451="","",raporTarihi-$C451))</f>
        <v/>
      </c>
      <c r="L451" s="35">
        <f>IF($A451="","",IF($K451="","",IF($K451&lt;=7,"0-7",IF($K451&lt;=30,"8-30",IF($K451&lt;=60,"31-60","60+")))))</f>
        <v/>
      </c>
      <c r="M451" s="35">
        <f>IF($A451="","",IF($B451="","YETİM",IF(COUNTIF(tblKartlar[KartId],$B451)=0,"YETİM","")))</f>
        <v/>
      </c>
      <c r="N451" s="35">
        <f>IF(OR($A451="",$D451=""),"",IF(OR($D451&amp;"|"&amp;$E451="",COUNTIF(ListeIzinliGecis,$D451&amp;"|"&amp;$E451)&gt;0),"","GEÇERSİZ GEÇİŞ"))</f>
        <v/>
      </c>
      <c r="O451" s="35">
        <f>IF($A451="","",IF(OR($F451="",$G451=""),"",IF(ABS($G451-$F451)&gt;zincirTolerans,"ZİNCİR KIRIK","OK")))</f>
        <v/>
      </c>
      <c r="P451" s="35">
        <f>IF($A451="","",1)</f>
        <v/>
      </c>
    </row>
    <row r="452">
      <c r="A452" s="29" t="n"/>
      <c r="B452" s="29" t="n"/>
      <c r="C452" s="70" t="n"/>
      <c r="D452" s="29" t="n"/>
      <c r="E452" s="29" t="n"/>
      <c r="F452" s="30" t="n"/>
      <c r="G452" s="30" t="n"/>
      <c r="H452" s="31" t="n"/>
      <c r="I452" s="31" t="n"/>
      <c r="J452" s="29" t="n"/>
      <c r="K452" s="35">
        <f>IF($A452="","",IF($C452="","",raporTarihi-$C452))</f>
        <v/>
      </c>
      <c r="L452" s="35">
        <f>IF($A452="","",IF($K452="","",IF($K452&lt;=7,"0-7",IF($K452&lt;=30,"8-30",IF($K452&lt;=60,"31-60","60+")))))</f>
        <v/>
      </c>
      <c r="M452" s="35">
        <f>IF($A452="","",IF($B452="","YETİM",IF(COUNTIF(tblKartlar[KartId],$B452)=0,"YETİM","")))</f>
        <v/>
      </c>
      <c r="N452" s="35">
        <f>IF(OR($A452="",$D452=""),"",IF(OR($D452&amp;"|"&amp;$E452="",COUNTIF(ListeIzinliGecis,$D452&amp;"|"&amp;$E452)&gt;0),"","GEÇERSİZ GEÇİŞ"))</f>
        <v/>
      </c>
      <c r="O452" s="35">
        <f>IF($A452="","",IF(OR($F452="",$G452=""),"",IF(ABS($G452-$F452)&gt;zincirTolerans,"ZİNCİR KIRIK","OK")))</f>
        <v/>
      </c>
      <c r="P452" s="35">
        <f>IF($A452="","",1)</f>
        <v/>
      </c>
    </row>
    <row r="453">
      <c r="A453" s="29" t="n"/>
      <c r="B453" s="29" t="n"/>
      <c r="C453" s="70" t="n"/>
      <c r="D453" s="29" t="n"/>
      <c r="E453" s="29" t="n"/>
      <c r="F453" s="30" t="n"/>
      <c r="G453" s="30" t="n"/>
      <c r="H453" s="31" t="n"/>
      <c r="I453" s="31" t="n"/>
      <c r="J453" s="29" t="n"/>
      <c r="K453" s="35">
        <f>IF($A453="","",IF($C453="","",raporTarihi-$C453))</f>
        <v/>
      </c>
      <c r="L453" s="35">
        <f>IF($A453="","",IF($K453="","",IF($K453&lt;=7,"0-7",IF($K453&lt;=30,"8-30",IF($K453&lt;=60,"31-60","60+")))))</f>
        <v/>
      </c>
      <c r="M453" s="35">
        <f>IF($A453="","",IF($B453="","YETİM",IF(COUNTIF(tblKartlar[KartId],$B453)=0,"YETİM","")))</f>
        <v/>
      </c>
      <c r="N453" s="35">
        <f>IF(OR($A453="",$D453=""),"",IF(OR($D453&amp;"|"&amp;$E453="",COUNTIF(ListeIzinliGecis,$D453&amp;"|"&amp;$E453)&gt;0),"","GEÇERSİZ GEÇİŞ"))</f>
        <v/>
      </c>
      <c r="O453" s="35">
        <f>IF($A453="","",IF(OR($F453="",$G453=""),"",IF(ABS($G453-$F453)&gt;zincirTolerans,"ZİNCİR KIRIK","OK")))</f>
        <v/>
      </c>
      <c r="P453" s="35">
        <f>IF($A453="","",1)</f>
        <v/>
      </c>
    </row>
    <row r="454">
      <c r="A454" s="29" t="n"/>
      <c r="B454" s="29" t="n"/>
      <c r="C454" s="70" t="n"/>
      <c r="D454" s="29" t="n"/>
      <c r="E454" s="29" t="n"/>
      <c r="F454" s="30" t="n"/>
      <c r="G454" s="30" t="n"/>
      <c r="H454" s="31" t="n"/>
      <c r="I454" s="31" t="n"/>
      <c r="J454" s="29" t="n"/>
      <c r="K454" s="35">
        <f>IF($A454="","",IF($C454="","",raporTarihi-$C454))</f>
        <v/>
      </c>
      <c r="L454" s="35">
        <f>IF($A454="","",IF($K454="","",IF($K454&lt;=7,"0-7",IF($K454&lt;=30,"8-30",IF($K454&lt;=60,"31-60","60+")))))</f>
        <v/>
      </c>
      <c r="M454" s="35">
        <f>IF($A454="","",IF($B454="","YETİM",IF(COUNTIF(tblKartlar[KartId],$B454)=0,"YETİM","")))</f>
        <v/>
      </c>
      <c r="N454" s="35">
        <f>IF(OR($A454="",$D454=""),"",IF(OR($D454&amp;"|"&amp;$E454="",COUNTIF(ListeIzinliGecis,$D454&amp;"|"&amp;$E454)&gt;0),"","GEÇERSİZ GEÇİŞ"))</f>
        <v/>
      </c>
      <c r="O454" s="35">
        <f>IF($A454="","",IF(OR($F454="",$G454=""),"",IF(ABS($G454-$F454)&gt;zincirTolerans,"ZİNCİR KIRIK","OK")))</f>
        <v/>
      </c>
      <c r="P454" s="35">
        <f>IF($A454="","",1)</f>
        <v/>
      </c>
    </row>
    <row r="455">
      <c r="A455" s="29" t="n"/>
      <c r="B455" s="29" t="n"/>
      <c r="C455" s="70" t="n"/>
      <c r="D455" s="29" t="n"/>
      <c r="E455" s="29" t="n"/>
      <c r="F455" s="30" t="n"/>
      <c r="G455" s="30" t="n"/>
      <c r="H455" s="31" t="n"/>
      <c r="I455" s="31" t="n"/>
      <c r="J455" s="29" t="n"/>
      <c r="K455" s="35">
        <f>IF($A455="","",IF($C455="","",raporTarihi-$C455))</f>
        <v/>
      </c>
      <c r="L455" s="35">
        <f>IF($A455="","",IF($K455="","",IF($K455&lt;=7,"0-7",IF($K455&lt;=30,"8-30",IF($K455&lt;=60,"31-60","60+")))))</f>
        <v/>
      </c>
      <c r="M455" s="35">
        <f>IF($A455="","",IF($B455="","YETİM",IF(COUNTIF(tblKartlar[KartId],$B455)=0,"YETİM","")))</f>
        <v/>
      </c>
      <c r="N455" s="35">
        <f>IF(OR($A455="",$D455=""),"",IF(OR($D455&amp;"|"&amp;$E455="",COUNTIF(ListeIzinliGecis,$D455&amp;"|"&amp;$E455)&gt;0),"","GEÇERSİZ GEÇİŞ"))</f>
        <v/>
      </c>
      <c r="O455" s="35">
        <f>IF($A455="","",IF(OR($F455="",$G455=""),"",IF(ABS($G455-$F455)&gt;zincirTolerans,"ZİNCİR KIRIK","OK")))</f>
        <v/>
      </c>
      <c r="P455" s="35">
        <f>IF($A455="","",1)</f>
        <v/>
      </c>
    </row>
    <row r="456">
      <c r="A456" s="29" t="n"/>
      <c r="B456" s="29" t="n"/>
      <c r="C456" s="70" t="n"/>
      <c r="D456" s="29" t="n"/>
      <c r="E456" s="29" t="n"/>
      <c r="F456" s="30" t="n"/>
      <c r="G456" s="30" t="n"/>
      <c r="H456" s="31" t="n"/>
      <c r="I456" s="31" t="n"/>
      <c r="J456" s="29" t="n"/>
      <c r="K456" s="35">
        <f>IF($A456="","",IF($C456="","",raporTarihi-$C456))</f>
        <v/>
      </c>
      <c r="L456" s="35">
        <f>IF($A456="","",IF($K456="","",IF($K456&lt;=7,"0-7",IF($K456&lt;=30,"8-30",IF($K456&lt;=60,"31-60","60+")))))</f>
        <v/>
      </c>
      <c r="M456" s="35">
        <f>IF($A456="","",IF($B456="","YETİM",IF(COUNTIF(tblKartlar[KartId],$B456)=0,"YETİM","")))</f>
        <v/>
      </c>
      <c r="N456" s="35">
        <f>IF(OR($A456="",$D456=""),"",IF(OR($D456&amp;"|"&amp;$E456="",COUNTIF(ListeIzinliGecis,$D456&amp;"|"&amp;$E456)&gt;0),"","GEÇERSİZ GEÇİŞ"))</f>
        <v/>
      </c>
      <c r="O456" s="35">
        <f>IF($A456="","",IF(OR($F456="",$G456=""),"",IF(ABS($G456-$F456)&gt;zincirTolerans,"ZİNCİR KIRIK","OK")))</f>
        <v/>
      </c>
      <c r="P456" s="35">
        <f>IF($A456="","",1)</f>
        <v/>
      </c>
    </row>
    <row r="457">
      <c r="A457" s="29" t="n"/>
      <c r="B457" s="29" t="n"/>
      <c r="C457" s="70" t="n"/>
      <c r="D457" s="29" t="n"/>
      <c r="E457" s="29" t="n"/>
      <c r="F457" s="30" t="n"/>
      <c r="G457" s="30" t="n"/>
      <c r="H457" s="31" t="n"/>
      <c r="I457" s="31" t="n"/>
      <c r="J457" s="29" t="n"/>
      <c r="K457" s="35">
        <f>IF($A457="","",IF($C457="","",raporTarihi-$C457))</f>
        <v/>
      </c>
      <c r="L457" s="35">
        <f>IF($A457="","",IF($K457="","",IF($K457&lt;=7,"0-7",IF($K457&lt;=30,"8-30",IF($K457&lt;=60,"31-60","60+")))))</f>
        <v/>
      </c>
      <c r="M457" s="35">
        <f>IF($A457="","",IF($B457="","YETİM",IF(COUNTIF(tblKartlar[KartId],$B457)=0,"YETİM","")))</f>
        <v/>
      </c>
      <c r="N457" s="35">
        <f>IF(OR($A457="",$D457=""),"",IF(OR($D457&amp;"|"&amp;$E457="",COUNTIF(ListeIzinliGecis,$D457&amp;"|"&amp;$E457)&gt;0),"","GEÇERSİZ GEÇİŞ"))</f>
        <v/>
      </c>
      <c r="O457" s="35">
        <f>IF($A457="","",IF(OR($F457="",$G457=""),"",IF(ABS($G457-$F457)&gt;zincirTolerans,"ZİNCİR KIRIK","OK")))</f>
        <v/>
      </c>
      <c r="P457" s="35">
        <f>IF($A457="","",1)</f>
        <v/>
      </c>
    </row>
    <row r="458">
      <c r="A458" s="29" t="n"/>
      <c r="B458" s="29" t="n"/>
      <c r="C458" s="70" t="n"/>
      <c r="D458" s="29" t="n"/>
      <c r="E458" s="29" t="n"/>
      <c r="F458" s="30" t="n"/>
      <c r="G458" s="30" t="n"/>
      <c r="H458" s="31" t="n"/>
      <c r="I458" s="31" t="n"/>
      <c r="J458" s="29" t="n"/>
      <c r="K458" s="35">
        <f>IF($A458="","",IF($C458="","",raporTarihi-$C458))</f>
        <v/>
      </c>
      <c r="L458" s="35">
        <f>IF($A458="","",IF($K458="","",IF($K458&lt;=7,"0-7",IF($K458&lt;=30,"8-30",IF($K458&lt;=60,"31-60","60+")))))</f>
        <v/>
      </c>
      <c r="M458" s="35">
        <f>IF($A458="","",IF($B458="","YETİM",IF(COUNTIF(tblKartlar[KartId],$B458)=0,"YETİM","")))</f>
        <v/>
      </c>
      <c r="N458" s="35">
        <f>IF(OR($A458="",$D458=""),"",IF(OR($D458&amp;"|"&amp;$E458="",COUNTIF(ListeIzinliGecis,$D458&amp;"|"&amp;$E458)&gt;0),"","GEÇERSİZ GEÇİŞ"))</f>
        <v/>
      </c>
      <c r="O458" s="35">
        <f>IF($A458="","",IF(OR($F458="",$G458=""),"",IF(ABS($G458-$F458)&gt;zincirTolerans,"ZİNCİR KIRIK","OK")))</f>
        <v/>
      </c>
      <c r="P458" s="35">
        <f>IF($A458="","",1)</f>
        <v/>
      </c>
    </row>
    <row r="459">
      <c r="A459" s="29" t="n"/>
      <c r="B459" s="29" t="n"/>
      <c r="C459" s="70" t="n"/>
      <c r="D459" s="29" t="n"/>
      <c r="E459" s="29" t="n"/>
      <c r="F459" s="30" t="n"/>
      <c r="G459" s="30" t="n"/>
      <c r="H459" s="31" t="n"/>
      <c r="I459" s="31" t="n"/>
      <c r="J459" s="29" t="n"/>
      <c r="K459" s="35">
        <f>IF($A459="","",IF($C459="","",raporTarihi-$C459))</f>
        <v/>
      </c>
      <c r="L459" s="35">
        <f>IF($A459="","",IF($K459="","",IF($K459&lt;=7,"0-7",IF($K459&lt;=30,"8-30",IF($K459&lt;=60,"31-60","60+")))))</f>
        <v/>
      </c>
      <c r="M459" s="35">
        <f>IF($A459="","",IF($B459="","YETİM",IF(COUNTIF(tblKartlar[KartId],$B459)=0,"YETİM","")))</f>
        <v/>
      </c>
      <c r="N459" s="35">
        <f>IF(OR($A459="",$D459=""),"",IF(OR($D459&amp;"|"&amp;$E459="",COUNTIF(ListeIzinliGecis,$D459&amp;"|"&amp;$E459)&gt;0),"","GEÇERSİZ GEÇİŞ"))</f>
        <v/>
      </c>
      <c r="O459" s="35">
        <f>IF($A459="","",IF(OR($F459="",$G459=""),"",IF(ABS($G459-$F459)&gt;zincirTolerans,"ZİNCİR KIRIK","OK")))</f>
        <v/>
      </c>
      <c r="P459" s="35">
        <f>IF($A459="","",1)</f>
        <v/>
      </c>
    </row>
    <row r="460">
      <c r="A460" s="29" t="n"/>
      <c r="B460" s="29" t="n"/>
      <c r="C460" s="70" t="n"/>
      <c r="D460" s="29" t="n"/>
      <c r="E460" s="29" t="n"/>
      <c r="F460" s="30" t="n"/>
      <c r="G460" s="30" t="n"/>
      <c r="H460" s="31" t="n"/>
      <c r="I460" s="31" t="n"/>
      <c r="J460" s="29" t="n"/>
      <c r="K460" s="35">
        <f>IF($A460="","",IF($C460="","",raporTarihi-$C460))</f>
        <v/>
      </c>
      <c r="L460" s="35">
        <f>IF($A460="","",IF($K460="","",IF($K460&lt;=7,"0-7",IF($K460&lt;=30,"8-30",IF($K460&lt;=60,"31-60","60+")))))</f>
        <v/>
      </c>
      <c r="M460" s="35">
        <f>IF($A460="","",IF($B460="","YETİM",IF(COUNTIF(tblKartlar[KartId],$B460)=0,"YETİM","")))</f>
        <v/>
      </c>
      <c r="N460" s="35">
        <f>IF(OR($A460="",$D460=""),"",IF(OR($D460&amp;"|"&amp;$E460="",COUNTIF(ListeIzinliGecis,$D460&amp;"|"&amp;$E460)&gt;0),"","GEÇERSİZ GEÇİŞ"))</f>
        <v/>
      </c>
      <c r="O460" s="35">
        <f>IF($A460="","",IF(OR($F460="",$G460=""),"",IF(ABS($G460-$F460)&gt;zincirTolerans,"ZİNCİR KIRIK","OK")))</f>
        <v/>
      </c>
      <c r="P460" s="35">
        <f>IF($A460="","",1)</f>
        <v/>
      </c>
    </row>
    <row r="461">
      <c r="A461" s="29" t="n"/>
      <c r="B461" s="29" t="n"/>
      <c r="C461" s="70" t="n"/>
      <c r="D461" s="29" t="n"/>
      <c r="E461" s="29" t="n"/>
      <c r="F461" s="30" t="n"/>
      <c r="G461" s="30" t="n"/>
      <c r="H461" s="31" t="n"/>
      <c r="I461" s="31" t="n"/>
      <c r="J461" s="29" t="n"/>
      <c r="K461" s="35">
        <f>IF($A461="","",IF($C461="","",raporTarihi-$C461))</f>
        <v/>
      </c>
      <c r="L461" s="35">
        <f>IF($A461="","",IF($K461="","",IF($K461&lt;=7,"0-7",IF($K461&lt;=30,"8-30",IF($K461&lt;=60,"31-60","60+")))))</f>
        <v/>
      </c>
      <c r="M461" s="35">
        <f>IF($A461="","",IF($B461="","YETİM",IF(COUNTIF(tblKartlar[KartId],$B461)=0,"YETİM","")))</f>
        <v/>
      </c>
      <c r="N461" s="35">
        <f>IF(OR($A461="",$D461=""),"",IF(OR($D461&amp;"|"&amp;$E461="",COUNTIF(ListeIzinliGecis,$D461&amp;"|"&amp;$E461)&gt;0),"","GEÇERSİZ GEÇİŞ"))</f>
        <v/>
      </c>
      <c r="O461" s="35">
        <f>IF($A461="","",IF(OR($F461="",$G461=""),"",IF(ABS($G461-$F461)&gt;zincirTolerans,"ZİNCİR KIRIK","OK")))</f>
        <v/>
      </c>
      <c r="P461" s="35">
        <f>IF($A461="","",1)</f>
        <v/>
      </c>
    </row>
    <row r="462">
      <c r="A462" s="29" t="n"/>
      <c r="B462" s="29" t="n"/>
      <c r="C462" s="70" t="n"/>
      <c r="D462" s="29" t="n"/>
      <c r="E462" s="29" t="n"/>
      <c r="F462" s="30" t="n"/>
      <c r="G462" s="30" t="n"/>
      <c r="H462" s="31" t="n"/>
      <c r="I462" s="31" t="n"/>
      <c r="J462" s="29" t="n"/>
      <c r="K462" s="35">
        <f>IF($A462="","",IF($C462="","",raporTarihi-$C462))</f>
        <v/>
      </c>
      <c r="L462" s="35">
        <f>IF($A462="","",IF($K462="","",IF($K462&lt;=7,"0-7",IF($K462&lt;=30,"8-30",IF($K462&lt;=60,"31-60","60+")))))</f>
        <v/>
      </c>
      <c r="M462" s="35">
        <f>IF($A462="","",IF($B462="","YETİM",IF(COUNTIF(tblKartlar[KartId],$B462)=0,"YETİM","")))</f>
        <v/>
      </c>
      <c r="N462" s="35">
        <f>IF(OR($A462="",$D462=""),"",IF(OR($D462&amp;"|"&amp;$E462="",COUNTIF(ListeIzinliGecis,$D462&amp;"|"&amp;$E462)&gt;0),"","GEÇERSİZ GEÇİŞ"))</f>
        <v/>
      </c>
      <c r="O462" s="35">
        <f>IF($A462="","",IF(OR($F462="",$G462=""),"",IF(ABS($G462-$F462)&gt;zincirTolerans,"ZİNCİR KIRIK","OK")))</f>
        <v/>
      </c>
      <c r="P462" s="35">
        <f>IF($A462="","",1)</f>
        <v/>
      </c>
    </row>
    <row r="463">
      <c r="A463" s="29" t="n"/>
      <c r="B463" s="29" t="n"/>
      <c r="C463" s="70" t="n"/>
      <c r="D463" s="29" t="n"/>
      <c r="E463" s="29" t="n"/>
      <c r="F463" s="30" t="n"/>
      <c r="G463" s="30" t="n"/>
      <c r="H463" s="31" t="n"/>
      <c r="I463" s="31" t="n"/>
      <c r="J463" s="29" t="n"/>
      <c r="K463" s="35">
        <f>IF($A463="","",IF($C463="","",raporTarihi-$C463))</f>
        <v/>
      </c>
      <c r="L463" s="35">
        <f>IF($A463="","",IF($K463="","",IF($K463&lt;=7,"0-7",IF($K463&lt;=30,"8-30",IF($K463&lt;=60,"31-60","60+")))))</f>
        <v/>
      </c>
      <c r="M463" s="35">
        <f>IF($A463="","",IF($B463="","YETİM",IF(COUNTIF(tblKartlar[KartId],$B463)=0,"YETİM","")))</f>
        <v/>
      </c>
      <c r="N463" s="35">
        <f>IF(OR($A463="",$D463=""),"",IF(OR($D463&amp;"|"&amp;$E463="",COUNTIF(ListeIzinliGecis,$D463&amp;"|"&amp;$E463)&gt;0),"","GEÇERSİZ GEÇİŞ"))</f>
        <v/>
      </c>
      <c r="O463" s="35">
        <f>IF($A463="","",IF(OR($F463="",$G463=""),"",IF(ABS($G463-$F463)&gt;zincirTolerans,"ZİNCİR KIRIK","OK")))</f>
        <v/>
      </c>
      <c r="P463" s="35">
        <f>IF($A463="","",1)</f>
        <v/>
      </c>
    </row>
    <row r="464">
      <c r="A464" s="29" t="n"/>
      <c r="B464" s="29" t="n"/>
      <c r="C464" s="70" t="n"/>
      <c r="D464" s="29" t="n"/>
      <c r="E464" s="29" t="n"/>
      <c r="F464" s="30" t="n"/>
      <c r="G464" s="30" t="n"/>
      <c r="H464" s="31" t="n"/>
      <c r="I464" s="31" t="n"/>
      <c r="J464" s="29" t="n"/>
      <c r="K464" s="35">
        <f>IF($A464="","",IF($C464="","",raporTarihi-$C464))</f>
        <v/>
      </c>
      <c r="L464" s="35">
        <f>IF($A464="","",IF($K464="","",IF($K464&lt;=7,"0-7",IF($K464&lt;=30,"8-30",IF($K464&lt;=60,"31-60","60+")))))</f>
        <v/>
      </c>
      <c r="M464" s="35">
        <f>IF($A464="","",IF($B464="","YETİM",IF(COUNTIF(tblKartlar[KartId],$B464)=0,"YETİM","")))</f>
        <v/>
      </c>
      <c r="N464" s="35">
        <f>IF(OR($A464="",$D464=""),"",IF(OR($D464&amp;"|"&amp;$E464="",COUNTIF(ListeIzinliGecis,$D464&amp;"|"&amp;$E464)&gt;0),"","GEÇERSİZ GEÇİŞ"))</f>
        <v/>
      </c>
      <c r="O464" s="35">
        <f>IF($A464="","",IF(OR($F464="",$G464=""),"",IF(ABS($G464-$F464)&gt;zincirTolerans,"ZİNCİR KIRIK","OK")))</f>
        <v/>
      </c>
      <c r="P464" s="35">
        <f>IF($A464="","",1)</f>
        <v/>
      </c>
    </row>
    <row r="465">
      <c r="A465" s="29" t="n"/>
      <c r="B465" s="29" t="n"/>
      <c r="C465" s="70" t="n"/>
      <c r="D465" s="29" t="n"/>
      <c r="E465" s="29" t="n"/>
      <c r="F465" s="30" t="n"/>
      <c r="G465" s="30" t="n"/>
      <c r="H465" s="31" t="n"/>
      <c r="I465" s="31" t="n"/>
      <c r="J465" s="29" t="n"/>
      <c r="K465" s="35">
        <f>IF($A465="","",IF($C465="","",raporTarihi-$C465))</f>
        <v/>
      </c>
      <c r="L465" s="35">
        <f>IF($A465="","",IF($K465="","",IF($K465&lt;=7,"0-7",IF($K465&lt;=30,"8-30",IF($K465&lt;=60,"31-60","60+")))))</f>
        <v/>
      </c>
      <c r="M465" s="35">
        <f>IF($A465="","",IF($B465="","YETİM",IF(COUNTIF(tblKartlar[KartId],$B465)=0,"YETİM","")))</f>
        <v/>
      </c>
      <c r="N465" s="35">
        <f>IF(OR($A465="",$D465=""),"",IF(OR($D465&amp;"|"&amp;$E465="",COUNTIF(ListeIzinliGecis,$D465&amp;"|"&amp;$E465)&gt;0),"","GEÇERSİZ GEÇİŞ"))</f>
        <v/>
      </c>
      <c r="O465" s="35">
        <f>IF($A465="","",IF(OR($F465="",$G465=""),"",IF(ABS($G465-$F465)&gt;zincirTolerans,"ZİNCİR KIRIK","OK")))</f>
        <v/>
      </c>
      <c r="P465" s="35">
        <f>IF($A465="","",1)</f>
        <v/>
      </c>
    </row>
    <row r="466">
      <c r="A466" s="29" t="n"/>
      <c r="B466" s="29" t="n"/>
      <c r="C466" s="70" t="n"/>
      <c r="D466" s="29" t="n"/>
      <c r="E466" s="29" t="n"/>
      <c r="F466" s="30" t="n"/>
      <c r="G466" s="30" t="n"/>
      <c r="H466" s="31" t="n"/>
      <c r="I466" s="31" t="n"/>
      <c r="J466" s="29" t="n"/>
      <c r="K466" s="35">
        <f>IF($A466="","",IF($C466="","",raporTarihi-$C466))</f>
        <v/>
      </c>
      <c r="L466" s="35">
        <f>IF($A466="","",IF($K466="","",IF($K466&lt;=7,"0-7",IF($K466&lt;=30,"8-30",IF($K466&lt;=60,"31-60","60+")))))</f>
        <v/>
      </c>
      <c r="M466" s="35">
        <f>IF($A466="","",IF($B466="","YETİM",IF(COUNTIF(tblKartlar[KartId],$B466)=0,"YETİM","")))</f>
        <v/>
      </c>
      <c r="N466" s="35">
        <f>IF(OR($A466="",$D466=""),"",IF(OR($D466&amp;"|"&amp;$E466="",COUNTIF(ListeIzinliGecis,$D466&amp;"|"&amp;$E466)&gt;0),"","GEÇERSİZ GEÇİŞ"))</f>
        <v/>
      </c>
      <c r="O466" s="35">
        <f>IF($A466="","",IF(OR($F466="",$G466=""),"",IF(ABS($G466-$F466)&gt;zincirTolerans,"ZİNCİR KIRIK","OK")))</f>
        <v/>
      </c>
      <c r="P466" s="35">
        <f>IF($A466="","",1)</f>
        <v/>
      </c>
    </row>
    <row r="467">
      <c r="A467" s="29" t="n"/>
      <c r="B467" s="29" t="n"/>
      <c r="C467" s="70" t="n"/>
      <c r="D467" s="29" t="n"/>
      <c r="E467" s="29" t="n"/>
      <c r="F467" s="30" t="n"/>
      <c r="G467" s="30" t="n"/>
      <c r="H467" s="31" t="n"/>
      <c r="I467" s="31" t="n"/>
      <c r="J467" s="29" t="n"/>
      <c r="K467" s="35">
        <f>IF($A467="","",IF($C467="","",raporTarihi-$C467))</f>
        <v/>
      </c>
      <c r="L467" s="35">
        <f>IF($A467="","",IF($K467="","",IF($K467&lt;=7,"0-7",IF($K467&lt;=30,"8-30",IF($K467&lt;=60,"31-60","60+")))))</f>
        <v/>
      </c>
      <c r="M467" s="35">
        <f>IF($A467="","",IF($B467="","YETİM",IF(COUNTIF(tblKartlar[KartId],$B467)=0,"YETİM","")))</f>
        <v/>
      </c>
      <c r="N467" s="35">
        <f>IF(OR($A467="",$D467=""),"",IF(OR($D467&amp;"|"&amp;$E467="",COUNTIF(ListeIzinliGecis,$D467&amp;"|"&amp;$E467)&gt;0),"","GEÇERSİZ GEÇİŞ"))</f>
        <v/>
      </c>
      <c r="O467" s="35">
        <f>IF($A467="","",IF(OR($F467="",$G467=""),"",IF(ABS($G467-$F467)&gt;zincirTolerans,"ZİNCİR KIRIK","OK")))</f>
        <v/>
      </c>
      <c r="P467" s="35">
        <f>IF($A467="","",1)</f>
        <v/>
      </c>
    </row>
    <row r="468">
      <c r="A468" s="29" t="n"/>
      <c r="B468" s="29" t="n"/>
      <c r="C468" s="70" t="n"/>
      <c r="D468" s="29" t="n"/>
      <c r="E468" s="29" t="n"/>
      <c r="F468" s="30" t="n"/>
      <c r="G468" s="30" t="n"/>
      <c r="H468" s="31" t="n"/>
      <c r="I468" s="31" t="n"/>
      <c r="J468" s="29" t="n"/>
      <c r="K468" s="35">
        <f>IF($A468="","",IF($C468="","",raporTarihi-$C468))</f>
        <v/>
      </c>
      <c r="L468" s="35">
        <f>IF($A468="","",IF($K468="","",IF($K468&lt;=7,"0-7",IF($K468&lt;=30,"8-30",IF($K468&lt;=60,"31-60","60+")))))</f>
        <v/>
      </c>
      <c r="M468" s="35">
        <f>IF($A468="","",IF($B468="","YETİM",IF(COUNTIF(tblKartlar[KartId],$B468)=0,"YETİM","")))</f>
        <v/>
      </c>
      <c r="N468" s="35">
        <f>IF(OR($A468="",$D468=""),"",IF(OR($D468&amp;"|"&amp;$E468="",COUNTIF(ListeIzinliGecis,$D468&amp;"|"&amp;$E468)&gt;0),"","GEÇERSİZ GEÇİŞ"))</f>
        <v/>
      </c>
      <c r="O468" s="35">
        <f>IF($A468="","",IF(OR($F468="",$G468=""),"",IF(ABS($G468-$F468)&gt;zincirTolerans,"ZİNCİR KIRIK","OK")))</f>
        <v/>
      </c>
      <c r="P468" s="35">
        <f>IF($A468="","",1)</f>
        <v/>
      </c>
    </row>
    <row r="469">
      <c r="A469" s="29" t="n"/>
      <c r="B469" s="29" t="n"/>
      <c r="C469" s="70" t="n"/>
      <c r="D469" s="29" t="n"/>
      <c r="E469" s="29" t="n"/>
      <c r="F469" s="30" t="n"/>
      <c r="G469" s="30" t="n"/>
      <c r="H469" s="31" t="n"/>
      <c r="I469" s="31" t="n"/>
      <c r="J469" s="29" t="n"/>
      <c r="K469" s="35">
        <f>IF($A469="","",IF($C469="","",raporTarihi-$C469))</f>
        <v/>
      </c>
      <c r="L469" s="35">
        <f>IF($A469="","",IF($K469="","",IF($K469&lt;=7,"0-7",IF($K469&lt;=30,"8-30",IF($K469&lt;=60,"31-60","60+")))))</f>
        <v/>
      </c>
      <c r="M469" s="35">
        <f>IF($A469="","",IF($B469="","YETİM",IF(COUNTIF(tblKartlar[KartId],$B469)=0,"YETİM","")))</f>
        <v/>
      </c>
      <c r="N469" s="35">
        <f>IF(OR($A469="",$D469=""),"",IF(OR($D469&amp;"|"&amp;$E469="",COUNTIF(ListeIzinliGecis,$D469&amp;"|"&amp;$E469)&gt;0),"","GEÇERSİZ GEÇİŞ"))</f>
        <v/>
      </c>
      <c r="O469" s="35">
        <f>IF($A469="","",IF(OR($F469="",$G469=""),"",IF(ABS($G469-$F469)&gt;zincirTolerans,"ZİNCİR KIRIK","OK")))</f>
        <v/>
      </c>
      <c r="P469" s="35">
        <f>IF($A469="","",1)</f>
        <v/>
      </c>
    </row>
    <row r="470">
      <c r="A470" s="29" t="n"/>
      <c r="B470" s="29" t="n"/>
      <c r="C470" s="70" t="n"/>
      <c r="D470" s="29" t="n"/>
      <c r="E470" s="29" t="n"/>
      <c r="F470" s="30" t="n"/>
      <c r="G470" s="30" t="n"/>
      <c r="H470" s="31" t="n"/>
      <c r="I470" s="31" t="n"/>
      <c r="J470" s="29" t="n"/>
      <c r="K470" s="35">
        <f>IF($A470="","",IF($C470="","",raporTarihi-$C470))</f>
        <v/>
      </c>
      <c r="L470" s="35">
        <f>IF($A470="","",IF($K470="","",IF($K470&lt;=7,"0-7",IF($K470&lt;=30,"8-30",IF($K470&lt;=60,"31-60","60+")))))</f>
        <v/>
      </c>
      <c r="M470" s="35">
        <f>IF($A470="","",IF($B470="","YETİM",IF(COUNTIF(tblKartlar[KartId],$B470)=0,"YETİM","")))</f>
        <v/>
      </c>
      <c r="N470" s="35">
        <f>IF(OR($A470="",$D470=""),"",IF(OR($D470&amp;"|"&amp;$E470="",COUNTIF(ListeIzinliGecis,$D470&amp;"|"&amp;$E470)&gt;0),"","GEÇERSİZ GEÇİŞ"))</f>
        <v/>
      </c>
      <c r="O470" s="35">
        <f>IF($A470="","",IF(OR($F470="",$G470=""),"",IF(ABS($G470-$F470)&gt;zincirTolerans,"ZİNCİR KIRIK","OK")))</f>
        <v/>
      </c>
      <c r="P470" s="35">
        <f>IF($A470="","",1)</f>
        <v/>
      </c>
    </row>
    <row r="471">
      <c r="A471" s="29" t="n"/>
      <c r="B471" s="29" t="n"/>
      <c r="C471" s="70" t="n"/>
      <c r="D471" s="29" t="n"/>
      <c r="E471" s="29" t="n"/>
      <c r="F471" s="30" t="n"/>
      <c r="G471" s="30" t="n"/>
      <c r="H471" s="31" t="n"/>
      <c r="I471" s="31" t="n"/>
      <c r="J471" s="29" t="n"/>
      <c r="K471" s="35">
        <f>IF($A471="","",IF($C471="","",raporTarihi-$C471))</f>
        <v/>
      </c>
      <c r="L471" s="35">
        <f>IF($A471="","",IF($K471="","",IF($K471&lt;=7,"0-7",IF($K471&lt;=30,"8-30",IF($K471&lt;=60,"31-60","60+")))))</f>
        <v/>
      </c>
      <c r="M471" s="35">
        <f>IF($A471="","",IF($B471="","YETİM",IF(COUNTIF(tblKartlar[KartId],$B471)=0,"YETİM","")))</f>
        <v/>
      </c>
      <c r="N471" s="35">
        <f>IF(OR($A471="",$D471=""),"",IF(OR($D471&amp;"|"&amp;$E471="",COUNTIF(ListeIzinliGecis,$D471&amp;"|"&amp;$E471)&gt;0),"","GEÇERSİZ GEÇİŞ"))</f>
        <v/>
      </c>
      <c r="O471" s="35">
        <f>IF($A471="","",IF(OR($F471="",$G471=""),"",IF(ABS($G471-$F471)&gt;zincirTolerans,"ZİNCİR KIRIK","OK")))</f>
        <v/>
      </c>
      <c r="P471" s="35">
        <f>IF($A471="","",1)</f>
        <v/>
      </c>
    </row>
    <row r="472">
      <c r="A472" s="29" t="n"/>
      <c r="B472" s="29" t="n"/>
      <c r="C472" s="70" t="n"/>
      <c r="D472" s="29" t="n"/>
      <c r="E472" s="29" t="n"/>
      <c r="F472" s="30" t="n"/>
      <c r="G472" s="30" t="n"/>
      <c r="H472" s="31" t="n"/>
      <c r="I472" s="31" t="n"/>
      <c r="J472" s="29" t="n"/>
      <c r="K472" s="35">
        <f>IF($A472="","",IF($C472="","",raporTarihi-$C472))</f>
        <v/>
      </c>
      <c r="L472" s="35">
        <f>IF($A472="","",IF($K472="","",IF($K472&lt;=7,"0-7",IF($K472&lt;=30,"8-30",IF($K472&lt;=60,"31-60","60+")))))</f>
        <v/>
      </c>
      <c r="M472" s="35">
        <f>IF($A472="","",IF($B472="","YETİM",IF(COUNTIF(tblKartlar[KartId],$B472)=0,"YETİM","")))</f>
        <v/>
      </c>
      <c r="N472" s="35">
        <f>IF(OR($A472="",$D472=""),"",IF(OR($D472&amp;"|"&amp;$E472="",COUNTIF(ListeIzinliGecis,$D472&amp;"|"&amp;$E472)&gt;0),"","GEÇERSİZ GEÇİŞ"))</f>
        <v/>
      </c>
      <c r="O472" s="35">
        <f>IF($A472="","",IF(OR($F472="",$G472=""),"",IF(ABS($G472-$F472)&gt;zincirTolerans,"ZİNCİR KIRIK","OK")))</f>
        <v/>
      </c>
      <c r="P472" s="35">
        <f>IF($A472="","",1)</f>
        <v/>
      </c>
    </row>
    <row r="473">
      <c r="A473" s="29" t="n"/>
      <c r="B473" s="29" t="n"/>
      <c r="C473" s="70" t="n"/>
      <c r="D473" s="29" t="n"/>
      <c r="E473" s="29" t="n"/>
      <c r="F473" s="30" t="n"/>
      <c r="G473" s="30" t="n"/>
      <c r="H473" s="31" t="n"/>
      <c r="I473" s="31" t="n"/>
      <c r="J473" s="29" t="n"/>
      <c r="K473" s="35">
        <f>IF($A473="","",IF($C473="","",raporTarihi-$C473))</f>
        <v/>
      </c>
      <c r="L473" s="35">
        <f>IF($A473="","",IF($K473="","",IF($K473&lt;=7,"0-7",IF($K473&lt;=30,"8-30",IF($K473&lt;=60,"31-60","60+")))))</f>
        <v/>
      </c>
      <c r="M473" s="35">
        <f>IF($A473="","",IF($B473="","YETİM",IF(COUNTIF(tblKartlar[KartId],$B473)=0,"YETİM","")))</f>
        <v/>
      </c>
      <c r="N473" s="35">
        <f>IF(OR($A473="",$D473=""),"",IF(OR($D473&amp;"|"&amp;$E473="",COUNTIF(ListeIzinliGecis,$D473&amp;"|"&amp;$E473)&gt;0),"","GEÇERSİZ GEÇİŞ"))</f>
        <v/>
      </c>
      <c r="O473" s="35">
        <f>IF($A473="","",IF(OR($F473="",$G473=""),"",IF(ABS($G473-$F473)&gt;zincirTolerans,"ZİNCİR KIRIK","OK")))</f>
        <v/>
      </c>
      <c r="P473" s="35">
        <f>IF($A473="","",1)</f>
        <v/>
      </c>
    </row>
    <row r="474">
      <c r="A474" s="29" t="n"/>
      <c r="B474" s="29" t="n"/>
      <c r="C474" s="70" t="n"/>
      <c r="D474" s="29" t="n"/>
      <c r="E474" s="29" t="n"/>
      <c r="F474" s="30" t="n"/>
      <c r="G474" s="30" t="n"/>
      <c r="H474" s="31" t="n"/>
      <c r="I474" s="31" t="n"/>
      <c r="J474" s="29" t="n"/>
      <c r="K474" s="35">
        <f>IF($A474="","",IF($C474="","",raporTarihi-$C474))</f>
        <v/>
      </c>
      <c r="L474" s="35">
        <f>IF($A474="","",IF($K474="","",IF($K474&lt;=7,"0-7",IF($K474&lt;=30,"8-30",IF($K474&lt;=60,"31-60","60+")))))</f>
        <v/>
      </c>
      <c r="M474" s="35">
        <f>IF($A474="","",IF($B474="","YETİM",IF(COUNTIF(tblKartlar[KartId],$B474)=0,"YETİM","")))</f>
        <v/>
      </c>
      <c r="N474" s="35">
        <f>IF(OR($A474="",$D474=""),"",IF(OR($D474&amp;"|"&amp;$E474="",COUNTIF(ListeIzinliGecis,$D474&amp;"|"&amp;$E474)&gt;0),"","GEÇERSİZ GEÇİŞ"))</f>
        <v/>
      </c>
      <c r="O474" s="35">
        <f>IF($A474="","",IF(OR($F474="",$G474=""),"",IF(ABS($G474-$F474)&gt;zincirTolerans,"ZİNCİR KIRIK","OK")))</f>
        <v/>
      </c>
      <c r="P474" s="35">
        <f>IF($A474="","",1)</f>
        <v/>
      </c>
    </row>
    <row r="475">
      <c r="A475" s="29" t="n"/>
      <c r="B475" s="29" t="n"/>
      <c r="C475" s="70" t="n"/>
      <c r="D475" s="29" t="n"/>
      <c r="E475" s="29" t="n"/>
      <c r="F475" s="30" t="n"/>
      <c r="G475" s="30" t="n"/>
      <c r="H475" s="31" t="n"/>
      <c r="I475" s="31" t="n"/>
      <c r="J475" s="29" t="n"/>
      <c r="K475" s="35">
        <f>IF($A475="","",IF($C475="","",raporTarihi-$C475))</f>
        <v/>
      </c>
      <c r="L475" s="35">
        <f>IF($A475="","",IF($K475="","",IF($K475&lt;=7,"0-7",IF($K475&lt;=30,"8-30",IF($K475&lt;=60,"31-60","60+")))))</f>
        <v/>
      </c>
      <c r="M475" s="35">
        <f>IF($A475="","",IF($B475="","YETİM",IF(COUNTIF(tblKartlar[KartId],$B475)=0,"YETİM","")))</f>
        <v/>
      </c>
      <c r="N475" s="35">
        <f>IF(OR($A475="",$D475=""),"",IF(OR($D475&amp;"|"&amp;$E475="",COUNTIF(ListeIzinliGecis,$D475&amp;"|"&amp;$E475)&gt;0),"","GEÇERSİZ GEÇİŞ"))</f>
        <v/>
      </c>
      <c r="O475" s="35">
        <f>IF($A475="","",IF(OR($F475="",$G475=""),"",IF(ABS($G475-$F475)&gt;zincirTolerans,"ZİNCİR KIRIK","OK")))</f>
        <v/>
      </c>
      <c r="P475" s="35">
        <f>IF($A475="","",1)</f>
        <v/>
      </c>
    </row>
    <row r="476">
      <c r="A476" s="29" t="n"/>
      <c r="B476" s="29" t="n"/>
      <c r="C476" s="70" t="n"/>
      <c r="D476" s="29" t="n"/>
      <c r="E476" s="29" t="n"/>
      <c r="F476" s="30" t="n"/>
      <c r="G476" s="30" t="n"/>
      <c r="H476" s="31" t="n"/>
      <c r="I476" s="31" t="n"/>
      <c r="J476" s="29" t="n"/>
      <c r="K476" s="35">
        <f>IF($A476="","",IF($C476="","",raporTarihi-$C476))</f>
        <v/>
      </c>
      <c r="L476" s="35">
        <f>IF($A476="","",IF($K476="","",IF($K476&lt;=7,"0-7",IF($K476&lt;=30,"8-30",IF($K476&lt;=60,"31-60","60+")))))</f>
        <v/>
      </c>
      <c r="M476" s="35">
        <f>IF($A476="","",IF($B476="","YETİM",IF(COUNTIF(tblKartlar[KartId],$B476)=0,"YETİM","")))</f>
        <v/>
      </c>
      <c r="N476" s="35">
        <f>IF(OR($A476="",$D476=""),"",IF(OR($D476&amp;"|"&amp;$E476="",COUNTIF(ListeIzinliGecis,$D476&amp;"|"&amp;$E476)&gt;0),"","GEÇERSİZ GEÇİŞ"))</f>
        <v/>
      </c>
      <c r="O476" s="35">
        <f>IF($A476="","",IF(OR($F476="",$G476=""),"",IF(ABS($G476-$F476)&gt;zincirTolerans,"ZİNCİR KIRIK","OK")))</f>
        <v/>
      </c>
      <c r="P476" s="35">
        <f>IF($A476="","",1)</f>
        <v/>
      </c>
    </row>
    <row r="477">
      <c r="A477" s="29" t="n"/>
      <c r="B477" s="29" t="n"/>
      <c r="C477" s="70" t="n"/>
      <c r="D477" s="29" t="n"/>
      <c r="E477" s="29" t="n"/>
      <c r="F477" s="30" t="n"/>
      <c r="G477" s="30" t="n"/>
      <c r="H477" s="31" t="n"/>
      <c r="I477" s="31" t="n"/>
      <c r="J477" s="29" t="n"/>
      <c r="K477" s="35">
        <f>IF($A477="","",IF($C477="","",raporTarihi-$C477))</f>
        <v/>
      </c>
      <c r="L477" s="35">
        <f>IF($A477="","",IF($K477="","",IF($K477&lt;=7,"0-7",IF($K477&lt;=30,"8-30",IF($K477&lt;=60,"31-60","60+")))))</f>
        <v/>
      </c>
      <c r="M477" s="35">
        <f>IF($A477="","",IF($B477="","YETİM",IF(COUNTIF(tblKartlar[KartId],$B477)=0,"YETİM","")))</f>
        <v/>
      </c>
      <c r="N477" s="35">
        <f>IF(OR($A477="",$D477=""),"",IF(OR($D477&amp;"|"&amp;$E477="",COUNTIF(ListeIzinliGecis,$D477&amp;"|"&amp;$E477)&gt;0),"","GEÇERSİZ GEÇİŞ"))</f>
        <v/>
      </c>
      <c r="O477" s="35">
        <f>IF($A477="","",IF(OR($F477="",$G477=""),"",IF(ABS($G477-$F477)&gt;zincirTolerans,"ZİNCİR KIRIK","OK")))</f>
        <v/>
      </c>
      <c r="P477" s="35">
        <f>IF($A477="","",1)</f>
        <v/>
      </c>
    </row>
    <row r="478">
      <c r="A478" s="29" t="n"/>
      <c r="B478" s="29" t="n"/>
      <c r="C478" s="70" t="n"/>
      <c r="D478" s="29" t="n"/>
      <c r="E478" s="29" t="n"/>
      <c r="F478" s="30" t="n"/>
      <c r="G478" s="30" t="n"/>
      <c r="H478" s="31" t="n"/>
      <c r="I478" s="31" t="n"/>
      <c r="J478" s="29" t="n"/>
      <c r="K478" s="35">
        <f>IF($A478="","",IF($C478="","",raporTarihi-$C478))</f>
        <v/>
      </c>
      <c r="L478" s="35">
        <f>IF($A478="","",IF($K478="","",IF($K478&lt;=7,"0-7",IF($K478&lt;=30,"8-30",IF($K478&lt;=60,"31-60","60+")))))</f>
        <v/>
      </c>
      <c r="M478" s="35">
        <f>IF($A478="","",IF($B478="","YETİM",IF(COUNTIF(tblKartlar[KartId],$B478)=0,"YETİM","")))</f>
        <v/>
      </c>
      <c r="N478" s="35">
        <f>IF(OR($A478="",$D478=""),"",IF(OR($D478&amp;"|"&amp;$E478="",COUNTIF(ListeIzinliGecis,$D478&amp;"|"&amp;$E478)&gt;0),"","GEÇERSİZ GEÇİŞ"))</f>
        <v/>
      </c>
      <c r="O478" s="35">
        <f>IF($A478="","",IF(OR($F478="",$G478=""),"",IF(ABS($G478-$F478)&gt;zincirTolerans,"ZİNCİR KIRIK","OK")))</f>
        <v/>
      </c>
      <c r="P478" s="35">
        <f>IF($A478="","",1)</f>
        <v/>
      </c>
    </row>
    <row r="479">
      <c r="A479" s="29" t="n"/>
      <c r="B479" s="29" t="n"/>
      <c r="C479" s="70" t="n"/>
      <c r="D479" s="29" t="n"/>
      <c r="E479" s="29" t="n"/>
      <c r="F479" s="30" t="n"/>
      <c r="G479" s="30" t="n"/>
      <c r="H479" s="31" t="n"/>
      <c r="I479" s="31" t="n"/>
      <c r="J479" s="29" t="n"/>
      <c r="K479" s="35">
        <f>IF($A479="","",IF($C479="","",raporTarihi-$C479))</f>
        <v/>
      </c>
      <c r="L479" s="35">
        <f>IF($A479="","",IF($K479="","",IF($K479&lt;=7,"0-7",IF($K479&lt;=30,"8-30",IF($K479&lt;=60,"31-60","60+")))))</f>
        <v/>
      </c>
      <c r="M479" s="35">
        <f>IF($A479="","",IF($B479="","YETİM",IF(COUNTIF(tblKartlar[KartId],$B479)=0,"YETİM","")))</f>
        <v/>
      </c>
      <c r="N479" s="35">
        <f>IF(OR($A479="",$D479=""),"",IF(OR($D479&amp;"|"&amp;$E479="",COUNTIF(ListeIzinliGecis,$D479&amp;"|"&amp;$E479)&gt;0),"","GEÇERSİZ GEÇİŞ"))</f>
        <v/>
      </c>
      <c r="O479" s="35">
        <f>IF($A479="","",IF(OR($F479="",$G479=""),"",IF(ABS($G479-$F479)&gt;zincirTolerans,"ZİNCİR KIRIK","OK")))</f>
        <v/>
      </c>
      <c r="P479" s="35">
        <f>IF($A479="","",1)</f>
        <v/>
      </c>
    </row>
    <row r="480">
      <c r="A480" s="29" t="n"/>
      <c r="B480" s="29" t="n"/>
      <c r="C480" s="70" t="n"/>
      <c r="D480" s="29" t="n"/>
      <c r="E480" s="29" t="n"/>
      <c r="F480" s="30" t="n"/>
      <c r="G480" s="30" t="n"/>
      <c r="H480" s="31" t="n"/>
      <c r="I480" s="31" t="n"/>
      <c r="J480" s="29" t="n"/>
      <c r="K480" s="35">
        <f>IF($A480="","",IF($C480="","",raporTarihi-$C480))</f>
        <v/>
      </c>
      <c r="L480" s="35">
        <f>IF($A480="","",IF($K480="","",IF($K480&lt;=7,"0-7",IF($K480&lt;=30,"8-30",IF($K480&lt;=60,"31-60","60+")))))</f>
        <v/>
      </c>
      <c r="M480" s="35">
        <f>IF($A480="","",IF($B480="","YETİM",IF(COUNTIF(tblKartlar[KartId],$B480)=0,"YETİM","")))</f>
        <v/>
      </c>
      <c r="N480" s="35">
        <f>IF(OR($A480="",$D480=""),"",IF(OR($D480&amp;"|"&amp;$E480="",COUNTIF(ListeIzinliGecis,$D480&amp;"|"&amp;$E480)&gt;0),"","GEÇERSİZ GEÇİŞ"))</f>
        <v/>
      </c>
      <c r="O480" s="35">
        <f>IF($A480="","",IF(OR($F480="",$G480=""),"",IF(ABS($G480-$F480)&gt;zincirTolerans,"ZİNCİR KIRIK","OK")))</f>
        <v/>
      </c>
      <c r="P480" s="35">
        <f>IF($A480="","",1)</f>
        <v/>
      </c>
    </row>
    <row r="481">
      <c r="A481" s="29" t="n"/>
      <c r="B481" s="29" t="n"/>
      <c r="C481" s="70" t="n"/>
      <c r="D481" s="29" t="n"/>
      <c r="E481" s="29" t="n"/>
      <c r="F481" s="30" t="n"/>
      <c r="G481" s="30" t="n"/>
      <c r="H481" s="31" t="n"/>
      <c r="I481" s="31" t="n"/>
      <c r="J481" s="29" t="n"/>
      <c r="K481" s="35">
        <f>IF($A481="","",IF($C481="","",raporTarihi-$C481))</f>
        <v/>
      </c>
      <c r="L481" s="35">
        <f>IF($A481="","",IF($K481="","",IF($K481&lt;=7,"0-7",IF($K481&lt;=30,"8-30",IF($K481&lt;=60,"31-60","60+")))))</f>
        <v/>
      </c>
      <c r="M481" s="35">
        <f>IF($A481="","",IF($B481="","YETİM",IF(COUNTIF(tblKartlar[KartId],$B481)=0,"YETİM","")))</f>
        <v/>
      </c>
      <c r="N481" s="35">
        <f>IF(OR($A481="",$D481=""),"",IF(OR($D481&amp;"|"&amp;$E481="",COUNTIF(ListeIzinliGecis,$D481&amp;"|"&amp;$E481)&gt;0),"","GEÇERSİZ GEÇİŞ"))</f>
        <v/>
      </c>
      <c r="O481" s="35">
        <f>IF($A481="","",IF(OR($F481="",$G481=""),"",IF(ABS($G481-$F481)&gt;zincirTolerans,"ZİNCİR KIRIK","OK")))</f>
        <v/>
      </c>
      <c r="P481" s="35">
        <f>IF($A481="","",1)</f>
        <v/>
      </c>
    </row>
    <row r="482">
      <c r="A482" s="29" t="n"/>
      <c r="B482" s="29" t="n"/>
      <c r="C482" s="70" t="n"/>
      <c r="D482" s="29" t="n"/>
      <c r="E482" s="29" t="n"/>
      <c r="F482" s="30" t="n"/>
      <c r="G482" s="30" t="n"/>
      <c r="H482" s="31" t="n"/>
      <c r="I482" s="31" t="n"/>
      <c r="J482" s="29" t="n"/>
      <c r="K482" s="35">
        <f>IF($A482="","",IF($C482="","",raporTarihi-$C482))</f>
        <v/>
      </c>
      <c r="L482" s="35">
        <f>IF($A482="","",IF($K482="","",IF($K482&lt;=7,"0-7",IF($K482&lt;=30,"8-30",IF($K482&lt;=60,"31-60","60+")))))</f>
        <v/>
      </c>
      <c r="M482" s="35">
        <f>IF($A482="","",IF($B482="","YETİM",IF(COUNTIF(tblKartlar[KartId],$B482)=0,"YETİM","")))</f>
        <v/>
      </c>
      <c r="N482" s="35">
        <f>IF(OR($A482="",$D482=""),"",IF(OR($D482&amp;"|"&amp;$E482="",COUNTIF(ListeIzinliGecis,$D482&amp;"|"&amp;$E482)&gt;0),"","GEÇERSİZ GEÇİŞ"))</f>
        <v/>
      </c>
      <c r="O482" s="35">
        <f>IF($A482="","",IF(OR($F482="",$G482=""),"",IF(ABS($G482-$F482)&gt;zincirTolerans,"ZİNCİR KIRIK","OK")))</f>
        <v/>
      </c>
      <c r="P482" s="35">
        <f>IF($A482="","",1)</f>
        <v/>
      </c>
    </row>
    <row r="483">
      <c r="A483" s="29" t="n"/>
      <c r="B483" s="29" t="n"/>
      <c r="C483" s="70" t="n"/>
      <c r="D483" s="29" t="n"/>
      <c r="E483" s="29" t="n"/>
      <c r="F483" s="30" t="n"/>
      <c r="G483" s="30" t="n"/>
      <c r="H483" s="31" t="n"/>
      <c r="I483" s="31" t="n"/>
      <c r="J483" s="29" t="n"/>
      <c r="K483" s="35">
        <f>IF($A483="","",IF($C483="","",raporTarihi-$C483))</f>
        <v/>
      </c>
      <c r="L483" s="35">
        <f>IF($A483="","",IF($K483="","",IF($K483&lt;=7,"0-7",IF($K483&lt;=30,"8-30",IF($K483&lt;=60,"31-60","60+")))))</f>
        <v/>
      </c>
      <c r="M483" s="35">
        <f>IF($A483="","",IF($B483="","YETİM",IF(COUNTIF(tblKartlar[KartId],$B483)=0,"YETİM","")))</f>
        <v/>
      </c>
      <c r="N483" s="35">
        <f>IF(OR($A483="",$D483=""),"",IF(OR($D483&amp;"|"&amp;$E483="",COUNTIF(ListeIzinliGecis,$D483&amp;"|"&amp;$E483)&gt;0),"","GEÇERSİZ GEÇİŞ"))</f>
        <v/>
      </c>
      <c r="O483" s="35">
        <f>IF($A483="","",IF(OR($F483="",$G483=""),"",IF(ABS($G483-$F483)&gt;zincirTolerans,"ZİNCİR KIRIK","OK")))</f>
        <v/>
      </c>
      <c r="P483" s="35">
        <f>IF($A483="","",1)</f>
        <v/>
      </c>
    </row>
    <row r="484">
      <c r="A484" s="29" t="n"/>
      <c r="B484" s="29" t="n"/>
      <c r="C484" s="70" t="n"/>
      <c r="D484" s="29" t="n"/>
      <c r="E484" s="29" t="n"/>
      <c r="F484" s="30" t="n"/>
      <c r="G484" s="30" t="n"/>
      <c r="H484" s="31" t="n"/>
      <c r="I484" s="31" t="n"/>
      <c r="J484" s="29" t="n"/>
      <c r="K484" s="35">
        <f>IF($A484="","",IF($C484="","",raporTarihi-$C484))</f>
        <v/>
      </c>
      <c r="L484" s="35">
        <f>IF($A484="","",IF($K484="","",IF($K484&lt;=7,"0-7",IF($K484&lt;=30,"8-30",IF($K484&lt;=60,"31-60","60+")))))</f>
        <v/>
      </c>
      <c r="M484" s="35">
        <f>IF($A484="","",IF($B484="","YETİM",IF(COUNTIF(tblKartlar[KartId],$B484)=0,"YETİM","")))</f>
        <v/>
      </c>
      <c r="N484" s="35">
        <f>IF(OR($A484="",$D484=""),"",IF(OR($D484&amp;"|"&amp;$E484="",COUNTIF(ListeIzinliGecis,$D484&amp;"|"&amp;$E484)&gt;0),"","GEÇERSİZ GEÇİŞ"))</f>
        <v/>
      </c>
      <c r="O484" s="35">
        <f>IF($A484="","",IF(OR($F484="",$G484=""),"",IF(ABS($G484-$F484)&gt;zincirTolerans,"ZİNCİR KIRIK","OK")))</f>
        <v/>
      </c>
      <c r="P484" s="35">
        <f>IF($A484="","",1)</f>
        <v/>
      </c>
    </row>
    <row r="485">
      <c r="A485" s="29" t="n"/>
      <c r="B485" s="29" t="n"/>
      <c r="C485" s="70" t="n"/>
      <c r="D485" s="29" t="n"/>
      <c r="E485" s="29" t="n"/>
      <c r="F485" s="30" t="n"/>
      <c r="G485" s="30" t="n"/>
      <c r="H485" s="31" t="n"/>
      <c r="I485" s="31" t="n"/>
      <c r="J485" s="29" t="n"/>
      <c r="K485" s="35">
        <f>IF($A485="","",IF($C485="","",raporTarihi-$C485))</f>
        <v/>
      </c>
      <c r="L485" s="35">
        <f>IF($A485="","",IF($K485="","",IF($K485&lt;=7,"0-7",IF($K485&lt;=30,"8-30",IF($K485&lt;=60,"31-60","60+")))))</f>
        <v/>
      </c>
      <c r="M485" s="35">
        <f>IF($A485="","",IF($B485="","YETİM",IF(COUNTIF(tblKartlar[KartId],$B485)=0,"YETİM","")))</f>
        <v/>
      </c>
      <c r="N485" s="35">
        <f>IF(OR($A485="",$D485=""),"",IF(OR($D485&amp;"|"&amp;$E485="",COUNTIF(ListeIzinliGecis,$D485&amp;"|"&amp;$E485)&gt;0),"","GEÇERSİZ GEÇİŞ"))</f>
        <v/>
      </c>
      <c r="O485" s="35">
        <f>IF($A485="","",IF(OR($F485="",$G485=""),"",IF(ABS($G485-$F485)&gt;zincirTolerans,"ZİNCİR KIRIK","OK")))</f>
        <v/>
      </c>
      <c r="P485" s="35">
        <f>IF($A485="","",1)</f>
        <v/>
      </c>
    </row>
    <row r="486">
      <c r="A486" s="29" t="n"/>
      <c r="B486" s="29" t="n"/>
      <c r="C486" s="70" t="n"/>
      <c r="D486" s="29" t="n"/>
      <c r="E486" s="29" t="n"/>
      <c r="F486" s="30" t="n"/>
      <c r="G486" s="30" t="n"/>
      <c r="H486" s="31" t="n"/>
      <c r="I486" s="31" t="n"/>
      <c r="J486" s="29" t="n"/>
      <c r="K486" s="35">
        <f>IF($A486="","",IF($C486="","",raporTarihi-$C486))</f>
        <v/>
      </c>
      <c r="L486" s="35">
        <f>IF($A486="","",IF($K486="","",IF($K486&lt;=7,"0-7",IF($K486&lt;=30,"8-30",IF($K486&lt;=60,"31-60","60+")))))</f>
        <v/>
      </c>
      <c r="M486" s="35">
        <f>IF($A486="","",IF($B486="","YETİM",IF(COUNTIF(tblKartlar[KartId],$B486)=0,"YETİM","")))</f>
        <v/>
      </c>
      <c r="N486" s="35">
        <f>IF(OR($A486="",$D486=""),"",IF(OR($D486&amp;"|"&amp;$E486="",COUNTIF(ListeIzinliGecis,$D486&amp;"|"&amp;$E486)&gt;0),"","GEÇERSİZ GEÇİŞ"))</f>
        <v/>
      </c>
      <c r="O486" s="35">
        <f>IF($A486="","",IF(OR($F486="",$G486=""),"",IF(ABS($G486-$F486)&gt;zincirTolerans,"ZİNCİR KIRIK","OK")))</f>
        <v/>
      </c>
      <c r="P486" s="35">
        <f>IF($A486="","",1)</f>
        <v/>
      </c>
    </row>
    <row r="487">
      <c r="A487" s="29" t="n"/>
      <c r="B487" s="29" t="n"/>
      <c r="C487" s="70" t="n"/>
      <c r="D487" s="29" t="n"/>
      <c r="E487" s="29" t="n"/>
      <c r="F487" s="30" t="n"/>
      <c r="G487" s="30" t="n"/>
      <c r="H487" s="31" t="n"/>
      <c r="I487" s="31" t="n"/>
      <c r="J487" s="29" t="n"/>
      <c r="K487" s="35">
        <f>IF($A487="","",IF($C487="","",raporTarihi-$C487))</f>
        <v/>
      </c>
      <c r="L487" s="35">
        <f>IF($A487="","",IF($K487="","",IF($K487&lt;=7,"0-7",IF($K487&lt;=30,"8-30",IF($K487&lt;=60,"31-60","60+")))))</f>
        <v/>
      </c>
      <c r="M487" s="35">
        <f>IF($A487="","",IF($B487="","YETİM",IF(COUNTIF(tblKartlar[KartId],$B487)=0,"YETİM","")))</f>
        <v/>
      </c>
      <c r="N487" s="35">
        <f>IF(OR($A487="",$D487=""),"",IF(OR($D487&amp;"|"&amp;$E487="",COUNTIF(ListeIzinliGecis,$D487&amp;"|"&amp;$E487)&gt;0),"","GEÇERSİZ GEÇİŞ"))</f>
        <v/>
      </c>
      <c r="O487" s="35">
        <f>IF($A487="","",IF(OR($F487="",$G487=""),"",IF(ABS($G487-$F487)&gt;zincirTolerans,"ZİNCİR KIRIK","OK")))</f>
        <v/>
      </c>
      <c r="P487" s="35">
        <f>IF($A487="","",1)</f>
        <v/>
      </c>
    </row>
    <row r="488">
      <c r="A488" s="29" t="n"/>
      <c r="B488" s="29" t="n"/>
      <c r="C488" s="70" t="n"/>
      <c r="D488" s="29" t="n"/>
      <c r="E488" s="29" t="n"/>
      <c r="F488" s="30" t="n"/>
      <c r="G488" s="30" t="n"/>
      <c r="H488" s="31" t="n"/>
      <c r="I488" s="31" t="n"/>
      <c r="J488" s="29" t="n"/>
      <c r="K488" s="35">
        <f>IF($A488="","",IF($C488="","",raporTarihi-$C488))</f>
        <v/>
      </c>
      <c r="L488" s="35">
        <f>IF($A488="","",IF($K488="","",IF($K488&lt;=7,"0-7",IF($K488&lt;=30,"8-30",IF($K488&lt;=60,"31-60","60+")))))</f>
        <v/>
      </c>
      <c r="M488" s="35">
        <f>IF($A488="","",IF($B488="","YETİM",IF(COUNTIF(tblKartlar[KartId],$B488)=0,"YETİM","")))</f>
        <v/>
      </c>
      <c r="N488" s="35">
        <f>IF(OR($A488="",$D488=""),"",IF(OR($D488&amp;"|"&amp;$E488="",COUNTIF(ListeIzinliGecis,$D488&amp;"|"&amp;$E488)&gt;0),"","GEÇERSİZ GEÇİŞ"))</f>
        <v/>
      </c>
      <c r="O488" s="35">
        <f>IF($A488="","",IF(OR($F488="",$G488=""),"",IF(ABS($G488-$F488)&gt;zincirTolerans,"ZİNCİR KIRIK","OK")))</f>
        <v/>
      </c>
      <c r="P488" s="35">
        <f>IF($A488="","",1)</f>
        <v/>
      </c>
    </row>
    <row r="489">
      <c r="A489" s="29" t="n"/>
      <c r="B489" s="29" t="n"/>
      <c r="C489" s="70" t="n"/>
      <c r="D489" s="29" t="n"/>
      <c r="E489" s="29" t="n"/>
      <c r="F489" s="30" t="n"/>
      <c r="G489" s="30" t="n"/>
      <c r="H489" s="31" t="n"/>
      <c r="I489" s="31" t="n"/>
      <c r="J489" s="29" t="n"/>
      <c r="K489" s="35">
        <f>IF($A489="","",IF($C489="","",raporTarihi-$C489))</f>
        <v/>
      </c>
      <c r="L489" s="35">
        <f>IF($A489="","",IF($K489="","",IF($K489&lt;=7,"0-7",IF($K489&lt;=30,"8-30",IF($K489&lt;=60,"31-60","60+")))))</f>
        <v/>
      </c>
      <c r="M489" s="35">
        <f>IF($A489="","",IF($B489="","YETİM",IF(COUNTIF(tblKartlar[KartId],$B489)=0,"YETİM","")))</f>
        <v/>
      </c>
      <c r="N489" s="35">
        <f>IF(OR($A489="",$D489=""),"",IF(OR($D489&amp;"|"&amp;$E489="",COUNTIF(ListeIzinliGecis,$D489&amp;"|"&amp;$E489)&gt;0),"","GEÇERSİZ GEÇİŞ"))</f>
        <v/>
      </c>
      <c r="O489" s="35">
        <f>IF($A489="","",IF(OR($F489="",$G489=""),"",IF(ABS($G489-$F489)&gt;zincirTolerans,"ZİNCİR KIRIK","OK")))</f>
        <v/>
      </c>
      <c r="P489" s="35">
        <f>IF($A489="","",1)</f>
        <v/>
      </c>
    </row>
    <row r="490">
      <c r="A490" s="29" t="n"/>
      <c r="B490" s="29" t="n"/>
      <c r="C490" s="70" t="n"/>
      <c r="D490" s="29" t="n"/>
      <c r="E490" s="29" t="n"/>
      <c r="F490" s="30" t="n"/>
      <c r="G490" s="30" t="n"/>
      <c r="H490" s="31" t="n"/>
      <c r="I490" s="31" t="n"/>
      <c r="J490" s="29" t="n"/>
      <c r="K490" s="35">
        <f>IF($A490="","",IF($C490="","",raporTarihi-$C490))</f>
        <v/>
      </c>
      <c r="L490" s="35">
        <f>IF($A490="","",IF($K490="","",IF($K490&lt;=7,"0-7",IF($K490&lt;=30,"8-30",IF($K490&lt;=60,"31-60","60+")))))</f>
        <v/>
      </c>
      <c r="M490" s="35">
        <f>IF($A490="","",IF($B490="","YETİM",IF(COUNTIF(tblKartlar[KartId],$B490)=0,"YETİM","")))</f>
        <v/>
      </c>
      <c r="N490" s="35">
        <f>IF(OR($A490="",$D490=""),"",IF(OR($D490&amp;"|"&amp;$E490="",COUNTIF(ListeIzinliGecis,$D490&amp;"|"&amp;$E490)&gt;0),"","GEÇERSİZ GEÇİŞ"))</f>
        <v/>
      </c>
      <c r="O490" s="35">
        <f>IF($A490="","",IF(OR($F490="",$G490=""),"",IF(ABS($G490-$F490)&gt;zincirTolerans,"ZİNCİR KIRIK","OK")))</f>
        <v/>
      </c>
      <c r="P490" s="35">
        <f>IF($A490="","",1)</f>
        <v/>
      </c>
    </row>
    <row r="491">
      <c r="A491" s="29" t="n"/>
      <c r="B491" s="29" t="n"/>
      <c r="C491" s="70" t="n"/>
      <c r="D491" s="29" t="n"/>
      <c r="E491" s="29" t="n"/>
      <c r="F491" s="30" t="n"/>
      <c r="G491" s="30" t="n"/>
      <c r="H491" s="31" t="n"/>
      <c r="I491" s="31" t="n"/>
      <c r="J491" s="29" t="n"/>
      <c r="K491" s="35">
        <f>IF($A491="","",IF($C491="","",raporTarihi-$C491))</f>
        <v/>
      </c>
      <c r="L491" s="35">
        <f>IF($A491="","",IF($K491="","",IF($K491&lt;=7,"0-7",IF($K491&lt;=30,"8-30",IF($K491&lt;=60,"31-60","60+")))))</f>
        <v/>
      </c>
      <c r="M491" s="35">
        <f>IF($A491="","",IF($B491="","YETİM",IF(COUNTIF(tblKartlar[KartId],$B491)=0,"YETİM","")))</f>
        <v/>
      </c>
      <c r="N491" s="35">
        <f>IF(OR($A491="",$D491=""),"",IF(OR($D491&amp;"|"&amp;$E491="",COUNTIF(ListeIzinliGecis,$D491&amp;"|"&amp;$E491)&gt;0),"","GEÇERSİZ GEÇİŞ"))</f>
        <v/>
      </c>
      <c r="O491" s="35">
        <f>IF($A491="","",IF(OR($F491="",$G491=""),"",IF(ABS($G491-$F491)&gt;zincirTolerans,"ZİNCİR KIRIK","OK")))</f>
        <v/>
      </c>
      <c r="P491" s="35">
        <f>IF($A491="","",1)</f>
        <v/>
      </c>
    </row>
    <row r="492">
      <c r="A492" s="29" t="n"/>
      <c r="B492" s="29" t="n"/>
      <c r="C492" s="70" t="n"/>
      <c r="D492" s="29" t="n"/>
      <c r="E492" s="29" t="n"/>
      <c r="F492" s="30" t="n"/>
      <c r="G492" s="30" t="n"/>
      <c r="H492" s="31" t="n"/>
      <c r="I492" s="31" t="n"/>
      <c r="J492" s="29" t="n"/>
      <c r="K492" s="35">
        <f>IF($A492="","",IF($C492="","",raporTarihi-$C492))</f>
        <v/>
      </c>
      <c r="L492" s="35">
        <f>IF($A492="","",IF($K492="","",IF($K492&lt;=7,"0-7",IF($K492&lt;=30,"8-30",IF($K492&lt;=60,"31-60","60+")))))</f>
        <v/>
      </c>
      <c r="M492" s="35">
        <f>IF($A492="","",IF($B492="","YETİM",IF(COUNTIF(tblKartlar[KartId],$B492)=0,"YETİM","")))</f>
        <v/>
      </c>
      <c r="N492" s="35">
        <f>IF(OR($A492="",$D492=""),"",IF(OR($D492&amp;"|"&amp;$E492="",COUNTIF(ListeIzinliGecis,$D492&amp;"|"&amp;$E492)&gt;0),"","GEÇERSİZ GEÇİŞ"))</f>
        <v/>
      </c>
      <c r="O492" s="35">
        <f>IF($A492="","",IF(OR($F492="",$G492=""),"",IF(ABS($G492-$F492)&gt;zincirTolerans,"ZİNCİR KIRIK","OK")))</f>
        <v/>
      </c>
      <c r="P492" s="35">
        <f>IF($A492="","",1)</f>
        <v/>
      </c>
    </row>
    <row r="493">
      <c r="A493" s="29" t="n"/>
      <c r="B493" s="29" t="n"/>
      <c r="C493" s="70" t="n"/>
      <c r="D493" s="29" t="n"/>
      <c r="E493" s="29" t="n"/>
      <c r="F493" s="30" t="n"/>
      <c r="G493" s="30" t="n"/>
      <c r="H493" s="31" t="n"/>
      <c r="I493" s="31" t="n"/>
      <c r="J493" s="29" t="n"/>
      <c r="K493" s="35">
        <f>IF($A493="","",IF($C493="","",raporTarihi-$C493))</f>
        <v/>
      </c>
      <c r="L493" s="35">
        <f>IF($A493="","",IF($K493="","",IF($K493&lt;=7,"0-7",IF($K493&lt;=30,"8-30",IF($K493&lt;=60,"31-60","60+")))))</f>
        <v/>
      </c>
      <c r="M493" s="35">
        <f>IF($A493="","",IF($B493="","YETİM",IF(COUNTIF(tblKartlar[KartId],$B493)=0,"YETİM","")))</f>
        <v/>
      </c>
      <c r="N493" s="35">
        <f>IF(OR($A493="",$D493=""),"",IF(OR($D493&amp;"|"&amp;$E493="",COUNTIF(ListeIzinliGecis,$D493&amp;"|"&amp;$E493)&gt;0),"","GEÇERSİZ GEÇİŞ"))</f>
        <v/>
      </c>
      <c r="O493" s="35">
        <f>IF($A493="","",IF(OR($F493="",$G493=""),"",IF(ABS($G493-$F493)&gt;zincirTolerans,"ZİNCİR KIRIK","OK")))</f>
        <v/>
      </c>
      <c r="P493" s="35">
        <f>IF($A493="","",1)</f>
        <v/>
      </c>
    </row>
    <row r="494">
      <c r="A494" s="29" t="n"/>
      <c r="B494" s="29" t="n"/>
      <c r="C494" s="70" t="n"/>
      <c r="D494" s="29" t="n"/>
      <c r="E494" s="29" t="n"/>
      <c r="F494" s="30" t="n"/>
      <c r="G494" s="30" t="n"/>
      <c r="H494" s="31" t="n"/>
      <c r="I494" s="31" t="n"/>
      <c r="J494" s="29" t="n"/>
      <c r="K494" s="35">
        <f>IF($A494="","",IF($C494="","",raporTarihi-$C494))</f>
        <v/>
      </c>
      <c r="L494" s="35">
        <f>IF($A494="","",IF($K494="","",IF($K494&lt;=7,"0-7",IF($K494&lt;=30,"8-30",IF($K494&lt;=60,"31-60","60+")))))</f>
        <v/>
      </c>
      <c r="M494" s="35">
        <f>IF($A494="","",IF($B494="","YETİM",IF(COUNTIF(tblKartlar[KartId],$B494)=0,"YETİM","")))</f>
        <v/>
      </c>
      <c r="N494" s="35">
        <f>IF(OR($A494="",$D494=""),"",IF(OR($D494&amp;"|"&amp;$E494="",COUNTIF(ListeIzinliGecis,$D494&amp;"|"&amp;$E494)&gt;0),"","GEÇERSİZ GEÇİŞ"))</f>
        <v/>
      </c>
      <c r="O494" s="35">
        <f>IF($A494="","",IF(OR($F494="",$G494=""),"",IF(ABS($G494-$F494)&gt;zincirTolerans,"ZİNCİR KIRIK","OK")))</f>
        <v/>
      </c>
      <c r="P494" s="35">
        <f>IF($A494="","",1)</f>
        <v/>
      </c>
    </row>
    <row r="495">
      <c r="A495" s="29" t="n"/>
      <c r="B495" s="29" t="n"/>
      <c r="C495" s="70" t="n"/>
      <c r="D495" s="29" t="n"/>
      <c r="E495" s="29" t="n"/>
      <c r="F495" s="30" t="n"/>
      <c r="G495" s="30" t="n"/>
      <c r="H495" s="31" t="n"/>
      <c r="I495" s="31" t="n"/>
      <c r="J495" s="29" t="n"/>
      <c r="K495" s="35">
        <f>IF($A495="","",IF($C495="","",raporTarihi-$C495))</f>
        <v/>
      </c>
      <c r="L495" s="35">
        <f>IF($A495="","",IF($K495="","",IF($K495&lt;=7,"0-7",IF($K495&lt;=30,"8-30",IF($K495&lt;=60,"31-60","60+")))))</f>
        <v/>
      </c>
      <c r="M495" s="35">
        <f>IF($A495="","",IF($B495="","YETİM",IF(COUNTIF(tblKartlar[KartId],$B495)=0,"YETİM","")))</f>
        <v/>
      </c>
      <c r="N495" s="35">
        <f>IF(OR($A495="",$D495=""),"",IF(OR($D495&amp;"|"&amp;$E495="",COUNTIF(ListeIzinliGecis,$D495&amp;"|"&amp;$E495)&gt;0),"","GEÇERSİZ GEÇİŞ"))</f>
        <v/>
      </c>
      <c r="O495" s="35">
        <f>IF($A495="","",IF(OR($F495="",$G495=""),"",IF(ABS($G495-$F495)&gt;zincirTolerans,"ZİNCİR KIRIK","OK")))</f>
        <v/>
      </c>
      <c r="P495" s="35">
        <f>IF($A495="","",1)</f>
        <v/>
      </c>
    </row>
    <row r="496">
      <c r="A496" s="29" t="n"/>
      <c r="B496" s="29" t="n"/>
      <c r="C496" s="70" t="n"/>
      <c r="D496" s="29" t="n"/>
      <c r="E496" s="29" t="n"/>
      <c r="F496" s="30" t="n"/>
      <c r="G496" s="30" t="n"/>
      <c r="H496" s="31" t="n"/>
      <c r="I496" s="31" t="n"/>
      <c r="J496" s="29" t="n"/>
      <c r="K496" s="35">
        <f>IF($A496="","",IF($C496="","",raporTarihi-$C496))</f>
        <v/>
      </c>
      <c r="L496" s="35">
        <f>IF($A496="","",IF($K496="","",IF($K496&lt;=7,"0-7",IF($K496&lt;=30,"8-30",IF($K496&lt;=60,"31-60","60+")))))</f>
        <v/>
      </c>
      <c r="M496" s="35">
        <f>IF($A496="","",IF($B496="","YETİM",IF(COUNTIF(tblKartlar[KartId],$B496)=0,"YETİM","")))</f>
        <v/>
      </c>
      <c r="N496" s="35">
        <f>IF(OR($A496="",$D496=""),"",IF(OR($D496&amp;"|"&amp;$E496="",COUNTIF(ListeIzinliGecis,$D496&amp;"|"&amp;$E496)&gt;0),"","GEÇERSİZ GEÇİŞ"))</f>
        <v/>
      </c>
      <c r="O496" s="35">
        <f>IF($A496="","",IF(OR($F496="",$G496=""),"",IF(ABS($G496-$F496)&gt;zincirTolerans,"ZİNCİR KIRIK","OK")))</f>
        <v/>
      </c>
      <c r="P496" s="35">
        <f>IF($A496="","",1)</f>
        <v/>
      </c>
    </row>
    <row r="497">
      <c r="A497" s="29" t="n"/>
      <c r="B497" s="29" t="n"/>
      <c r="C497" s="70" t="n"/>
      <c r="D497" s="29" t="n"/>
      <c r="E497" s="29" t="n"/>
      <c r="F497" s="30" t="n"/>
      <c r="G497" s="30" t="n"/>
      <c r="H497" s="31" t="n"/>
      <c r="I497" s="31" t="n"/>
      <c r="J497" s="29" t="n"/>
      <c r="K497" s="35">
        <f>IF($A497="","",IF($C497="","",raporTarihi-$C497))</f>
        <v/>
      </c>
      <c r="L497" s="35">
        <f>IF($A497="","",IF($K497="","",IF($K497&lt;=7,"0-7",IF($K497&lt;=30,"8-30",IF($K497&lt;=60,"31-60","60+")))))</f>
        <v/>
      </c>
      <c r="M497" s="35">
        <f>IF($A497="","",IF($B497="","YETİM",IF(COUNTIF(tblKartlar[KartId],$B497)=0,"YETİM","")))</f>
        <v/>
      </c>
      <c r="N497" s="35">
        <f>IF(OR($A497="",$D497=""),"",IF(OR($D497&amp;"|"&amp;$E497="",COUNTIF(ListeIzinliGecis,$D497&amp;"|"&amp;$E497)&gt;0),"","GEÇERSİZ GEÇİŞ"))</f>
        <v/>
      </c>
      <c r="O497" s="35">
        <f>IF($A497="","",IF(OR($F497="",$G497=""),"",IF(ABS($G497-$F497)&gt;zincirTolerans,"ZİNCİR KIRIK","OK")))</f>
        <v/>
      </c>
      <c r="P497" s="35">
        <f>IF($A497="","",1)</f>
        <v/>
      </c>
    </row>
    <row r="498">
      <c r="A498" s="29" t="n"/>
      <c r="B498" s="29" t="n"/>
      <c r="C498" s="70" t="n"/>
      <c r="D498" s="29" t="n"/>
      <c r="E498" s="29" t="n"/>
      <c r="F498" s="30" t="n"/>
      <c r="G498" s="30" t="n"/>
      <c r="H498" s="31" t="n"/>
      <c r="I498" s="31" t="n"/>
      <c r="J498" s="29" t="n"/>
      <c r="K498" s="35">
        <f>IF($A498="","",IF($C498="","",raporTarihi-$C498))</f>
        <v/>
      </c>
      <c r="L498" s="35">
        <f>IF($A498="","",IF($K498="","",IF($K498&lt;=7,"0-7",IF($K498&lt;=30,"8-30",IF($K498&lt;=60,"31-60","60+")))))</f>
        <v/>
      </c>
      <c r="M498" s="35">
        <f>IF($A498="","",IF($B498="","YETİM",IF(COUNTIF(tblKartlar[KartId],$B498)=0,"YETİM","")))</f>
        <v/>
      </c>
      <c r="N498" s="35">
        <f>IF(OR($A498="",$D498=""),"",IF(OR($D498&amp;"|"&amp;$E498="",COUNTIF(ListeIzinliGecis,$D498&amp;"|"&amp;$E498)&gt;0),"","GEÇERSİZ GEÇİŞ"))</f>
        <v/>
      </c>
      <c r="O498" s="35">
        <f>IF($A498="","",IF(OR($F498="",$G498=""),"",IF(ABS($G498-$F498)&gt;zincirTolerans,"ZİNCİR KIRIK","OK")))</f>
        <v/>
      </c>
      <c r="P498" s="35">
        <f>IF($A498="","",1)</f>
        <v/>
      </c>
    </row>
    <row r="499">
      <c r="A499" s="29" t="n"/>
      <c r="B499" s="29" t="n"/>
      <c r="C499" s="70" t="n"/>
      <c r="D499" s="29" t="n"/>
      <c r="E499" s="29" t="n"/>
      <c r="F499" s="30" t="n"/>
      <c r="G499" s="30" t="n"/>
      <c r="H499" s="31" t="n"/>
      <c r="I499" s="31" t="n"/>
      <c r="J499" s="29" t="n"/>
      <c r="K499" s="35">
        <f>IF($A499="","",IF($C499="","",raporTarihi-$C499))</f>
        <v/>
      </c>
      <c r="L499" s="35">
        <f>IF($A499="","",IF($K499="","",IF($K499&lt;=7,"0-7",IF($K499&lt;=30,"8-30",IF($K499&lt;=60,"31-60","60+")))))</f>
        <v/>
      </c>
      <c r="M499" s="35">
        <f>IF($A499="","",IF($B499="","YETİM",IF(COUNTIF(tblKartlar[KartId],$B499)=0,"YETİM","")))</f>
        <v/>
      </c>
      <c r="N499" s="35">
        <f>IF(OR($A499="",$D499=""),"",IF(OR($D499&amp;"|"&amp;$E499="",COUNTIF(ListeIzinliGecis,$D499&amp;"|"&amp;$E499)&gt;0),"","GEÇERSİZ GEÇİŞ"))</f>
        <v/>
      </c>
      <c r="O499" s="35">
        <f>IF($A499="","",IF(OR($F499="",$G499=""),"",IF(ABS($G499-$F499)&gt;zincirTolerans,"ZİNCİR KIRIK","OK")))</f>
        <v/>
      </c>
      <c r="P499" s="35">
        <f>IF($A499="","",1)</f>
        <v/>
      </c>
    </row>
    <row r="500">
      <c r="A500" s="29" t="n"/>
      <c r="B500" s="29" t="n"/>
      <c r="C500" s="70" t="n"/>
      <c r="D500" s="29" t="n"/>
      <c r="E500" s="29" t="n"/>
      <c r="F500" s="30" t="n"/>
      <c r="G500" s="30" t="n"/>
      <c r="H500" s="31" t="n"/>
      <c r="I500" s="31" t="n"/>
      <c r="J500" s="29" t="n"/>
      <c r="K500" s="35">
        <f>IF($A500="","",IF($C500="","",raporTarihi-$C500))</f>
        <v/>
      </c>
      <c r="L500" s="35">
        <f>IF($A500="","",IF($K500="","",IF($K500&lt;=7,"0-7",IF($K500&lt;=30,"8-30",IF($K500&lt;=60,"31-60","60+")))))</f>
        <v/>
      </c>
      <c r="M500" s="35">
        <f>IF($A500="","",IF($B500="","YETİM",IF(COUNTIF(tblKartlar[KartId],$B500)=0,"YETİM","")))</f>
        <v/>
      </c>
      <c r="N500" s="35">
        <f>IF(OR($A500="",$D500=""),"",IF(OR($D500&amp;"|"&amp;$E500="",COUNTIF(ListeIzinliGecis,$D500&amp;"|"&amp;$E500)&gt;0),"","GEÇERSİZ GEÇİŞ"))</f>
        <v/>
      </c>
      <c r="O500" s="35">
        <f>IF($A500="","",IF(OR($F500="",$G500=""),"",IF(ABS($G500-$F500)&gt;zincirTolerans,"ZİNCİR KIRIK","OK")))</f>
        <v/>
      </c>
      <c r="P500" s="35">
        <f>IF($A500="","",1)</f>
        <v/>
      </c>
    </row>
    <row r="501">
      <c r="A501" s="29" t="n"/>
      <c r="B501" s="29" t="n"/>
      <c r="C501" s="70" t="n"/>
      <c r="D501" s="29" t="n"/>
      <c r="E501" s="29" t="n"/>
      <c r="F501" s="30" t="n"/>
      <c r="G501" s="30" t="n"/>
      <c r="H501" s="31" t="n"/>
      <c r="I501" s="31" t="n"/>
      <c r="J501" s="29" t="n"/>
      <c r="K501" s="35">
        <f>IF($A501="","",IF($C501="","",raporTarihi-$C501))</f>
        <v/>
      </c>
      <c r="L501" s="35">
        <f>IF($A501="","",IF($K501="","",IF($K501&lt;=7,"0-7",IF($K501&lt;=30,"8-30",IF($K501&lt;=60,"31-60","60+")))))</f>
        <v/>
      </c>
      <c r="M501" s="35">
        <f>IF($A501="","",IF($B501="","YETİM",IF(COUNTIF(tblKartlar[KartId],$B501)=0,"YETİM","")))</f>
        <v/>
      </c>
      <c r="N501" s="35">
        <f>IF(OR($A501="",$D501=""),"",IF(OR($D501&amp;"|"&amp;$E501="",COUNTIF(ListeIzinliGecis,$D501&amp;"|"&amp;$E501)&gt;0),"","GEÇERSİZ GEÇİŞ"))</f>
        <v/>
      </c>
      <c r="O501" s="35">
        <f>IF($A501="","",IF(OR($F501="",$G501=""),"",IF(ABS($G501-$F501)&gt;zincirTolerans,"ZİNCİR KIRIK","OK")))</f>
        <v/>
      </c>
      <c r="P501" s="35">
        <f>IF($A501="","",1)</f>
        <v/>
      </c>
    </row>
    <row r="502">
      <c r="A502" s="29" t="n"/>
      <c r="B502" s="29" t="n"/>
      <c r="C502" s="70" t="n"/>
      <c r="D502" s="29" t="n"/>
      <c r="E502" s="29" t="n"/>
      <c r="F502" s="30" t="n"/>
      <c r="G502" s="30" t="n"/>
      <c r="H502" s="31" t="n"/>
      <c r="I502" s="31" t="n"/>
      <c r="J502" s="29" t="n"/>
      <c r="K502" s="35">
        <f>IF($A502="","",IF($C502="","",raporTarihi-$C502))</f>
        <v/>
      </c>
      <c r="L502" s="35">
        <f>IF($A502="","",IF($K502="","",IF($K502&lt;=7,"0-7",IF($K502&lt;=30,"8-30",IF($K502&lt;=60,"31-60","60+")))))</f>
        <v/>
      </c>
      <c r="M502" s="35">
        <f>IF($A502="","",IF($B502="","YETİM",IF(COUNTIF(tblKartlar[KartId],$B502)=0,"YETİM","")))</f>
        <v/>
      </c>
      <c r="N502" s="35">
        <f>IF(OR($A502="",$D502=""),"",IF(OR($D502&amp;"|"&amp;$E502="",COUNTIF(ListeIzinliGecis,$D502&amp;"|"&amp;$E502)&gt;0),"","GEÇERSİZ GEÇİŞ"))</f>
        <v/>
      </c>
      <c r="O502" s="35">
        <f>IF($A502="","",IF(OR($F502="",$G502=""),"",IF(ABS($G502-$F502)&gt;zincirTolerans,"ZİNCİR KIRIK","OK")))</f>
        <v/>
      </c>
      <c r="P502" s="35">
        <f>IF($A502="","",1)</f>
        <v/>
      </c>
    </row>
    <row r="503">
      <c r="A503" s="29" t="n"/>
      <c r="B503" s="29" t="n"/>
      <c r="C503" s="70" t="n"/>
      <c r="D503" s="29" t="n"/>
      <c r="E503" s="29" t="n"/>
      <c r="F503" s="30" t="n"/>
      <c r="G503" s="30" t="n"/>
      <c r="H503" s="31" t="n"/>
      <c r="I503" s="31" t="n"/>
      <c r="J503" s="29" t="n"/>
      <c r="K503" s="35">
        <f>IF($A503="","",IF($C503="","",raporTarihi-$C503))</f>
        <v/>
      </c>
      <c r="L503" s="35">
        <f>IF($A503="","",IF($K503="","",IF($K503&lt;=7,"0-7",IF($K503&lt;=30,"8-30",IF($K503&lt;=60,"31-60","60+")))))</f>
        <v/>
      </c>
      <c r="M503" s="35">
        <f>IF($A503="","",IF($B503="","YETİM",IF(COUNTIF(tblKartlar[KartId],$B503)=0,"YETİM","")))</f>
        <v/>
      </c>
      <c r="N503" s="35">
        <f>IF(OR($A503="",$D503=""),"",IF(OR($D503&amp;"|"&amp;$E503="",COUNTIF(ListeIzinliGecis,$D503&amp;"|"&amp;$E503)&gt;0),"","GEÇERSİZ GEÇİŞ"))</f>
        <v/>
      </c>
      <c r="O503" s="35">
        <f>IF($A503="","",IF(OR($F503="",$G503=""),"",IF(ABS($G503-$F503)&gt;zincirTolerans,"ZİNCİR KIRIK","OK")))</f>
        <v/>
      </c>
      <c r="P503" s="35">
        <f>IF($A503="","",1)</f>
        <v/>
      </c>
    </row>
    <row r="504">
      <c r="A504" s="29" t="n"/>
      <c r="B504" s="29" t="n"/>
      <c r="C504" s="70" t="n"/>
      <c r="D504" s="29" t="n"/>
      <c r="E504" s="29" t="n"/>
      <c r="F504" s="30" t="n"/>
      <c r="G504" s="30" t="n"/>
      <c r="H504" s="31" t="n"/>
      <c r="I504" s="31" t="n"/>
      <c r="J504" s="29" t="n"/>
      <c r="K504" s="35">
        <f>IF($A504="","",IF($C504="","",raporTarihi-$C504))</f>
        <v/>
      </c>
      <c r="L504" s="35">
        <f>IF($A504="","",IF($K504="","",IF($K504&lt;=7,"0-7",IF($K504&lt;=30,"8-30",IF($K504&lt;=60,"31-60","60+")))))</f>
        <v/>
      </c>
      <c r="M504" s="35">
        <f>IF($A504="","",IF($B504="","YETİM",IF(COUNTIF(tblKartlar[KartId],$B504)=0,"YETİM","")))</f>
        <v/>
      </c>
      <c r="N504" s="35">
        <f>IF(OR($A504="",$D504=""),"",IF(OR($D504&amp;"|"&amp;$E504="",COUNTIF(ListeIzinliGecis,$D504&amp;"|"&amp;$E504)&gt;0),"","GEÇERSİZ GEÇİŞ"))</f>
        <v/>
      </c>
      <c r="O504" s="35">
        <f>IF($A504="","",IF(OR($F504="",$G504=""),"",IF(ABS($G504-$F504)&gt;zincirTolerans,"ZİNCİR KIRIK","OK")))</f>
        <v/>
      </c>
      <c r="P504" s="35">
        <f>IF($A504="","",1)</f>
        <v/>
      </c>
    </row>
    <row r="505">
      <c r="A505" s="29" t="n"/>
      <c r="B505" s="29" t="n"/>
      <c r="C505" s="70" t="n"/>
      <c r="D505" s="29" t="n"/>
      <c r="E505" s="29" t="n"/>
      <c r="F505" s="30" t="n"/>
      <c r="G505" s="30" t="n"/>
      <c r="H505" s="31" t="n"/>
      <c r="I505" s="31" t="n"/>
      <c r="J505" s="29" t="n"/>
      <c r="K505" s="35">
        <f>IF($A505="","",IF($C505="","",raporTarihi-$C505))</f>
        <v/>
      </c>
      <c r="L505" s="35">
        <f>IF($A505="","",IF($K505="","",IF($K505&lt;=7,"0-7",IF($K505&lt;=30,"8-30",IF($K505&lt;=60,"31-60","60+")))))</f>
        <v/>
      </c>
      <c r="M505" s="35">
        <f>IF($A505="","",IF($B505="","YETİM",IF(COUNTIF(tblKartlar[KartId],$B505)=0,"YETİM","")))</f>
        <v/>
      </c>
      <c r="N505" s="35">
        <f>IF(OR($A505="",$D505=""),"",IF(OR($D505&amp;"|"&amp;$E505="",COUNTIF(ListeIzinliGecis,$D505&amp;"|"&amp;$E505)&gt;0),"","GEÇERSİZ GEÇİŞ"))</f>
        <v/>
      </c>
      <c r="O505" s="35">
        <f>IF($A505="","",IF(OR($F505="",$G505=""),"",IF(ABS($G505-$F505)&gt;zincirTolerans,"ZİNCİR KIRIK","OK")))</f>
        <v/>
      </c>
      <c r="P505" s="35">
        <f>IF($A505="","",1)</f>
        <v/>
      </c>
    </row>
    <row r="506">
      <c r="A506" s="29" t="n"/>
      <c r="B506" s="29" t="n"/>
      <c r="C506" s="70" t="n"/>
      <c r="D506" s="29" t="n"/>
      <c r="E506" s="29" t="n"/>
      <c r="F506" s="30" t="n"/>
      <c r="G506" s="30" t="n"/>
      <c r="H506" s="31" t="n"/>
      <c r="I506" s="31" t="n"/>
      <c r="J506" s="29" t="n"/>
      <c r="K506" s="35">
        <f>IF($A506="","",IF($C506="","",raporTarihi-$C506))</f>
        <v/>
      </c>
      <c r="L506" s="35">
        <f>IF($A506="","",IF($K506="","",IF($K506&lt;=7,"0-7",IF($K506&lt;=30,"8-30",IF($K506&lt;=60,"31-60","60+")))))</f>
        <v/>
      </c>
      <c r="M506" s="35">
        <f>IF($A506="","",IF($B506="","YETİM",IF(COUNTIF(tblKartlar[KartId],$B506)=0,"YETİM","")))</f>
        <v/>
      </c>
      <c r="N506" s="35">
        <f>IF(OR($A506="",$D506=""),"",IF(OR($D506&amp;"|"&amp;$E506="",COUNTIF(ListeIzinliGecis,$D506&amp;"|"&amp;$E506)&gt;0),"","GEÇERSİZ GEÇİŞ"))</f>
        <v/>
      </c>
      <c r="O506" s="35">
        <f>IF($A506="","",IF(OR($F506="",$G506=""),"",IF(ABS($G506-$F506)&gt;zincirTolerans,"ZİNCİR KIRIK","OK")))</f>
        <v/>
      </c>
      <c r="P506" s="35">
        <f>IF($A506="","",1)</f>
        <v/>
      </c>
    </row>
    <row r="507">
      <c r="A507" s="29" t="n"/>
      <c r="B507" s="29" t="n"/>
      <c r="C507" s="70" t="n"/>
      <c r="D507" s="29" t="n"/>
      <c r="E507" s="29" t="n"/>
      <c r="F507" s="30" t="n"/>
      <c r="G507" s="30" t="n"/>
      <c r="H507" s="31" t="n"/>
      <c r="I507" s="31" t="n"/>
      <c r="J507" s="29" t="n"/>
      <c r="K507" s="35">
        <f>IF($A507="","",IF($C507="","",raporTarihi-$C507))</f>
        <v/>
      </c>
      <c r="L507" s="35">
        <f>IF($A507="","",IF($K507="","",IF($K507&lt;=7,"0-7",IF($K507&lt;=30,"8-30",IF($K507&lt;=60,"31-60","60+")))))</f>
        <v/>
      </c>
      <c r="M507" s="35">
        <f>IF($A507="","",IF($B507="","YETİM",IF(COUNTIF(tblKartlar[KartId],$B507)=0,"YETİM","")))</f>
        <v/>
      </c>
      <c r="N507" s="35">
        <f>IF(OR($A507="",$D507=""),"",IF(OR($D507&amp;"|"&amp;$E507="",COUNTIF(ListeIzinliGecis,$D507&amp;"|"&amp;$E507)&gt;0),"","GEÇERSİZ GEÇİŞ"))</f>
        <v/>
      </c>
      <c r="O507" s="35">
        <f>IF($A507="","",IF(OR($F507="",$G507=""),"",IF(ABS($G507-$F507)&gt;zincirTolerans,"ZİNCİR KIRIK","OK")))</f>
        <v/>
      </c>
      <c r="P507" s="35">
        <f>IF($A507="","",1)</f>
        <v/>
      </c>
    </row>
    <row r="508">
      <c r="A508" s="29" t="n"/>
      <c r="B508" s="29" t="n"/>
      <c r="C508" s="70" t="n"/>
      <c r="D508" s="29" t="n"/>
      <c r="E508" s="29" t="n"/>
      <c r="F508" s="30" t="n"/>
      <c r="G508" s="30" t="n"/>
      <c r="H508" s="31" t="n"/>
      <c r="I508" s="31" t="n"/>
      <c r="J508" s="29" t="n"/>
      <c r="K508" s="35">
        <f>IF($A508="","",IF($C508="","",raporTarihi-$C508))</f>
        <v/>
      </c>
      <c r="L508" s="35">
        <f>IF($A508="","",IF($K508="","",IF($K508&lt;=7,"0-7",IF($K508&lt;=30,"8-30",IF($K508&lt;=60,"31-60","60+")))))</f>
        <v/>
      </c>
      <c r="M508" s="35">
        <f>IF($A508="","",IF($B508="","YETİM",IF(COUNTIF(tblKartlar[KartId],$B508)=0,"YETİM","")))</f>
        <v/>
      </c>
      <c r="N508" s="35">
        <f>IF(OR($A508="",$D508=""),"",IF(OR($D508&amp;"|"&amp;$E508="",COUNTIF(ListeIzinliGecis,$D508&amp;"|"&amp;$E508)&gt;0),"","GEÇERSİZ GEÇİŞ"))</f>
        <v/>
      </c>
      <c r="O508" s="35">
        <f>IF($A508="","",IF(OR($F508="",$G508=""),"",IF(ABS($G508-$F508)&gt;zincirTolerans,"ZİNCİR KIRIK","OK")))</f>
        <v/>
      </c>
      <c r="P508" s="35">
        <f>IF($A508="","",1)</f>
        <v/>
      </c>
    </row>
    <row r="509">
      <c r="A509" s="29" t="n"/>
      <c r="B509" s="29" t="n"/>
      <c r="C509" s="70" t="n"/>
      <c r="D509" s="29" t="n"/>
      <c r="E509" s="29" t="n"/>
      <c r="F509" s="30" t="n"/>
      <c r="G509" s="30" t="n"/>
      <c r="H509" s="31" t="n"/>
      <c r="I509" s="31" t="n"/>
      <c r="J509" s="29" t="n"/>
      <c r="K509" s="35">
        <f>IF($A509="","",IF($C509="","",raporTarihi-$C509))</f>
        <v/>
      </c>
      <c r="L509" s="35">
        <f>IF($A509="","",IF($K509="","",IF($K509&lt;=7,"0-7",IF($K509&lt;=30,"8-30",IF($K509&lt;=60,"31-60","60+")))))</f>
        <v/>
      </c>
      <c r="M509" s="35">
        <f>IF($A509="","",IF($B509="","YETİM",IF(COUNTIF(tblKartlar[KartId],$B509)=0,"YETİM","")))</f>
        <v/>
      </c>
      <c r="N509" s="35">
        <f>IF(OR($A509="",$D509=""),"",IF(OR($D509&amp;"|"&amp;$E509="",COUNTIF(ListeIzinliGecis,$D509&amp;"|"&amp;$E509)&gt;0),"","GEÇERSİZ GEÇİŞ"))</f>
        <v/>
      </c>
      <c r="O509" s="35">
        <f>IF($A509="","",IF(OR($F509="",$G509=""),"",IF(ABS($G509-$F509)&gt;zincirTolerans,"ZİNCİR KIRIK","OK")))</f>
        <v/>
      </c>
      <c r="P509" s="35">
        <f>IF($A509="","",1)</f>
        <v/>
      </c>
    </row>
    <row r="510">
      <c r="A510" s="29" t="n"/>
      <c r="B510" s="29" t="n"/>
      <c r="C510" s="70" t="n"/>
      <c r="D510" s="29" t="n"/>
      <c r="E510" s="29" t="n"/>
      <c r="F510" s="30" t="n"/>
      <c r="G510" s="30" t="n"/>
      <c r="H510" s="31" t="n"/>
      <c r="I510" s="31" t="n"/>
      <c r="J510" s="29" t="n"/>
      <c r="K510" s="35">
        <f>IF($A510="","",IF($C510="","",raporTarihi-$C510))</f>
        <v/>
      </c>
      <c r="L510" s="35">
        <f>IF($A510="","",IF($K510="","",IF($K510&lt;=7,"0-7",IF($K510&lt;=30,"8-30",IF($K510&lt;=60,"31-60","60+")))))</f>
        <v/>
      </c>
      <c r="M510" s="35">
        <f>IF($A510="","",IF($B510="","YETİM",IF(COUNTIF(tblKartlar[KartId],$B510)=0,"YETİM","")))</f>
        <v/>
      </c>
      <c r="N510" s="35">
        <f>IF(OR($A510="",$D510=""),"",IF(OR($D510&amp;"|"&amp;$E510="",COUNTIF(ListeIzinliGecis,$D510&amp;"|"&amp;$E510)&gt;0),"","GEÇERSİZ GEÇİŞ"))</f>
        <v/>
      </c>
      <c r="O510" s="35">
        <f>IF($A510="","",IF(OR($F510="",$G510=""),"",IF(ABS($G510-$F510)&gt;zincirTolerans,"ZİNCİR KIRIK","OK")))</f>
        <v/>
      </c>
      <c r="P510" s="35">
        <f>IF($A510="","",1)</f>
        <v/>
      </c>
    </row>
    <row r="511">
      <c r="A511" s="29" t="n"/>
      <c r="B511" s="29" t="n"/>
      <c r="C511" s="70" t="n"/>
      <c r="D511" s="29" t="n"/>
      <c r="E511" s="29" t="n"/>
      <c r="F511" s="30" t="n"/>
      <c r="G511" s="30" t="n"/>
      <c r="H511" s="31" t="n"/>
      <c r="I511" s="31" t="n"/>
      <c r="J511" s="29" t="n"/>
      <c r="K511" s="35">
        <f>IF($A511="","",IF($C511="","",raporTarihi-$C511))</f>
        <v/>
      </c>
      <c r="L511" s="35">
        <f>IF($A511="","",IF($K511="","",IF($K511&lt;=7,"0-7",IF($K511&lt;=30,"8-30",IF($K511&lt;=60,"31-60","60+")))))</f>
        <v/>
      </c>
      <c r="M511" s="35">
        <f>IF($A511="","",IF($B511="","YETİM",IF(COUNTIF(tblKartlar[KartId],$B511)=0,"YETİM","")))</f>
        <v/>
      </c>
      <c r="N511" s="35">
        <f>IF(OR($A511="",$D511=""),"",IF(OR($D511&amp;"|"&amp;$E511="",COUNTIF(ListeIzinliGecis,$D511&amp;"|"&amp;$E511)&gt;0),"","GEÇERSİZ GEÇİŞ"))</f>
        <v/>
      </c>
      <c r="O511" s="35">
        <f>IF($A511="","",IF(OR($F511="",$G511=""),"",IF(ABS($G511-$F511)&gt;zincirTolerans,"ZİNCİR KIRIK","OK")))</f>
        <v/>
      </c>
      <c r="P511" s="35">
        <f>IF($A511="","",1)</f>
        <v/>
      </c>
    </row>
    <row r="512">
      <c r="A512" s="29" t="n"/>
      <c r="B512" s="29" t="n"/>
      <c r="C512" s="70" t="n"/>
      <c r="D512" s="29" t="n"/>
      <c r="E512" s="29" t="n"/>
      <c r="F512" s="30" t="n"/>
      <c r="G512" s="30" t="n"/>
      <c r="H512" s="31" t="n"/>
      <c r="I512" s="31" t="n"/>
      <c r="J512" s="29" t="n"/>
      <c r="K512" s="35">
        <f>IF($A512="","",IF($C512="","",raporTarihi-$C512))</f>
        <v/>
      </c>
      <c r="L512" s="35">
        <f>IF($A512="","",IF($K512="","",IF($K512&lt;=7,"0-7",IF($K512&lt;=30,"8-30",IF($K512&lt;=60,"31-60","60+")))))</f>
        <v/>
      </c>
      <c r="M512" s="35">
        <f>IF($A512="","",IF($B512="","YETİM",IF(COUNTIF(tblKartlar[KartId],$B512)=0,"YETİM","")))</f>
        <v/>
      </c>
      <c r="N512" s="35">
        <f>IF(OR($A512="",$D512=""),"",IF(OR($D512&amp;"|"&amp;$E512="",COUNTIF(ListeIzinliGecis,$D512&amp;"|"&amp;$E512)&gt;0),"","GEÇERSİZ GEÇİŞ"))</f>
        <v/>
      </c>
      <c r="O512" s="35">
        <f>IF($A512="","",IF(OR($F512="",$G512=""),"",IF(ABS($G512-$F512)&gt;zincirTolerans,"ZİNCİR KIRIK","OK")))</f>
        <v/>
      </c>
      <c r="P512" s="35">
        <f>IF($A512="","",1)</f>
        <v/>
      </c>
    </row>
    <row r="513">
      <c r="A513" s="29" t="n"/>
      <c r="B513" s="29" t="n"/>
      <c r="C513" s="70" t="n"/>
      <c r="D513" s="29" t="n"/>
      <c r="E513" s="29" t="n"/>
      <c r="F513" s="30" t="n"/>
      <c r="G513" s="30" t="n"/>
      <c r="H513" s="31" t="n"/>
      <c r="I513" s="31" t="n"/>
      <c r="J513" s="29" t="n"/>
      <c r="K513" s="35">
        <f>IF($A513="","",IF($C513="","",raporTarihi-$C513))</f>
        <v/>
      </c>
      <c r="L513" s="35">
        <f>IF($A513="","",IF($K513="","",IF($K513&lt;=7,"0-7",IF($K513&lt;=30,"8-30",IF($K513&lt;=60,"31-60","60+")))))</f>
        <v/>
      </c>
      <c r="M513" s="35">
        <f>IF($A513="","",IF($B513="","YETİM",IF(COUNTIF(tblKartlar[KartId],$B513)=0,"YETİM","")))</f>
        <v/>
      </c>
      <c r="N513" s="35">
        <f>IF(OR($A513="",$D513=""),"",IF(OR($D513&amp;"|"&amp;$E513="",COUNTIF(ListeIzinliGecis,$D513&amp;"|"&amp;$E513)&gt;0),"","GEÇERSİZ GEÇİŞ"))</f>
        <v/>
      </c>
      <c r="O513" s="35">
        <f>IF($A513="","",IF(OR($F513="",$G513=""),"",IF(ABS($G513-$F513)&gt;zincirTolerans,"ZİNCİR KIRIK","OK")))</f>
        <v/>
      </c>
      <c r="P513" s="35">
        <f>IF($A513="","",1)</f>
        <v/>
      </c>
    </row>
    <row r="514">
      <c r="A514" s="29" t="n"/>
      <c r="B514" s="29" t="n"/>
      <c r="C514" s="70" t="n"/>
      <c r="D514" s="29" t="n"/>
      <c r="E514" s="29" t="n"/>
      <c r="F514" s="30" t="n"/>
      <c r="G514" s="30" t="n"/>
      <c r="H514" s="31" t="n"/>
      <c r="I514" s="31" t="n"/>
      <c r="J514" s="29" t="n"/>
      <c r="K514" s="35">
        <f>IF($A514="","",IF($C514="","",raporTarihi-$C514))</f>
        <v/>
      </c>
      <c r="L514" s="35">
        <f>IF($A514="","",IF($K514="","",IF($K514&lt;=7,"0-7",IF($K514&lt;=30,"8-30",IF($K514&lt;=60,"31-60","60+")))))</f>
        <v/>
      </c>
      <c r="M514" s="35">
        <f>IF($A514="","",IF($B514="","YETİM",IF(COUNTIF(tblKartlar[KartId],$B514)=0,"YETİM","")))</f>
        <v/>
      </c>
      <c r="N514" s="35">
        <f>IF(OR($A514="",$D514=""),"",IF(OR($D514&amp;"|"&amp;$E514="",COUNTIF(ListeIzinliGecis,$D514&amp;"|"&amp;$E514)&gt;0),"","GEÇERSİZ GEÇİŞ"))</f>
        <v/>
      </c>
      <c r="O514" s="35">
        <f>IF($A514="","",IF(OR($F514="",$G514=""),"",IF(ABS($G514-$F514)&gt;zincirTolerans,"ZİNCİR KIRIK","OK")))</f>
        <v/>
      </c>
      <c r="P514" s="35">
        <f>IF($A514="","",1)</f>
        <v/>
      </c>
    </row>
    <row r="515">
      <c r="A515" s="29" t="n"/>
      <c r="B515" s="29" t="n"/>
      <c r="C515" s="70" t="n"/>
      <c r="D515" s="29" t="n"/>
      <c r="E515" s="29" t="n"/>
      <c r="F515" s="30" t="n"/>
      <c r="G515" s="30" t="n"/>
      <c r="H515" s="31" t="n"/>
      <c r="I515" s="31" t="n"/>
      <c r="J515" s="29" t="n"/>
      <c r="K515" s="35">
        <f>IF($A515="","",IF($C515="","",raporTarihi-$C515))</f>
        <v/>
      </c>
      <c r="L515" s="35">
        <f>IF($A515="","",IF($K515="","",IF($K515&lt;=7,"0-7",IF($K515&lt;=30,"8-30",IF($K515&lt;=60,"31-60","60+")))))</f>
        <v/>
      </c>
      <c r="M515" s="35">
        <f>IF($A515="","",IF($B515="","YETİM",IF(COUNTIF(tblKartlar[KartId],$B515)=0,"YETİM","")))</f>
        <v/>
      </c>
      <c r="N515" s="35">
        <f>IF(OR($A515="",$D515=""),"",IF(OR($D515&amp;"|"&amp;$E515="",COUNTIF(ListeIzinliGecis,$D515&amp;"|"&amp;$E515)&gt;0),"","GEÇERSİZ GEÇİŞ"))</f>
        <v/>
      </c>
      <c r="O515" s="35">
        <f>IF($A515="","",IF(OR($F515="",$G515=""),"",IF(ABS($G515-$F515)&gt;zincirTolerans,"ZİNCİR KIRIK","OK")))</f>
        <v/>
      </c>
      <c r="P515" s="35">
        <f>IF($A515="","",1)</f>
        <v/>
      </c>
    </row>
    <row r="516">
      <c r="A516" s="29" t="n"/>
      <c r="B516" s="29" t="n"/>
      <c r="C516" s="70" t="n"/>
      <c r="D516" s="29" t="n"/>
      <c r="E516" s="29" t="n"/>
      <c r="F516" s="30" t="n"/>
      <c r="G516" s="30" t="n"/>
      <c r="H516" s="31" t="n"/>
      <c r="I516" s="31" t="n"/>
      <c r="J516" s="29" t="n"/>
      <c r="K516" s="35">
        <f>IF($A516="","",IF($C516="","",raporTarihi-$C516))</f>
        <v/>
      </c>
      <c r="L516" s="35">
        <f>IF($A516="","",IF($K516="","",IF($K516&lt;=7,"0-7",IF($K516&lt;=30,"8-30",IF($K516&lt;=60,"31-60","60+")))))</f>
        <v/>
      </c>
      <c r="M516" s="35">
        <f>IF($A516="","",IF($B516="","YETİM",IF(COUNTIF(tblKartlar[KartId],$B516)=0,"YETİM","")))</f>
        <v/>
      </c>
      <c r="N516" s="35">
        <f>IF(OR($A516="",$D516=""),"",IF(OR($D516&amp;"|"&amp;$E516="",COUNTIF(ListeIzinliGecis,$D516&amp;"|"&amp;$E516)&gt;0),"","GEÇERSİZ GEÇİŞ"))</f>
        <v/>
      </c>
      <c r="O516" s="35">
        <f>IF($A516="","",IF(OR($F516="",$G516=""),"",IF(ABS($G516-$F516)&gt;zincirTolerans,"ZİNCİR KIRIK","OK")))</f>
        <v/>
      </c>
      <c r="P516" s="35">
        <f>IF($A516="","",1)</f>
        <v/>
      </c>
    </row>
    <row r="517">
      <c r="A517" s="29" t="n"/>
      <c r="B517" s="29" t="n"/>
      <c r="C517" s="70" t="n"/>
      <c r="D517" s="29" t="n"/>
      <c r="E517" s="29" t="n"/>
      <c r="F517" s="30" t="n"/>
      <c r="G517" s="30" t="n"/>
      <c r="H517" s="31" t="n"/>
      <c r="I517" s="31" t="n"/>
      <c r="J517" s="29" t="n"/>
      <c r="K517" s="35">
        <f>IF($A517="","",IF($C517="","",raporTarihi-$C517))</f>
        <v/>
      </c>
      <c r="L517" s="35">
        <f>IF($A517="","",IF($K517="","",IF($K517&lt;=7,"0-7",IF($K517&lt;=30,"8-30",IF($K517&lt;=60,"31-60","60+")))))</f>
        <v/>
      </c>
      <c r="M517" s="35">
        <f>IF($A517="","",IF($B517="","YETİM",IF(COUNTIF(tblKartlar[KartId],$B517)=0,"YETİM","")))</f>
        <v/>
      </c>
      <c r="N517" s="35">
        <f>IF(OR($A517="",$D517=""),"",IF(OR($D517&amp;"|"&amp;$E517="",COUNTIF(ListeIzinliGecis,$D517&amp;"|"&amp;$E517)&gt;0),"","GEÇERSİZ GEÇİŞ"))</f>
        <v/>
      </c>
      <c r="O517" s="35">
        <f>IF($A517="","",IF(OR($F517="",$G517=""),"",IF(ABS($G517-$F517)&gt;zincirTolerans,"ZİNCİR KIRIK","OK")))</f>
        <v/>
      </c>
      <c r="P517" s="35">
        <f>IF($A517="","",1)</f>
        <v/>
      </c>
    </row>
    <row r="518">
      <c r="A518" s="29" t="n"/>
      <c r="B518" s="29" t="n"/>
      <c r="C518" s="70" t="n"/>
      <c r="D518" s="29" t="n"/>
      <c r="E518" s="29" t="n"/>
      <c r="F518" s="30" t="n"/>
      <c r="G518" s="30" t="n"/>
      <c r="H518" s="31" t="n"/>
      <c r="I518" s="31" t="n"/>
      <c r="J518" s="29" t="n"/>
      <c r="K518" s="35">
        <f>IF($A518="","",IF($C518="","",raporTarihi-$C518))</f>
        <v/>
      </c>
      <c r="L518" s="35">
        <f>IF($A518="","",IF($K518="","",IF($K518&lt;=7,"0-7",IF($K518&lt;=30,"8-30",IF($K518&lt;=60,"31-60","60+")))))</f>
        <v/>
      </c>
      <c r="M518" s="35">
        <f>IF($A518="","",IF($B518="","YETİM",IF(COUNTIF(tblKartlar[KartId],$B518)=0,"YETİM","")))</f>
        <v/>
      </c>
      <c r="N518" s="35">
        <f>IF(OR($A518="",$D518=""),"",IF(OR($D518&amp;"|"&amp;$E518="",COUNTIF(ListeIzinliGecis,$D518&amp;"|"&amp;$E518)&gt;0),"","GEÇERSİZ GEÇİŞ"))</f>
        <v/>
      </c>
      <c r="O518" s="35">
        <f>IF($A518="","",IF(OR($F518="",$G518=""),"",IF(ABS($G518-$F518)&gt;zincirTolerans,"ZİNCİR KIRIK","OK")))</f>
        <v/>
      </c>
      <c r="P518" s="35">
        <f>IF($A518="","",1)</f>
        <v/>
      </c>
    </row>
    <row r="519">
      <c r="A519" s="29" t="n"/>
      <c r="B519" s="29" t="n"/>
      <c r="C519" s="70" t="n"/>
      <c r="D519" s="29" t="n"/>
      <c r="E519" s="29" t="n"/>
      <c r="F519" s="30" t="n"/>
      <c r="G519" s="30" t="n"/>
      <c r="H519" s="31" t="n"/>
      <c r="I519" s="31" t="n"/>
      <c r="J519" s="29" t="n"/>
      <c r="K519" s="35">
        <f>IF($A519="","",IF($C519="","",raporTarihi-$C519))</f>
        <v/>
      </c>
      <c r="L519" s="35">
        <f>IF($A519="","",IF($K519="","",IF($K519&lt;=7,"0-7",IF($K519&lt;=30,"8-30",IF($K519&lt;=60,"31-60","60+")))))</f>
        <v/>
      </c>
      <c r="M519" s="35">
        <f>IF($A519="","",IF($B519="","YETİM",IF(COUNTIF(tblKartlar[KartId],$B519)=0,"YETİM","")))</f>
        <v/>
      </c>
      <c r="N519" s="35">
        <f>IF(OR($A519="",$D519=""),"",IF(OR($D519&amp;"|"&amp;$E519="",COUNTIF(ListeIzinliGecis,$D519&amp;"|"&amp;$E519)&gt;0),"","GEÇERSİZ GEÇİŞ"))</f>
        <v/>
      </c>
      <c r="O519" s="35">
        <f>IF($A519="","",IF(OR($F519="",$G519=""),"",IF(ABS($G519-$F519)&gt;zincirTolerans,"ZİNCİR KIRIK","OK")))</f>
        <v/>
      </c>
      <c r="P519" s="35">
        <f>IF($A519="","",1)</f>
        <v/>
      </c>
    </row>
    <row r="520">
      <c r="A520" s="29" t="n"/>
      <c r="B520" s="29" t="n"/>
      <c r="C520" s="70" t="n"/>
      <c r="D520" s="29" t="n"/>
      <c r="E520" s="29" t="n"/>
      <c r="F520" s="30" t="n"/>
      <c r="G520" s="30" t="n"/>
      <c r="H520" s="31" t="n"/>
      <c r="I520" s="31" t="n"/>
      <c r="J520" s="29" t="n"/>
      <c r="K520" s="35">
        <f>IF($A520="","",IF($C520="","",raporTarihi-$C520))</f>
        <v/>
      </c>
      <c r="L520" s="35">
        <f>IF($A520="","",IF($K520="","",IF($K520&lt;=7,"0-7",IF($K520&lt;=30,"8-30",IF($K520&lt;=60,"31-60","60+")))))</f>
        <v/>
      </c>
      <c r="M520" s="35">
        <f>IF($A520="","",IF($B520="","YETİM",IF(COUNTIF(tblKartlar[KartId],$B520)=0,"YETİM","")))</f>
        <v/>
      </c>
      <c r="N520" s="35">
        <f>IF(OR($A520="",$D520=""),"",IF(OR($D520&amp;"|"&amp;$E520="",COUNTIF(ListeIzinliGecis,$D520&amp;"|"&amp;$E520)&gt;0),"","GEÇERSİZ GEÇİŞ"))</f>
        <v/>
      </c>
      <c r="O520" s="35">
        <f>IF($A520="","",IF(OR($F520="",$G520=""),"",IF(ABS($G520-$F520)&gt;zincirTolerans,"ZİNCİR KIRIK","OK")))</f>
        <v/>
      </c>
      <c r="P520" s="35">
        <f>IF($A520="","",1)</f>
        <v/>
      </c>
    </row>
    <row r="521">
      <c r="A521" s="29" t="n"/>
      <c r="B521" s="29" t="n"/>
      <c r="C521" s="70" t="n"/>
      <c r="D521" s="29" t="n"/>
      <c r="E521" s="29" t="n"/>
      <c r="F521" s="30" t="n"/>
      <c r="G521" s="30" t="n"/>
      <c r="H521" s="31" t="n"/>
      <c r="I521" s="31" t="n"/>
      <c r="J521" s="29" t="n"/>
      <c r="K521" s="35">
        <f>IF($A521="","",IF($C521="","",raporTarihi-$C521))</f>
        <v/>
      </c>
      <c r="L521" s="35">
        <f>IF($A521="","",IF($K521="","",IF($K521&lt;=7,"0-7",IF($K521&lt;=30,"8-30",IF($K521&lt;=60,"31-60","60+")))))</f>
        <v/>
      </c>
      <c r="M521" s="35">
        <f>IF($A521="","",IF($B521="","YETİM",IF(COUNTIF(tblKartlar[KartId],$B521)=0,"YETİM","")))</f>
        <v/>
      </c>
      <c r="N521" s="35">
        <f>IF(OR($A521="",$D521=""),"",IF(OR($D521&amp;"|"&amp;$E521="",COUNTIF(ListeIzinliGecis,$D521&amp;"|"&amp;$E521)&gt;0),"","GEÇERSİZ GEÇİŞ"))</f>
        <v/>
      </c>
      <c r="O521" s="35">
        <f>IF($A521="","",IF(OR($F521="",$G521=""),"",IF(ABS($G521-$F521)&gt;zincirTolerans,"ZİNCİR KIRIK","OK")))</f>
        <v/>
      </c>
      <c r="P521" s="35">
        <f>IF($A521="","",1)</f>
        <v/>
      </c>
    </row>
    <row r="522">
      <c r="A522" s="29" t="n"/>
      <c r="B522" s="29" t="n"/>
      <c r="C522" s="70" t="n"/>
      <c r="D522" s="29" t="n"/>
      <c r="E522" s="29" t="n"/>
      <c r="F522" s="30" t="n"/>
      <c r="G522" s="30" t="n"/>
      <c r="H522" s="31" t="n"/>
      <c r="I522" s="31" t="n"/>
      <c r="J522" s="29" t="n"/>
      <c r="K522" s="35">
        <f>IF($A522="","",IF($C522="","",raporTarihi-$C522))</f>
        <v/>
      </c>
      <c r="L522" s="35">
        <f>IF($A522="","",IF($K522="","",IF($K522&lt;=7,"0-7",IF($K522&lt;=30,"8-30",IF($K522&lt;=60,"31-60","60+")))))</f>
        <v/>
      </c>
      <c r="M522" s="35">
        <f>IF($A522="","",IF($B522="","YETİM",IF(COUNTIF(tblKartlar[KartId],$B522)=0,"YETİM","")))</f>
        <v/>
      </c>
      <c r="N522" s="35">
        <f>IF(OR($A522="",$D522=""),"",IF(OR($D522&amp;"|"&amp;$E522="",COUNTIF(ListeIzinliGecis,$D522&amp;"|"&amp;$E522)&gt;0),"","GEÇERSİZ GEÇİŞ"))</f>
        <v/>
      </c>
      <c r="O522" s="35">
        <f>IF($A522="","",IF(OR($F522="",$G522=""),"",IF(ABS($G522-$F522)&gt;zincirTolerans,"ZİNCİR KIRIK","OK")))</f>
        <v/>
      </c>
      <c r="P522" s="35">
        <f>IF($A522="","",1)</f>
        <v/>
      </c>
    </row>
    <row r="523">
      <c r="A523" s="29" t="n"/>
      <c r="B523" s="29" t="n"/>
      <c r="C523" s="70" t="n"/>
      <c r="D523" s="29" t="n"/>
      <c r="E523" s="29" t="n"/>
      <c r="F523" s="30" t="n"/>
      <c r="G523" s="30" t="n"/>
      <c r="H523" s="31" t="n"/>
      <c r="I523" s="31" t="n"/>
      <c r="J523" s="29" t="n"/>
      <c r="K523" s="35">
        <f>IF($A523="","",IF($C523="","",raporTarihi-$C523))</f>
        <v/>
      </c>
      <c r="L523" s="35">
        <f>IF($A523="","",IF($K523="","",IF($K523&lt;=7,"0-7",IF($K523&lt;=30,"8-30",IF($K523&lt;=60,"31-60","60+")))))</f>
        <v/>
      </c>
      <c r="M523" s="35">
        <f>IF($A523="","",IF($B523="","YETİM",IF(COUNTIF(tblKartlar[KartId],$B523)=0,"YETİM","")))</f>
        <v/>
      </c>
      <c r="N523" s="35">
        <f>IF(OR($A523="",$D523=""),"",IF(OR($D523&amp;"|"&amp;$E523="",COUNTIF(ListeIzinliGecis,$D523&amp;"|"&amp;$E523)&gt;0),"","GEÇERSİZ GEÇİŞ"))</f>
        <v/>
      </c>
      <c r="O523" s="35">
        <f>IF($A523="","",IF(OR($F523="",$G523=""),"",IF(ABS($G523-$F523)&gt;zincirTolerans,"ZİNCİR KIRIK","OK")))</f>
        <v/>
      </c>
      <c r="P523" s="35">
        <f>IF($A523="","",1)</f>
        <v/>
      </c>
    </row>
    <row r="524">
      <c r="A524" s="29" t="n"/>
      <c r="B524" s="29" t="n"/>
      <c r="C524" s="70" t="n"/>
      <c r="D524" s="29" t="n"/>
      <c r="E524" s="29" t="n"/>
      <c r="F524" s="30" t="n"/>
      <c r="G524" s="30" t="n"/>
      <c r="H524" s="31" t="n"/>
      <c r="I524" s="31" t="n"/>
      <c r="J524" s="29" t="n"/>
      <c r="K524" s="35">
        <f>IF($A524="","",IF($C524="","",raporTarihi-$C524))</f>
        <v/>
      </c>
      <c r="L524" s="35">
        <f>IF($A524="","",IF($K524="","",IF($K524&lt;=7,"0-7",IF($K524&lt;=30,"8-30",IF($K524&lt;=60,"31-60","60+")))))</f>
        <v/>
      </c>
      <c r="M524" s="35">
        <f>IF($A524="","",IF($B524="","YETİM",IF(COUNTIF(tblKartlar[KartId],$B524)=0,"YETİM","")))</f>
        <v/>
      </c>
      <c r="N524" s="35">
        <f>IF(OR($A524="",$D524=""),"",IF(OR($D524&amp;"|"&amp;$E524="",COUNTIF(ListeIzinliGecis,$D524&amp;"|"&amp;$E524)&gt;0),"","GEÇERSİZ GEÇİŞ"))</f>
        <v/>
      </c>
      <c r="O524" s="35">
        <f>IF($A524="","",IF(OR($F524="",$G524=""),"",IF(ABS($G524-$F524)&gt;zincirTolerans,"ZİNCİR KIRIK","OK")))</f>
        <v/>
      </c>
      <c r="P524" s="35">
        <f>IF($A524="","",1)</f>
        <v/>
      </c>
    </row>
    <row r="525">
      <c r="A525" s="29" t="n"/>
      <c r="B525" s="29" t="n"/>
      <c r="C525" s="70" t="n"/>
      <c r="D525" s="29" t="n"/>
      <c r="E525" s="29" t="n"/>
      <c r="F525" s="30" t="n"/>
      <c r="G525" s="30" t="n"/>
      <c r="H525" s="31" t="n"/>
      <c r="I525" s="31" t="n"/>
      <c r="J525" s="29" t="n"/>
      <c r="K525" s="35">
        <f>IF($A525="","",IF($C525="","",raporTarihi-$C525))</f>
        <v/>
      </c>
      <c r="L525" s="35">
        <f>IF($A525="","",IF($K525="","",IF($K525&lt;=7,"0-7",IF($K525&lt;=30,"8-30",IF($K525&lt;=60,"31-60","60+")))))</f>
        <v/>
      </c>
      <c r="M525" s="35">
        <f>IF($A525="","",IF($B525="","YETİM",IF(COUNTIF(tblKartlar[KartId],$B525)=0,"YETİM","")))</f>
        <v/>
      </c>
      <c r="N525" s="35">
        <f>IF(OR($A525="",$D525=""),"",IF(OR($D525&amp;"|"&amp;$E525="",COUNTIF(ListeIzinliGecis,$D525&amp;"|"&amp;$E525)&gt;0),"","GEÇERSİZ GEÇİŞ"))</f>
        <v/>
      </c>
      <c r="O525" s="35">
        <f>IF($A525="","",IF(OR($F525="",$G525=""),"",IF(ABS($G525-$F525)&gt;zincirTolerans,"ZİNCİR KIRIK","OK")))</f>
        <v/>
      </c>
      <c r="P525" s="35">
        <f>IF($A525="","",1)</f>
        <v/>
      </c>
    </row>
    <row r="526">
      <c r="A526" s="29" t="n"/>
      <c r="B526" s="29" t="n"/>
      <c r="C526" s="70" t="n"/>
      <c r="D526" s="29" t="n"/>
      <c r="E526" s="29" t="n"/>
      <c r="F526" s="30" t="n"/>
      <c r="G526" s="30" t="n"/>
      <c r="H526" s="31" t="n"/>
      <c r="I526" s="31" t="n"/>
      <c r="J526" s="29" t="n"/>
      <c r="K526" s="35">
        <f>IF($A526="","",IF($C526="","",raporTarihi-$C526))</f>
        <v/>
      </c>
      <c r="L526" s="35">
        <f>IF($A526="","",IF($K526="","",IF($K526&lt;=7,"0-7",IF($K526&lt;=30,"8-30",IF($K526&lt;=60,"31-60","60+")))))</f>
        <v/>
      </c>
      <c r="M526" s="35">
        <f>IF($A526="","",IF($B526="","YETİM",IF(COUNTIF(tblKartlar[KartId],$B526)=0,"YETİM","")))</f>
        <v/>
      </c>
      <c r="N526" s="35">
        <f>IF(OR($A526="",$D526=""),"",IF(OR($D526&amp;"|"&amp;$E526="",COUNTIF(ListeIzinliGecis,$D526&amp;"|"&amp;$E526)&gt;0),"","GEÇERSİZ GEÇİŞ"))</f>
        <v/>
      </c>
      <c r="O526" s="35">
        <f>IF($A526="","",IF(OR($F526="",$G526=""),"",IF(ABS($G526-$F526)&gt;zincirTolerans,"ZİNCİR KIRIK","OK")))</f>
        <v/>
      </c>
      <c r="P526" s="35">
        <f>IF($A526="","",1)</f>
        <v/>
      </c>
    </row>
    <row r="527">
      <c r="A527" s="29" t="n"/>
      <c r="B527" s="29" t="n"/>
      <c r="C527" s="70" t="n"/>
      <c r="D527" s="29" t="n"/>
      <c r="E527" s="29" t="n"/>
      <c r="F527" s="30" t="n"/>
      <c r="G527" s="30" t="n"/>
      <c r="H527" s="31" t="n"/>
      <c r="I527" s="31" t="n"/>
      <c r="J527" s="29" t="n"/>
      <c r="K527" s="35">
        <f>IF($A527="","",IF($C527="","",raporTarihi-$C527))</f>
        <v/>
      </c>
      <c r="L527" s="35">
        <f>IF($A527="","",IF($K527="","",IF($K527&lt;=7,"0-7",IF($K527&lt;=30,"8-30",IF($K527&lt;=60,"31-60","60+")))))</f>
        <v/>
      </c>
      <c r="M527" s="35">
        <f>IF($A527="","",IF($B527="","YETİM",IF(COUNTIF(tblKartlar[KartId],$B527)=0,"YETİM","")))</f>
        <v/>
      </c>
      <c r="N527" s="35">
        <f>IF(OR($A527="",$D527=""),"",IF(OR($D527&amp;"|"&amp;$E527="",COUNTIF(ListeIzinliGecis,$D527&amp;"|"&amp;$E527)&gt;0),"","GEÇERSİZ GEÇİŞ"))</f>
        <v/>
      </c>
      <c r="O527" s="35">
        <f>IF($A527="","",IF(OR($F527="",$G527=""),"",IF(ABS($G527-$F527)&gt;zincirTolerans,"ZİNCİR KIRIK","OK")))</f>
        <v/>
      </c>
      <c r="P527" s="35">
        <f>IF($A527="","",1)</f>
        <v/>
      </c>
    </row>
    <row r="528">
      <c r="A528" s="29" t="n"/>
      <c r="B528" s="29" t="n"/>
      <c r="C528" s="70" t="n"/>
      <c r="D528" s="29" t="n"/>
      <c r="E528" s="29" t="n"/>
      <c r="F528" s="30" t="n"/>
      <c r="G528" s="30" t="n"/>
      <c r="H528" s="31" t="n"/>
      <c r="I528" s="31" t="n"/>
      <c r="J528" s="29" t="n"/>
      <c r="K528" s="35">
        <f>IF($A528="","",IF($C528="","",raporTarihi-$C528))</f>
        <v/>
      </c>
      <c r="L528" s="35">
        <f>IF($A528="","",IF($K528="","",IF($K528&lt;=7,"0-7",IF($K528&lt;=30,"8-30",IF($K528&lt;=60,"31-60","60+")))))</f>
        <v/>
      </c>
      <c r="M528" s="35">
        <f>IF($A528="","",IF($B528="","YETİM",IF(COUNTIF(tblKartlar[KartId],$B528)=0,"YETİM","")))</f>
        <v/>
      </c>
      <c r="N528" s="35">
        <f>IF(OR($A528="",$D528=""),"",IF(OR($D528&amp;"|"&amp;$E528="",COUNTIF(ListeIzinliGecis,$D528&amp;"|"&amp;$E528)&gt;0),"","GEÇERSİZ GEÇİŞ"))</f>
        <v/>
      </c>
      <c r="O528" s="35">
        <f>IF($A528="","",IF(OR($F528="",$G528=""),"",IF(ABS($G528-$F528)&gt;zincirTolerans,"ZİNCİR KIRIK","OK")))</f>
        <v/>
      </c>
      <c r="P528" s="35">
        <f>IF($A528="","",1)</f>
        <v/>
      </c>
    </row>
    <row r="529">
      <c r="A529" s="29" t="n"/>
      <c r="B529" s="29" t="n"/>
      <c r="C529" s="70" t="n"/>
      <c r="D529" s="29" t="n"/>
      <c r="E529" s="29" t="n"/>
      <c r="F529" s="30" t="n"/>
      <c r="G529" s="30" t="n"/>
      <c r="H529" s="31" t="n"/>
      <c r="I529" s="31" t="n"/>
      <c r="J529" s="29" t="n"/>
      <c r="K529" s="35">
        <f>IF($A529="","",IF($C529="","",raporTarihi-$C529))</f>
        <v/>
      </c>
      <c r="L529" s="35">
        <f>IF($A529="","",IF($K529="","",IF($K529&lt;=7,"0-7",IF($K529&lt;=30,"8-30",IF($K529&lt;=60,"31-60","60+")))))</f>
        <v/>
      </c>
      <c r="M529" s="35">
        <f>IF($A529="","",IF($B529="","YETİM",IF(COUNTIF(tblKartlar[KartId],$B529)=0,"YETİM","")))</f>
        <v/>
      </c>
      <c r="N529" s="35">
        <f>IF(OR($A529="",$D529=""),"",IF(OR($D529&amp;"|"&amp;$E529="",COUNTIF(ListeIzinliGecis,$D529&amp;"|"&amp;$E529)&gt;0),"","GEÇERSİZ GEÇİŞ"))</f>
        <v/>
      </c>
      <c r="O529" s="35">
        <f>IF($A529="","",IF(OR($F529="",$G529=""),"",IF(ABS($G529-$F529)&gt;zincirTolerans,"ZİNCİR KIRIK","OK")))</f>
        <v/>
      </c>
      <c r="P529" s="35">
        <f>IF($A529="","",1)</f>
        <v/>
      </c>
    </row>
    <row r="530">
      <c r="A530" s="29" t="n"/>
      <c r="B530" s="29" t="n"/>
      <c r="C530" s="70" t="n"/>
      <c r="D530" s="29" t="n"/>
      <c r="E530" s="29" t="n"/>
      <c r="F530" s="30" t="n"/>
      <c r="G530" s="30" t="n"/>
      <c r="H530" s="31" t="n"/>
      <c r="I530" s="31" t="n"/>
      <c r="J530" s="29" t="n"/>
      <c r="K530" s="35">
        <f>IF($A530="","",IF($C530="","",raporTarihi-$C530))</f>
        <v/>
      </c>
      <c r="L530" s="35">
        <f>IF($A530="","",IF($K530="","",IF($K530&lt;=7,"0-7",IF($K530&lt;=30,"8-30",IF($K530&lt;=60,"31-60","60+")))))</f>
        <v/>
      </c>
      <c r="M530" s="35">
        <f>IF($A530="","",IF($B530="","YETİM",IF(COUNTIF(tblKartlar[KartId],$B530)=0,"YETİM","")))</f>
        <v/>
      </c>
      <c r="N530" s="35">
        <f>IF(OR($A530="",$D530=""),"",IF(OR($D530&amp;"|"&amp;$E530="",COUNTIF(ListeIzinliGecis,$D530&amp;"|"&amp;$E530)&gt;0),"","GEÇERSİZ GEÇİŞ"))</f>
        <v/>
      </c>
      <c r="O530" s="35">
        <f>IF($A530="","",IF(OR($F530="",$G530=""),"",IF(ABS($G530-$F530)&gt;zincirTolerans,"ZİNCİR KIRIK","OK")))</f>
        <v/>
      </c>
      <c r="P530" s="35">
        <f>IF($A530="","",1)</f>
        <v/>
      </c>
    </row>
    <row r="531">
      <c r="A531" s="29" t="n"/>
      <c r="B531" s="29" t="n"/>
      <c r="C531" s="70" t="n"/>
      <c r="D531" s="29" t="n"/>
      <c r="E531" s="29" t="n"/>
      <c r="F531" s="30" t="n"/>
      <c r="G531" s="30" t="n"/>
      <c r="H531" s="31" t="n"/>
      <c r="I531" s="31" t="n"/>
      <c r="J531" s="29" t="n"/>
      <c r="K531" s="35">
        <f>IF($A531="","",IF($C531="","",raporTarihi-$C531))</f>
        <v/>
      </c>
      <c r="L531" s="35">
        <f>IF($A531="","",IF($K531="","",IF($K531&lt;=7,"0-7",IF($K531&lt;=30,"8-30",IF($K531&lt;=60,"31-60","60+")))))</f>
        <v/>
      </c>
      <c r="M531" s="35">
        <f>IF($A531="","",IF($B531="","YETİM",IF(COUNTIF(tblKartlar[KartId],$B531)=0,"YETİM","")))</f>
        <v/>
      </c>
      <c r="N531" s="35">
        <f>IF(OR($A531="",$D531=""),"",IF(OR($D531&amp;"|"&amp;$E531="",COUNTIF(ListeIzinliGecis,$D531&amp;"|"&amp;$E531)&gt;0),"","GEÇERSİZ GEÇİŞ"))</f>
        <v/>
      </c>
      <c r="O531" s="35">
        <f>IF($A531="","",IF(OR($F531="",$G531=""),"",IF(ABS($G531-$F531)&gt;zincirTolerans,"ZİNCİR KIRIK","OK")))</f>
        <v/>
      </c>
      <c r="P531" s="35">
        <f>IF($A531="","",1)</f>
        <v/>
      </c>
    </row>
    <row r="532">
      <c r="A532" s="29" t="n"/>
      <c r="B532" s="29" t="n"/>
      <c r="C532" s="70" t="n"/>
      <c r="D532" s="29" t="n"/>
      <c r="E532" s="29" t="n"/>
      <c r="F532" s="30" t="n"/>
      <c r="G532" s="30" t="n"/>
      <c r="H532" s="31" t="n"/>
      <c r="I532" s="31" t="n"/>
      <c r="J532" s="29" t="n"/>
      <c r="K532" s="35">
        <f>IF($A532="","",IF($C532="","",raporTarihi-$C532))</f>
        <v/>
      </c>
      <c r="L532" s="35">
        <f>IF($A532="","",IF($K532="","",IF($K532&lt;=7,"0-7",IF($K532&lt;=30,"8-30",IF($K532&lt;=60,"31-60","60+")))))</f>
        <v/>
      </c>
      <c r="M532" s="35">
        <f>IF($A532="","",IF($B532="","YETİM",IF(COUNTIF(tblKartlar[KartId],$B532)=0,"YETİM","")))</f>
        <v/>
      </c>
      <c r="N532" s="35">
        <f>IF(OR($A532="",$D532=""),"",IF(OR($D532&amp;"|"&amp;$E532="",COUNTIF(ListeIzinliGecis,$D532&amp;"|"&amp;$E532)&gt;0),"","GEÇERSİZ GEÇİŞ"))</f>
        <v/>
      </c>
      <c r="O532" s="35">
        <f>IF($A532="","",IF(OR($F532="",$G532=""),"",IF(ABS($G532-$F532)&gt;zincirTolerans,"ZİNCİR KIRIK","OK")))</f>
        <v/>
      </c>
      <c r="P532" s="35">
        <f>IF($A532="","",1)</f>
        <v/>
      </c>
    </row>
    <row r="533">
      <c r="A533" s="29" t="n"/>
      <c r="B533" s="29" t="n"/>
      <c r="C533" s="70" t="n"/>
      <c r="D533" s="29" t="n"/>
      <c r="E533" s="29" t="n"/>
      <c r="F533" s="30" t="n"/>
      <c r="G533" s="30" t="n"/>
      <c r="H533" s="31" t="n"/>
      <c r="I533" s="31" t="n"/>
      <c r="J533" s="29" t="n"/>
      <c r="K533" s="35">
        <f>IF($A533="","",IF($C533="","",raporTarihi-$C533))</f>
        <v/>
      </c>
      <c r="L533" s="35">
        <f>IF($A533="","",IF($K533="","",IF($K533&lt;=7,"0-7",IF($K533&lt;=30,"8-30",IF($K533&lt;=60,"31-60","60+")))))</f>
        <v/>
      </c>
      <c r="M533" s="35">
        <f>IF($A533="","",IF($B533="","YETİM",IF(COUNTIF(tblKartlar[KartId],$B533)=0,"YETİM","")))</f>
        <v/>
      </c>
      <c r="N533" s="35">
        <f>IF(OR($A533="",$D533=""),"",IF(OR($D533&amp;"|"&amp;$E533="",COUNTIF(ListeIzinliGecis,$D533&amp;"|"&amp;$E533)&gt;0),"","GEÇERSİZ GEÇİŞ"))</f>
        <v/>
      </c>
      <c r="O533" s="35">
        <f>IF($A533="","",IF(OR($F533="",$G533=""),"",IF(ABS($G533-$F533)&gt;zincirTolerans,"ZİNCİR KIRIK","OK")))</f>
        <v/>
      </c>
      <c r="P533" s="35">
        <f>IF($A533="","",1)</f>
        <v/>
      </c>
    </row>
    <row r="534">
      <c r="A534" s="29" t="n"/>
      <c r="B534" s="29" t="n"/>
      <c r="C534" s="70" t="n"/>
      <c r="D534" s="29" t="n"/>
      <c r="E534" s="29" t="n"/>
      <c r="F534" s="30" t="n"/>
      <c r="G534" s="30" t="n"/>
      <c r="H534" s="31" t="n"/>
      <c r="I534" s="31" t="n"/>
      <c r="J534" s="29" t="n"/>
      <c r="K534" s="35">
        <f>IF($A534="","",IF($C534="","",raporTarihi-$C534))</f>
        <v/>
      </c>
      <c r="L534" s="35">
        <f>IF($A534="","",IF($K534="","",IF($K534&lt;=7,"0-7",IF($K534&lt;=30,"8-30",IF($K534&lt;=60,"31-60","60+")))))</f>
        <v/>
      </c>
      <c r="M534" s="35">
        <f>IF($A534="","",IF($B534="","YETİM",IF(COUNTIF(tblKartlar[KartId],$B534)=0,"YETİM","")))</f>
        <v/>
      </c>
      <c r="N534" s="35">
        <f>IF(OR($A534="",$D534=""),"",IF(OR($D534&amp;"|"&amp;$E534="",COUNTIF(ListeIzinliGecis,$D534&amp;"|"&amp;$E534)&gt;0),"","GEÇERSİZ GEÇİŞ"))</f>
        <v/>
      </c>
      <c r="O534" s="35">
        <f>IF($A534="","",IF(OR($F534="",$G534=""),"",IF(ABS($G534-$F534)&gt;zincirTolerans,"ZİNCİR KIRIK","OK")))</f>
        <v/>
      </c>
      <c r="P534" s="35">
        <f>IF($A534="","",1)</f>
        <v/>
      </c>
    </row>
    <row r="535">
      <c r="A535" s="29" t="n"/>
      <c r="B535" s="29" t="n"/>
      <c r="C535" s="70" t="n"/>
      <c r="D535" s="29" t="n"/>
      <c r="E535" s="29" t="n"/>
      <c r="F535" s="30" t="n"/>
      <c r="G535" s="30" t="n"/>
      <c r="H535" s="31" t="n"/>
      <c r="I535" s="31" t="n"/>
      <c r="J535" s="29" t="n"/>
      <c r="K535" s="35">
        <f>IF($A535="","",IF($C535="","",raporTarihi-$C535))</f>
        <v/>
      </c>
      <c r="L535" s="35">
        <f>IF($A535="","",IF($K535="","",IF($K535&lt;=7,"0-7",IF($K535&lt;=30,"8-30",IF($K535&lt;=60,"31-60","60+")))))</f>
        <v/>
      </c>
      <c r="M535" s="35">
        <f>IF($A535="","",IF($B535="","YETİM",IF(COUNTIF(tblKartlar[KartId],$B535)=0,"YETİM","")))</f>
        <v/>
      </c>
      <c r="N535" s="35">
        <f>IF(OR($A535="",$D535=""),"",IF(OR($D535&amp;"|"&amp;$E535="",COUNTIF(ListeIzinliGecis,$D535&amp;"|"&amp;$E535)&gt;0),"","GEÇERSİZ GEÇİŞ"))</f>
        <v/>
      </c>
      <c r="O535" s="35">
        <f>IF($A535="","",IF(OR($F535="",$G535=""),"",IF(ABS($G535-$F535)&gt;zincirTolerans,"ZİNCİR KIRIK","OK")))</f>
        <v/>
      </c>
      <c r="P535" s="35">
        <f>IF($A535="","",1)</f>
        <v/>
      </c>
    </row>
    <row r="536">
      <c r="A536" s="29" t="n"/>
      <c r="B536" s="29" t="n"/>
      <c r="C536" s="70" t="n"/>
      <c r="D536" s="29" t="n"/>
      <c r="E536" s="29" t="n"/>
      <c r="F536" s="30" t="n"/>
      <c r="G536" s="30" t="n"/>
      <c r="H536" s="31" t="n"/>
      <c r="I536" s="31" t="n"/>
      <c r="J536" s="29" t="n"/>
      <c r="K536" s="35">
        <f>IF($A536="","",IF($C536="","",raporTarihi-$C536))</f>
        <v/>
      </c>
      <c r="L536" s="35">
        <f>IF($A536="","",IF($K536="","",IF($K536&lt;=7,"0-7",IF($K536&lt;=30,"8-30",IF($K536&lt;=60,"31-60","60+")))))</f>
        <v/>
      </c>
      <c r="M536" s="35">
        <f>IF($A536="","",IF($B536="","YETİM",IF(COUNTIF(tblKartlar[KartId],$B536)=0,"YETİM","")))</f>
        <v/>
      </c>
      <c r="N536" s="35">
        <f>IF(OR($A536="",$D536=""),"",IF(OR($D536&amp;"|"&amp;$E536="",COUNTIF(ListeIzinliGecis,$D536&amp;"|"&amp;$E536)&gt;0),"","GEÇERSİZ GEÇİŞ"))</f>
        <v/>
      </c>
      <c r="O536" s="35">
        <f>IF($A536="","",IF(OR($F536="",$G536=""),"",IF(ABS($G536-$F536)&gt;zincirTolerans,"ZİNCİR KIRIK","OK")))</f>
        <v/>
      </c>
      <c r="P536" s="35">
        <f>IF($A536="","",1)</f>
        <v/>
      </c>
    </row>
    <row r="537">
      <c r="A537" s="29" t="n"/>
      <c r="B537" s="29" t="n"/>
      <c r="C537" s="70" t="n"/>
      <c r="D537" s="29" t="n"/>
      <c r="E537" s="29" t="n"/>
      <c r="F537" s="30" t="n"/>
      <c r="G537" s="30" t="n"/>
      <c r="H537" s="31" t="n"/>
      <c r="I537" s="31" t="n"/>
      <c r="J537" s="29" t="n"/>
      <c r="K537" s="35">
        <f>IF($A537="","",IF($C537="","",raporTarihi-$C537))</f>
        <v/>
      </c>
      <c r="L537" s="35">
        <f>IF($A537="","",IF($K537="","",IF($K537&lt;=7,"0-7",IF($K537&lt;=30,"8-30",IF($K537&lt;=60,"31-60","60+")))))</f>
        <v/>
      </c>
      <c r="M537" s="35">
        <f>IF($A537="","",IF($B537="","YETİM",IF(COUNTIF(tblKartlar[KartId],$B537)=0,"YETİM","")))</f>
        <v/>
      </c>
      <c r="N537" s="35">
        <f>IF(OR($A537="",$D537=""),"",IF(OR($D537&amp;"|"&amp;$E537="",COUNTIF(ListeIzinliGecis,$D537&amp;"|"&amp;$E537)&gt;0),"","GEÇERSİZ GEÇİŞ"))</f>
        <v/>
      </c>
      <c r="O537" s="35">
        <f>IF($A537="","",IF(OR($F537="",$G537=""),"",IF(ABS($G537-$F537)&gt;zincirTolerans,"ZİNCİR KIRIK","OK")))</f>
        <v/>
      </c>
      <c r="P537" s="35">
        <f>IF($A537="","",1)</f>
        <v/>
      </c>
    </row>
    <row r="538">
      <c r="A538" s="29" t="n"/>
      <c r="B538" s="29" t="n"/>
      <c r="C538" s="70" t="n"/>
      <c r="D538" s="29" t="n"/>
      <c r="E538" s="29" t="n"/>
      <c r="F538" s="30" t="n"/>
      <c r="G538" s="30" t="n"/>
      <c r="H538" s="31" t="n"/>
      <c r="I538" s="31" t="n"/>
      <c r="J538" s="29" t="n"/>
      <c r="K538" s="35">
        <f>IF($A538="","",IF($C538="","",raporTarihi-$C538))</f>
        <v/>
      </c>
      <c r="L538" s="35">
        <f>IF($A538="","",IF($K538="","",IF($K538&lt;=7,"0-7",IF($K538&lt;=30,"8-30",IF($K538&lt;=60,"31-60","60+")))))</f>
        <v/>
      </c>
      <c r="M538" s="35">
        <f>IF($A538="","",IF($B538="","YETİM",IF(COUNTIF(tblKartlar[KartId],$B538)=0,"YETİM","")))</f>
        <v/>
      </c>
      <c r="N538" s="35">
        <f>IF(OR($A538="",$D538=""),"",IF(OR($D538&amp;"|"&amp;$E538="",COUNTIF(ListeIzinliGecis,$D538&amp;"|"&amp;$E538)&gt;0),"","GEÇERSİZ GEÇİŞ"))</f>
        <v/>
      </c>
      <c r="O538" s="35">
        <f>IF($A538="","",IF(OR($F538="",$G538=""),"",IF(ABS($G538-$F538)&gt;zincirTolerans,"ZİNCİR KIRIK","OK")))</f>
        <v/>
      </c>
      <c r="P538" s="35">
        <f>IF($A538="","",1)</f>
        <v/>
      </c>
    </row>
    <row r="539">
      <c r="A539" s="29" t="n"/>
      <c r="B539" s="29" t="n"/>
      <c r="C539" s="70" t="n"/>
      <c r="D539" s="29" t="n"/>
      <c r="E539" s="29" t="n"/>
      <c r="F539" s="30" t="n"/>
      <c r="G539" s="30" t="n"/>
      <c r="H539" s="31" t="n"/>
      <c r="I539" s="31" t="n"/>
      <c r="J539" s="29" t="n"/>
      <c r="K539" s="35">
        <f>IF($A539="","",IF($C539="","",raporTarihi-$C539))</f>
        <v/>
      </c>
      <c r="L539" s="35">
        <f>IF($A539="","",IF($K539="","",IF($K539&lt;=7,"0-7",IF($K539&lt;=30,"8-30",IF($K539&lt;=60,"31-60","60+")))))</f>
        <v/>
      </c>
      <c r="M539" s="35">
        <f>IF($A539="","",IF($B539="","YETİM",IF(COUNTIF(tblKartlar[KartId],$B539)=0,"YETİM","")))</f>
        <v/>
      </c>
      <c r="N539" s="35">
        <f>IF(OR($A539="",$D539=""),"",IF(OR($D539&amp;"|"&amp;$E539="",COUNTIF(ListeIzinliGecis,$D539&amp;"|"&amp;$E539)&gt;0),"","GEÇERSİZ GEÇİŞ"))</f>
        <v/>
      </c>
      <c r="O539" s="35">
        <f>IF($A539="","",IF(OR($F539="",$G539=""),"",IF(ABS($G539-$F539)&gt;zincirTolerans,"ZİNCİR KIRIK","OK")))</f>
        <v/>
      </c>
      <c r="P539" s="35">
        <f>IF($A539="","",1)</f>
        <v/>
      </c>
    </row>
    <row r="540">
      <c r="A540" s="29" t="n"/>
      <c r="B540" s="29" t="n"/>
      <c r="C540" s="70" t="n"/>
      <c r="D540" s="29" t="n"/>
      <c r="E540" s="29" t="n"/>
      <c r="F540" s="30" t="n"/>
      <c r="G540" s="30" t="n"/>
      <c r="H540" s="31" t="n"/>
      <c r="I540" s="31" t="n"/>
      <c r="J540" s="29" t="n"/>
      <c r="K540" s="35">
        <f>IF($A540="","",IF($C540="","",raporTarihi-$C540))</f>
        <v/>
      </c>
      <c r="L540" s="35">
        <f>IF($A540="","",IF($K540="","",IF($K540&lt;=7,"0-7",IF($K540&lt;=30,"8-30",IF($K540&lt;=60,"31-60","60+")))))</f>
        <v/>
      </c>
      <c r="M540" s="35">
        <f>IF($A540="","",IF($B540="","YETİM",IF(COUNTIF(tblKartlar[KartId],$B540)=0,"YETİM","")))</f>
        <v/>
      </c>
      <c r="N540" s="35">
        <f>IF(OR($A540="",$D540=""),"",IF(OR($D540&amp;"|"&amp;$E540="",COUNTIF(ListeIzinliGecis,$D540&amp;"|"&amp;$E540)&gt;0),"","GEÇERSİZ GEÇİŞ"))</f>
        <v/>
      </c>
      <c r="O540" s="35">
        <f>IF($A540="","",IF(OR($F540="",$G540=""),"",IF(ABS($G540-$F540)&gt;zincirTolerans,"ZİNCİR KIRIK","OK")))</f>
        <v/>
      </c>
      <c r="P540" s="35">
        <f>IF($A540="","",1)</f>
        <v/>
      </c>
    </row>
    <row r="541">
      <c r="A541" s="29" t="n"/>
      <c r="B541" s="29" t="n"/>
      <c r="C541" s="70" t="n"/>
      <c r="D541" s="29" t="n"/>
      <c r="E541" s="29" t="n"/>
      <c r="F541" s="30" t="n"/>
      <c r="G541" s="30" t="n"/>
      <c r="H541" s="31" t="n"/>
      <c r="I541" s="31" t="n"/>
      <c r="J541" s="29" t="n"/>
      <c r="K541" s="35">
        <f>IF($A541="","",IF($C541="","",raporTarihi-$C541))</f>
        <v/>
      </c>
      <c r="L541" s="35">
        <f>IF($A541="","",IF($K541="","",IF($K541&lt;=7,"0-7",IF($K541&lt;=30,"8-30",IF($K541&lt;=60,"31-60","60+")))))</f>
        <v/>
      </c>
      <c r="M541" s="35">
        <f>IF($A541="","",IF($B541="","YETİM",IF(COUNTIF(tblKartlar[KartId],$B541)=0,"YETİM","")))</f>
        <v/>
      </c>
      <c r="N541" s="35">
        <f>IF(OR($A541="",$D541=""),"",IF(OR($D541&amp;"|"&amp;$E541="",COUNTIF(ListeIzinliGecis,$D541&amp;"|"&amp;$E541)&gt;0),"","GEÇERSİZ GEÇİŞ"))</f>
        <v/>
      </c>
      <c r="O541" s="35">
        <f>IF($A541="","",IF(OR($F541="",$G541=""),"",IF(ABS($G541-$F541)&gt;zincirTolerans,"ZİNCİR KIRIK","OK")))</f>
        <v/>
      </c>
      <c r="P541" s="35">
        <f>IF($A541="","",1)</f>
        <v/>
      </c>
    </row>
    <row r="542">
      <c r="A542" s="29" t="n"/>
      <c r="B542" s="29" t="n"/>
      <c r="C542" s="70" t="n"/>
      <c r="D542" s="29" t="n"/>
      <c r="E542" s="29" t="n"/>
      <c r="F542" s="30" t="n"/>
      <c r="G542" s="30" t="n"/>
      <c r="H542" s="31" t="n"/>
      <c r="I542" s="31" t="n"/>
      <c r="J542" s="29" t="n"/>
      <c r="K542" s="35">
        <f>IF($A542="","",IF($C542="","",raporTarihi-$C542))</f>
        <v/>
      </c>
      <c r="L542" s="35">
        <f>IF($A542="","",IF($K542="","",IF($K542&lt;=7,"0-7",IF($K542&lt;=30,"8-30",IF($K542&lt;=60,"31-60","60+")))))</f>
        <v/>
      </c>
      <c r="M542" s="35">
        <f>IF($A542="","",IF($B542="","YETİM",IF(COUNTIF(tblKartlar[KartId],$B542)=0,"YETİM","")))</f>
        <v/>
      </c>
      <c r="N542" s="35">
        <f>IF(OR($A542="",$D542=""),"",IF(OR($D542&amp;"|"&amp;$E542="",COUNTIF(ListeIzinliGecis,$D542&amp;"|"&amp;$E542)&gt;0),"","GEÇERSİZ GEÇİŞ"))</f>
        <v/>
      </c>
      <c r="O542" s="35">
        <f>IF($A542="","",IF(OR($F542="",$G542=""),"",IF(ABS($G542-$F542)&gt;zincirTolerans,"ZİNCİR KIRIK","OK")))</f>
        <v/>
      </c>
      <c r="P542" s="35">
        <f>IF($A542="","",1)</f>
        <v/>
      </c>
    </row>
    <row r="543">
      <c r="A543" s="29" t="n"/>
      <c r="B543" s="29" t="n"/>
      <c r="C543" s="70" t="n"/>
      <c r="D543" s="29" t="n"/>
      <c r="E543" s="29" t="n"/>
      <c r="F543" s="30" t="n"/>
      <c r="G543" s="30" t="n"/>
      <c r="H543" s="31" t="n"/>
      <c r="I543" s="31" t="n"/>
      <c r="J543" s="29" t="n"/>
      <c r="K543" s="35">
        <f>IF($A543="","",IF($C543="","",raporTarihi-$C543))</f>
        <v/>
      </c>
      <c r="L543" s="35">
        <f>IF($A543="","",IF($K543="","",IF($K543&lt;=7,"0-7",IF($K543&lt;=30,"8-30",IF($K543&lt;=60,"31-60","60+")))))</f>
        <v/>
      </c>
      <c r="M543" s="35">
        <f>IF($A543="","",IF($B543="","YETİM",IF(COUNTIF(tblKartlar[KartId],$B543)=0,"YETİM","")))</f>
        <v/>
      </c>
      <c r="N543" s="35">
        <f>IF(OR($A543="",$D543=""),"",IF(OR($D543&amp;"|"&amp;$E543="",COUNTIF(ListeIzinliGecis,$D543&amp;"|"&amp;$E543)&gt;0),"","GEÇERSİZ GEÇİŞ"))</f>
        <v/>
      </c>
      <c r="O543" s="35">
        <f>IF($A543="","",IF(OR($F543="",$G543=""),"",IF(ABS($G543-$F543)&gt;zincirTolerans,"ZİNCİR KIRIK","OK")))</f>
        <v/>
      </c>
      <c r="P543" s="35">
        <f>IF($A543="","",1)</f>
        <v/>
      </c>
    </row>
    <row r="544">
      <c r="A544" s="29" t="n"/>
      <c r="B544" s="29" t="n"/>
      <c r="C544" s="70" t="n"/>
      <c r="D544" s="29" t="n"/>
      <c r="E544" s="29" t="n"/>
      <c r="F544" s="30" t="n"/>
      <c r="G544" s="30" t="n"/>
      <c r="H544" s="31" t="n"/>
      <c r="I544" s="31" t="n"/>
      <c r="J544" s="29" t="n"/>
      <c r="K544" s="35">
        <f>IF($A544="","",IF($C544="","",raporTarihi-$C544))</f>
        <v/>
      </c>
      <c r="L544" s="35">
        <f>IF($A544="","",IF($K544="","",IF($K544&lt;=7,"0-7",IF($K544&lt;=30,"8-30",IF($K544&lt;=60,"31-60","60+")))))</f>
        <v/>
      </c>
      <c r="M544" s="35">
        <f>IF($A544="","",IF($B544="","YETİM",IF(COUNTIF(tblKartlar[KartId],$B544)=0,"YETİM","")))</f>
        <v/>
      </c>
      <c r="N544" s="35">
        <f>IF(OR($A544="",$D544=""),"",IF(OR($D544&amp;"|"&amp;$E544="",COUNTIF(ListeIzinliGecis,$D544&amp;"|"&amp;$E544)&gt;0),"","GEÇERSİZ GEÇİŞ"))</f>
        <v/>
      </c>
      <c r="O544" s="35">
        <f>IF($A544="","",IF(OR($F544="",$G544=""),"",IF(ABS($G544-$F544)&gt;zincirTolerans,"ZİNCİR KIRIK","OK")))</f>
        <v/>
      </c>
      <c r="P544" s="35">
        <f>IF($A544="","",1)</f>
        <v/>
      </c>
    </row>
    <row r="545">
      <c r="A545" s="29" t="n"/>
      <c r="B545" s="29" t="n"/>
      <c r="C545" s="70" t="n"/>
      <c r="D545" s="29" t="n"/>
      <c r="E545" s="29" t="n"/>
      <c r="F545" s="30" t="n"/>
      <c r="G545" s="30" t="n"/>
      <c r="H545" s="31" t="n"/>
      <c r="I545" s="31" t="n"/>
      <c r="J545" s="29" t="n"/>
      <c r="K545" s="35">
        <f>IF($A545="","",IF($C545="","",raporTarihi-$C545))</f>
        <v/>
      </c>
      <c r="L545" s="35">
        <f>IF($A545="","",IF($K545="","",IF($K545&lt;=7,"0-7",IF($K545&lt;=30,"8-30",IF($K545&lt;=60,"31-60","60+")))))</f>
        <v/>
      </c>
      <c r="M545" s="35">
        <f>IF($A545="","",IF($B545="","YETİM",IF(COUNTIF(tblKartlar[KartId],$B545)=0,"YETİM","")))</f>
        <v/>
      </c>
      <c r="N545" s="35">
        <f>IF(OR($A545="",$D545=""),"",IF(OR($D545&amp;"|"&amp;$E545="",COUNTIF(ListeIzinliGecis,$D545&amp;"|"&amp;$E545)&gt;0),"","GEÇERSİZ GEÇİŞ"))</f>
        <v/>
      </c>
      <c r="O545" s="35">
        <f>IF($A545="","",IF(OR($F545="",$G545=""),"",IF(ABS($G545-$F545)&gt;zincirTolerans,"ZİNCİR KIRIK","OK")))</f>
        <v/>
      </c>
      <c r="P545" s="35">
        <f>IF($A545="","",1)</f>
        <v/>
      </c>
    </row>
    <row r="546">
      <c r="A546" s="29" t="n"/>
      <c r="B546" s="29" t="n"/>
      <c r="C546" s="70" t="n"/>
      <c r="D546" s="29" t="n"/>
      <c r="E546" s="29" t="n"/>
      <c r="F546" s="30" t="n"/>
      <c r="G546" s="30" t="n"/>
      <c r="H546" s="31" t="n"/>
      <c r="I546" s="31" t="n"/>
      <c r="J546" s="29" t="n"/>
      <c r="K546" s="35">
        <f>IF($A546="","",IF($C546="","",raporTarihi-$C546))</f>
        <v/>
      </c>
      <c r="L546" s="35">
        <f>IF($A546="","",IF($K546="","",IF($K546&lt;=7,"0-7",IF($K546&lt;=30,"8-30",IF($K546&lt;=60,"31-60","60+")))))</f>
        <v/>
      </c>
      <c r="M546" s="35">
        <f>IF($A546="","",IF($B546="","YETİM",IF(COUNTIF(tblKartlar[KartId],$B546)=0,"YETİM","")))</f>
        <v/>
      </c>
      <c r="N546" s="35">
        <f>IF(OR($A546="",$D546=""),"",IF(OR($D546&amp;"|"&amp;$E546="",COUNTIF(ListeIzinliGecis,$D546&amp;"|"&amp;$E546)&gt;0),"","GEÇERSİZ GEÇİŞ"))</f>
        <v/>
      </c>
      <c r="O546" s="35">
        <f>IF($A546="","",IF(OR($F546="",$G546=""),"",IF(ABS($G546-$F546)&gt;zincirTolerans,"ZİNCİR KIRIK","OK")))</f>
        <v/>
      </c>
      <c r="P546" s="35">
        <f>IF($A546="","",1)</f>
        <v/>
      </c>
    </row>
    <row r="547">
      <c r="A547" s="29" t="n"/>
      <c r="B547" s="29" t="n"/>
      <c r="C547" s="70" t="n"/>
      <c r="D547" s="29" t="n"/>
      <c r="E547" s="29" t="n"/>
      <c r="F547" s="30" t="n"/>
      <c r="G547" s="30" t="n"/>
      <c r="H547" s="31" t="n"/>
      <c r="I547" s="31" t="n"/>
      <c r="J547" s="29" t="n"/>
      <c r="K547" s="35">
        <f>IF($A547="","",IF($C547="","",raporTarihi-$C547))</f>
        <v/>
      </c>
      <c r="L547" s="35">
        <f>IF($A547="","",IF($K547="","",IF($K547&lt;=7,"0-7",IF($K547&lt;=30,"8-30",IF($K547&lt;=60,"31-60","60+")))))</f>
        <v/>
      </c>
      <c r="M547" s="35">
        <f>IF($A547="","",IF($B547="","YETİM",IF(COUNTIF(tblKartlar[KartId],$B547)=0,"YETİM","")))</f>
        <v/>
      </c>
      <c r="N547" s="35">
        <f>IF(OR($A547="",$D547=""),"",IF(OR($D547&amp;"|"&amp;$E547="",COUNTIF(ListeIzinliGecis,$D547&amp;"|"&amp;$E547)&gt;0),"","GEÇERSİZ GEÇİŞ"))</f>
        <v/>
      </c>
      <c r="O547" s="35">
        <f>IF($A547="","",IF(OR($F547="",$G547=""),"",IF(ABS($G547-$F547)&gt;zincirTolerans,"ZİNCİR KIRIK","OK")))</f>
        <v/>
      </c>
      <c r="P547" s="35">
        <f>IF($A547="","",1)</f>
        <v/>
      </c>
    </row>
    <row r="548">
      <c r="A548" s="29" t="n"/>
      <c r="B548" s="29" t="n"/>
      <c r="C548" s="70" t="n"/>
      <c r="D548" s="29" t="n"/>
      <c r="E548" s="29" t="n"/>
      <c r="F548" s="30" t="n"/>
      <c r="G548" s="30" t="n"/>
      <c r="H548" s="31" t="n"/>
      <c r="I548" s="31" t="n"/>
      <c r="J548" s="29" t="n"/>
      <c r="K548" s="35">
        <f>IF($A548="","",IF($C548="","",raporTarihi-$C548))</f>
        <v/>
      </c>
      <c r="L548" s="35">
        <f>IF($A548="","",IF($K548="","",IF($K548&lt;=7,"0-7",IF($K548&lt;=30,"8-30",IF($K548&lt;=60,"31-60","60+")))))</f>
        <v/>
      </c>
      <c r="M548" s="35">
        <f>IF($A548="","",IF($B548="","YETİM",IF(COUNTIF(tblKartlar[KartId],$B548)=0,"YETİM","")))</f>
        <v/>
      </c>
      <c r="N548" s="35">
        <f>IF(OR($A548="",$D548=""),"",IF(OR($D548&amp;"|"&amp;$E548="",COUNTIF(ListeIzinliGecis,$D548&amp;"|"&amp;$E548)&gt;0),"","GEÇERSİZ GEÇİŞ"))</f>
        <v/>
      </c>
      <c r="O548" s="35">
        <f>IF($A548="","",IF(OR($F548="",$G548=""),"",IF(ABS($G548-$F548)&gt;zincirTolerans,"ZİNCİR KIRIK","OK")))</f>
        <v/>
      </c>
      <c r="P548" s="35">
        <f>IF($A548="","",1)</f>
        <v/>
      </c>
    </row>
    <row r="549">
      <c r="A549" s="29" t="n"/>
      <c r="B549" s="29" t="n"/>
      <c r="C549" s="70" t="n"/>
      <c r="D549" s="29" t="n"/>
      <c r="E549" s="29" t="n"/>
      <c r="F549" s="30" t="n"/>
      <c r="G549" s="30" t="n"/>
      <c r="H549" s="31" t="n"/>
      <c r="I549" s="31" t="n"/>
      <c r="J549" s="29" t="n"/>
      <c r="K549" s="35">
        <f>IF($A549="","",IF($C549="","",raporTarihi-$C549))</f>
        <v/>
      </c>
      <c r="L549" s="35">
        <f>IF($A549="","",IF($K549="","",IF($K549&lt;=7,"0-7",IF($K549&lt;=30,"8-30",IF($K549&lt;=60,"31-60","60+")))))</f>
        <v/>
      </c>
      <c r="M549" s="35">
        <f>IF($A549="","",IF($B549="","YETİM",IF(COUNTIF(tblKartlar[KartId],$B549)=0,"YETİM","")))</f>
        <v/>
      </c>
      <c r="N549" s="35">
        <f>IF(OR($A549="",$D549=""),"",IF(OR($D549&amp;"|"&amp;$E549="",COUNTIF(ListeIzinliGecis,$D549&amp;"|"&amp;$E549)&gt;0),"","GEÇERSİZ GEÇİŞ"))</f>
        <v/>
      </c>
      <c r="O549" s="35">
        <f>IF($A549="","",IF(OR($F549="",$G549=""),"",IF(ABS($G549-$F549)&gt;zincirTolerans,"ZİNCİR KIRIK","OK")))</f>
        <v/>
      </c>
      <c r="P549" s="35">
        <f>IF($A549="","",1)</f>
        <v/>
      </c>
    </row>
    <row r="550">
      <c r="A550" s="29" t="n"/>
      <c r="B550" s="29" t="n"/>
      <c r="C550" s="70" t="n"/>
      <c r="D550" s="29" t="n"/>
      <c r="E550" s="29" t="n"/>
      <c r="F550" s="30" t="n"/>
      <c r="G550" s="30" t="n"/>
      <c r="H550" s="31" t="n"/>
      <c r="I550" s="31" t="n"/>
      <c r="J550" s="29" t="n"/>
      <c r="K550" s="35">
        <f>IF($A550="","",IF($C550="","",raporTarihi-$C550))</f>
        <v/>
      </c>
      <c r="L550" s="35">
        <f>IF($A550="","",IF($K550="","",IF($K550&lt;=7,"0-7",IF($K550&lt;=30,"8-30",IF($K550&lt;=60,"31-60","60+")))))</f>
        <v/>
      </c>
      <c r="M550" s="35">
        <f>IF($A550="","",IF($B550="","YETİM",IF(COUNTIF(tblKartlar[KartId],$B550)=0,"YETİM","")))</f>
        <v/>
      </c>
      <c r="N550" s="35">
        <f>IF(OR($A550="",$D550=""),"",IF(OR($D550&amp;"|"&amp;$E550="",COUNTIF(ListeIzinliGecis,$D550&amp;"|"&amp;$E550)&gt;0),"","GEÇERSİZ GEÇİŞ"))</f>
        <v/>
      </c>
      <c r="O550" s="35">
        <f>IF($A550="","",IF(OR($F550="",$G550=""),"",IF(ABS($G550-$F550)&gt;zincirTolerans,"ZİNCİR KIRIK","OK")))</f>
        <v/>
      </c>
      <c r="P550" s="35">
        <f>IF($A550="","",1)</f>
        <v/>
      </c>
    </row>
    <row r="551">
      <c r="A551" s="29" t="n"/>
      <c r="B551" s="29" t="n"/>
      <c r="C551" s="70" t="n"/>
      <c r="D551" s="29" t="n"/>
      <c r="E551" s="29" t="n"/>
      <c r="F551" s="30" t="n"/>
      <c r="G551" s="30" t="n"/>
      <c r="H551" s="31" t="n"/>
      <c r="I551" s="31" t="n"/>
      <c r="J551" s="29" t="n"/>
      <c r="K551" s="35">
        <f>IF($A551="","",IF($C551="","",raporTarihi-$C551))</f>
        <v/>
      </c>
      <c r="L551" s="35">
        <f>IF($A551="","",IF($K551="","",IF($K551&lt;=7,"0-7",IF($K551&lt;=30,"8-30",IF($K551&lt;=60,"31-60","60+")))))</f>
        <v/>
      </c>
      <c r="M551" s="35">
        <f>IF($A551="","",IF($B551="","YETİM",IF(COUNTIF(tblKartlar[KartId],$B551)=0,"YETİM","")))</f>
        <v/>
      </c>
      <c r="N551" s="35">
        <f>IF(OR($A551="",$D551=""),"",IF(OR($D551&amp;"|"&amp;$E551="",COUNTIF(ListeIzinliGecis,$D551&amp;"|"&amp;$E551)&gt;0),"","GEÇERSİZ GEÇİŞ"))</f>
        <v/>
      </c>
      <c r="O551" s="35">
        <f>IF($A551="","",IF(OR($F551="",$G551=""),"",IF(ABS($G551-$F551)&gt;zincirTolerans,"ZİNCİR KIRIK","OK")))</f>
        <v/>
      </c>
      <c r="P551" s="35">
        <f>IF($A551="","",1)</f>
        <v/>
      </c>
    </row>
    <row r="552">
      <c r="A552" s="29" t="n"/>
      <c r="B552" s="29" t="n"/>
      <c r="C552" s="70" t="n"/>
      <c r="D552" s="29" t="n"/>
      <c r="E552" s="29" t="n"/>
      <c r="F552" s="30" t="n"/>
      <c r="G552" s="30" t="n"/>
      <c r="H552" s="31" t="n"/>
      <c r="I552" s="31" t="n"/>
      <c r="J552" s="29" t="n"/>
      <c r="K552" s="35">
        <f>IF($A552="","",IF($C552="","",raporTarihi-$C552))</f>
        <v/>
      </c>
      <c r="L552" s="35">
        <f>IF($A552="","",IF($K552="","",IF($K552&lt;=7,"0-7",IF($K552&lt;=30,"8-30",IF($K552&lt;=60,"31-60","60+")))))</f>
        <v/>
      </c>
      <c r="M552" s="35">
        <f>IF($A552="","",IF($B552="","YETİM",IF(COUNTIF(tblKartlar[KartId],$B552)=0,"YETİM","")))</f>
        <v/>
      </c>
      <c r="N552" s="35">
        <f>IF(OR($A552="",$D552=""),"",IF(OR($D552&amp;"|"&amp;$E552="",COUNTIF(ListeIzinliGecis,$D552&amp;"|"&amp;$E552)&gt;0),"","GEÇERSİZ GEÇİŞ"))</f>
        <v/>
      </c>
      <c r="O552" s="35">
        <f>IF($A552="","",IF(OR($F552="",$G552=""),"",IF(ABS($G552-$F552)&gt;zincirTolerans,"ZİNCİR KIRIK","OK")))</f>
        <v/>
      </c>
      <c r="P552" s="35">
        <f>IF($A552="","",1)</f>
        <v/>
      </c>
    </row>
    <row r="553">
      <c r="A553" s="29" t="n"/>
      <c r="B553" s="29" t="n"/>
      <c r="C553" s="70" t="n"/>
      <c r="D553" s="29" t="n"/>
      <c r="E553" s="29" t="n"/>
      <c r="F553" s="30" t="n"/>
      <c r="G553" s="30" t="n"/>
      <c r="H553" s="31" t="n"/>
      <c r="I553" s="31" t="n"/>
      <c r="J553" s="29" t="n"/>
      <c r="K553" s="35">
        <f>IF($A553="","",IF($C553="","",raporTarihi-$C553))</f>
        <v/>
      </c>
      <c r="L553" s="35">
        <f>IF($A553="","",IF($K553="","",IF($K553&lt;=7,"0-7",IF($K553&lt;=30,"8-30",IF($K553&lt;=60,"31-60","60+")))))</f>
        <v/>
      </c>
      <c r="M553" s="35">
        <f>IF($A553="","",IF($B553="","YETİM",IF(COUNTIF(tblKartlar[KartId],$B553)=0,"YETİM","")))</f>
        <v/>
      </c>
      <c r="N553" s="35">
        <f>IF(OR($A553="",$D553=""),"",IF(OR($D553&amp;"|"&amp;$E553="",COUNTIF(ListeIzinliGecis,$D553&amp;"|"&amp;$E553)&gt;0),"","GEÇERSİZ GEÇİŞ"))</f>
        <v/>
      </c>
      <c r="O553" s="35">
        <f>IF($A553="","",IF(OR($F553="",$G553=""),"",IF(ABS($G553-$F553)&gt;zincirTolerans,"ZİNCİR KIRIK","OK")))</f>
        <v/>
      </c>
      <c r="P553" s="35">
        <f>IF($A553="","",1)</f>
        <v/>
      </c>
    </row>
    <row r="554">
      <c r="A554" s="29" t="n"/>
      <c r="B554" s="29" t="n"/>
      <c r="C554" s="70" t="n"/>
      <c r="D554" s="29" t="n"/>
      <c r="E554" s="29" t="n"/>
      <c r="F554" s="30" t="n"/>
      <c r="G554" s="30" t="n"/>
      <c r="H554" s="31" t="n"/>
      <c r="I554" s="31" t="n"/>
      <c r="J554" s="29" t="n"/>
      <c r="K554" s="35">
        <f>IF($A554="","",IF($C554="","",raporTarihi-$C554))</f>
        <v/>
      </c>
      <c r="L554" s="35">
        <f>IF($A554="","",IF($K554="","",IF($K554&lt;=7,"0-7",IF($K554&lt;=30,"8-30",IF($K554&lt;=60,"31-60","60+")))))</f>
        <v/>
      </c>
      <c r="M554" s="35">
        <f>IF($A554="","",IF($B554="","YETİM",IF(COUNTIF(tblKartlar[KartId],$B554)=0,"YETİM","")))</f>
        <v/>
      </c>
      <c r="N554" s="35">
        <f>IF(OR($A554="",$D554=""),"",IF(OR($D554&amp;"|"&amp;$E554="",COUNTIF(ListeIzinliGecis,$D554&amp;"|"&amp;$E554)&gt;0),"","GEÇERSİZ GEÇİŞ"))</f>
        <v/>
      </c>
      <c r="O554" s="35">
        <f>IF($A554="","",IF(OR($F554="",$G554=""),"",IF(ABS($G554-$F554)&gt;zincirTolerans,"ZİNCİR KIRIK","OK")))</f>
        <v/>
      </c>
      <c r="P554" s="35">
        <f>IF($A554="","",1)</f>
        <v/>
      </c>
    </row>
    <row r="555">
      <c r="A555" s="29" t="n"/>
      <c r="B555" s="29" t="n"/>
      <c r="C555" s="70" t="n"/>
      <c r="D555" s="29" t="n"/>
      <c r="E555" s="29" t="n"/>
      <c r="F555" s="30" t="n"/>
      <c r="G555" s="30" t="n"/>
      <c r="H555" s="31" t="n"/>
      <c r="I555" s="31" t="n"/>
      <c r="J555" s="29" t="n"/>
      <c r="K555" s="35">
        <f>IF($A555="","",IF($C555="","",raporTarihi-$C555))</f>
        <v/>
      </c>
      <c r="L555" s="35">
        <f>IF($A555="","",IF($K555="","",IF($K555&lt;=7,"0-7",IF($K555&lt;=30,"8-30",IF($K555&lt;=60,"31-60","60+")))))</f>
        <v/>
      </c>
      <c r="M555" s="35">
        <f>IF($A555="","",IF($B555="","YETİM",IF(COUNTIF(tblKartlar[KartId],$B555)=0,"YETİM","")))</f>
        <v/>
      </c>
      <c r="N555" s="35">
        <f>IF(OR($A555="",$D555=""),"",IF(OR($D555&amp;"|"&amp;$E555="",COUNTIF(ListeIzinliGecis,$D555&amp;"|"&amp;$E555)&gt;0),"","GEÇERSİZ GEÇİŞ"))</f>
        <v/>
      </c>
      <c r="O555" s="35">
        <f>IF($A555="","",IF(OR($F555="",$G555=""),"",IF(ABS($G555-$F555)&gt;zincirTolerans,"ZİNCİR KIRIK","OK")))</f>
        <v/>
      </c>
      <c r="P555" s="35">
        <f>IF($A555="","",1)</f>
        <v/>
      </c>
    </row>
    <row r="556">
      <c r="A556" s="29" t="n"/>
      <c r="B556" s="29" t="n"/>
      <c r="C556" s="70" t="n"/>
      <c r="D556" s="29" t="n"/>
      <c r="E556" s="29" t="n"/>
      <c r="F556" s="30" t="n"/>
      <c r="G556" s="30" t="n"/>
      <c r="H556" s="31" t="n"/>
      <c r="I556" s="31" t="n"/>
      <c r="J556" s="29" t="n"/>
      <c r="K556" s="35">
        <f>IF($A556="","",IF($C556="","",raporTarihi-$C556))</f>
        <v/>
      </c>
      <c r="L556" s="35">
        <f>IF($A556="","",IF($K556="","",IF($K556&lt;=7,"0-7",IF($K556&lt;=30,"8-30",IF($K556&lt;=60,"31-60","60+")))))</f>
        <v/>
      </c>
      <c r="M556" s="35">
        <f>IF($A556="","",IF($B556="","YETİM",IF(COUNTIF(tblKartlar[KartId],$B556)=0,"YETİM","")))</f>
        <v/>
      </c>
      <c r="N556" s="35">
        <f>IF(OR($A556="",$D556=""),"",IF(OR($D556&amp;"|"&amp;$E556="",COUNTIF(ListeIzinliGecis,$D556&amp;"|"&amp;$E556)&gt;0),"","GEÇERSİZ GEÇİŞ"))</f>
        <v/>
      </c>
      <c r="O556" s="35">
        <f>IF($A556="","",IF(OR($F556="",$G556=""),"",IF(ABS($G556-$F556)&gt;zincirTolerans,"ZİNCİR KIRIK","OK")))</f>
        <v/>
      </c>
      <c r="P556" s="35">
        <f>IF($A556="","",1)</f>
        <v/>
      </c>
    </row>
    <row r="557">
      <c r="A557" s="29" t="n"/>
      <c r="B557" s="29" t="n"/>
      <c r="C557" s="70" t="n"/>
      <c r="D557" s="29" t="n"/>
      <c r="E557" s="29" t="n"/>
      <c r="F557" s="30" t="n"/>
      <c r="G557" s="30" t="n"/>
      <c r="H557" s="31" t="n"/>
      <c r="I557" s="31" t="n"/>
      <c r="J557" s="29" t="n"/>
      <c r="K557" s="35">
        <f>IF($A557="","",IF($C557="","",raporTarihi-$C557))</f>
        <v/>
      </c>
      <c r="L557" s="35">
        <f>IF($A557="","",IF($K557="","",IF($K557&lt;=7,"0-7",IF($K557&lt;=30,"8-30",IF($K557&lt;=60,"31-60","60+")))))</f>
        <v/>
      </c>
      <c r="M557" s="35">
        <f>IF($A557="","",IF($B557="","YETİM",IF(COUNTIF(tblKartlar[KartId],$B557)=0,"YETİM","")))</f>
        <v/>
      </c>
      <c r="N557" s="35">
        <f>IF(OR($A557="",$D557=""),"",IF(OR($D557&amp;"|"&amp;$E557="",COUNTIF(ListeIzinliGecis,$D557&amp;"|"&amp;$E557)&gt;0),"","GEÇERSİZ GEÇİŞ"))</f>
        <v/>
      </c>
      <c r="O557" s="35">
        <f>IF($A557="","",IF(OR($F557="",$G557=""),"",IF(ABS($G557-$F557)&gt;zincirTolerans,"ZİNCİR KIRIK","OK")))</f>
        <v/>
      </c>
      <c r="P557" s="35">
        <f>IF($A557="","",1)</f>
        <v/>
      </c>
    </row>
    <row r="558">
      <c r="A558" s="29" t="n"/>
      <c r="B558" s="29" t="n"/>
      <c r="C558" s="70" t="n"/>
      <c r="D558" s="29" t="n"/>
      <c r="E558" s="29" t="n"/>
      <c r="F558" s="30" t="n"/>
      <c r="G558" s="30" t="n"/>
      <c r="H558" s="31" t="n"/>
      <c r="I558" s="31" t="n"/>
      <c r="J558" s="29" t="n"/>
      <c r="K558" s="35">
        <f>IF($A558="","",IF($C558="","",raporTarihi-$C558))</f>
        <v/>
      </c>
      <c r="L558" s="35">
        <f>IF($A558="","",IF($K558="","",IF($K558&lt;=7,"0-7",IF($K558&lt;=30,"8-30",IF($K558&lt;=60,"31-60","60+")))))</f>
        <v/>
      </c>
      <c r="M558" s="35">
        <f>IF($A558="","",IF($B558="","YETİM",IF(COUNTIF(tblKartlar[KartId],$B558)=0,"YETİM","")))</f>
        <v/>
      </c>
      <c r="N558" s="35">
        <f>IF(OR($A558="",$D558=""),"",IF(OR($D558&amp;"|"&amp;$E558="",COUNTIF(ListeIzinliGecis,$D558&amp;"|"&amp;$E558)&gt;0),"","GEÇERSİZ GEÇİŞ"))</f>
        <v/>
      </c>
      <c r="O558" s="35">
        <f>IF($A558="","",IF(OR($F558="",$G558=""),"",IF(ABS($G558-$F558)&gt;zincirTolerans,"ZİNCİR KIRIK","OK")))</f>
        <v/>
      </c>
      <c r="P558" s="35">
        <f>IF($A558="","",1)</f>
        <v/>
      </c>
    </row>
    <row r="559">
      <c r="A559" s="29" t="n"/>
      <c r="B559" s="29" t="n"/>
      <c r="C559" s="70" t="n"/>
      <c r="D559" s="29" t="n"/>
      <c r="E559" s="29" t="n"/>
      <c r="F559" s="30" t="n"/>
      <c r="G559" s="30" t="n"/>
      <c r="H559" s="31" t="n"/>
      <c r="I559" s="31" t="n"/>
      <c r="J559" s="29" t="n"/>
      <c r="K559" s="35">
        <f>IF($A559="","",IF($C559="","",raporTarihi-$C559))</f>
        <v/>
      </c>
      <c r="L559" s="35">
        <f>IF($A559="","",IF($K559="","",IF($K559&lt;=7,"0-7",IF($K559&lt;=30,"8-30",IF($K559&lt;=60,"31-60","60+")))))</f>
        <v/>
      </c>
      <c r="M559" s="35">
        <f>IF($A559="","",IF($B559="","YETİM",IF(COUNTIF(tblKartlar[KartId],$B559)=0,"YETİM","")))</f>
        <v/>
      </c>
      <c r="N559" s="35">
        <f>IF(OR($A559="",$D559=""),"",IF(OR($D559&amp;"|"&amp;$E559="",COUNTIF(ListeIzinliGecis,$D559&amp;"|"&amp;$E559)&gt;0),"","GEÇERSİZ GEÇİŞ"))</f>
        <v/>
      </c>
      <c r="O559" s="35">
        <f>IF($A559="","",IF(OR($F559="",$G559=""),"",IF(ABS($G559-$F559)&gt;zincirTolerans,"ZİNCİR KIRIK","OK")))</f>
        <v/>
      </c>
      <c r="P559" s="35">
        <f>IF($A559="","",1)</f>
        <v/>
      </c>
    </row>
    <row r="560">
      <c r="A560" s="29" t="n"/>
      <c r="B560" s="29" t="n"/>
      <c r="C560" s="70" t="n"/>
      <c r="D560" s="29" t="n"/>
      <c r="E560" s="29" t="n"/>
      <c r="F560" s="30" t="n"/>
      <c r="G560" s="30" t="n"/>
      <c r="H560" s="31" t="n"/>
      <c r="I560" s="31" t="n"/>
      <c r="J560" s="29" t="n"/>
      <c r="K560" s="35">
        <f>IF($A560="","",IF($C560="","",raporTarihi-$C560))</f>
        <v/>
      </c>
      <c r="L560" s="35">
        <f>IF($A560="","",IF($K560="","",IF($K560&lt;=7,"0-7",IF($K560&lt;=30,"8-30",IF($K560&lt;=60,"31-60","60+")))))</f>
        <v/>
      </c>
      <c r="M560" s="35">
        <f>IF($A560="","",IF($B560="","YETİM",IF(COUNTIF(tblKartlar[KartId],$B560)=0,"YETİM","")))</f>
        <v/>
      </c>
      <c r="N560" s="35">
        <f>IF(OR($A560="",$D560=""),"",IF(OR($D560&amp;"|"&amp;$E560="",COUNTIF(ListeIzinliGecis,$D560&amp;"|"&amp;$E560)&gt;0),"","GEÇERSİZ GEÇİŞ"))</f>
        <v/>
      </c>
      <c r="O560" s="35">
        <f>IF($A560="","",IF(OR($F560="",$G560=""),"",IF(ABS($G560-$F560)&gt;zincirTolerans,"ZİNCİR KIRIK","OK")))</f>
        <v/>
      </c>
      <c r="P560" s="35">
        <f>IF($A560="","",1)</f>
        <v/>
      </c>
    </row>
    <row r="561">
      <c r="A561" s="29" t="n"/>
      <c r="B561" s="29" t="n"/>
      <c r="C561" s="70" t="n"/>
      <c r="D561" s="29" t="n"/>
      <c r="E561" s="29" t="n"/>
      <c r="F561" s="30" t="n"/>
      <c r="G561" s="30" t="n"/>
      <c r="H561" s="31" t="n"/>
      <c r="I561" s="31" t="n"/>
      <c r="J561" s="29" t="n"/>
      <c r="K561" s="35">
        <f>IF($A561="","",IF($C561="","",raporTarihi-$C561))</f>
        <v/>
      </c>
      <c r="L561" s="35">
        <f>IF($A561="","",IF($K561="","",IF($K561&lt;=7,"0-7",IF($K561&lt;=30,"8-30",IF($K561&lt;=60,"31-60","60+")))))</f>
        <v/>
      </c>
      <c r="M561" s="35">
        <f>IF($A561="","",IF($B561="","YETİM",IF(COUNTIF(tblKartlar[KartId],$B561)=0,"YETİM","")))</f>
        <v/>
      </c>
      <c r="N561" s="35">
        <f>IF(OR($A561="",$D561=""),"",IF(OR($D561&amp;"|"&amp;$E561="",COUNTIF(ListeIzinliGecis,$D561&amp;"|"&amp;$E561)&gt;0),"","GEÇERSİZ GEÇİŞ"))</f>
        <v/>
      </c>
      <c r="O561" s="35">
        <f>IF($A561="","",IF(OR($F561="",$G561=""),"",IF(ABS($G561-$F561)&gt;zincirTolerans,"ZİNCİR KIRIK","OK")))</f>
        <v/>
      </c>
      <c r="P561" s="35">
        <f>IF($A561="","",1)</f>
        <v/>
      </c>
    </row>
    <row r="562">
      <c r="A562" s="29" t="n"/>
      <c r="B562" s="29" t="n"/>
      <c r="C562" s="70" t="n"/>
      <c r="D562" s="29" t="n"/>
      <c r="E562" s="29" t="n"/>
      <c r="F562" s="30" t="n"/>
      <c r="G562" s="30" t="n"/>
      <c r="H562" s="31" t="n"/>
      <c r="I562" s="31" t="n"/>
      <c r="J562" s="29" t="n"/>
      <c r="K562" s="35">
        <f>IF($A562="","",IF($C562="","",raporTarihi-$C562))</f>
        <v/>
      </c>
      <c r="L562" s="35">
        <f>IF($A562="","",IF($K562="","",IF($K562&lt;=7,"0-7",IF($K562&lt;=30,"8-30",IF($K562&lt;=60,"31-60","60+")))))</f>
        <v/>
      </c>
      <c r="M562" s="35">
        <f>IF($A562="","",IF($B562="","YETİM",IF(COUNTIF(tblKartlar[KartId],$B562)=0,"YETİM","")))</f>
        <v/>
      </c>
      <c r="N562" s="35">
        <f>IF(OR($A562="",$D562=""),"",IF(OR($D562&amp;"|"&amp;$E562="",COUNTIF(ListeIzinliGecis,$D562&amp;"|"&amp;$E562)&gt;0),"","GEÇERSİZ GEÇİŞ"))</f>
        <v/>
      </c>
      <c r="O562" s="35">
        <f>IF($A562="","",IF(OR($F562="",$G562=""),"",IF(ABS($G562-$F562)&gt;zincirTolerans,"ZİNCİR KIRIK","OK")))</f>
        <v/>
      </c>
      <c r="P562" s="35">
        <f>IF($A562="","",1)</f>
        <v/>
      </c>
    </row>
    <row r="563">
      <c r="A563" s="29" t="n"/>
      <c r="B563" s="29" t="n"/>
      <c r="C563" s="70" t="n"/>
      <c r="D563" s="29" t="n"/>
      <c r="E563" s="29" t="n"/>
      <c r="F563" s="30" t="n"/>
      <c r="G563" s="30" t="n"/>
      <c r="H563" s="31" t="n"/>
      <c r="I563" s="31" t="n"/>
      <c r="J563" s="29" t="n"/>
      <c r="K563" s="35">
        <f>IF($A563="","",IF($C563="","",raporTarihi-$C563))</f>
        <v/>
      </c>
      <c r="L563" s="35">
        <f>IF($A563="","",IF($K563="","",IF($K563&lt;=7,"0-7",IF($K563&lt;=30,"8-30",IF($K563&lt;=60,"31-60","60+")))))</f>
        <v/>
      </c>
      <c r="M563" s="35">
        <f>IF($A563="","",IF($B563="","YETİM",IF(COUNTIF(tblKartlar[KartId],$B563)=0,"YETİM","")))</f>
        <v/>
      </c>
      <c r="N563" s="35">
        <f>IF(OR($A563="",$D563=""),"",IF(OR($D563&amp;"|"&amp;$E563="",COUNTIF(ListeIzinliGecis,$D563&amp;"|"&amp;$E563)&gt;0),"","GEÇERSİZ GEÇİŞ"))</f>
        <v/>
      </c>
      <c r="O563" s="35">
        <f>IF($A563="","",IF(OR($F563="",$G563=""),"",IF(ABS($G563-$F563)&gt;zincirTolerans,"ZİNCİR KIRIK","OK")))</f>
        <v/>
      </c>
      <c r="P563" s="35">
        <f>IF($A563="","",1)</f>
        <v/>
      </c>
    </row>
    <row r="564">
      <c r="A564" s="29" t="n"/>
      <c r="B564" s="29" t="n"/>
      <c r="C564" s="70" t="n"/>
      <c r="D564" s="29" t="n"/>
      <c r="E564" s="29" t="n"/>
      <c r="F564" s="30" t="n"/>
      <c r="G564" s="30" t="n"/>
      <c r="H564" s="31" t="n"/>
      <c r="I564" s="31" t="n"/>
      <c r="J564" s="29" t="n"/>
      <c r="K564" s="35">
        <f>IF($A564="","",IF($C564="","",raporTarihi-$C564))</f>
        <v/>
      </c>
      <c r="L564" s="35">
        <f>IF($A564="","",IF($K564="","",IF($K564&lt;=7,"0-7",IF($K564&lt;=30,"8-30",IF($K564&lt;=60,"31-60","60+")))))</f>
        <v/>
      </c>
      <c r="M564" s="35">
        <f>IF($A564="","",IF($B564="","YETİM",IF(COUNTIF(tblKartlar[KartId],$B564)=0,"YETİM","")))</f>
        <v/>
      </c>
      <c r="N564" s="35">
        <f>IF(OR($A564="",$D564=""),"",IF(OR($D564&amp;"|"&amp;$E564="",COUNTIF(ListeIzinliGecis,$D564&amp;"|"&amp;$E564)&gt;0),"","GEÇERSİZ GEÇİŞ"))</f>
        <v/>
      </c>
      <c r="O564" s="35">
        <f>IF($A564="","",IF(OR($F564="",$G564=""),"",IF(ABS($G564-$F564)&gt;zincirTolerans,"ZİNCİR KIRIK","OK")))</f>
        <v/>
      </c>
      <c r="P564" s="35">
        <f>IF($A564="","",1)</f>
        <v/>
      </c>
    </row>
    <row r="565">
      <c r="A565" s="29" t="n"/>
      <c r="B565" s="29" t="n"/>
      <c r="C565" s="70" t="n"/>
      <c r="D565" s="29" t="n"/>
      <c r="E565" s="29" t="n"/>
      <c r="F565" s="30" t="n"/>
      <c r="G565" s="30" t="n"/>
      <c r="H565" s="31" t="n"/>
      <c r="I565" s="31" t="n"/>
      <c r="J565" s="29" t="n"/>
      <c r="K565" s="35">
        <f>IF($A565="","",IF($C565="","",raporTarihi-$C565))</f>
        <v/>
      </c>
      <c r="L565" s="35">
        <f>IF($A565="","",IF($K565="","",IF($K565&lt;=7,"0-7",IF($K565&lt;=30,"8-30",IF($K565&lt;=60,"31-60","60+")))))</f>
        <v/>
      </c>
      <c r="M565" s="35">
        <f>IF($A565="","",IF($B565="","YETİM",IF(COUNTIF(tblKartlar[KartId],$B565)=0,"YETİM","")))</f>
        <v/>
      </c>
      <c r="N565" s="35">
        <f>IF(OR($A565="",$D565=""),"",IF(OR($D565&amp;"|"&amp;$E565="",COUNTIF(ListeIzinliGecis,$D565&amp;"|"&amp;$E565)&gt;0),"","GEÇERSİZ GEÇİŞ"))</f>
        <v/>
      </c>
      <c r="O565" s="35">
        <f>IF($A565="","",IF(OR($F565="",$G565=""),"",IF(ABS($G565-$F565)&gt;zincirTolerans,"ZİNCİR KIRIK","OK")))</f>
        <v/>
      </c>
      <c r="P565" s="35">
        <f>IF($A565="","",1)</f>
        <v/>
      </c>
    </row>
    <row r="566">
      <c r="A566" s="29" t="n"/>
      <c r="B566" s="29" t="n"/>
      <c r="C566" s="70" t="n"/>
      <c r="D566" s="29" t="n"/>
      <c r="E566" s="29" t="n"/>
      <c r="F566" s="30" t="n"/>
      <c r="G566" s="30" t="n"/>
      <c r="H566" s="31" t="n"/>
      <c r="I566" s="31" t="n"/>
      <c r="J566" s="29" t="n"/>
      <c r="K566" s="35">
        <f>IF($A566="","",IF($C566="","",raporTarihi-$C566))</f>
        <v/>
      </c>
      <c r="L566" s="35">
        <f>IF($A566="","",IF($K566="","",IF($K566&lt;=7,"0-7",IF($K566&lt;=30,"8-30",IF($K566&lt;=60,"31-60","60+")))))</f>
        <v/>
      </c>
      <c r="M566" s="35">
        <f>IF($A566="","",IF($B566="","YETİM",IF(COUNTIF(tblKartlar[KartId],$B566)=0,"YETİM","")))</f>
        <v/>
      </c>
      <c r="N566" s="35">
        <f>IF(OR($A566="",$D566=""),"",IF(OR($D566&amp;"|"&amp;$E566="",COUNTIF(ListeIzinliGecis,$D566&amp;"|"&amp;$E566)&gt;0),"","GEÇERSİZ GEÇİŞ"))</f>
        <v/>
      </c>
      <c r="O566" s="35">
        <f>IF($A566="","",IF(OR($F566="",$G566=""),"",IF(ABS($G566-$F566)&gt;zincirTolerans,"ZİNCİR KIRIK","OK")))</f>
        <v/>
      </c>
      <c r="P566" s="35">
        <f>IF($A566="","",1)</f>
        <v/>
      </c>
    </row>
    <row r="567">
      <c r="A567" s="29" t="n"/>
      <c r="B567" s="29" t="n"/>
      <c r="C567" s="70" t="n"/>
      <c r="D567" s="29" t="n"/>
      <c r="E567" s="29" t="n"/>
      <c r="F567" s="30" t="n"/>
      <c r="G567" s="30" t="n"/>
      <c r="H567" s="31" t="n"/>
      <c r="I567" s="31" t="n"/>
      <c r="J567" s="29" t="n"/>
      <c r="K567" s="35">
        <f>IF($A567="","",IF($C567="","",raporTarihi-$C567))</f>
        <v/>
      </c>
      <c r="L567" s="35">
        <f>IF($A567="","",IF($K567="","",IF($K567&lt;=7,"0-7",IF($K567&lt;=30,"8-30",IF($K567&lt;=60,"31-60","60+")))))</f>
        <v/>
      </c>
      <c r="M567" s="35">
        <f>IF($A567="","",IF($B567="","YETİM",IF(COUNTIF(tblKartlar[KartId],$B567)=0,"YETİM","")))</f>
        <v/>
      </c>
      <c r="N567" s="35">
        <f>IF(OR($A567="",$D567=""),"",IF(OR($D567&amp;"|"&amp;$E567="",COUNTIF(ListeIzinliGecis,$D567&amp;"|"&amp;$E567)&gt;0),"","GEÇERSİZ GEÇİŞ"))</f>
        <v/>
      </c>
      <c r="O567" s="35">
        <f>IF($A567="","",IF(OR($F567="",$G567=""),"",IF(ABS($G567-$F567)&gt;zincirTolerans,"ZİNCİR KIRIK","OK")))</f>
        <v/>
      </c>
      <c r="P567" s="35">
        <f>IF($A567="","",1)</f>
        <v/>
      </c>
    </row>
    <row r="568">
      <c r="A568" s="29" t="n"/>
      <c r="B568" s="29" t="n"/>
      <c r="C568" s="70" t="n"/>
      <c r="D568" s="29" t="n"/>
      <c r="E568" s="29" t="n"/>
      <c r="F568" s="30" t="n"/>
      <c r="G568" s="30" t="n"/>
      <c r="H568" s="31" t="n"/>
      <c r="I568" s="31" t="n"/>
      <c r="J568" s="29" t="n"/>
      <c r="K568" s="35">
        <f>IF($A568="","",IF($C568="","",raporTarihi-$C568))</f>
        <v/>
      </c>
      <c r="L568" s="35">
        <f>IF($A568="","",IF($K568="","",IF($K568&lt;=7,"0-7",IF($K568&lt;=30,"8-30",IF($K568&lt;=60,"31-60","60+")))))</f>
        <v/>
      </c>
      <c r="M568" s="35">
        <f>IF($A568="","",IF($B568="","YETİM",IF(COUNTIF(tblKartlar[KartId],$B568)=0,"YETİM","")))</f>
        <v/>
      </c>
      <c r="N568" s="35">
        <f>IF(OR($A568="",$D568=""),"",IF(OR($D568&amp;"|"&amp;$E568="",COUNTIF(ListeIzinliGecis,$D568&amp;"|"&amp;$E568)&gt;0),"","GEÇERSİZ GEÇİŞ"))</f>
        <v/>
      </c>
      <c r="O568" s="35">
        <f>IF($A568="","",IF(OR($F568="",$G568=""),"",IF(ABS($G568-$F568)&gt;zincirTolerans,"ZİNCİR KIRIK","OK")))</f>
        <v/>
      </c>
      <c r="P568" s="35">
        <f>IF($A568="","",1)</f>
        <v/>
      </c>
    </row>
    <row r="569">
      <c r="A569" s="29" t="n"/>
      <c r="B569" s="29" t="n"/>
      <c r="C569" s="70" t="n"/>
      <c r="D569" s="29" t="n"/>
      <c r="E569" s="29" t="n"/>
      <c r="F569" s="30" t="n"/>
      <c r="G569" s="30" t="n"/>
      <c r="H569" s="31" t="n"/>
      <c r="I569" s="31" t="n"/>
      <c r="J569" s="29" t="n"/>
      <c r="K569" s="35">
        <f>IF($A569="","",IF($C569="","",raporTarihi-$C569))</f>
        <v/>
      </c>
      <c r="L569" s="35">
        <f>IF($A569="","",IF($K569="","",IF($K569&lt;=7,"0-7",IF($K569&lt;=30,"8-30",IF($K569&lt;=60,"31-60","60+")))))</f>
        <v/>
      </c>
      <c r="M569" s="35">
        <f>IF($A569="","",IF($B569="","YETİM",IF(COUNTIF(tblKartlar[KartId],$B569)=0,"YETİM","")))</f>
        <v/>
      </c>
      <c r="N569" s="35">
        <f>IF(OR($A569="",$D569=""),"",IF(OR($D569&amp;"|"&amp;$E569="",COUNTIF(ListeIzinliGecis,$D569&amp;"|"&amp;$E569)&gt;0),"","GEÇERSİZ GEÇİŞ"))</f>
        <v/>
      </c>
      <c r="O569" s="35">
        <f>IF($A569="","",IF(OR($F569="",$G569=""),"",IF(ABS($G569-$F569)&gt;zincirTolerans,"ZİNCİR KIRIK","OK")))</f>
        <v/>
      </c>
      <c r="P569" s="35">
        <f>IF($A569="","",1)</f>
        <v/>
      </c>
    </row>
    <row r="570">
      <c r="A570" s="29" t="n"/>
      <c r="B570" s="29" t="n"/>
      <c r="C570" s="70" t="n"/>
      <c r="D570" s="29" t="n"/>
      <c r="E570" s="29" t="n"/>
      <c r="F570" s="30" t="n"/>
      <c r="G570" s="30" t="n"/>
      <c r="H570" s="31" t="n"/>
      <c r="I570" s="31" t="n"/>
      <c r="J570" s="29" t="n"/>
      <c r="K570" s="35">
        <f>IF($A570="","",IF($C570="","",raporTarihi-$C570))</f>
        <v/>
      </c>
      <c r="L570" s="35">
        <f>IF($A570="","",IF($K570="","",IF($K570&lt;=7,"0-7",IF($K570&lt;=30,"8-30",IF($K570&lt;=60,"31-60","60+")))))</f>
        <v/>
      </c>
      <c r="M570" s="35">
        <f>IF($A570="","",IF($B570="","YETİM",IF(COUNTIF(tblKartlar[KartId],$B570)=0,"YETİM","")))</f>
        <v/>
      </c>
      <c r="N570" s="35">
        <f>IF(OR($A570="",$D570=""),"",IF(OR($D570&amp;"|"&amp;$E570="",COUNTIF(ListeIzinliGecis,$D570&amp;"|"&amp;$E570)&gt;0),"","GEÇERSİZ GEÇİŞ"))</f>
        <v/>
      </c>
      <c r="O570" s="35">
        <f>IF($A570="","",IF(OR($F570="",$G570=""),"",IF(ABS($G570-$F570)&gt;zincirTolerans,"ZİNCİR KIRIK","OK")))</f>
        <v/>
      </c>
      <c r="P570" s="35">
        <f>IF($A570="","",1)</f>
        <v/>
      </c>
    </row>
    <row r="571">
      <c r="A571" s="29" t="n"/>
      <c r="B571" s="29" t="n"/>
      <c r="C571" s="70" t="n"/>
      <c r="D571" s="29" t="n"/>
      <c r="E571" s="29" t="n"/>
      <c r="F571" s="30" t="n"/>
      <c r="G571" s="30" t="n"/>
      <c r="H571" s="31" t="n"/>
      <c r="I571" s="31" t="n"/>
      <c r="J571" s="29" t="n"/>
      <c r="K571" s="35">
        <f>IF($A571="","",IF($C571="","",raporTarihi-$C571))</f>
        <v/>
      </c>
      <c r="L571" s="35">
        <f>IF($A571="","",IF($K571="","",IF($K571&lt;=7,"0-7",IF($K571&lt;=30,"8-30",IF($K571&lt;=60,"31-60","60+")))))</f>
        <v/>
      </c>
      <c r="M571" s="35">
        <f>IF($A571="","",IF($B571="","YETİM",IF(COUNTIF(tblKartlar[KartId],$B571)=0,"YETİM","")))</f>
        <v/>
      </c>
      <c r="N571" s="35">
        <f>IF(OR($A571="",$D571=""),"",IF(OR($D571&amp;"|"&amp;$E571="",COUNTIF(ListeIzinliGecis,$D571&amp;"|"&amp;$E571)&gt;0),"","GEÇERSİZ GEÇİŞ"))</f>
        <v/>
      </c>
      <c r="O571" s="35">
        <f>IF($A571="","",IF(OR($F571="",$G571=""),"",IF(ABS($G571-$F571)&gt;zincirTolerans,"ZİNCİR KIRIK","OK")))</f>
        <v/>
      </c>
      <c r="P571" s="35">
        <f>IF($A571="","",1)</f>
        <v/>
      </c>
    </row>
    <row r="572">
      <c r="A572" s="29" t="n"/>
      <c r="B572" s="29" t="n"/>
      <c r="C572" s="70" t="n"/>
      <c r="D572" s="29" t="n"/>
      <c r="E572" s="29" t="n"/>
      <c r="F572" s="30" t="n"/>
      <c r="G572" s="30" t="n"/>
      <c r="H572" s="31" t="n"/>
      <c r="I572" s="31" t="n"/>
      <c r="J572" s="29" t="n"/>
      <c r="K572" s="35">
        <f>IF($A572="","",IF($C572="","",raporTarihi-$C572))</f>
        <v/>
      </c>
      <c r="L572" s="35">
        <f>IF($A572="","",IF($K572="","",IF($K572&lt;=7,"0-7",IF($K572&lt;=30,"8-30",IF($K572&lt;=60,"31-60","60+")))))</f>
        <v/>
      </c>
      <c r="M572" s="35">
        <f>IF($A572="","",IF($B572="","YETİM",IF(COUNTIF(tblKartlar[KartId],$B572)=0,"YETİM","")))</f>
        <v/>
      </c>
      <c r="N572" s="35">
        <f>IF(OR($A572="",$D572=""),"",IF(OR($D572&amp;"|"&amp;$E572="",COUNTIF(ListeIzinliGecis,$D572&amp;"|"&amp;$E572)&gt;0),"","GEÇERSİZ GEÇİŞ"))</f>
        <v/>
      </c>
      <c r="O572" s="35">
        <f>IF($A572="","",IF(OR($F572="",$G572=""),"",IF(ABS($G572-$F572)&gt;zincirTolerans,"ZİNCİR KIRIK","OK")))</f>
        <v/>
      </c>
      <c r="P572" s="35">
        <f>IF($A572="","",1)</f>
        <v/>
      </c>
    </row>
    <row r="573">
      <c r="A573" s="29" t="n"/>
      <c r="B573" s="29" t="n"/>
      <c r="C573" s="70" t="n"/>
      <c r="D573" s="29" t="n"/>
      <c r="E573" s="29" t="n"/>
      <c r="F573" s="30" t="n"/>
      <c r="G573" s="30" t="n"/>
      <c r="H573" s="31" t="n"/>
      <c r="I573" s="31" t="n"/>
      <c r="J573" s="29" t="n"/>
      <c r="K573" s="35">
        <f>IF($A573="","",IF($C573="","",raporTarihi-$C573))</f>
        <v/>
      </c>
      <c r="L573" s="35">
        <f>IF($A573="","",IF($K573="","",IF($K573&lt;=7,"0-7",IF($K573&lt;=30,"8-30",IF($K573&lt;=60,"31-60","60+")))))</f>
        <v/>
      </c>
      <c r="M573" s="35">
        <f>IF($A573="","",IF($B573="","YETİM",IF(COUNTIF(tblKartlar[KartId],$B573)=0,"YETİM","")))</f>
        <v/>
      </c>
      <c r="N573" s="35">
        <f>IF(OR($A573="",$D573=""),"",IF(OR($D573&amp;"|"&amp;$E573="",COUNTIF(ListeIzinliGecis,$D573&amp;"|"&amp;$E573)&gt;0),"","GEÇERSİZ GEÇİŞ"))</f>
        <v/>
      </c>
      <c r="O573" s="35">
        <f>IF($A573="","",IF(OR($F573="",$G573=""),"",IF(ABS($G573-$F573)&gt;zincirTolerans,"ZİNCİR KIRIK","OK")))</f>
        <v/>
      </c>
      <c r="P573" s="35">
        <f>IF($A573="","",1)</f>
        <v/>
      </c>
    </row>
    <row r="574">
      <c r="A574" s="29" t="n"/>
      <c r="B574" s="29" t="n"/>
      <c r="C574" s="70" t="n"/>
      <c r="D574" s="29" t="n"/>
      <c r="E574" s="29" t="n"/>
      <c r="F574" s="30" t="n"/>
      <c r="G574" s="30" t="n"/>
      <c r="H574" s="31" t="n"/>
      <c r="I574" s="31" t="n"/>
      <c r="J574" s="29" t="n"/>
      <c r="K574" s="35">
        <f>IF($A574="","",IF($C574="","",raporTarihi-$C574))</f>
        <v/>
      </c>
      <c r="L574" s="35">
        <f>IF($A574="","",IF($K574="","",IF($K574&lt;=7,"0-7",IF($K574&lt;=30,"8-30",IF($K574&lt;=60,"31-60","60+")))))</f>
        <v/>
      </c>
      <c r="M574" s="35">
        <f>IF($A574="","",IF($B574="","YETİM",IF(COUNTIF(tblKartlar[KartId],$B574)=0,"YETİM","")))</f>
        <v/>
      </c>
      <c r="N574" s="35">
        <f>IF(OR($A574="",$D574=""),"",IF(OR($D574&amp;"|"&amp;$E574="",COUNTIF(ListeIzinliGecis,$D574&amp;"|"&amp;$E574)&gt;0),"","GEÇERSİZ GEÇİŞ"))</f>
        <v/>
      </c>
      <c r="O574" s="35">
        <f>IF($A574="","",IF(OR($F574="",$G574=""),"",IF(ABS($G574-$F574)&gt;zincirTolerans,"ZİNCİR KIRIK","OK")))</f>
        <v/>
      </c>
      <c r="P574" s="35">
        <f>IF($A574="","",1)</f>
        <v/>
      </c>
    </row>
    <row r="575">
      <c r="A575" s="29" t="n"/>
      <c r="B575" s="29" t="n"/>
      <c r="C575" s="70" t="n"/>
      <c r="D575" s="29" t="n"/>
      <c r="E575" s="29" t="n"/>
      <c r="F575" s="30" t="n"/>
      <c r="G575" s="30" t="n"/>
      <c r="H575" s="31" t="n"/>
      <c r="I575" s="31" t="n"/>
      <c r="J575" s="29" t="n"/>
      <c r="K575" s="35">
        <f>IF($A575="","",IF($C575="","",raporTarihi-$C575))</f>
        <v/>
      </c>
      <c r="L575" s="35">
        <f>IF($A575="","",IF($K575="","",IF($K575&lt;=7,"0-7",IF($K575&lt;=30,"8-30",IF($K575&lt;=60,"31-60","60+")))))</f>
        <v/>
      </c>
      <c r="M575" s="35">
        <f>IF($A575="","",IF($B575="","YETİM",IF(COUNTIF(tblKartlar[KartId],$B575)=0,"YETİM","")))</f>
        <v/>
      </c>
      <c r="N575" s="35">
        <f>IF(OR($A575="",$D575=""),"",IF(OR($D575&amp;"|"&amp;$E575="",COUNTIF(ListeIzinliGecis,$D575&amp;"|"&amp;$E575)&gt;0),"","GEÇERSİZ GEÇİŞ"))</f>
        <v/>
      </c>
      <c r="O575" s="35">
        <f>IF($A575="","",IF(OR($F575="",$G575=""),"",IF(ABS($G575-$F575)&gt;zincirTolerans,"ZİNCİR KIRIK","OK")))</f>
        <v/>
      </c>
      <c r="P575" s="35">
        <f>IF($A575="","",1)</f>
        <v/>
      </c>
    </row>
    <row r="576">
      <c r="A576" s="29" t="n"/>
      <c r="B576" s="29" t="n"/>
      <c r="C576" s="70" t="n"/>
      <c r="D576" s="29" t="n"/>
      <c r="E576" s="29" t="n"/>
      <c r="F576" s="30" t="n"/>
      <c r="G576" s="30" t="n"/>
      <c r="H576" s="31" t="n"/>
      <c r="I576" s="31" t="n"/>
      <c r="J576" s="29" t="n"/>
      <c r="K576" s="35">
        <f>IF($A576="","",IF($C576="","",raporTarihi-$C576))</f>
        <v/>
      </c>
      <c r="L576" s="35">
        <f>IF($A576="","",IF($K576="","",IF($K576&lt;=7,"0-7",IF($K576&lt;=30,"8-30",IF($K576&lt;=60,"31-60","60+")))))</f>
        <v/>
      </c>
      <c r="M576" s="35">
        <f>IF($A576="","",IF($B576="","YETİM",IF(COUNTIF(tblKartlar[KartId],$B576)=0,"YETİM","")))</f>
        <v/>
      </c>
      <c r="N576" s="35">
        <f>IF(OR($A576="",$D576=""),"",IF(OR($D576&amp;"|"&amp;$E576="",COUNTIF(ListeIzinliGecis,$D576&amp;"|"&amp;$E576)&gt;0),"","GEÇERSİZ GEÇİŞ"))</f>
        <v/>
      </c>
      <c r="O576" s="35">
        <f>IF($A576="","",IF(OR($F576="",$G576=""),"",IF(ABS($G576-$F576)&gt;zincirTolerans,"ZİNCİR KIRIK","OK")))</f>
        <v/>
      </c>
      <c r="P576" s="35">
        <f>IF($A576="","",1)</f>
        <v/>
      </c>
    </row>
    <row r="577">
      <c r="A577" s="29" t="n"/>
      <c r="B577" s="29" t="n"/>
      <c r="C577" s="70" t="n"/>
      <c r="D577" s="29" t="n"/>
      <c r="E577" s="29" t="n"/>
      <c r="F577" s="30" t="n"/>
      <c r="G577" s="30" t="n"/>
      <c r="H577" s="31" t="n"/>
      <c r="I577" s="31" t="n"/>
      <c r="J577" s="29" t="n"/>
      <c r="K577" s="35">
        <f>IF($A577="","",IF($C577="","",raporTarihi-$C577))</f>
        <v/>
      </c>
      <c r="L577" s="35">
        <f>IF($A577="","",IF($K577="","",IF($K577&lt;=7,"0-7",IF($K577&lt;=30,"8-30",IF($K577&lt;=60,"31-60","60+")))))</f>
        <v/>
      </c>
      <c r="M577" s="35">
        <f>IF($A577="","",IF($B577="","YETİM",IF(COUNTIF(tblKartlar[KartId],$B577)=0,"YETİM","")))</f>
        <v/>
      </c>
      <c r="N577" s="35">
        <f>IF(OR($A577="",$D577=""),"",IF(OR($D577&amp;"|"&amp;$E577="",COUNTIF(ListeIzinliGecis,$D577&amp;"|"&amp;$E577)&gt;0),"","GEÇERSİZ GEÇİŞ"))</f>
        <v/>
      </c>
      <c r="O577" s="35">
        <f>IF($A577="","",IF(OR($F577="",$G577=""),"",IF(ABS($G577-$F577)&gt;zincirTolerans,"ZİNCİR KIRIK","OK")))</f>
        <v/>
      </c>
      <c r="P577" s="35">
        <f>IF($A577="","",1)</f>
        <v/>
      </c>
    </row>
    <row r="578">
      <c r="A578" s="29" t="n"/>
      <c r="B578" s="29" t="n"/>
      <c r="C578" s="70" t="n"/>
      <c r="D578" s="29" t="n"/>
      <c r="E578" s="29" t="n"/>
      <c r="F578" s="30" t="n"/>
      <c r="G578" s="30" t="n"/>
      <c r="H578" s="31" t="n"/>
      <c r="I578" s="31" t="n"/>
      <c r="J578" s="29" t="n"/>
      <c r="K578" s="35">
        <f>IF($A578="","",IF($C578="","",raporTarihi-$C578))</f>
        <v/>
      </c>
      <c r="L578" s="35">
        <f>IF($A578="","",IF($K578="","",IF($K578&lt;=7,"0-7",IF($K578&lt;=30,"8-30",IF($K578&lt;=60,"31-60","60+")))))</f>
        <v/>
      </c>
      <c r="M578" s="35">
        <f>IF($A578="","",IF($B578="","YETİM",IF(COUNTIF(tblKartlar[KartId],$B578)=0,"YETİM","")))</f>
        <v/>
      </c>
      <c r="N578" s="35">
        <f>IF(OR($A578="",$D578=""),"",IF(OR($D578&amp;"|"&amp;$E578="",COUNTIF(ListeIzinliGecis,$D578&amp;"|"&amp;$E578)&gt;0),"","GEÇERSİZ GEÇİŞ"))</f>
        <v/>
      </c>
      <c r="O578" s="35">
        <f>IF($A578="","",IF(OR($F578="",$G578=""),"",IF(ABS($G578-$F578)&gt;zincirTolerans,"ZİNCİR KIRIK","OK")))</f>
        <v/>
      </c>
      <c r="P578" s="35">
        <f>IF($A578="","",1)</f>
        <v/>
      </c>
    </row>
    <row r="579">
      <c r="A579" s="29" t="n"/>
      <c r="B579" s="29" t="n"/>
      <c r="C579" s="70" t="n"/>
      <c r="D579" s="29" t="n"/>
      <c r="E579" s="29" t="n"/>
      <c r="F579" s="30" t="n"/>
      <c r="G579" s="30" t="n"/>
      <c r="H579" s="31" t="n"/>
      <c r="I579" s="31" t="n"/>
      <c r="J579" s="29" t="n"/>
      <c r="K579" s="35">
        <f>IF($A579="","",IF($C579="","",raporTarihi-$C579))</f>
        <v/>
      </c>
      <c r="L579" s="35">
        <f>IF($A579="","",IF($K579="","",IF($K579&lt;=7,"0-7",IF($K579&lt;=30,"8-30",IF($K579&lt;=60,"31-60","60+")))))</f>
        <v/>
      </c>
      <c r="M579" s="35">
        <f>IF($A579="","",IF($B579="","YETİM",IF(COUNTIF(tblKartlar[KartId],$B579)=0,"YETİM","")))</f>
        <v/>
      </c>
      <c r="N579" s="35">
        <f>IF(OR($A579="",$D579=""),"",IF(OR($D579&amp;"|"&amp;$E579="",COUNTIF(ListeIzinliGecis,$D579&amp;"|"&amp;$E579)&gt;0),"","GEÇERSİZ GEÇİŞ"))</f>
        <v/>
      </c>
      <c r="O579" s="35">
        <f>IF($A579="","",IF(OR($F579="",$G579=""),"",IF(ABS($G579-$F579)&gt;zincirTolerans,"ZİNCİR KIRIK","OK")))</f>
        <v/>
      </c>
      <c r="P579" s="35">
        <f>IF($A579="","",1)</f>
        <v/>
      </c>
    </row>
    <row r="580">
      <c r="A580" s="29" t="n"/>
      <c r="B580" s="29" t="n"/>
      <c r="C580" s="70" t="n"/>
      <c r="D580" s="29" t="n"/>
      <c r="E580" s="29" t="n"/>
      <c r="F580" s="30" t="n"/>
      <c r="G580" s="30" t="n"/>
      <c r="H580" s="31" t="n"/>
      <c r="I580" s="31" t="n"/>
      <c r="J580" s="29" t="n"/>
      <c r="K580" s="35">
        <f>IF($A580="","",IF($C580="","",raporTarihi-$C580))</f>
        <v/>
      </c>
      <c r="L580" s="35">
        <f>IF($A580="","",IF($K580="","",IF($K580&lt;=7,"0-7",IF($K580&lt;=30,"8-30",IF($K580&lt;=60,"31-60","60+")))))</f>
        <v/>
      </c>
      <c r="M580" s="35">
        <f>IF($A580="","",IF($B580="","YETİM",IF(COUNTIF(tblKartlar[KartId],$B580)=0,"YETİM","")))</f>
        <v/>
      </c>
      <c r="N580" s="35">
        <f>IF(OR($A580="",$D580=""),"",IF(OR($D580&amp;"|"&amp;$E580="",COUNTIF(ListeIzinliGecis,$D580&amp;"|"&amp;$E580)&gt;0),"","GEÇERSİZ GEÇİŞ"))</f>
        <v/>
      </c>
      <c r="O580" s="35">
        <f>IF($A580="","",IF(OR($F580="",$G580=""),"",IF(ABS($G580-$F580)&gt;zincirTolerans,"ZİNCİR KIRIK","OK")))</f>
        <v/>
      </c>
      <c r="P580" s="35">
        <f>IF($A580="","",1)</f>
        <v/>
      </c>
    </row>
    <row r="581">
      <c r="A581" s="29" t="n"/>
      <c r="B581" s="29" t="n"/>
      <c r="C581" s="70" t="n"/>
      <c r="D581" s="29" t="n"/>
      <c r="E581" s="29" t="n"/>
      <c r="F581" s="30" t="n"/>
      <c r="G581" s="30" t="n"/>
      <c r="H581" s="31" t="n"/>
      <c r="I581" s="31" t="n"/>
      <c r="J581" s="29" t="n"/>
      <c r="K581" s="35">
        <f>IF($A581="","",IF($C581="","",raporTarihi-$C581))</f>
        <v/>
      </c>
      <c r="L581" s="35">
        <f>IF($A581="","",IF($K581="","",IF($K581&lt;=7,"0-7",IF($K581&lt;=30,"8-30",IF($K581&lt;=60,"31-60","60+")))))</f>
        <v/>
      </c>
      <c r="M581" s="35">
        <f>IF($A581="","",IF($B581="","YETİM",IF(COUNTIF(tblKartlar[KartId],$B581)=0,"YETİM","")))</f>
        <v/>
      </c>
      <c r="N581" s="35">
        <f>IF(OR($A581="",$D581=""),"",IF(OR($D581&amp;"|"&amp;$E581="",COUNTIF(ListeIzinliGecis,$D581&amp;"|"&amp;$E581)&gt;0),"","GEÇERSİZ GEÇİŞ"))</f>
        <v/>
      </c>
      <c r="O581" s="35">
        <f>IF($A581="","",IF(OR($F581="",$G581=""),"",IF(ABS($G581-$F581)&gt;zincirTolerans,"ZİNCİR KIRIK","OK")))</f>
        <v/>
      </c>
      <c r="P581" s="35">
        <f>IF($A581="","",1)</f>
        <v/>
      </c>
    </row>
    <row r="582">
      <c r="A582" s="29" t="n"/>
      <c r="B582" s="29" t="n"/>
      <c r="C582" s="70" t="n"/>
      <c r="D582" s="29" t="n"/>
      <c r="E582" s="29" t="n"/>
      <c r="F582" s="30" t="n"/>
      <c r="G582" s="30" t="n"/>
      <c r="H582" s="31" t="n"/>
      <c r="I582" s="31" t="n"/>
      <c r="J582" s="29" t="n"/>
      <c r="K582" s="35">
        <f>IF($A582="","",IF($C582="","",raporTarihi-$C582))</f>
        <v/>
      </c>
      <c r="L582" s="35">
        <f>IF($A582="","",IF($K582="","",IF($K582&lt;=7,"0-7",IF($K582&lt;=30,"8-30",IF($K582&lt;=60,"31-60","60+")))))</f>
        <v/>
      </c>
      <c r="M582" s="35">
        <f>IF($A582="","",IF($B582="","YETİM",IF(COUNTIF(tblKartlar[KartId],$B582)=0,"YETİM","")))</f>
        <v/>
      </c>
      <c r="N582" s="35">
        <f>IF(OR($A582="",$D582=""),"",IF(OR($D582&amp;"|"&amp;$E582="",COUNTIF(ListeIzinliGecis,$D582&amp;"|"&amp;$E582)&gt;0),"","GEÇERSİZ GEÇİŞ"))</f>
        <v/>
      </c>
      <c r="O582" s="35">
        <f>IF($A582="","",IF(OR($F582="",$G582=""),"",IF(ABS($G582-$F582)&gt;zincirTolerans,"ZİNCİR KIRIK","OK")))</f>
        <v/>
      </c>
      <c r="P582" s="35">
        <f>IF($A582="","",1)</f>
        <v/>
      </c>
    </row>
    <row r="583">
      <c r="A583" s="29" t="n"/>
      <c r="B583" s="29" t="n"/>
      <c r="C583" s="70" t="n"/>
      <c r="D583" s="29" t="n"/>
      <c r="E583" s="29" t="n"/>
      <c r="F583" s="30" t="n"/>
      <c r="G583" s="30" t="n"/>
      <c r="H583" s="31" t="n"/>
      <c r="I583" s="31" t="n"/>
      <c r="J583" s="29" t="n"/>
      <c r="K583" s="35">
        <f>IF($A583="","",IF($C583="","",raporTarihi-$C583))</f>
        <v/>
      </c>
      <c r="L583" s="35">
        <f>IF($A583="","",IF($K583="","",IF($K583&lt;=7,"0-7",IF($K583&lt;=30,"8-30",IF($K583&lt;=60,"31-60","60+")))))</f>
        <v/>
      </c>
      <c r="M583" s="35">
        <f>IF($A583="","",IF($B583="","YETİM",IF(COUNTIF(tblKartlar[KartId],$B583)=0,"YETİM","")))</f>
        <v/>
      </c>
      <c r="N583" s="35">
        <f>IF(OR($A583="",$D583=""),"",IF(OR($D583&amp;"|"&amp;$E583="",COUNTIF(ListeIzinliGecis,$D583&amp;"|"&amp;$E583)&gt;0),"","GEÇERSİZ GEÇİŞ"))</f>
        <v/>
      </c>
      <c r="O583" s="35">
        <f>IF($A583="","",IF(OR($F583="",$G583=""),"",IF(ABS($G583-$F583)&gt;zincirTolerans,"ZİNCİR KIRIK","OK")))</f>
        <v/>
      </c>
      <c r="P583" s="35">
        <f>IF($A583="","",1)</f>
        <v/>
      </c>
    </row>
    <row r="584">
      <c r="A584" s="29" t="n"/>
      <c r="B584" s="29" t="n"/>
      <c r="C584" s="70" t="n"/>
      <c r="D584" s="29" t="n"/>
      <c r="E584" s="29" t="n"/>
      <c r="F584" s="30" t="n"/>
      <c r="G584" s="30" t="n"/>
      <c r="H584" s="31" t="n"/>
      <c r="I584" s="31" t="n"/>
      <c r="J584" s="29" t="n"/>
      <c r="K584" s="35">
        <f>IF($A584="","",IF($C584="","",raporTarihi-$C584))</f>
        <v/>
      </c>
      <c r="L584" s="35">
        <f>IF($A584="","",IF($K584="","",IF($K584&lt;=7,"0-7",IF($K584&lt;=30,"8-30",IF($K584&lt;=60,"31-60","60+")))))</f>
        <v/>
      </c>
      <c r="M584" s="35">
        <f>IF($A584="","",IF($B584="","YETİM",IF(COUNTIF(tblKartlar[KartId],$B584)=0,"YETİM","")))</f>
        <v/>
      </c>
      <c r="N584" s="35">
        <f>IF(OR($A584="",$D584=""),"",IF(OR($D584&amp;"|"&amp;$E584="",COUNTIF(ListeIzinliGecis,$D584&amp;"|"&amp;$E584)&gt;0),"","GEÇERSİZ GEÇİŞ"))</f>
        <v/>
      </c>
      <c r="O584" s="35">
        <f>IF($A584="","",IF(OR($F584="",$G584=""),"",IF(ABS($G584-$F584)&gt;zincirTolerans,"ZİNCİR KIRIK","OK")))</f>
        <v/>
      </c>
      <c r="P584" s="35">
        <f>IF($A584="","",1)</f>
        <v/>
      </c>
    </row>
    <row r="585">
      <c r="A585" s="29" t="n"/>
      <c r="B585" s="29" t="n"/>
      <c r="C585" s="70" t="n"/>
      <c r="D585" s="29" t="n"/>
      <c r="E585" s="29" t="n"/>
      <c r="F585" s="30" t="n"/>
      <c r="G585" s="30" t="n"/>
      <c r="H585" s="31" t="n"/>
      <c r="I585" s="31" t="n"/>
      <c r="J585" s="29" t="n"/>
      <c r="K585" s="35">
        <f>IF($A585="","",IF($C585="","",raporTarihi-$C585))</f>
        <v/>
      </c>
      <c r="L585" s="35">
        <f>IF($A585="","",IF($K585="","",IF($K585&lt;=7,"0-7",IF($K585&lt;=30,"8-30",IF($K585&lt;=60,"31-60","60+")))))</f>
        <v/>
      </c>
      <c r="M585" s="35">
        <f>IF($A585="","",IF($B585="","YETİM",IF(COUNTIF(tblKartlar[KartId],$B585)=0,"YETİM","")))</f>
        <v/>
      </c>
      <c r="N585" s="35">
        <f>IF(OR($A585="",$D585=""),"",IF(OR($D585&amp;"|"&amp;$E585="",COUNTIF(ListeIzinliGecis,$D585&amp;"|"&amp;$E585)&gt;0),"","GEÇERSİZ GEÇİŞ"))</f>
        <v/>
      </c>
      <c r="O585" s="35">
        <f>IF($A585="","",IF(OR($F585="",$G585=""),"",IF(ABS($G585-$F585)&gt;zincirTolerans,"ZİNCİR KIRIK","OK")))</f>
        <v/>
      </c>
      <c r="P585" s="35">
        <f>IF($A585="","",1)</f>
        <v/>
      </c>
    </row>
    <row r="586">
      <c r="A586" s="29" t="n"/>
      <c r="B586" s="29" t="n"/>
      <c r="C586" s="70" t="n"/>
      <c r="D586" s="29" t="n"/>
      <c r="E586" s="29" t="n"/>
      <c r="F586" s="30" t="n"/>
      <c r="G586" s="30" t="n"/>
      <c r="H586" s="31" t="n"/>
      <c r="I586" s="31" t="n"/>
      <c r="J586" s="29" t="n"/>
      <c r="K586" s="35">
        <f>IF($A586="","",IF($C586="","",raporTarihi-$C586))</f>
        <v/>
      </c>
      <c r="L586" s="35">
        <f>IF($A586="","",IF($K586="","",IF($K586&lt;=7,"0-7",IF($K586&lt;=30,"8-30",IF($K586&lt;=60,"31-60","60+")))))</f>
        <v/>
      </c>
      <c r="M586" s="35">
        <f>IF($A586="","",IF($B586="","YETİM",IF(COUNTIF(tblKartlar[KartId],$B586)=0,"YETİM","")))</f>
        <v/>
      </c>
      <c r="N586" s="35">
        <f>IF(OR($A586="",$D586=""),"",IF(OR($D586&amp;"|"&amp;$E586="",COUNTIF(ListeIzinliGecis,$D586&amp;"|"&amp;$E586)&gt;0),"","GEÇERSİZ GEÇİŞ"))</f>
        <v/>
      </c>
      <c r="O586" s="35">
        <f>IF($A586="","",IF(OR($F586="",$G586=""),"",IF(ABS($G586-$F586)&gt;zincirTolerans,"ZİNCİR KIRIK","OK")))</f>
        <v/>
      </c>
      <c r="P586" s="35">
        <f>IF($A586="","",1)</f>
        <v/>
      </c>
    </row>
    <row r="587">
      <c r="A587" s="29" t="n"/>
      <c r="B587" s="29" t="n"/>
      <c r="C587" s="70" t="n"/>
      <c r="D587" s="29" t="n"/>
      <c r="E587" s="29" t="n"/>
      <c r="F587" s="30" t="n"/>
      <c r="G587" s="30" t="n"/>
      <c r="H587" s="31" t="n"/>
      <c r="I587" s="31" t="n"/>
      <c r="J587" s="29" t="n"/>
      <c r="K587" s="35">
        <f>IF($A587="","",IF($C587="","",raporTarihi-$C587))</f>
        <v/>
      </c>
      <c r="L587" s="35">
        <f>IF($A587="","",IF($K587="","",IF($K587&lt;=7,"0-7",IF($K587&lt;=30,"8-30",IF($K587&lt;=60,"31-60","60+")))))</f>
        <v/>
      </c>
      <c r="M587" s="35">
        <f>IF($A587="","",IF($B587="","YETİM",IF(COUNTIF(tblKartlar[KartId],$B587)=0,"YETİM","")))</f>
        <v/>
      </c>
      <c r="N587" s="35">
        <f>IF(OR($A587="",$D587=""),"",IF(OR($D587&amp;"|"&amp;$E587="",COUNTIF(ListeIzinliGecis,$D587&amp;"|"&amp;$E587)&gt;0),"","GEÇERSİZ GEÇİŞ"))</f>
        <v/>
      </c>
      <c r="O587" s="35">
        <f>IF($A587="","",IF(OR($F587="",$G587=""),"",IF(ABS($G587-$F587)&gt;zincirTolerans,"ZİNCİR KIRIK","OK")))</f>
        <v/>
      </c>
      <c r="P587" s="35">
        <f>IF($A587="","",1)</f>
        <v/>
      </c>
    </row>
    <row r="588">
      <c r="A588" s="29" t="n"/>
      <c r="B588" s="29" t="n"/>
      <c r="C588" s="70" t="n"/>
      <c r="D588" s="29" t="n"/>
      <c r="E588" s="29" t="n"/>
      <c r="F588" s="30" t="n"/>
      <c r="G588" s="30" t="n"/>
      <c r="H588" s="31" t="n"/>
      <c r="I588" s="31" t="n"/>
      <c r="J588" s="29" t="n"/>
      <c r="K588" s="35">
        <f>IF($A588="","",IF($C588="","",raporTarihi-$C588))</f>
        <v/>
      </c>
      <c r="L588" s="35">
        <f>IF($A588="","",IF($K588="","",IF($K588&lt;=7,"0-7",IF($K588&lt;=30,"8-30",IF($K588&lt;=60,"31-60","60+")))))</f>
        <v/>
      </c>
      <c r="M588" s="35">
        <f>IF($A588="","",IF($B588="","YETİM",IF(COUNTIF(tblKartlar[KartId],$B588)=0,"YETİM","")))</f>
        <v/>
      </c>
      <c r="N588" s="35">
        <f>IF(OR($A588="",$D588=""),"",IF(OR($D588&amp;"|"&amp;$E588="",COUNTIF(ListeIzinliGecis,$D588&amp;"|"&amp;$E588)&gt;0),"","GEÇERSİZ GEÇİŞ"))</f>
        <v/>
      </c>
      <c r="O588" s="35">
        <f>IF($A588="","",IF(OR($F588="",$G588=""),"",IF(ABS($G588-$F588)&gt;zincirTolerans,"ZİNCİR KIRIK","OK")))</f>
        <v/>
      </c>
      <c r="P588" s="35">
        <f>IF($A588="","",1)</f>
        <v/>
      </c>
    </row>
    <row r="589">
      <c r="A589" s="29" t="n"/>
      <c r="B589" s="29" t="n"/>
      <c r="C589" s="70" t="n"/>
      <c r="D589" s="29" t="n"/>
      <c r="E589" s="29" t="n"/>
      <c r="F589" s="30" t="n"/>
      <c r="G589" s="30" t="n"/>
      <c r="H589" s="31" t="n"/>
      <c r="I589" s="31" t="n"/>
      <c r="J589" s="29" t="n"/>
      <c r="K589" s="35">
        <f>IF($A589="","",IF($C589="","",raporTarihi-$C589))</f>
        <v/>
      </c>
      <c r="L589" s="35">
        <f>IF($A589="","",IF($K589="","",IF($K589&lt;=7,"0-7",IF($K589&lt;=30,"8-30",IF($K589&lt;=60,"31-60","60+")))))</f>
        <v/>
      </c>
      <c r="M589" s="35">
        <f>IF($A589="","",IF($B589="","YETİM",IF(COUNTIF(tblKartlar[KartId],$B589)=0,"YETİM","")))</f>
        <v/>
      </c>
      <c r="N589" s="35">
        <f>IF(OR($A589="",$D589=""),"",IF(OR($D589&amp;"|"&amp;$E589="",COUNTIF(ListeIzinliGecis,$D589&amp;"|"&amp;$E589)&gt;0),"","GEÇERSİZ GEÇİŞ"))</f>
        <v/>
      </c>
      <c r="O589" s="35">
        <f>IF($A589="","",IF(OR($F589="",$G589=""),"",IF(ABS($G589-$F589)&gt;zincirTolerans,"ZİNCİR KIRIK","OK")))</f>
        <v/>
      </c>
      <c r="P589" s="35">
        <f>IF($A589="","",1)</f>
        <v/>
      </c>
    </row>
    <row r="590">
      <c r="A590" s="29" t="n"/>
      <c r="B590" s="29" t="n"/>
      <c r="C590" s="70" t="n"/>
      <c r="D590" s="29" t="n"/>
      <c r="E590" s="29" t="n"/>
      <c r="F590" s="30" t="n"/>
      <c r="G590" s="30" t="n"/>
      <c r="H590" s="31" t="n"/>
      <c r="I590" s="31" t="n"/>
      <c r="J590" s="29" t="n"/>
      <c r="K590" s="35">
        <f>IF($A590="","",IF($C590="","",raporTarihi-$C590))</f>
        <v/>
      </c>
      <c r="L590" s="35">
        <f>IF($A590="","",IF($K590="","",IF($K590&lt;=7,"0-7",IF($K590&lt;=30,"8-30",IF($K590&lt;=60,"31-60","60+")))))</f>
        <v/>
      </c>
      <c r="M590" s="35">
        <f>IF($A590="","",IF($B590="","YETİM",IF(COUNTIF(tblKartlar[KartId],$B590)=0,"YETİM","")))</f>
        <v/>
      </c>
      <c r="N590" s="35">
        <f>IF(OR($A590="",$D590=""),"",IF(OR($D590&amp;"|"&amp;$E590="",COUNTIF(ListeIzinliGecis,$D590&amp;"|"&amp;$E590)&gt;0),"","GEÇERSİZ GEÇİŞ"))</f>
        <v/>
      </c>
      <c r="O590" s="35">
        <f>IF($A590="","",IF(OR($F590="",$G590=""),"",IF(ABS($G590-$F590)&gt;zincirTolerans,"ZİNCİR KIRIK","OK")))</f>
        <v/>
      </c>
      <c r="P590" s="35">
        <f>IF($A590="","",1)</f>
        <v/>
      </c>
    </row>
    <row r="591">
      <c r="A591" s="29" t="n"/>
      <c r="B591" s="29" t="n"/>
      <c r="C591" s="70" t="n"/>
      <c r="D591" s="29" t="n"/>
      <c r="E591" s="29" t="n"/>
      <c r="F591" s="30" t="n"/>
      <c r="G591" s="30" t="n"/>
      <c r="H591" s="31" t="n"/>
      <c r="I591" s="31" t="n"/>
      <c r="J591" s="29" t="n"/>
      <c r="K591" s="35">
        <f>IF($A591="","",IF($C591="","",raporTarihi-$C591))</f>
        <v/>
      </c>
      <c r="L591" s="35">
        <f>IF($A591="","",IF($K591="","",IF($K591&lt;=7,"0-7",IF($K591&lt;=30,"8-30",IF($K591&lt;=60,"31-60","60+")))))</f>
        <v/>
      </c>
      <c r="M591" s="35">
        <f>IF($A591="","",IF($B591="","YETİM",IF(COUNTIF(tblKartlar[KartId],$B591)=0,"YETİM","")))</f>
        <v/>
      </c>
      <c r="N591" s="35">
        <f>IF(OR($A591="",$D591=""),"",IF(OR($D591&amp;"|"&amp;$E591="",COUNTIF(ListeIzinliGecis,$D591&amp;"|"&amp;$E591)&gt;0),"","GEÇERSİZ GEÇİŞ"))</f>
        <v/>
      </c>
      <c r="O591" s="35">
        <f>IF($A591="","",IF(OR($F591="",$G591=""),"",IF(ABS($G591-$F591)&gt;zincirTolerans,"ZİNCİR KIRIK","OK")))</f>
        <v/>
      </c>
      <c r="P591" s="35">
        <f>IF($A591="","",1)</f>
        <v/>
      </c>
    </row>
    <row r="592">
      <c r="A592" s="29" t="n"/>
      <c r="B592" s="29" t="n"/>
      <c r="C592" s="70" t="n"/>
      <c r="D592" s="29" t="n"/>
      <c r="E592" s="29" t="n"/>
      <c r="F592" s="30" t="n"/>
      <c r="G592" s="30" t="n"/>
      <c r="H592" s="31" t="n"/>
      <c r="I592" s="31" t="n"/>
      <c r="J592" s="29" t="n"/>
      <c r="K592" s="35">
        <f>IF($A592="","",IF($C592="","",raporTarihi-$C592))</f>
        <v/>
      </c>
      <c r="L592" s="35">
        <f>IF($A592="","",IF($K592="","",IF($K592&lt;=7,"0-7",IF($K592&lt;=30,"8-30",IF($K592&lt;=60,"31-60","60+")))))</f>
        <v/>
      </c>
      <c r="M592" s="35">
        <f>IF($A592="","",IF($B592="","YETİM",IF(COUNTIF(tblKartlar[KartId],$B592)=0,"YETİM","")))</f>
        <v/>
      </c>
      <c r="N592" s="35">
        <f>IF(OR($A592="",$D592=""),"",IF(OR($D592&amp;"|"&amp;$E592="",COUNTIF(ListeIzinliGecis,$D592&amp;"|"&amp;$E592)&gt;0),"","GEÇERSİZ GEÇİŞ"))</f>
        <v/>
      </c>
      <c r="O592" s="35">
        <f>IF($A592="","",IF(OR($F592="",$G592=""),"",IF(ABS($G592-$F592)&gt;zincirTolerans,"ZİNCİR KIRIK","OK")))</f>
        <v/>
      </c>
      <c r="P592" s="35">
        <f>IF($A592="","",1)</f>
        <v/>
      </c>
    </row>
    <row r="593">
      <c r="A593" s="29" t="n"/>
      <c r="B593" s="29" t="n"/>
      <c r="C593" s="70" t="n"/>
      <c r="D593" s="29" t="n"/>
      <c r="E593" s="29" t="n"/>
      <c r="F593" s="30" t="n"/>
      <c r="G593" s="30" t="n"/>
      <c r="H593" s="31" t="n"/>
      <c r="I593" s="31" t="n"/>
      <c r="J593" s="29" t="n"/>
      <c r="K593" s="35">
        <f>IF($A593="","",IF($C593="","",raporTarihi-$C593))</f>
        <v/>
      </c>
      <c r="L593" s="35">
        <f>IF($A593="","",IF($K593="","",IF($K593&lt;=7,"0-7",IF($K593&lt;=30,"8-30",IF($K593&lt;=60,"31-60","60+")))))</f>
        <v/>
      </c>
      <c r="M593" s="35">
        <f>IF($A593="","",IF($B593="","YETİM",IF(COUNTIF(tblKartlar[KartId],$B593)=0,"YETİM","")))</f>
        <v/>
      </c>
      <c r="N593" s="35">
        <f>IF(OR($A593="",$D593=""),"",IF(OR($D593&amp;"|"&amp;$E593="",COUNTIF(ListeIzinliGecis,$D593&amp;"|"&amp;$E593)&gt;0),"","GEÇERSİZ GEÇİŞ"))</f>
        <v/>
      </c>
      <c r="O593" s="35">
        <f>IF($A593="","",IF(OR($F593="",$G593=""),"",IF(ABS($G593-$F593)&gt;zincirTolerans,"ZİNCİR KIRIK","OK")))</f>
        <v/>
      </c>
      <c r="P593" s="35">
        <f>IF($A593="","",1)</f>
        <v/>
      </c>
    </row>
    <row r="594">
      <c r="A594" s="29" t="n"/>
      <c r="B594" s="29" t="n"/>
      <c r="C594" s="70" t="n"/>
      <c r="D594" s="29" t="n"/>
      <c r="E594" s="29" t="n"/>
      <c r="F594" s="30" t="n"/>
      <c r="G594" s="30" t="n"/>
      <c r="H594" s="31" t="n"/>
      <c r="I594" s="31" t="n"/>
      <c r="J594" s="29" t="n"/>
      <c r="K594" s="35">
        <f>IF($A594="","",IF($C594="","",raporTarihi-$C594))</f>
        <v/>
      </c>
      <c r="L594" s="35">
        <f>IF($A594="","",IF($K594="","",IF($K594&lt;=7,"0-7",IF($K594&lt;=30,"8-30",IF($K594&lt;=60,"31-60","60+")))))</f>
        <v/>
      </c>
      <c r="M594" s="35">
        <f>IF($A594="","",IF($B594="","YETİM",IF(COUNTIF(tblKartlar[KartId],$B594)=0,"YETİM","")))</f>
        <v/>
      </c>
      <c r="N594" s="35">
        <f>IF(OR($A594="",$D594=""),"",IF(OR($D594&amp;"|"&amp;$E594="",COUNTIF(ListeIzinliGecis,$D594&amp;"|"&amp;$E594)&gt;0),"","GEÇERSİZ GEÇİŞ"))</f>
        <v/>
      </c>
      <c r="O594" s="35">
        <f>IF($A594="","",IF(OR($F594="",$G594=""),"",IF(ABS($G594-$F594)&gt;zincirTolerans,"ZİNCİR KIRIK","OK")))</f>
        <v/>
      </c>
      <c r="P594" s="35">
        <f>IF($A594="","",1)</f>
        <v/>
      </c>
    </row>
    <row r="595">
      <c r="A595" s="29" t="n"/>
      <c r="B595" s="29" t="n"/>
      <c r="C595" s="70" t="n"/>
      <c r="D595" s="29" t="n"/>
      <c r="E595" s="29" t="n"/>
      <c r="F595" s="30" t="n"/>
      <c r="G595" s="30" t="n"/>
      <c r="H595" s="31" t="n"/>
      <c r="I595" s="31" t="n"/>
      <c r="J595" s="29" t="n"/>
      <c r="K595" s="35">
        <f>IF($A595="","",IF($C595="","",raporTarihi-$C595))</f>
        <v/>
      </c>
      <c r="L595" s="35">
        <f>IF($A595="","",IF($K595="","",IF($K595&lt;=7,"0-7",IF($K595&lt;=30,"8-30",IF($K595&lt;=60,"31-60","60+")))))</f>
        <v/>
      </c>
      <c r="M595" s="35">
        <f>IF($A595="","",IF($B595="","YETİM",IF(COUNTIF(tblKartlar[KartId],$B595)=0,"YETİM","")))</f>
        <v/>
      </c>
      <c r="N595" s="35">
        <f>IF(OR($A595="",$D595=""),"",IF(OR($D595&amp;"|"&amp;$E595="",COUNTIF(ListeIzinliGecis,$D595&amp;"|"&amp;$E595)&gt;0),"","GEÇERSİZ GEÇİŞ"))</f>
        <v/>
      </c>
      <c r="O595" s="35">
        <f>IF($A595="","",IF(OR($F595="",$G595=""),"",IF(ABS($G595-$F595)&gt;zincirTolerans,"ZİNCİR KIRIK","OK")))</f>
        <v/>
      </c>
      <c r="P595" s="35">
        <f>IF($A595="","",1)</f>
        <v/>
      </c>
    </row>
    <row r="596">
      <c r="A596" s="29" t="n"/>
      <c r="B596" s="29" t="n"/>
      <c r="C596" s="70" t="n"/>
      <c r="D596" s="29" t="n"/>
      <c r="E596" s="29" t="n"/>
      <c r="F596" s="30" t="n"/>
      <c r="G596" s="30" t="n"/>
      <c r="H596" s="31" t="n"/>
      <c r="I596" s="31" t="n"/>
      <c r="J596" s="29" t="n"/>
      <c r="K596" s="35">
        <f>IF($A596="","",IF($C596="","",raporTarihi-$C596))</f>
        <v/>
      </c>
      <c r="L596" s="35">
        <f>IF($A596="","",IF($K596="","",IF($K596&lt;=7,"0-7",IF($K596&lt;=30,"8-30",IF($K596&lt;=60,"31-60","60+")))))</f>
        <v/>
      </c>
      <c r="M596" s="35">
        <f>IF($A596="","",IF($B596="","YETİM",IF(COUNTIF(tblKartlar[KartId],$B596)=0,"YETİM","")))</f>
        <v/>
      </c>
      <c r="N596" s="35">
        <f>IF(OR($A596="",$D596=""),"",IF(OR($D596&amp;"|"&amp;$E596="",COUNTIF(ListeIzinliGecis,$D596&amp;"|"&amp;$E596)&gt;0),"","GEÇERSİZ GEÇİŞ"))</f>
        <v/>
      </c>
      <c r="O596" s="35">
        <f>IF($A596="","",IF(OR($F596="",$G596=""),"",IF(ABS($G596-$F596)&gt;zincirTolerans,"ZİNCİR KIRIK","OK")))</f>
        <v/>
      </c>
      <c r="P596" s="35">
        <f>IF($A596="","",1)</f>
        <v/>
      </c>
    </row>
    <row r="597">
      <c r="A597" s="29" t="n"/>
      <c r="B597" s="29" t="n"/>
      <c r="C597" s="70" t="n"/>
      <c r="D597" s="29" t="n"/>
      <c r="E597" s="29" t="n"/>
      <c r="F597" s="30" t="n"/>
      <c r="G597" s="30" t="n"/>
      <c r="H597" s="31" t="n"/>
      <c r="I597" s="31" t="n"/>
      <c r="J597" s="29" t="n"/>
      <c r="K597" s="35">
        <f>IF($A597="","",IF($C597="","",raporTarihi-$C597))</f>
        <v/>
      </c>
      <c r="L597" s="35">
        <f>IF($A597="","",IF($K597="","",IF($K597&lt;=7,"0-7",IF($K597&lt;=30,"8-30",IF($K597&lt;=60,"31-60","60+")))))</f>
        <v/>
      </c>
      <c r="M597" s="35">
        <f>IF($A597="","",IF($B597="","YETİM",IF(COUNTIF(tblKartlar[KartId],$B597)=0,"YETİM","")))</f>
        <v/>
      </c>
      <c r="N597" s="35">
        <f>IF(OR($A597="",$D597=""),"",IF(OR($D597&amp;"|"&amp;$E597="",COUNTIF(ListeIzinliGecis,$D597&amp;"|"&amp;$E597)&gt;0),"","GEÇERSİZ GEÇİŞ"))</f>
        <v/>
      </c>
      <c r="O597" s="35">
        <f>IF($A597="","",IF(OR($F597="",$G597=""),"",IF(ABS($G597-$F597)&gt;zincirTolerans,"ZİNCİR KIRIK","OK")))</f>
        <v/>
      </c>
      <c r="P597" s="35">
        <f>IF($A597="","",1)</f>
        <v/>
      </c>
    </row>
    <row r="598">
      <c r="A598" s="29" t="n"/>
      <c r="B598" s="29" t="n"/>
      <c r="C598" s="70" t="n"/>
      <c r="D598" s="29" t="n"/>
      <c r="E598" s="29" t="n"/>
      <c r="F598" s="30" t="n"/>
      <c r="G598" s="30" t="n"/>
      <c r="H598" s="31" t="n"/>
      <c r="I598" s="31" t="n"/>
      <c r="J598" s="29" t="n"/>
      <c r="K598" s="35">
        <f>IF($A598="","",IF($C598="","",raporTarihi-$C598))</f>
        <v/>
      </c>
      <c r="L598" s="35">
        <f>IF($A598="","",IF($K598="","",IF($K598&lt;=7,"0-7",IF($K598&lt;=30,"8-30",IF($K598&lt;=60,"31-60","60+")))))</f>
        <v/>
      </c>
      <c r="M598" s="35">
        <f>IF($A598="","",IF($B598="","YETİM",IF(COUNTIF(tblKartlar[KartId],$B598)=0,"YETİM","")))</f>
        <v/>
      </c>
      <c r="N598" s="35">
        <f>IF(OR($A598="",$D598=""),"",IF(OR($D598&amp;"|"&amp;$E598="",COUNTIF(ListeIzinliGecis,$D598&amp;"|"&amp;$E598)&gt;0),"","GEÇERSİZ GEÇİŞ"))</f>
        <v/>
      </c>
      <c r="O598" s="35">
        <f>IF($A598="","",IF(OR($F598="",$G598=""),"",IF(ABS($G598-$F598)&gt;zincirTolerans,"ZİNCİR KIRIK","OK")))</f>
        <v/>
      </c>
      <c r="P598" s="35">
        <f>IF($A598="","",1)</f>
        <v/>
      </c>
    </row>
    <row r="599">
      <c r="A599" s="29" t="n"/>
      <c r="B599" s="29" t="n"/>
      <c r="C599" s="70" t="n"/>
      <c r="D599" s="29" t="n"/>
      <c r="E599" s="29" t="n"/>
      <c r="F599" s="30" t="n"/>
      <c r="G599" s="30" t="n"/>
      <c r="H599" s="31" t="n"/>
      <c r="I599" s="31" t="n"/>
      <c r="J599" s="29" t="n"/>
      <c r="K599" s="35">
        <f>IF($A599="","",IF($C599="","",raporTarihi-$C599))</f>
        <v/>
      </c>
      <c r="L599" s="35">
        <f>IF($A599="","",IF($K599="","",IF($K599&lt;=7,"0-7",IF($K599&lt;=30,"8-30",IF($K599&lt;=60,"31-60","60+")))))</f>
        <v/>
      </c>
      <c r="M599" s="35">
        <f>IF($A599="","",IF($B599="","YETİM",IF(COUNTIF(tblKartlar[KartId],$B599)=0,"YETİM","")))</f>
        <v/>
      </c>
      <c r="N599" s="35">
        <f>IF(OR($A599="",$D599=""),"",IF(OR($D599&amp;"|"&amp;$E599="",COUNTIF(ListeIzinliGecis,$D599&amp;"|"&amp;$E599)&gt;0),"","GEÇERSİZ GEÇİŞ"))</f>
        <v/>
      </c>
      <c r="O599" s="35">
        <f>IF($A599="","",IF(OR($F599="",$G599=""),"",IF(ABS($G599-$F599)&gt;zincirTolerans,"ZİNCİR KIRIK","OK")))</f>
        <v/>
      </c>
      <c r="P599" s="35">
        <f>IF($A599="","",1)</f>
        <v/>
      </c>
    </row>
    <row r="600">
      <c r="A600" s="29" t="n"/>
      <c r="B600" s="29" t="n"/>
      <c r="C600" s="70" t="n"/>
      <c r="D600" s="29" t="n"/>
      <c r="E600" s="29" t="n"/>
      <c r="F600" s="30" t="n"/>
      <c r="G600" s="30" t="n"/>
      <c r="H600" s="31" t="n"/>
      <c r="I600" s="31" t="n"/>
      <c r="J600" s="29" t="n"/>
      <c r="K600" s="35">
        <f>IF($A600="","",IF($C600="","",raporTarihi-$C600))</f>
        <v/>
      </c>
      <c r="L600" s="35">
        <f>IF($A600="","",IF($K600="","",IF($K600&lt;=7,"0-7",IF($K600&lt;=30,"8-30",IF($K600&lt;=60,"31-60","60+")))))</f>
        <v/>
      </c>
      <c r="M600" s="35">
        <f>IF($A600="","",IF($B600="","YETİM",IF(COUNTIF(tblKartlar[KartId],$B600)=0,"YETİM","")))</f>
        <v/>
      </c>
      <c r="N600" s="35">
        <f>IF(OR($A600="",$D600=""),"",IF(OR($D600&amp;"|"&amp;$E600="",COUNTIF(ListeIzinliGecis,$D600&amp;"|"&amp;$E600)&gt;0),"","GEÇERSİZ GEÇİŞ"))</f>
        <v/>
      </c>
      <c r="O600" s="35">
        <f>IF($A600="","",IF(OR($F600="",$G600=""),"",IF(ABS($G600-$F600)&gt;zincirTolerans,"ZİNCİR KIRIK","OK")))</f>
        <v/>
      </c>
      <c r="P600" s="35">
        <f>IF($A600="","",1)</f>
        <v/>
      </c>
    </row>
    <row r="601">
      <c r="A601" s="29" t="n"/>
      <c r="B601" s="29" t="n"/>
      <c r="C601" s="70" t="n"/>
      <c r="D601" s="29" t="n"/>
      <c r="E601" s="29" t="n"/>
      <c r="F601" s="30" t="n"/>
      <c r="G601" s="30" t="n"/>
      <c r="H601" s="31" t="n"/>
      <c r="I601" s="31" t="n"/>
      <c r="J601" s="29" t="n"/>
      <c r="K601" s="35">
        <f>IF($A601="","",IF($C601="","",raporTarihi-$C601))</f>
        <v/>
      </c>
      <c r="L601" s="35">
        <f>IF($A601="","",IF($K601="","",IF($K601&lt;=7,"0-7",IF($K601&lt;=30,"8-30",IF($K601&lt;=60,"31-60","60+")))))</f>
        <v/>
      </c>
      <c r="M601" s="35">
        <f>IF($A601="","",IF($B601="","YETİM",IF(COUNTIF(tblKartlar[KartId],$B601)=0,"YETİM","")))</f>
        <v/>
      </c>
      <c r="N601" s="35">
        <f>IF(OR($A601="",$D601=""),"",IF(OR($D601&amp;"|"&amp;$E601="",COUNTIF(ListeIzinliGecis,$D601&amp;"|"&amp;$E601)&gt;0),"","GEÇERSİZ GEÇİŞ"))</f>
        <v/>
      </c>
      <c r="O601" s="35">
        <f>IF($A601="","",IF(OR($F601="",$G601=""),"",IF(ABS($G601-$F601)&gt;zincirTolerans,"ZİNCİR KIRIK","OK")))</f>
        <v/>
      </c>
      <c r="P601" s="35">
        <f>IF($A601="","",1)</f>
        <v/>
      </c>
    </row>
    <row r="602">
      <c r="A602" s="29" t="n"/>
      <c r="B602" s="29" t="n"/>
      <c r="C602" s="70" t="n"/>
      <c r="D602" s="29" t="n"/>
      <c r="E602" s="29" t="n"/>
      <c r="F602" s="30" t="n"/>
      <c r="G602" s="30" t="n"/>
      <c r="H602" s="31" t="n"/>
      <c r="I602" s="31" t="n"/>
      <c r="J602" s="29" t="n"/>
      <c r="K602" s="35">
        <f>IF($A602="","",IF($C602="","",raporTarihi-$C602))</f>
        <v/>
      </c>
      <c r="L602" s="35">
        <f>IF($A602="","",IF($K602="","",IF($K602&lt;=7,"0-7",IF($K602&lt;=30,"8-30",IF($K602&lt;=60,"31-60","60+")))))</f>
        <v/>
      </c>
      <c r="M602" s="35">
        <f>IF($A602="","",IF($B602="","YETİM",IF(COUNTIF(tblKartlar[KartId],$B602)=0,"YETİM","")))</f>
        <v/>
      </c>
      <c r="N602" s="35">
        <f>IF(OR($A602="",$D602=""),"",IF(OR($D602&amp;"|"&amp;$E602="",COUNTIF(ListeIzinliGecis,$D602&amp;"|"&amp;$E602)&gt;0),"","GEÇERSİZ GEÇİŞ"))</f>
        <v/>
      </c>
      <c r="O602" s="35">
        <f>IF($A602="","",IF(OR($F602="",$G602=""),"",IF(ABS($G602-$F602)&gt;zincirTolerans,"ZİNCİR KIRIK","OK")))</f>
        <v/>
      </c>
      <c r="P602" s="35">
        <f>IF($A602="","",1)</f>
        <v/>
      </c>
    </row>
    <row r="603">
      <c r="A603" s="29" t="n"/>
      <c r="B603" s="29" t="n"/>
      <c r="C603" s="70" t="n"/>
      <c r="D603" s="29" t="n"/>
      <c r="E603" s="29" t="n"/>
      <c r="F603" s="30" t="n"/>
      <c r="G603" s="30" t="n"/>
      <c r="H603" s="31" t="n"/>
      <c r="I603" s="31" t="n"/>
      <c r="J603" s="29" t="n"/>
      <c r="K603" s="35">
        <f>IF($A603="","",IF($C603="","",raporTarihi-$C603))</f>
        <v/>
      </c>
      <c r="L603" s="35">
        <f>IF($A603="","",IF($K603="","",IF($K603&lt;=7,"0-7",IF($K603&lt;=30,"8-30",IF($K603&lt;=60,"31-60","60+")))))</f>
        <v/>
      </c>
      <c r="M603" s="35">
        <f>IF($A603="","",IF($B603="","YETİM",IF(COUNTIF(tblKartlar[KartId],$B603)=0,"YETİM","")))</f>
        <v/>
      </c>
      <c r="N603" s="35">
        <f>IF(OR($A603="",$D603=""),"",IF(OR($D603&amp;"|"&amp;$E603="",COUNTIF(ListeIzinliGecis,$D603&amp;"|"&amp;$E603)&gt;0),"","GEÇERSİZ GEÇİŞ"))</f>
        <v/>
      </c>
      <c r="O603" s="35">
        <f>IF($A603="","",IF(OR($F603="",$G603=""),"",IF(ABS($G603-$F603)&gt;zincirTolerans,"ZİNCİR KIRIK","OK")))</f>
        <v/>
      </c>
      <c r="P603" s="35">
        <f>IF($A603="","",1)</f>
        <v/>
      </c>
    </row>
    <row r="604">
      <c r="A604" s="29" t="n"/>
      <c r="B604" s="29" t="n"/>
      <c r="C604" s="70" t="n"/>
      <c r="D604" s="29" t="n"/>
      <c r="E604" s="29" t="n"/>
      <c r="F604" s="30" t="n"/>
      <c r="G604" s="30" t="n"/>
      <c r="H604" s="31" t="n"/>
      <c r="I604" s="31" t="n"/>
      <c r="J604" s="29" t="n"/>
      <c r="K604" s="35">
        <f>IF($A604="","",IF($C604="","",raporTarihi-$C604))</f>
        <v/>
      </c>
      <c r="L604" s="35">
        <f>IF($A604="","",IF($K604="","",IF($K604&lt;=7,"0-7",IF($K604&lt;=30,"8-30",IF($K604&lt;=60,"31-60","60+")))))</f>
        <v/>
      </c>
      <c r="M604" s="35">
        <f>IF($A604="","",IF($B604="","YETİM",IF(COUNTIF(tblKartlar[KartId],$B604)=0,"YETİM","")))</f>
        <v/>
      </c>
      <c r="N604" s="35">
        <f>IF(OR($A604="",$D604=""),"",IF(OR($D604&amp;"|"&amp;$E604="",COUNTIF(ListeIzinliGecis,$D604&amp;"|"&amp;$E604)&gt;0),"","GEÇERSİZ GEÇİŞ"))</f>
        <v/>
      </c>
      <c r="O604" s="35">
        <f>IF($A604="","",IF(OR($F604="",$G604=""),"",IF(ABS($G604-$F604)&gt;zincirTolerans,"ZİNCİR KIRIK","OK")))</f>
        <v/>
      </c>
      <c r="P604" s="35">
        <f>IF($A604="","",1)</f>
        <v/>
      </c>
    </row>
    <row r="605">
      <c r="A605" s="29" t="n"/>
      <c r="B605" s="29" t="n"/>
      <c r="C605" s="70" t="n"/>
      <c r="D605" s="29" t="n"/>
      <c r="E605" s="29" t="n"/>
      <c r="F605" s="30" t="n"/>
      <c r="G605" s="30" t="n"/>
      <c r="H605" s="31" t="n"/>
      <c r="I605" s="31" t="n"/>
      <c r="J605" s="29" t="n"/>
      <c r="K605" s="35">
        <f>IF($A605="","",IF($C605="","",raporTarihi-$C605))</f>
        <v/>
      </c>
      <c r="L605" s="35">
        <f>IF($A605="","",IF($K605="","",IF($K605&lt;=7,"0-7",IF($K605&lt;=30,"8-30",IF($K605&lt;=60,"31-60","60+")))))</f>
        <v/>
      </c>
      <c r="M605" s="35">
        <f>IF($A605="","",IF($B605="","YETİM",IF(COUNTIF(tblKartlar[KartId],$B605)=0,"YETİM","")))</f>
        <v/>
      </c>
      <c r="N605" s="35">
        <f>IF(OR($A605="",$D605=""),"",IF(OR($D605&amp;"|"&amp;$E605="",COUNTIF(ListeIzinliGecis,$D605&amp;"|"&amp;$E605)&gt;0),"","GEÇERSİZ GEÇİŞ"))</f>
        <v/>
      </c>
      <c r="O605" s="35">
        <f>IF($A605="","",IF(OR($F605="",$G605=""),"",IF(ABS($G605-$F605)&gt;zincirTolerans,"ZİNCİR KIRIK","OK")))</f>
        <v/>
      </c>
      <c r="P605" s="35">
        <f>IF($A605="","",1)</f>
        <v/>
      </c>
    </row>
    <row r="606">
      <c r="A606" s="29" t="n"/>
      <c r="B606" s="29" t="n"/>
      <c r="C606" s="70" t="n"/>
      <c r="D606" s="29" t="n"/>
      <c r="E606" s="29" t="n"/>
      <c r="F606" s="30" t="n"/>
      <c r="G606" s="30" t="n"/>
      <c r="H606" s="31" t="n"/>
      <c r="I606" s="31" t="n"/>
      <c r="J606" s="29" t="n"/>
      <c r="K606" s="35">
        <f>IF($A606="","",IF($C606="","",raporTarihi-$C606))</f>
        <v/>
      </c>
      <c r="L606" s="35">
        <f>IF($A606="","",IF($K606="","",IF($K606&lt;=7,"0-7",IF($K606&lt;=30,"8-30",IF($K606&lt;=60,"31-60","60+")))))</f>
        <v/>
      </c>
      <c r="M606" s="35">
        <f>IF($A606="","",IF($B606="","YETİM",IF(COUNTIF(tblKartlar[KartId],$B606)=0,"YETİM","")))</f>
        <v/>
      </c>
      <c r="N606" s="35">
        <f>IF(OR($A606="",$D606=""),"",IF(OR($D606&amp;"|"&amp;$E606="",COUNTIF(ListeIzinliGecis,$D606&amp;"|"&amp;$E606)&gt;0),"","GEÇERSİZ GEÇİŞ"))</f>
        <v/>
      </c>
      <c r="O606" s="35">
        <f>IF($A606="","",IF(OR($F606="",$G606=""),"",IF(ABS($G606-$F606)&gt;zincirTolerans,"ZİNCİR KIRIK","OK")))</f>
        <v/>
      </c>
      <c r="P606" s="35">
        <f>IF($A606="","",1)</f>
        <v/>
      </c>
    </row>
    <row r="607">
      <c r="A607" s="29" t="n"/>
      <c r="B607" s="29" t="n"/>
      <c r="C607" s="70" t="n"/>
      <c r="D607" s="29" t="n"/>
      <c r="E607" s="29" t="n"/>
      <c r="F607" s="30" t="n"/>
      <c r="G607" s="30" t="n"/>
      <c r="H607" s="31" t="n"/>
      <c r="I607" s="31" t="n"/>
      <c r="J607" s="29" t="n"/>
      <c r="K607" s="35">
        <f>IF($A607="","",IF($C607="","",raporTarihi-$C607))</f>
        <v/>
      </c>
      <c r="L607" s="35">
        <f>IF($A607="","",IF($K607="","",IF($K607&lt;=7,"0-7",IF($K607&lt;=30,"8-30",IF($K607&lt;=60,"31-60","60+")))))</f>
        <v/>
      </c>
      <c r="M607" s="35">
        <f>IF($A607="","",IF($B607="","YETİM",IF(COUNTIF(tblKartlar[KartId],$B607)=0,"YETİM","")))</f>
        <v/>
      </c>
      <c r="N607" s="35">
        <f>IF(OR($A607="",$D607=""),"",IF(OR($D607&amp;"|"&amp;$E607="",COUNTIF(ListeIzinliGecis,$D607&amp;"|"&amp;$E607)&gt;0),"","GEÇERSİZ GEÇİŞ"))</f>
        <v/>
      </c>
      <c r="O607" s="35">
        <f>IF($A607="","",IF(OR($F607="",$G607=""),"",IF(ABS($G607-$F607)&gt;zincirTolerans,"ZİNCİR KIRIK","OK")))</f>
        <v/>
      </c>
      <c r="P607" s="35">
        <f>IF($A607="","",1)</f>
        <v/>
      </c>
    </row>
    <row r="608">
      <c r="A608" s="29" t="n"/>
      <c r="B608" s="29" t="n"/>
      <c r="C608" s="70" t="n"/>
      <c r="D608" s="29" t="n"/>
      <c r="E608" s="29" t="n"/>
      <c r="F608" s="30" t="n"/>
      <c r="G608" s="30" t="n"/>
      <c r="H608" s="31" t="n"/>
      <c r="I608" s="31" t="n"/>
      <c r="J608" s="29" t="n"/>
      <c r="K608" s="35">
        <f>IF($A608="","",IF($C608="","",raporTarihi-$C608))</f>
        <v/>
      </c>
      <c r="L608" s="35">
        <f>IF($A608="","",IF($K608="","",IF($K608&lt;=7,"0-7",IF($K608&lt;=30,"8-30",IF($K608&lt;=60,"31-60","60+")))))</f>
        <v/>
      </c>
      <c r="M608" s="35">
        <f>IF($A608="","",IF($B608="","YETİM",IF(COUNTIF(tblKartlar[KartId],$B608)=0,"YETİM","")))</f>
        <v/>
      </c>
      <c r="N608" s="35">
        <f>IF(OR($A608="",$D608=""),"",IF(OR($D608&amp;"|"&amp;$E608="",COUNTIF(ListeIzinliGecis,$D608&amp;"|"&amp;$E608)&gt;0),"","GEÇERSİZ GEÇİŞ"))</f>
        <v/>
      </c>
      <c r="O608" s="35">
        <f>IF($A608="","",IF(OR($F608="",$G608=""),"",IF(ABS($G608-$F608)&gt;zincirTolerans,"ZİNCİR KIRIK","OK")))</f>
        <v/>
      </c>
      <c r="P608" s="35">
        <f>IF($A608="","",1)</f>
        <v/>
      </c>
    </row>
    <row r="609">
      <c r="A609" s="29" t="n"/>
      <c r="B609" s="29" t="n"/>
      <c r="C609" s="70" t="n"/>
      <c r="D609" s="29" t="n"/>
      <c r="E609" s="29" t="n"/>
      <c r="F609" s="30" t="n"/>
      <c r="G609" s="30" t="n"/>
      <c r="H609" s="31" t="n"/>
      <c r="I609" s="31" t="n"/>
      <c r="J609" s="29" t="n"/>
      <c r="K609" s="35">
        <f>IF($A609="","",IF($C609="","",raporTarihi-$C609))</f>
        <v/>
      </c>
      <c r="L609" s="35">
        <f>IF($A609="","",IF($K609="","",IF($K609&lt;=7,"0-7",IF($K609&lt;=30,"8-30",IF($K609&lt;=60,"31-60","60+")))))</f>
        <v/>
      </c>
      <c r="M609" s="35">
        <f>IF($A609="","",IF($B609="","YETİM",IF(COUNTIF(tblKartlar[KartId],$B609)=0,"YETİM","")))</f>
        <v/>
      </c>
      <c r="N609" s="35">
        <f>IF(OR($A609="",$D609=""),"",IF(OR($D609&amp;"|"&amp;$E609="",COUNTIF(ListeIzinliGecis,$D609&amp;"|"&amp;$E609)&gt;0),"","GEÇERSİZ GEÇİŞ"))</f>
        <v/>
      </c>
      <c r="O609" s="35">
        <f>IF($A609="","",IF(OR($F609="",$G609=""),"",IF(ABS($G609-$F609)&gt;zincirTolerans,"ZİNCİR KIRIK","OK")))</f>
        <v/>
      </c>
      <c r="P609" s="35">
        <f>IF($A609="","",1)</f>
        <v/>
      </c>
    </row>
    <row r="610">
      <c r="A610" s="29" t="n"/>
      <c r="B610" s="29" t="n"/>
      <c r="C610" s="70" t="n"/>
      <c r="D610" s="29" t="n"/>
      <c r="E610" s="29" t="n"/>
      <c r="F610" s="30" t="n"/>
      <c r="G610" s="30" t="n"/>
      <c r="H610" s="31" t="n"/>
      <c r="I610" s="31" t="n"/>
      <c r="J610" s="29" t="n"/>
      <c r="K610" s="35">
        <f>IF($A610="","",IF($C610="","",raporTarihi-$C610))</f>
        <v/>
      </c>
      <c r="L610" s="35">
        <f>IF($A610="","",IF($K610="","",IF($K610&lt;=7,"0-7",IF($K610&lt;=30,"8-30",IF($K610&lt;=60,"31-60","60+")))))</f>
        <v/>
      </c>
      <c r="M610" s="35">
        <f>IF($A610="","",IF($B610="","YETİM",IF(COUNTIF(tblKartlar[KartId],$B610)=0,"YETİM","")))</f>
        <v/>
      </c>
      <c r="N610" s="35">
        <f>IF(OR($A610="",$D610=""),"",IF(OR($D610&amp;"|"&amp;$E610="",COUNTIF(ListeIzinliGecis,$D610&amp;"|"&amp;$E610)&gt;0),"","GEÇERSİZ GEÇİŞ"))</f>
        <v/>
      </c>
      <c r="O610" s="35">
        <f>IF($A610="","",IF(OR($F610="",$G610=""),"",IF(ABS($G610-$F610)&gt;zincirTolerans,"ZİNCİR KIRIK","OK")))</f>
        <v/>
      </c>
      <c r="P610" s="35">
        <f>IF($A610="","",1)</f>
        <v/>
      </c>
    </row>
    <row r="611">
      <c r="A611" s="29" t="n"/>
      <c r="B611" s="29" t="n"/>
      <c r="C611" s="70" t="n"/>
      <c r="D611" s="29" t="n"/>
      <c r="E611" s="29" t="n"/>
      <c r="F611" s="30" t="n"/>
      <c r="G611" s="30" t="n"/>
      <c r="H611" s="31" t="n"/>
      <c r="I611" s="31" t="n"/>
      <c r="J611" s="29" t="n"/>
      <c r="K611" s="35">
        <f>IF($A611="","",IF($C611="","",raporTarihi-$C611))</f>
        <v/>
      </c>
      <c r="L611" s="35">
        <f>IF($A611="","",IF($K611="","",IF($K611&lt;=7,"0-7",IF($K611&lt;=30,"8-30",IF($K611&lt;=60,"31-60","60+")))))</f>
        <v/>
      </c>
      <c r="M611" s="35">
        <f>IF($A611="","",IF($B611="","YETİM",IF(COUNTIF(tblKartlar[KartId],$B611)=0,"YETİM","")))</f>
        <v/>
      </c>
      <c r="N611" s="35">
        <f>IF(OR($A611="",$D611=""),"",IF(OR($D611&amp;"|"&amp;$E611="",COUNTIF(ListeIzinliGecis,$D611&amp;"|"&amp;$E611)&gt;0),"","GEÇERSİZ GEÇİŞ"))</f>
        <v/>
      </c>
      <c r="O611" s="35">
        <f>IF($A611="","",IF(OR($F611="",$G611=""),"",IF(ABS($G611-$F611)&gt;zincirTolerans,"ZİNCİR KIRIK","OK")))</f>
        <v/>
      </c>
      <c r="P611" s="35">
        <f>IF($A611="","",1)</f>
        <v/>
      </c>
    </row>
    <row r="612">
      <c r="A612" s="29" t="n"/>
      <c r="B612" s="29" t="n"/>
      <c r="C612" s="70" t="n"/>
      <c r="D612" s="29" t="n"/>
      <c r="E612" s="29" t="n"/>
      <c r="F612" s="30" t="n"/>
      <c r="G612" s="30" t="n"/>
      <c r="H612" s="31" t="n"/>
      <c r="I612" s="31" t="n"/>
      <c r="J612" s="29" t="n"/>
      <c r="K612" s="35">
        <f>IF($A612="","",IF($C612="","",raporTarihi-$C612))</f>
        <v/>
      </c>
      <c r="L612" s="35">
        <f>IF($A612="","",IF($K612="","",IF($K612&lt;=7,"0-7",IF($K612&lt;=30,"8-30",IF($K612&lt;=60,"31-60","60+")))))</f>
        <v/>
      </c>
      <c r="M612" s="35">
        <f>IF($A612="","",IF($B612="","YETİM",IF(COUNTIF(tblKartlar[KartId],$B612)=0,"YETİM","")))</f>
        <v/>
      </c>
      <c r="N612" s="35">
        <f>IF(OR($A612="",$D612=""),"",IF(OR($D612&amp;"|"&amp;$E612="",COUNTIF(ListeIzinliGecis,$D612&amp;"|"&amp;$E612)&gt;0),"","GEÇERSİZ GEÇİŞ"))</f>
        <v/>
      </c>
      <c r="O612" s="35">
        <f>IF($A612="","",IF(OR($F612="",$G612=""),"",IF(ABS($G612-$F612)&gt;zincirTolerans,"ZİNCİR KIRIK","OK")))</f>
        <v/>
      </c>
      <c r="P612" s="35">
        <f>IF($A612="","",1)</f>
        <v/>
      </c>
    </row>
    <row r="613">
      <c r="A613" s="29" t="n"/>
      <c r="B613" s="29" t="n"/>
      <c r="C613" s="70" t="n"/>
      <c r="D613" s="29" t="n"/>
      <c r="E613" s="29" t="n"/>
      <c r="F613" s="30" t="n"/>
      <c r="G613" s="30" t="n"/>
      <c r="H613" s="31" t="n"/>
      <c r="I613" s="31" t="n"/>
      <c r="J613" s="29" t="n"/>
      <c r="K613" s="35">
        <f>IF($A613="","",IF($C613="","",raporTarihi-$C613))</f>
        <v/>
      </c>
      <c r="L613" s="35">
        <f>IF($A613="","",IF($K613="","",IF($K613&lt;=7,"0-7",IF($K613&lt;=30,"8-30",IF($K613&lt;=60,"31-60","60+")))))</f>
        <v/>
      </c>
      <c r="M613" s="35">
        <f>IF($A613="","",IF($B613="","YETİM",IF(COUNTIF(tblKartlar[KartId],$B613)=0,"YETİM","")))</f>
        <v/>
      </c>
      <c r="N613" s="35">
        <f>IF(OR($A613="",$D613=""),"",IF(OR($D613&amp;"|"&amp;$E613="",COUNTIF(ListeIzinliGecis,$D613&amp;"|"&amp;$E613)&gt;0),"","GEÇERSİZ GEÇİŞ"))</f>
        <v/>
      </c>
      <c r="O613" s="35">
        <f>IF($A613="","",IF(OR($F613="",$G613=""),"",IF(ABS($G613-$F613)&gt;zincirTolerans,"ZİNCİR KIRIK","OK")))</f>
        <v/>
      </c>
      <c r="P613" s="35">
        <f>IF($A613="","",1)</f>
        <v/>
      </c>
    </row>
    <row r="614">
      <c r="A614" s="29" t="n"/>
      <c r="B614" s="29" t="n"/>
      <c r="C614" s="70" t="n"/>
      <c r="D614" s="29" t="n"/>
      <c r="E614" s="29" t="n"/>
      <c r="F614" s="30" t="n"/>
      <c r="G614" s="30" t="n"/>
      <c r="H614" s="31" t="n"/>
      <c r="I614" s="31" t="n"/>
      <c r="J614" s="29" t="n"/>
      <c r="K614" s="35">
        <f>IF($A614="","",IF($C614="","",raporTarihi-$C614))</f>
        <v/>
      </c>
      <c r="L614" s="35">
        <f>IF($A614="","",IF($K614="","",IF($K614&lt;=7,"0-7",IF($K614&lt;=30,"8-30",IF($K614&lt;=60,"31-60","60+")))))</f>
        <v/>
      </c>
      <c r="M614" s="35">
        <f>IF($A614="","",IF($B614="","YETİM",IF(COUNTIF(tblKartlar[KartId],$B614)=0,"YETİM","")))</f>
        <v/>
      </c>
      <c r="N614" s="35">
        <f>IF(OR($A614="",$D614=""),"",IF(OR($D614&amp;"|"&amp;$E614="",COUNTIF(ListeIzinliGecis,$D614&amp;"|"&amp;$E614)&gt;0),"","GEÇERSİZ GEÇİŞ"))</f>
        <v/>
      </c>
      <c r="O614" s="35">
        <f>IF($A614="","",IF(OR($F614="",$G614=""),"",IF(ABS($G614-$F614)&gt;zincirTolerans,"ZİNCİR KIRIK","OK")))</f>
        <v/>
      </c>
      <c r="P614" s="35">
        <f>IF($A614="","",1)</f>
        <v/>
      </c>
    </row>
    <row r="615">
      <c r="A615" s="29" t="n"/>
      <c r="B615" s="29" t="n"/>
      <c r="C615" s="70" t="n"/>
      <c r="D615" s="29" t="n"/>
      <c r="E615" s="29" t="n"/>
      <c r="F615" s="30" t="n"/>
      <c r="G615" s="30" t="n"/>
      <c r="H615" s="31" t="n"/>
      <c r="I615" s="31" t="n"/>
      <c r="J615" s="29" t="n"/>
      <c r="K615" s="35">
        <f>IF($A615="","",IF($C615="","",raporTarihi-$C615))</f>
        <v/>
      </c>
      <c r="L615" s="35">
        <f>IF($A615="","",IF($K615="","",IF($K615&lt;=7,"0-7",IF($K615&lt;=30,"8-30",IF($K615&lt;=60,"31-60","60+")))))</f>
        <v/>
      </c>
      <c r="M615" s="35">
        <f>IF($A615="","",IF($B615="","YETİM",IF(COUNTIF(tblKartlar[KartId],$B615)=0,"YETİM","")))</f>
        <v/>
      </c>
      <c r="N615" s="35">
        <f>IF(OR($A615="",$D615=""),"",IF(OR($D615&amp;"|"&amp;$E615="",COUNTIF(ListeIzinliGecis,$D615&amp;"|"&amp;$E615)&gt;0),"","GEÇERSİZ GEÇİŞ"))</f>
        <v/>
      </c>
      <c r="O615" s="35">
        <f>IF($A615="","",IF(OR($F615="",$G615=""),"",IF(ABS($G615-$F615)&gt;zincirTolerans,"ZİNCİR KIRIK","OK")))</f>
        <v/>
      </c>
      <c r="P615" s="35">
        <f>IF($A615="","",1)</f>
        <v/>
      </c>
    </row>
    <row r="616">
      <c r="A616" s="29" t="n"/>
      <c r="B616" s="29" t="n"/>
      <c r="C616" s="70" t="n"/>
      <c r="D616" s="29" t="n"/>
      <c r="E616" s="29" t="n"/>
      <c r="F616" s="30" t="n"/>
      <c r="G616" s="30" t="n"/>
      <c r="H616" s="31" t="n"/>
      <c r="I616" s="31" t="n"/>
      <c r="J616" s="29" t="n"/>
      <c r="K616" s="35">
        <f>IF($A616="","",IF($C616="","",raporTarihi-$C616))</f>
        <v/>
      </c>
      <c r="L616" s="35">
        <f>IF($A616="","",IF($K616="","",IF($K616&lt;=7,"0-7",IF($K616&lt;=30,"8-30",IF($K616&lt;=60,"31-60","60+")))))</f>
        <v/>
      </c>
      <c r="M616" s="35">
        <f>IF($A616="","",IF($B616="","YETİM",IF(COUNTIF(tblKartlar[KartId],$B616)=0,"YETİM","")))</f>
        <v/>
      </c>
      <c r="N616" s="35">
        <f>IF(OR($A616="",$D616=""),"",IF(OR($D616&amp;"|"&amp;$E616="",COUNTIF(ListeIzinliGecis,$D616&amp;"|"&amp;$E616)&gt;0),"","GEÇERSİZ GEÇİŞ"))</f>
        <v/>
      </c>
      <c r="O616" s="35">
        <f>IF($A616="","",IF(OR($F616="",$G616=""),"",IF(ABS($G616-$F616)&gt;zincirTolerans,"ZİNCİR KIRIK","OK")))</f>
        <v/>
      </c>
      <c r="P616" s="35">
        <f>IF($A616="","",1)</f>
        <v/>
      </c>
    </row>
    <row r="617">
      <c r="A617" s="29" t="n"/>
      <c r="B617" s="29" t="n"/>
      <c r="C617" s="70" t="n"/>
      <c r="D617" s="29" t="n"/>
      <c r="E617" s="29" t="n"/>
      <c r="F617" s="30" t="n"/>
      <c r="G617" s="30" t="n"/>
      <c r="H617" s="31" t="n"/>
      <c r="I617" s="31" t="n"/>
      <c r="J617" s="29" t="n"/>
      <c r="K617" s="35">
        <f>IF($A617="","",IF($C617="","",raporTarihi-$C617))</f>
        <v/>
      </c>
      <c r="L617" s="35">
        <f>IF($A617="","",IF($K617="","",IF($K617&lt;=7,"0-7",IF($K617&lt;=30,"8-30",IF($K617&lt;=60,"31-60","60+")))))</f>
        <v/>
      </c>
      <c r="M617" s="35">
        <f>IF($A617="","",IF($B617="","YETİM",IF(COUNTIF(tblKartlar[KartId],$B617)=0,"YETİM","")))</f>
        <v/>
      </c>
      <c r="N617" s="35">
        <f>IF(OR($A617="",$D617=""),"",IF(OR($D617&amp;"|"&amp;$E617="",COUNTIF(ListeIzinliGecis,$D617&amp;"|"&amp;$E617)&gt;0),"","GEÇERSİZ GEÇİŞ"))</f>
        <v/>
      </c>
      <c r="O617" s="35">
        <f>IF($A617="","",IF(OR($F617="",$G617=""),"",IF(ABS($G617-$F617)&gt;zincirTolerans,"ZİNCİR KIRIK","OK")))</f>
        <v/>
      </c>
      <c r="P617" s="35">
        <f>IF($A617="","",1)</f>
        <v/>
      </c>
    </row>
    <row r="618">
      <c r="A618" s="29" t="n"/>
      <c r="B618" s="29" t="n"/>
      <c r="C618" s="70" t="n"/>
      <c r="D618" s="29" t="n"/>
      <c r="E618" s="29" t="n"/>
      <c r="F618" s="30" t="n"/>
      <c r="G618" s="30" t="n"/>
      <c r="H618" s="31" t="n"/>
      <c r="I618" s="31" t="n"/>
      <c r="J618" s="29" t="n"/>
      <c r="K618" s="35">
        <f>IF($A618="","",IF($C618="","",raporTarihi-$C618))</f>
        <v/>
      </c>
      <c r="L618" s="35">
        <f>IF($A618="","",IF($K618="","",IF($K618&lt;=7,"0-7",IF($K618&lt;=30,"8-30",IF($K618&lt;=60,"31-60","60+")))))</f>
        <v/>
      </c>
      <c r="M618" s="35">
        <f>IF($A618="","",IF($B618="","YETİM",IF(COUNTIF(tblKartlar[KartId],$B618)=0,"YETİM","")))</f>
        <v/>
      </c>
      <c r="N618" s="35">
        <f>IF(OR($A618="",$D618=""),"",IF(OR($D618&amp;"|"&amp;$E618="",COUNTIF(ListeIzinliGecis,$D618&amp;"|"&amp;$E618)&gt;0),"","GEÇERSİZ GEÇİŞ"))</f>
        <v/>
      </c>
      <c r="O618" s="35">
        <f>IF($A618="","",IF(OR($F618="",$G618=""),"",IF(ABS($G618-$F618)&gt;zincirTolerans,"ZİNCİR KIRIK","OK")))</f>
        <v/>
      </c>
      <c r="P618" s="35">
        <f>IF($A618="","",1)</f>
        <v/>
      </c>
    </row>
    <row r="619">
      <c r="A619" s="29" t="n"/>
      <c r="B619" s="29" t="n"/>
      <c r="C619" s="70" t="n"/>
      <c r="D619" s="29" t="n"/>
      <c r="E619" s="29" t="n"/>
      <c r="F619" s="30" t="n"/>
      <c r="G619" s="30" t="n"/>
      <c r="H619" s="31" t="n"/>
      <c r="I619" s="31" t="n"/>
      <c r="J619" s="29" t="n"/>
      <c r="K619" s="35">
        <f>IF($A619="","",IF($C619="","",raporTarihi-$C619))</f>
        <v/>
      </c>
      <c r="L619" s="35">
        <f>IF($A619="","",IF($K619="","",IF($K619&lt;=7,"0-7",IF($K619&lt;=30,"8-30",IF($K619&lt;=60,"31-60","60+")))))</f>
        <v/>
      </c>
      <c r="M619" s="35">
        <f>IF($A619="","",IF($B619="","YETİM",IF(COUNTIF(tblKartlar[KartId],$B619)=0,"YETİM","")))</f>
        <v/>
      </c>
      <c r="N619" s="35">
        <f>IF(OR($A619="",$D619=""),"",IF(OR($D619&amp;"|"&amp;$E619="",COUNTIF(ListeIzinliGecis,$D619&amp;"|"&amp;$E619)&gt;0),"","GEÇERSİZ GEÇİŞ"))</f>
        <v/>
      </c>
      <c r="O619" s="35">
        <f>IF($A619="","",IF(OR($F619="",$G619=""),"",IF(ABS($G619-$F619)&gt;zincirTolerans,"ZİNCİR KIRIK","OK")))</f>
        <v/>
      </c>
      <c r="P619" s="35">
        <f>IF($A619="","",1)</f>
        <v/>
      </c>
    </row>
    <row r="620">
      <c r="A620" s="29" t="n"/>
      <c r="B620" s="29" t="n"/>
      <c r="C620" s="70" t="n"/>
      <c r="D620" s="29" t="n"/>
      <c r="E620" s="29" t="n"/>
      <c r="F620" s="30" t="n"/>
      <c r="G620" s="30" t="n"/>
      <c r="H620" s="31" t="n"/>
      <c r="I620" s="31" t="n"/>
      <c r="J620" s="29" t="n"/>
      <c r="K620" s="35">
        <f>IF($A620="","",IF($C620="","",raporTarihi-$C620))</f>
        <v/>
      </c>
      <c r="L620" s="35">
        <f>IF($A620="","",IF($K620="","",IF($K620&lt;=7,"0-7",IF($K620&lt;=30,"8-30",IF($K620&lt;=60,"31-60","60+")))))</f>
        <v/>
      </c>
      <c r="M620" s="35">
        <f>IF($A620="","",IF($B620="","YETİM",IF(COUNTIF(tblKartlar[KartId],$B620)=0,"YETİM","")))</f>
        <v/>
      </c>
      <c r="N620" s="35">
        <f>IF(OR($A620="",$D620=""),"",IF(OR($D620&amp;"|"&amp;$E620="",COUNTIF(ListeIzinliGecis,$D620&amp;"|"&amp;$E620)&gt;0),"","GEÇERSİZ GEÇİŞ"))</f>
        <v/>
      </c>
      <c r="O620" s="35">
        <f>IF($A620="","",IF(OR($F620="",$G620=""),"",IF(ABS($G620-$F620)&gt;zincirTolerans,"ZİNCİR KIRIK","OK")))</f>
        <v/>
      </c>
      <c r="P620" s="35">
        <f>IF($A620="","",1)</f>
        <v/>
      </c>
    </row>
    <row r="621">
      <c r="A621" s="29" t="n"/>
      <c r="B621" s="29" t="n"/>
      <c r="C621" s="70" t="n"/>
      <c r="D621" s="29" t="n"/>
      <c r="E621" s="29" t="n"/>
      <c r="F621" s="30" t="n"/>
      <c r="G621" s="30" t="n"/>
      <c r="H621" s="31" t="n"/>
      <c r="I621" s="31" t="n"/>
      <c r="J621" s="29" t="n"/>
      <c r="K621" s="35">
        <f>IF($A621="","",IF($C621="","",raporTarihi-$C621))</f>
        <v/>
      </c>
      <c r="L621" s="35">
        <f>IF($A621="","",IF($K621="","",IF($K621&lt;=7,"0-7",IF($K621&lt;=30,"8-30",IF($K621&lt;=60,"31-60","60+")))))</f>
        <v/>
      </c>
      <c r="M621" s="35">
        <f>IF($A621="","",IF($B621="","YETİM",IF(COUNTIF(tblKartlar[KartId],$B621)=0,"YETİM","")))</f>
        <v/>
      </c>
      <c r="N621" s="35">
        <f>IF(OR($A621="",$D621=""),"",IF(OR($D621&amp;"|"&amp;$E621="",COUNTIF(ListeIzinliGecis,$D621&amp;"|"&amp;$E621)&gt;0),"","GEÇERSİZ GEÇİŞ"))</f>
        <v/>
      </c>
      <c r="O621" s="35">
        <f>IF($A621="","",IF(OR($F621="",$G621=""),"",IF(ABS($G621-$F621)&gt;zincirTolerans,"ZİNCİR KIRIK","OK")))</f>
        <v/>
      </c>
      <c r="P621" s="35">
        <f>IF($A621="","",1)</f>
        <v/>
      </c>
    </row>
    <row r="622">
      <c r="A622" s="29" t="n"/>
      <c r="B622" s="29" t="n"/>
      <c r="C622" s="70" t="n"/>
      <c r="D622" s="29" t="n"/>
      <c r="E622" s="29" t="n"/>
      <c r="F622" s="30" t="n"/>
      <c r="G622" s="30" t="n"/>
      <c r="H622" s="31" t="n"/>
      <c r="I622" s="31" t="n"/>
      <c r="J622" s="29" t="n"/>
      <c r="K622" s="35">
        <f>IF($A622="","",IF($C622="","",raporTarihi-$C622))</f>
        <v/>
      </c>
      <c r="L622" s="35">
        <f>IF($A622="","",IF($K622="","",IF($K622&lt;=7,"0-7",IF($K622&lt;=30,"8-30",IF($K622&lt;=60,"31-60","60+")))))</f>
        <v/>
      </c>
      <c r="M622" s="35">
        <f>IF($A622="","",IF($B622="","YETİM",IF(COUNTIF(tblKartlar[KartId],$B622)=0,"YETİM","")))</f>
        <v/>
      </c>
      <c r="N622" s="35">
        <f>IF(OR($A622="",$D622=""),"",IF(OR($D622&amp;"|"&amp;$E622="",COUNTIF(ListeIzinliGecis,$D622&amp;"|"&amp;$E622)&gt;0),"","GEÇERSİZ GEÇİŞ"))</f>
        <v/>
      </c>
      <c r="O622" s="35">
        <f>IF($A622="","",IF(OR($F622="",$G622=""),"",IF(ABS($G622-$F622)&gt;zincirTolerans,"ZİNCİR KIRIK","OK")))</f>
        <v/>
      </c>
      <c r="P622" s="35">
        <f>IF($A622="","",1)</f>
        <v/>
      </c>
    </row>
    <row r="623">
      <c r="A623" s="29" t="n"/>
      <c r="B623" s="29" t="n"/>
      <c r="C623" s="70" t="n"/>
      <c r="D623" s="29" t="n"/>
      <c r="E623" s="29" t="n"/>
      <c r="F623" s="30" t="n"/>
      <c r="G623" s="30" t="n"/>
      <c r="H623" s="31" t="n"/>
      <c r="I623" s="31" t="n"/>
      <c r="J623" s="29" t="n"/>
      <c r="K623" s="35">
        <f>IF($A623="","",IF($C623="","",raporTarihi-$C623))</f>
        <v/>
      </c>
      <c r="L623" s="35">
        <f>IF($A623="","",IF($K623="","",IF($K623&lt;=7,"0-7",IF($K623&lt;=30,"8-30",IF($K623&lt;=60,"31-60","60+")))))</f>
        <v/>
      </c>
      <c r="M623" s="35">
        <f>IF($A623="","",IF($B623="","YETİM",IF(COUNTIF(tblKartlar[KartId],$B623)=0,"YETİM","")))</f>
        <v/>
      </c>
      <c r="N623" s="35">
        <f>IF(OR($A623="",$D623=""),"",IF(OR($D623&amp;"|"&amp;$E623="",COUNTIF(ListeIzinliGecis,$D623&amp;"|"&amp;$E623)&gt;0),"","GEÇERSİZ GEÇİŞ"))</f>
        <v/>
      </c>
      <c r="O623" s="35">
        <f>IF($A623="","",IF(OR($F623="",$G623=""),"",IF(ABS($G623-$F623)&gt;zincirTolerans,"ZİNCİR KIRIK","OK")))</f>
        <v/>
      </c>
      <c r="P623" s="35">
        <f>IF($A623="","",1)</f>
        <v/>
      </c>
    </row>
    <row r="624">
      <c r="A624" s="29" t="n"/>
      <c r="B624" s="29" t="n"/>
      <c r="C624" s="70" t="n"/>
      <c r="D624" s="29" t="n"/>
      <c r="E624" s="29" t="n"/>
      <c r="F624" s="30" t="n"/>
      <c r="G624" s="30" t="n"/>
      <c r="H624" s="31" t="n"/>
      <c r="I624" s="31" t="n"/>
      <c r="J624" s="29" t="n"/>
      <c r="K624" s="35">
        <f>IF($A624="","",IF($C624="","",raporTarihi-$C624))</f>
        <v/>
      </c>
      <c r="L624" s="35">
        <f>IF($A624="","",IF($K624="","",IF($K624&lt;=7,"0-7",IF($K624&lt;=30,"8-30",IF($K624&lt;=60,"31-60","60+")))))</f>
        <v/>
      </c>
      <c r="M624" s="35">
        <f>IF($A624="","",IF($B624="","YETİM",IF(COUNTIF(tblKartlar[KartId],$B624)=0,"YETİM","")))</f>
        <v/>
      </c>
      <c r="N624" s="35">
        <f>IF(OR($A624="",$D624=""),"",IF(OR($D624&amp;"|"&amp;$E624="",COUNTIF(ListeIzinliGecis,$D624&amp;"|"&amp;$E624)&gt;0),"","GEÇERSİZ GEÇİŞ"))</f>
        <v/>
      </c>
      <c r="O624" s="35">
        <f>IF($A624="","",IF(OR($F624="",$G624=""),"",IF(ABS($G624-$F624)&gt;zincirTolerans,"ZİNCİR KIRIK","OK")))</f>
        <v/>
      </c>
      <c r="P624" s="35">
        <f>IF($A624="","",1)</f>
        <v/>
      </c>
    </row>
    <row r="625">
      <c r="A625" s="29" t="n"/>
      <c r="B625" s="29" t="n"/>
      <c r="C625" s="70" t="n"/>
      <c r="D625" s="29" t="n"/>
      <c r="E625" s="29" t="n"/>
      <c r="F625" s="30" t="n"/>
      <c r="G625" s="30" t="n"/>
      <c r="H625" s="31" t="n"/>
      <c r="I625" s="31" t="n"/>
      <c r="J625" s="29" t="n"/>
      <c r="K625" s="35">
        <f>IF($A625="","",IF($C625="","",raporTarihi-$C625))</f>
        <v/>
      </c>
      <c r="L625" s="35">
        <f>IF($A625="","",IF($K625="","",IF($K625&lt;=7,"0-7",IF($K625&lt;=30,"8-30",IF($K625&lt;=60,"31-60","60+")))))</f>
        <v/>
      </c>
      <c r="M625" s="35">
        <f>IF($A625="","",IF($B625="","YETİM",IF(COUNTIF(tblKartlar[KartId],$B625)=0,"YETİM","")))</f>
        <v/>
      </c>
      <c r="N625" s="35">
        <f>IF(OR($A625="",$D625=""),"",IF(OR($D625&amp;"|"&amp;$E625="",COUNTIF(ListeIzinliGecis,$D625&amp;"|"&amp;$E625)&gt;0),"","GEÇERSİZ GEÇİŞ"))</f>
        <v/>
      </c>
      <c r="O625" s="35">
        <f>IF($A625="","",IF(OR($F625="",$G625=""),"",IF(ABS($G625-$F625)&gt;zincirTolerans,"ZİNCİR KIRIK","OK")))</f>
        <v/>
      </c>
      <c r="P625" s="35">
        <f>IF($A625="","",1)</f>
        <v/>
      </c>
    </row>
    <row r="626">
      <c r="A626" s="29" t="n"/>
      <c r="B626" s="29" t="n"/>
      <c r="C626" s="70" t="n"/>
      <c r="D626" s="29" t="n"/>
      <c r="E626" s="29" t="n"/>
      <c r="F626" s="30" t="n"/>
      <c r="G626" s="30" t="n"/>
      <c r="H626" s="31" t="n"/>
      <c r="I626" s="31" t="n"/>
      <c r="J626" s="29" t="n"/>
      <c r="K626" s="35">
        <f>IF($A626="","",IF($C626="","",raporTarihi-$C626))</f>
        <v/>
      </c>
      <c r="L626" s="35">
        <f>IF($A626="","",IF($K626="","",IF($K626&lt;=7,"0-7",IF($K626&lt;=30,"8-30",IF($K626&lt;=60,"31-60","60+")))))</f>
        <v/>
      </c>
      <c r="M626" s="35">
        <f>IF($A626="","",IF($B626="","YETİM",IF(COUNTIF(tblKartlar[KartId],$B626)=0,"YETİM","")))</f>
        <v/>
      </c>
      <c r="N626" s="35">
        <f>IF(OR($A626="",$D626=""),"",IF(OR($D626&amp;"|"&amp;$E626="",COUNTIF(ListeIzinliGecis,$D626&amp;"|"&amp;$E626)&gt;0),"","GEÇERSİZ GEÇİŞ"))</f>
        <v/>
      </c>
      <c r="O626" s="35">
        <f>IF($A626="","",IF(OR($F626="",$G626=""),"",IF(ABS($G626-$F626)&gt;zincirTolerans,"ZİNCİR KIRIK","OK")))</f>
        <v/>
      </c>
      <c r="P626" s="35">
        <f>IF($A626="","",1)</f>
        <v/>
      </c>
    </row>
    <row r="627">
      <c r="A627" s="29" t="n"/>
      <c r="B627" s="29" t="n"/>
      <c r="C627" s="70" t="n"/>
      <c r="D627" s="29" t="n"/>
      <c r="E627" s="29" t="n"/>
      <c r="F627" s="30" t="n"/>
      <c r="G627" s="30" t="n"/>
      <c r="H627" s="31" t="n"/>
      <c r="I627" s="31" t="n"/>
      <c r="J627" s="29" t="n"/>
      <c r="K627" s="35">
        <f>IF($A627="","",IF($C627="","",raporTarihi-$C627))</f>
        <v/>
      </c>
      <c r="L627" s="35">
        <f>IF($A627="","",IF($K627="","",IF($K627&lt;=7,"0-7",IF($K627&lt;=30,"8-30",IF($K627&lt;=60,"31-60","60+")))))</f>
        <v/>
      </c>
      <c r="M627" s="35">
        <f>IF($A627="","",IF($B627="","YETİM",IF(COUNTIF(tblKartlar[KartId],$B627)=0,"YETİM","")))</f>
        <v/>
      </c>
      <c r="N627" s="35">
        <f>IF(OR($A627="",$D627=""),"",IF(OR($D627&amp;"|"&amp;$E627="",COUNTIF(ListeIzinliGecis,$D627&amp;"|"&amp;$E627)&gt;0),"","GEÇERSİZ GEÇİŞ"))</f>
        <v/>
      </c>
      <c r="O627" s="35">
        <f>IF($A627="","",IF(OR($F627="",$G627=""),"",IF(ABS($G627-$F627)&gt;zincirTolerans,"ZİNCİR KIRIK","OK")))</f>
        <v/>
      </c>
      <c r="P627" s="35">
        <f>IF($A627="","",1)</f>
        <v/>
      </c>
    </row>
    <row r="628">
      <c r="A628" s="29" t="n"/>
      <c r="B628" s="29" t="n"/>
      <c r="C628" s="70" t="n"/>
      <c r="D628" s="29" t="n"/>
      <c r="E628" s="29" t="n"/>
      <c r="F628" s="30" t="n"/>
      <c r="G628" s="30" t="n"/>
      <c r="H628" s="31" t="n"/>
      <c r="I628" s="31" t="n"/>
      <c r="J628" s="29" t="n"/>
      <c r="K628" s="35">
        <f>IF($A628="","",IF($C628="","",raporTarihi-$C628))</f>
        <v/>
      </c>
      <c r="L628" s="35">
        <f>IF($A628="","",IF($K628="","",IF($K628&lt;=7,"0-7",IF($K628&lt;=30,"8-30",IF($K628&lt;=60,"31-60","60+")))))</f>
        <v/>
      </c>
      <c r="M628" s="35">
        <f>IF($A628="","",IF($B628="","YETİM",IF(COUNTIF(tblKartlar[KartId],$B628)=0,"YETİM","")))</f>
        <v/>
      </c>
      <c r="N628" s="35">
        <f>IF(OR($A628="",$D628=""),"",IF(OR($D628&amp;"|"&amp;$E628="",COUNTIF(ListeIzinliGecis,$D628&amp;"|"&amp;$E628)&gt;0),"","GEÇERSİZ GEÇİŞ"))</f>
        <v/>
      </c>
      <c r="O628" s="35">
        <f>IF($A628="","",IF(OR($F628="",$G628=""),"",IF(ABS($G628-$F628)&gt;zincirTolerans,"ZİNCİR KIRIK","OK")))</f>
        <v/>
      </c>
      <c r="P628" s="35">
        <f>IF($A628="","",1)</f>
        <v/>
      </c>
    </row>
    <row r="629">
      <c r="A629" s="29" t="n"/>
      <c r="B629" s="29" t="n"/>
      <c r="C629" s="70" t="n"/>
      <c r="D629" s="29" t="n"/>
      <c r="E629" s="29" t="n"/>
      <c r="F629" s="30" t="n"/>
      <c r="G629" s="30" t="n"/>
      <c r="H629" s="31" t="n"/>
      <c r="I629" s="31" t="n"/>
      <c r="J629" s="29" t="n"/>
      <c r="K629" s="35">
        <f>IF($A629="","",IF($C629="","",raporTarihi-$C629))</f>
        <v/>
      </c>
      <c r="L629" s="35">
        <f>IF($A629="","",IF($K629="","",IF($K629&lt;=7,"0-7",IF($K629&lt;=30,"8-30",IF($K629&lt;=60,"31-60","60+")))))</f>
        <v/>
      </c>
      <c r="M629" s="35">
        <f>IF($A629="","",IF($B629="","YETİM",IF(COUNTIF(tblKartlar[KartId],$B629)=0,"YETİM","")))</f>
        <v/>
      </c>
      <c r="N629" s="35">
        <f>IF(OR($A629="",$D629=""),"",IF(OR($D629&amp;"|"&amp;$E629="",COUNTIF(ListeIzinliGecis,$D629&amp;"|"&amp;$E629)&gt;0),"","GEÇERSİZ GEÇİŞ"))</f>
        <v/>
      </c>
      <c r="O629" s="35">
        <f>IF($A629="","",IF(OR($F629="",$G629=""),"",IF(ABS($G629-$F629)&gt;zincirTolerans,"ZİNCİR KIRIK","OK")))</f>
        <v/>
      </c>
      <c r="P629" s="35">
        <f>IF($A629="","",1)</f>
        <v/>
      </c>
    </row>
    <row r="630">
      <c r="A630" s="29" t="n"/>
      <c r="B630" s="29" t="n"/>
      <c r="C630" s="70" t="n"/>
      <c r="D630" s="29" t="n"/>
      <c r="E630" s="29" t="n"/>
      <c r="F630" s="30" t="n"/>
      <c r="G630" s="30" t="n"/>
      <c r="H630" s="31" t="n"/>
      <c r="I630" s="31" t="n"/>
      <c r="J630" s="29" t="n"/>
      <c r="K630" s="35">
        <f>IF($A630="","",IF($C630="","",raporTarihi-$C630))</f>
        <v/>
      </c>
      <c r="L630" s="35">
        <f>IF($A630="","",IF($K630="","",IF($K630&lt;=7,"0-7",IF($K630&lt;=30,"8-30",IF($K630&lt;=60,"31-60","60+")))))</f>
        <v/>
      </c>
      <c r="M630" s="35">
        <f>IF($A630="","",IF($B630="","YETİM",IF(COUNTIF(tblKartlar[KartId],$B630)=0,"YETİM","")))</f>
        <v/>
      </c>
      <c r="N630" s="35">
        <f>IF(OR($A630="",$D630=""),"",IF(OR($D630&amp;"|"&amp;$E630="",COUNTIF(ListeIzinliGecis,$D630&amp;"|"&amp;$E630)&gt;0),"","GEÇERSİZ GEÇİŞ"))</f>
        <v/>
      </c>
      <c r="O630" s="35">
        <f>IF($A630="","",IF(OR($F630="",$G630=""),"",IF(ABS($G630-$F630)&gt;zincirTolerans,"ZİNCİR KIRIK","OK")))</f>
        <v/>
      </c>
      <c r="P630" s="35">
        <f>IF($A630="","",1)</f>
        <v/>
      </c>
    </row>
    <row r="631">
      <c r="A631" s="29" t="n"/>
      <c r="B631" s="29" t="n"/>
      <c r="C631" s="70" t="n"/>
      <c r="D631" s="29" t="n"/>
      <c r="E631" s="29" t="n"/>
      <c r="F631" s="30" t="n"/>
      <c r="G631" s="30" t="n"/>
      <c r="H631" s="31" t="n"/>
      <c r="I631" s="31" t="n"/>
      <c r="J631" s="29" t="n"/>
      <c r="K631" s="35">
        <f>IF($A631="","",IF($C631="","",raporTarihi-$C631))</f>
        <v/>
      </c>
      <c r="L631" s="35">
        <f>IF($A631="","",IF($K631="","",IF($K631&lt;=7,"0-7",IF($K631&lt;=30,"8-30",IF($K631&lt;=60,"31-60","60+")))))</f>
        <v/>
      </c>
      <c r="M631" s="35">
        <f>IF($A631="","",IF($B631="","YETİM",IF(COUNTIF(tblKartlar[KartId],$B631)=0,"YETİM","")))</f>
        <v/>
      </c>
      <c r="N631" s="35">
        <f>IF(OR($A631="",$D631=""),"",IF(OR($D631&amp;"|"&amp;$E631="",COUNTIF(ListeIzinliGecis,$D631&amp;"|"&amp;$E631)&gt;0),"","GEÇERSİZ GEÇİŞ"))</f>
        <v/>
      </c>
      <c r="O631" s="35">
        <f>IF($A631="","",IF(OR($F631="",$G631=""),"",IF(ABS($G631-$F631)&gt;zincirTolerans,"ZİNCİR KIRIK","OK")))</f>
        <v/>
      </c>
      <c r="P631" s="35">
        <f>IF($A631="","",1)</f>
        <v/>
      </c>
    </row>
    <row r="632">
      <c r="A632" s="29" t="n"/>
      <c r="B632" s="29" t="n"/>
      <c r="C632" s="70" t="n"/>
      <c r="D632" s="29" t="n"/>
      <c r="E632" s="29" t="n"/>
      <c r="F632" s="30" t="n"/>
      <c r="G632" s="30" t="n"/>
      <c r="H632" s="31" t="n"/>
      <c r="I632" s="31" t="n"/>
      <c r="J632" s="29" t="n"/>
      <c r="K632" s="35">
        <f>IF($A632="","",IF($C632="","",raporTarihi-$C632))</f>
        <v/>
      </c>
      <c r="L632" s="35">
        <f>IF($A632="","",IF($K632="","",IF($K632&lt;=7,"0-7",IF($K632&lt;=30,"8-30",IF($K632&lt;=60,"31-60","60+")))))</f>
        <v/>
      </c>
      <c r="M632" s="35">
        <f>IF($A632="","",IF($B632="","YETİM",IF(COUNTIF(tblKartlar[KartId],$B632)=0,"YETİM","")))</f>
        <v/>
      </c>
      <c r="N632" s="35">
        <f>IF(OR($A632="",$D632=""),"",IF(OR($D632&amp;"|"&amp;$E632="",COUNTIF(ListeIzinliGecis,$D632&amp;"|"&amp;$E632)&gt;0),"","GEÇERSİZ GEÇİŞ"))</f>
        <v/>
      </c>
      <c r="O632" s="35">
        <f>IF($A632="","",IF(OR($F632="",$G632=""),"",IF(ABS($G632-$F632)&gt;zincirTolerans,"ZİNCİR KIRIK","OK")))</f>
        <v/>
      </c>
      <c r="P632" s="35">
        <f>IF($A632="","",1)</f>
        <v/>
      </c>
    </row>
    <row r="633">
      <c r="A633" s="29" t="n"/>
      <c r="B633" s="29" t="n"/>
      <c r="C633" s="70" t="n"/>
      <c r="D633" s="29" t="n"/>
      <c r="E633" s="29" t="n"/>
      <c r="F633" s="30" t="n"/>
      <c r="G633" s="30" t="n"/>
      <c r="H633" s="31" t="n"/>
      <c r="I633" s="31" t="n"/>
      <c r="J633" s="29" t="n"/>
      <c r="K633" s="35">
        <f>IF($A633="","",IF($C633="","",raporTarihi-$C633))</f>
        <v/>
      </c>
      <c r="L633" s="35">
        <f>IF($A633="","",IF($K633="","",IF($K633&lt;=7,"0-7",IF($K633&lt;=30,"8-30",IF($K633&lt;=60,"31-60","60+")))))</f>
        <v/>
      </c>
      <c r="M633" s="35">
        <f>IF($A633="","",IF($B633="","YETİM",IF(COUNTIF(tblKartlar[KartId],$B633)=0,"YETİM","")))</f>
        <v/>
      </c>
      <c r="N633" s="35">
        <f>IF(OR($A633="",$D633=""),"",IF(OR($D633&amp;"|"&amp;$E633="",COUNTIF(ListeIzinliGecis,$D633&amp;"|"&amp;$E633)&gt;0),"","GEÇERSİZ GEÇİŞ"))</f>
        <v/>
      </c>
      <c r="O633" s="35">
        <f>IF($A633="","",IF(OR($F633="",$G633=""),"",IF(ABS($G633-$F633)&gt;zincirTolerans,"ZİNCİR KIRIK","OK")))</f>
        <v/>
      </c>
      <c r="P633" s="35">
        <f>IF($A633="","",1)</f>
        <v/>
      </c>
    </row>
    <row r="634">
      <c r="A634" s="29" t="n"/>
      <c r="B634" s="29" t="n"/>
      <c r="C634" s="70" t="n"/>
      <c r="D634" s="29" t="n"/>
      <c r="E634" s="29" t="n"/>
      <c r="F634" s="30" t="n"/>
      <c r="G634" s="30" t="n"/>
      <c r="H634" s="31" t="n"/>
      <c r="I634" s="31" t="n"/>
      <c r="J634" s="29" t="n"/>
      <c r="K634" s="35">
        <f>IF($A634="","",IF($C634="","",raporTarihi-$C634))</f>
        <v/>
      </c>
      <c r="L634" s="35">
        <f>IF($A634="","",IF($K634="","",IF($K634&lt;=7,"0-7",IF($K634&lt;=30,"8-30",IF($K634&lt;=60,"31-60","60+")))))</f>
        <v/>
      </c>
      <c r="M634" s="35">
        <f>IF($A634="","",IF($B634="","YETİM",IF(COUNTIF(tblKartlar[KartId],$B634)=0,"YETİM","")))</f>
        <v/>
      </c>
      <c r="N634" s="35">
        <f>IF(OR($A634="",$D634=""),"",IF(OR($D634&amp;"|"&amp;$E634="",COUNTIF(ListeIzinliGecis,$D634&amp;"|"&amp;$E634)&gt;0),"","GEÇERSİZ GEÇİŞ"))</f>
        <v/>
      </c>
      <c r="O634" s="35">
        <f>IF($A634="","",IF(OR($F634="",$G634=""),"",IF(ABS($G634-$F634)&gt;zincirTolerans,"ZİNCİR KIRIK","OK")))</f>
        <v/>
      </c>
      <c r="P634" s="35">
        <f>IF($A634="","",1)</f>
        <v/>
      </c>
    </row>
    <row r="635">
      <c r="A635" s="29" t="n"/>
      <c r="B635" s="29" t="n"/>
      <c r="C635" s="70" t="n"/>
      <c r="D635" s="29" t="n"/>
      <c r="E635" s="29" t="n"/>
      <c r="F635" s="30" t="n"/>
      <c r="G635" s="30" t="n"/>
      <c r="H635" s="31" t="n"/>
      <c r="I635" s="31" t="n"/>
      <c r="J635" s="29" t="n"/>
      <c r="K635" s="35">
        <f>IF($A635="","",IF($C635="","",raporTarihi-$C635))</f>
        <v/>
      </c>
      <c r="L635" s="35">
        <f>IF($A635="","",IF($K635="","",IF($K635&lt;=7,"0-7",IF($K635&lt;=30,"8-30",IF($K635&lt;=60,"31-60","60+")))))</f>
        <v/>
      </c>
      <c r="M635" s="35">
        <f>IF($A635="","",IF($B635="","YETİM",IF(COUNTIF(tblKartlar[KartId],$B635)=0,"YETİM","")))</f>
        <v/>
      </c>
      <c r="N635" s="35">
        <f>IF(OR($A635="",$D635=""),"",IF(OR($D635&amp;"|"&amp;$E635="",COUNTIF(ListeIzinliGecis,$D635&amp;"|"&amp;$E635)&gt;0),"","GEÇERSİZ GEÇİŞ"))</f>
        <v/>
      </c>
      <c r="O635" s="35">
        <f>IF($A635="","",IF(OR($F635="",$G635=""),"",IF(ABS($G635-$F635)&gt;zincirTolerans,"ZİNCİR KIRIK","OK")))</f>
        <v/>
      </c>
      <c r="P635" s="35">
        <f>IF($A635="","",1)</f>
        <v/>
      </c>
    </row>
    <row r="636">
      <c r="A636" s="29" t="n"/>
      <c r="B636" s="29" t="n"/>
      <c r="C636" s="70" t="n"/>
      <c r="D636" s="29" t="n"/>
      <c r="E636" s="29" t="n"/>
      <c r="F636" s="30" t="n"/>
      <c r="G636" s="30" t="n"/>
      <c r="H636" s="31" t="n"/>
      <c r="I636" s="31" t="n"/>
      <c r="J636" s="29" t="n"/>
      <c r="K636" s="35">
        <f>IF($A636="","",IF($C636="","",raporTarihi-$C636))</f>
        <v/>
      </c>
      <c r="L636" s="35">
        <f>IF($A636="","",IF($K636="","",IF($K636&lt;=7,"0-7",IF($K636&lt;=30,"8-30",IF($K636&lt;=60,"31-60","60+")))))</f>
        <v/>
      </c>
      <c r="M636" s="35">
        <f>IF($A636="","",IF($B636="","YETİM",IF(COUNTIF(tblKartlar[KartId],$B636)=0,"YETİM","")))</f>
        <v/>
      </c>
      <c r="N636" s="35">
        <f>IF(OR($A636="",$D636=""),"",IF(OR($D636&amp;"|"&amp;$E636="",COUNTIF(ListeIzinliGecis,$D636&amp;"|"&amp;$E636)&gt;0),"","GEÇERSİZ GEÇİŞ"))</f>
        <v/>
      </c>
      <c r="O636" s="35">
        <f>IF($A636="","",IF(OR($F636="",$G636=""),"",IF(ABS($G636-$F636)&gt;zincirTolerans,"ZİNCİR KIRIK","OK")))</f>
        <v/>
      </c>
      <c r="P636" s="35">
        <f>IF($A636="","",1)</f>
        <v/>
      </c>
    </row>
    <row r="637">
      <c r="A637" s="29" t="n"/>
      <c r="B637" s="29" t="n"/>
      <c r="C637" s="70" t="n"/>
      <c r="D637" s="29" t="n"/>
      <c r="E637" s="29" t="n"/>
      <c r="F637" s="30" t="n"/>
      <c r="G637" s="30" t="n"/>
      <c r="H637" s="31" t="n"/>
      <c r="I637" s="31" t="n"/>
      <c r="J637" s="29" t="n"/>
      <c r="K637" s="35">
        <f>IF($A637="","",IF($C637="","",raporTarihi-$C637))</f>
        <v/>
      </c>
      <c r="L637" s="35">
        <f>IF($A637="","",IF($K637="","",IF($K637&lt;=7,"0-7",IF($K637&lt;=30,"8-30",IF($K637&lt;=60,"31-60","60+")))))</f>
        <v/>
      </c>
      <c r="M637" s="35">
        <f>IF($A637="","",IF($B637="","YETİM",IF(COUNTIF(tblKartlar[KartId],$B637)=0,"YETİM","")))</f>
        <v/>
      </c>
      <c r="N637" s="35">
        <f>IF(OR($A637="",$D637=""),"",IF(OR($D637&amp;"|"&amp;$E637="",COUNTIF(ListeIzinliGecis,$D637&amp;"|"&amp;$E637)&gt;0),"","GEÇERSİZ GEÇİŞ"))</f>
        <v/>
      </c>
      <c r="O637" s="35">
        <f>IF($A637="","",IF(OR($F637="",$G637=""),"",IF(ABS($G637-$F637)&gt;zincirTolerans,"ZİNCİR KIRIK","OK")))</f>
        <v/>
      </c>
      <c r="P637" s="35">
        <f>IF($A637="","",1)</f>
        <v/>
      </c>
    </row>
    <row r="638">
      <c r="A638" s="29" t="n"/>
      <c r="B638" s="29" t="n"/>
      <c r="C638" s="70" t="n"/>
      <c r="D638" s="29" t="n"/>
      <c r="E638" s="29" t="n"/>
      <c r="F638" s="30" t="n"/>
      <c r="G638" s="30" t="n"/>
      <c r="H638" s="31" t="n"/>
      <c r="I638" s="31" t="n"/>
      <c r="J638" s="29" t="n"/>
      <c r="K638" s="35">
        <f>IF($A638="","",IF($C638="","",raporTarihi-$C638))</f>
        <v/>
      </c>
      <c r="L638" s="35">
        <f>IF($A638="","",IF($K638="","",IF($K638&lt;=7,"0-7",IF($K638&lt;=30,"8-30",IF($K638&lt;=60,"31-60","60+")))))</f>
        <v/>
      </c>
      <c r="M638" s="35">
        <f>IF($A638="","",IF($B638="","YETİM",IF(COUNTIF(tblKartlar[KartId],$B638)=0,"YETİM","")))</f>
        <v/>
      </c>
      <c r="N638" s="35">
        <f>IF(OR($A638="",$D638=""),"",IF(OR($D638&amp;"|"&amp;$E638="",COUNTIF(ListeIzinliGecis,$D638&amp;"|"&amp;$E638)&gt;0),"","GEÇERSİZ GEÇİŞ"))</f>
        <v/>
      </c>
      <c r="O638" s="35">
        <f>IF($A638="","",IF(OR($F638="",$G638=""),"",IF(ABS($G638-$F638)&gt;zincirTolerans,"ZİNCİR KIRIK","OK")))</f>
        <v/>
      </c>
      <c r="P638" s="35">
        <f>IF($A638="","",1)</f>
        <v/>
      </c>
    </row>
    <row r="639">
      <c r="A639" s="29" t="n"/>
      <c r="B639" s="29" t="n"/>
      <c r="C639" s="70" t="n"/>
      <c r="D639" s="29" t="n"/>
      <c r="E639" s="29" t="n"/>
      <c r="F639" s="30" t="n"/>
      <c r="G639" s="30" t="n"/>
      <c r="H639" s="31" t="n"/>
      <c r="I639" s="31" t="n"/>
      <c r="J639" s="29" t="n"/>
      <c r="K639" s="35">
        <f>IF($A639="","",IF($C639="","",raporTarihi-$C639))</f>
        <v/>
      </c>
      <c r="L639" s="35">
        <f>IF($A639="","",IF($K639="","",IF($K639&lt;=7,"0-7",IF($K639&lt;=30,"8-30",IF($K639&lt;=60,"31-60","60+")))))</f>
        <v/>
      </c>
      <c r="M639" s="35">
        <f>IF($A639="","",IF($B639="","YETİM",IF(COUNTIF(tblKartlar[KartId],$B639)=0,"YETİM","")))</f>
        <v/>
      </c>
      <c r="N639" s="35">
        <f>IF(OR($A639="",$D639=""),"",IF(OR($D639&amp;"|"&amp;$E639="",COUNTIF(ListeIzinliGecis,$D639&amp;"|"&amp;$E639)&gt;0),"","GEÇERSİZ GEÇİŞ"))</f>
        <v/>
      </c>
      <c r="O639" s="35">
        <f>IF($A639="","",IF(OR($F639="",$G639=""),"",IF(ABS($G639-$F639)&gt;zincirTolerans,"ZİNCİR KIRIK","OK")))</f>
        <v/>
      </c>
      <c r="P639" s="35">
        <f>IF($A639="","",1)</f>
        <v/>
      </c>
    </row>
    <row r="640">
      <c r="A640" s="29" t="n"/>
      <c r="B640" s="29" t="n"/>
      <c r="C640" s="70" t="n"/>
      <c r="D640" s="29" t="n"/>
      <c r="E640" s="29" t="n"/>
      <c r="F640" s="30" t="n"/>
      <c r="G640" s="30" t="n"/>
      <c r="H640" s="31" t="n"/>
      <c r="I640" s="31" t="n"/>
      <c r="J640" s="29" t="n"/>
      <c r="K640" s="35">
        <f>IF($A640="","",IF($C640="","",raporTarihi-$C640))</f>
        <v/>
      </c>
      <c r="L640" s="35">
        <f>IF($A640="","",IF($K640="","",IF($K640&lt;=7,"0-7",IF($K640&lt;=30,"8-30",IF($K640&lt;=60,"31-60","60+")))))</f>
        <v/>
      </c>
      <c r="M640" s="35">
        <f>IF($A640="","",IF($B640="","YETİM",IF(COUNTIF(tblKartlar[KartId],$B640)=0,"YETİM","")))</f>
        <v/>
      </c>
      <c r="N640" s="35">
        <f>IF(OR($A640="",$D640=""),"",IF(OR($D640&amp;"|"&amp;$E640="",COUNTIF(ListeIzinliGecis,$D640&amp;"|"&amp;$E640)&gt;0),"","GEÇERSİZ GEÇİŞ"))</f>
        <v/>
      </c>
      <c r="O640" s="35">
        <f>IF($A640="","",IF(OR($F640="",$G640=""),"",IF(ABS($G640-$F640)&gt;zincirTolerans,"ZİNCİR KIRIK","OK")))</f>
        <v/>
      </c>
      <c r="P640" s="35">
        <f>IF($A640="","",1)</f>
        <v/>
      </c>
    </row>
    <row r="641">
      <c r="A641" s="29" t="n"/>
      <c r="B641" s="29" t="n"/>
      <c r="C641" s="70" t="n"/>
      <c r="D641" s="29" t="n"/>
      <c r="E641" s="29" t="n"/>
      <c r="F641" s="30" t="n"/>
      <c r="G641" s="30" t="n"/>
      <c r="H641" s="31" t="n"/>
      <c r="I641" s="31" t="n"/>
      <c r="J641" s="29" t="n"/>
      <c r="K641" s="35">
        <f>IF($A641="","",IF($C641="","",raporTarihi-$C641))</f>
        <v/>
      </c>
      <c r="L641" s="35">
        <f>IF($A641="","",IF($K641="","",IF($K641&lt;=7,"0-7",IF($K641&lt;=30,"8-30",IF($K641&lt;=60,"31-60","60+")))))</f>
        <v/>
      </c>
      <c r="M641" s="35">
        <f>IF($A641="","",IF($B641="","YETİM",IF(COUNTIF(tblKartlar[KartId],$B641)=0,"YETİM","")))</f>
        <v/>
      </c>
      <c r="N641" s="35">
        <f>IF(OR($A641="",$D641=""),"",IF(OR($D641&amp;"|"&amp;$E641="",COUNTIF(ListeIzinliGecis,$D641&amp;"|"&amp;$E641)&gt;0),"","GEÇERSİZ GEÇİŞ"))</f>
        <v/>
      </c>
      <c r="O641" s="35">
        <f>IF($A641="","",IF(OR($F641="",$G641=""),"",IF(ABS($G641-$F641)&gt;zincirTolerans,"ZİNCİR KIRIK","OK")))</f>
        <v/>
      </c>
      <c r="P641" s="35">
        <f>IF($A641="","",1)</f>
        <v/>
      </c>
    </row>
    <row r="642">
      <c r="A642" s="29" t="n"/>
      <c r="B642" s="29" t="n"/>
      <c r="C642" s="70" t="n"/>
      <c r="D642" s="29" t="n"/>
      <c r="E642" s="29" t="n"/>
      <c r="F642" s="30" t="n"/>
      <c r="G642" s="30" t="n"/>
      <c r="H642" s="31" t="n"/>
      <c r="I642" s="31" t="n"/>
      <c r="J642" s="29" t="n"/>
      <c r="K642" s="35">
        <f>IF($A642="","",IF($C642="","",raporTarihi-$C642))</f>
        <v/>
      </c>
      <c r="L642" s="35">
        <f>IF($A642="","",IF($K642="","",IF($K642&lt;=7,"0-7",IF($K642&lt;=30,"8-30",IF($K642&lt;=60,"31-60","60+")))))</f>
        <v/>
      </c>
      <c r="M642" s="35">
        <f>IF($A642="","",IF($B642="","YETİM",IF(COUNTIF(tblKartlar[KartId],$B642)=0,"YETİM","")))</f>
        <v/>
      </c>
      <c r="N642" s="35">
        <f>IF(OR($A642="",$D642=""),"",IF(OR($D642&amp;"|"&amp;$E642="",COUNTIF(ListeIzinliGecis,$D642&amp;"|"&amp;$E642)&gt;0),"","GEÇERSİZ GEÇİŞ"))</f>
        <v/>
      </c>
      <c r="O642" s="35">
        <f>IF($A642="","",IF(OR($F642="",$G642=""),"",IF(ABS($G642-$F642)&gt;zincirTolerans,"ZİNCİR KIRIK","OK")))</f>
        <v/>
      </c>
      <c r="P642" s="35">
        <f>IF($A642="","",1)</f>
        <v/>
      </c>
    </row>
    <row r="643">
      <c r="A643" s="29" t="n"/>
      <c r="B643" s="29" t="n"/>
      <c r="C643" s="70" t="n"/>
      <c r="D643" s="29" t="n"/>
      <c r="E643" s="29" t="n"/>
      <c r="F643" s="30" t="n"/>
      <c r="G643" s="30" t="n"/>
      <c r="H643" s="31" t="n"/>
      <c r="I643" s="31" t="n"/>
      <c r="J643" s="29" t="n"/>
      <c r="K643" s="35">
        <f>IF($A643="","",IF($C643="","",raporTarihi-$C643))</f>
        <v/>
      </c>
      <c r="L643" s="35">
        <f>IF($A643="","",IF($K643="","",IF($K643&lt;=7,"0-7",IF($K643&lt;=30,"8-30",IF($K643&lt;=60,"31-60","60+")))))</f>
        <v/>
      </c>
      <c r="M643" s="35">
        <f>IF($A643="","",IF($B643="","YETİM",IF(COUNTIF(tblKartlar[KartId],$B643)=0,"YETİM","")))</f>
        <v/>
      </c>
      <c r="N643" s="35">
        <f>IF(OR($A643="",$D643=""),"",IF(OR($D643&amp;"|"&amp;$E643="",COUNTIF(ListeIzinliGecis,$D643&amp;"|"&amp;$E643)&gt;0),"","GEÇERSİZ GEÇİŞ"))</f>
        <v/>
      </c>
      <c r="O643" s="35">
        <f>IF($A643="","",IF(OR($F643="",$G643=""),"",IF(ABS($G643-$F643)&gt;zincirTolerans,"ZİNCİR KIRIK","OK")))</f>
        <v/>
      </c>
      <c r="P643" s="35">
        <f>IF($A643="","",1)</f>
        <v/>
      </c>
    </row>
    <row r="644">
      <c r="A644" s="29" t="n"/>
      <c r="B644" s="29" t="n"/>
      <c r="C644" s="70" t="n"/>
      <c r="D644" s="29" t="n"/>
      <c r="E644" s="29" t="n"/>
      <c r="F644" s="30" t="n"/>
      <c r="G644" s="30" t="n"/>
      <c r="H644" s="31" t="n"/>
      <c r="I644" s="31" t="n"/>
      <c r="J644" s="29" t="n"/>
      <c r="K644" s="35">
        <f>IF($A644="","",IF($C644="","",raporTarihi-$C644))</f>
        <v/>
      </c>
      <c r="L644" s="35">
        <f>IF($A644="","",IF($K644="","",IF($K644&lt;=7,"0-7",IF($K644&lt;=30,"8-30",IF($K644&lt;=60,"31-60","60+")))))</f>
        <v/>
      </c>
      <c r="M644" s="35">
        <f>IF($A644="","",IF($B644="","YETİM",IF(COUNTIF(tblKartlar[KartId],$B644)=0,"YETİM","")))</f>
        <v/>
      </c>
      <c r="N644" s="35">
        <f>IF(OR($A644="",$D644=""),"",IF(OR($D644&amp;"|"&amp;$E644="",COUNTIF(ListeIzinliGecis,$D644&amp;"|"&amp;$E644)&gt;0),"","GEÇERSİZ GEÇİŞ"))</f>
        <v/>
      </c>
      <c r="O644" s="35">
        <f>IF($A644="","",IF(OR($F644="",$G644=""),"",IF(ABS($G644-$F644)&gt;zincirTolerans,"ZİNCİR KIRIK","OK")))</f>
        <v/>
      </c>
      <c r="P644" s="35">
        <f>IF($A644="","",1)</f>
        <v/>
      </c>
    </row>
    <row r="645">
      <c r="A645" s="29" t="n"/>
      <c r="B645" s="29" t="n"/>
      <c r="C645" s="70" t="n"/>
      <c r="D645" s="29" t="n"/>
      <c r="E645" s="29" t="n"/>
      <c r="F645" s="30" t="n"/>
      <c r="G645" s="30" t="n"/>
      <c r="H645" s="31" t="n"/>
      <c r="I645" s="31" t="n"/>
      <c r="J645" s="29" t="n"/>
      <c r="K645" s="35">
        <f>IF($A645="","",IF($C645="","",raporTarihi-$C645))</f>
        <v/>
      </c>
      <c r="L645" s="35">
        <f>IF($A645="","",IF($K645="","",IF($K645&lt;=7,"0-7",IF($K645&lt;=30,"8-30",IF($K645&lt;=60,"31-60","60+")))))</f>
        <v/>
      </c>
      <c r="M645" s="35">
        <f>IF($A645="","",IF($B645="","YETİM",IF(COUNTIF(tblKartlar[KartId],$B645)=0,"YETİM","")))</f>
        <v/>
      </c>
      <c r="N645" s="35">
        <f>IF(OR($A645="",$D645=""),"",IF(OR($D645&amp;"|"&amp;$E645="",COUNTIF(ListeIzinliGecis,$D645&amp;"|"&amp;$E645)&gt;0),"","GEÇERSİZ GEÇİŞ"))</f>
        <v/>
      </c>
      <c r="O645" s="35">
        <f>IF($A645="","",IF(OR($F645="",$G645=""),"",IF(ABS($G645-$F645)&gt;zincirTolerans,"ZİNCİR KIRIK","OK")))</f>
        <v/>
      </c>
      <c r="P645" s="35">
        <f>IF($A645="","",1)</f>
        <v/>
      </c>
    </row>
    <row r="646">
      <c r="A646" s="29" t="n"/>
      <c r="B646" s="29" t="n"/>
      <c r="C646" s="70" t="n"/>
      <c r="D646" s="29" t="n"/>
      <c r="E646" s="29" t="n"/>
      <c r="F646" s="30" t="n"/>
      <c r="G646" s="30" t="n"/>
      <c r="H646" s="31" t="n"/>
      <c r="I646" s="31" t="n"/>
      <c r="J646" s="29" t="n"/>
      <c r="K646" s="35">
        <f>IF($A646="","",IF($C646="","",raporTarihi-$C646))</f>
        <v/>
      </c>
      <c r="L646" s="35">
        <f>IF($A646="","",IF($K646="","",IF($K646&lt;=7,"0-7",IF($K646&lt;=30,"8-30",IF($K646&lt;=60,"31-60","60+")))))</f>
        <v/>
      </c>
      <c r="M646" s="35">
        <f>IF($A646="","",IF($B646="","YETİM",IF(COUNTIF(tblKartlar[KartId],$B646)=0,"YETİM","")))</f>
        <v/>
      </c>
      <c r="N646" s="35">
        <f>IF(OR($A646="",$D646=""),"",IF(OR($D646&amp;"|"&amp;$E646="",COUNTIF(ListeIzinliGecis,$D646&amp;"|"&amp;$E646)&gt;0),"","GEÇERSİZ GEÇİŞ"))</f>
        <v/>
      </c>
      <c r="O646" s="35">
        <f>IF($A646="","",IF(OR($F646="",$G646=""),"",IF(ABS($G646-$F646)&gt;zincirTolerans,"ZİNCİR KIRIK","OK")))</f>
        <v/>
      </c>
      <c r="P646" s="35">
        <f>IF($A646="","",1)</f>
        <v/>
      </c>
    </row>
    <row r="647">
      <c r="A647" s="29" t="n"/>
      <c r="B647" s="29" t="n"/>
      <c r="C647" s="70" t="n"/>
      <c r="D647" s="29" t="n"/>
      <c r="E647" s="29" t="n"/>
      <c r="F647" s="30" t="n"/>
      <c r="G647" s="30" t="n"/>
      <c r="H647" s="31" t="n"/>
      <c r="I647" s="31" t="n"/>
      <c r="J647" s="29" t="n"/>
      <c r="K647" s="35">
        <f>IF($A647="","",IF($C647="","",raporTarihi-$C647))</f>
        <v/>
      </c>
      <c r="L647" s="35">
        <f>IF($A647="","",IF($K647="","",IF($K647&lt;=7,"0-7",IF($K647&lt;=30,"8-30",IF($K647&lt;=60,"31-60","60+")))))</f>
        <v/>
      </c>
      <c r="M647" s="35">
        <f>IF($A647="","",IF($B647="","YETİM",IF(COUNTIF(tblKartlar[KartId],$B647)=0,"YETİM","")))</f>
        <v/>
      </c>
      <c r="N647" s="35">
        <f>IF(OR($A647="",$D647=""),"",IF(OR($D647&amp;"|"&amp;$E647="",COUNTIF(ListeIzinliGecis,$D647&amp;"|"&amp;$E647)&gt;0),"","GEÇERSİZ GEÇİŞ"))</f>
        <v/>
      </c>
      <c r="O647" s="35">
        <f>IF($A647="","",IF(OR($F647="",$G647=""),"",IF(ABS($G647-$F647)&gt;zincirTolerans,"ZİNCİR KIRIK","OK")))</f>
        <v/>
      </c>
      <c r="P647" s="35">
        <f>IF($A647="","",1)</f>
        <v/>
      </c>
    </row>
    <row r="648">
      <c r="A648" s="29" t="n"/>
      <c r="B648" s="29" t="n"/>
      <c r="C648" s="70" t="n"/>
      <c r="D648" s="29" t="n"/>
      <c r="E648" s="29" t="n"/>
      <c r="F648" s="30" t="n"/>
      <c r="G648" s="30" t="n"/>
      <c r="H648" s="31" t="n"/>
      <c r="I648" s="31" t="n"/>
      <c r="J648" s="29" t="n"/>
      <c r="K648" s="35">
        <f>IF($A648="","",IF($C648="","",raporTarihi-$C648))</f>
        <v/>
      </c>
      <c r="L648" s="35">
        <f>IF($A648="","",IF($K648="","",IF($K648&lt;=7,"0-7",IF($K648&lt;=30,"8-30",IF($K648&lt;=60,"31-60","60+")))))</f>
        <v/>
      </c>
      <c r="M648" s="35">
        <f>IF($A648="","",IF($B648="","YETİM",IF(COUNTIF(tblKartlar[KartId],$B648)=0,"YETİM","")))</f>
        <v/>
      </c>
      <c r="N648" s="35">
        <f>IF(OR($A648="",$D648=""),"",IF(OR($D648&amp;"|"&amp;$E648="",COUNTIF(ListeIzinliGecis,$D648&amp;"|"&amp;$E648)&gt;0),"","GEÇERSİZ GEÇİŞ"))</f>
        <v/>
      </c>
      <c r="O648" s="35">
        <f>IF($A648="","",IF(OR($F648="",$G648=""),"",IF(ABS($G648-$F648)&gt;zincirTolerans,"ZİNCİR KIRIK","OK")))</f>
        <v/>
      </c>
      <c r="P648" s="35">
        <f>IF($A648="","",1)</f>
        <v/>
      </c>
    </row>
    <row r="649">
      <c r="A649" s="29" t="n"/>
      <c r="B649" s="29" t="n"/>
      <c r="C649" s="70" t="n"/>
      <c r="D649" s="29" t="n"/>
      <c r="E649" s="29" t="n"/>
      <c r="F649" s="30" t="n"/>
      <c r="G649" s="30" t="n"/>
      <c r="H649" s="31" t="n"/>
      <c r="I649" s="31" t="n"/>
      <c r="J649" s="29" t="n"/>
      <c r="K649" s="35">
        <f>IF($A649="","",IF($C649="","",raporTarihi-$C649))</f>
        <v/>
      </c>
      <c r="L649" s="35">
        <f>IF($A649="","",IF($K649="","",IF($K649&lt;=7,"0-7",IF($K649&lt;=30,"8-30",IF($K649&lt;=60,"31-60","60+")))))</f>
        <v/>
      </c>
      <c r="M649" s="35">
        <f>IF($A649="","",IF($B649="","YETİM",IF(COUNTIF(tblKartlar[KartId],$B649)=0,"YETİM","")))</f>
        <v/>
      </c>
      <c r="N649" s="35">
        <f>IF(OR($A649="",$D649=""),"",IF(OR($D649&amp;"|"&amp;$E649="",COUNTIF(ListeIzinliGecis,$D649&amp;"|"&amp;$E649)&gt;0),"","GEÇERSİZ GEÇİŞ"))</f>
        <v/>
      </c>
      <c r="O649" s="35">
        <f>IF($A649="","",IF(OR($F649="",$G649=""),"",IF(ABS($G649-$F649)&gt;zincirTolerans,"ZİNCİR KIRIK","OK")))</f>
        <v/>
      </c>
      <c r="P649" s="35">
        <f>IF($A649="","",1)</f>
        <v/>
      </c>
    </row>
    <row r="650">
      <c r="A650" s="29" t="n"/>
      <c r="B650" s="29" t="n"/>
      <c r="C650" s="70" t="n"/>
      <c r="D650" s="29" t="n"/>
      <c r="E650" s="29" t="n"/>
      <c r="F650" s="30" t="n"/>
      <c r="G650" s="30" t="n"/>
      <c r="H650" s="31" t="n"/>
      <c r="I650" s="31" t="n"/>
      <c r="J650" s="29" t="n"/>
      <c r="K650" s="35">
        <f>IF($A650="","",IF($C650="","",raporTarihi-$C650))</f>
        <v/>
      </c>
      <c r="L650" s="35">
        <f>IF($A650="","",IF($K650="","",IF($K650&lt;=7,"0-7",IF($K650&lt;=30,"8-30",IF($K650&lt;=60,"31-60","60+")))))</f>
        <v/>
      </c>
      <c r="M650" s="35">
        <f>IF($A650="","",IF($B650="","YETİM",IF(COUNTIF(tblKartlar[KartId],$B650)=0,"YETİM","")))</f>
        <v/>
      </c>
      <c r="N650" s="35">
        <f>IF(OR($A650="",$D650=""),"",IF(OR($D650&amp;"|"&amp;$E650="",COUNTIF(ListeIzinliGecis,$D650&amp;"|"&amp;$E650)&gt;0),"","GEÇERSİZ GEÇİŞ"))</f>
        <v/>
      </c>
      <c r="O650" s="35">
        <f>IF($A650="","",IF(OR($F650="",$G650=""),"",IF(ABS($G650-$F650)&gt;zincirTolerans,"ZİNCİR KIRIK","OK")))</f>
        <v/>
      </c>
      <c r="P650" s="35">
        <f>IF($A650="","",1)</f>
        <v/>
      </c>
    </row>
    <row r="651">
      <c r="A651" s="29" t="n"/>
      <c r="B651" s="29" t="n"/>
      <c r="C651" s="70" t="n"/>
      <c r="D651" s="29" t="n"/>
      <c r="E651" s="29" t="n"/>
      <c r="F651" s="30" t="n"/>
      <c r="G651" s="30" t="n"/>
      <c r="H651" s="31" t="n"/>
      <c r="I651" s="31" t="n"/>
      <c r="J651" s="29" t="n"/>
      <c r="K651" s="35">
        <f>IF($A651="","",IF($C651="","",raporTarihi-$C651))</f>
        <v/>
      </c>
      <c r="L651" s="35">
        <f>IF($A651="","",IF($K651="","",IF($K651&lt;=7,"0-7",IF($K651&lt;=30,"8-30",IF($K651&lt;=60,"31-60","60+")))))</f>
        <v/>
      </c>
      <c r="M651" s="35">
        <f>IF($A651="","",IF($B651="","YETİM",IF(COUNTIF(tblKartlar[KartId],$B651)=0,"YETİM","")))</f>
        <v/>
      </c>
      <c r="N651" s="35">
        <f>IF(OR($A651="",$D651=""),"",IF(OR($D651&amp;"|"&amp;$E651="",COUNTIF(ListeIzinliGecis,$D651&amp;"|"&amp;$E651)&gt;0),"","GEÇERSİZ GEÇİŞ"))</f>
        <v/>
      </c>
      <c r="O651" s="35">
        <f>IF($A651="","",IF(OR($F651="",$G651=""),"",IF(ABS($G651-$F651)&gt;zincirTolerans,"ZİNCİR KIRIK","OK")))</f>
        <v/>
      </c>
      <c r="P651" s="35">
        <f>IF($A651="","",1)</f>
        <v/>
      </c>
    </row>
    <row r="652">
      <c r="A652" s="29" t="n"/>
      <c r="B652" s="29" t="n"/>
      <c r="C652" s="70" t="n"/>
      <c r="D652" s="29" t="n"/>
      <c r="E652" s="29" t="n"/>
      <c r="F652" s="30" t="n"/>
      <c r="G652" s="30" t="n"/>
      <c r="H652" s="31" t="n"/>
      <c r="I652" s="31" t="n"/>
      <c r="J652" s="29" t="n"/>
      <c r="K652" s="35">
        <f>IF($A652="","",IF($C652="","",raporTarihi-$C652))</f>
        <v/>
      </c>
      <c r="L652" s="35">
        <f>IF($A652="","",IF($K652="","",IF($K652&lt;=7,"0-7",IF($K652&lt;=30,"8-30",IF($K652&lt;=60,"31-60","60+")))))</f>
        <v/>
      </c>
      <c r="M652" s="35">
        <f>IF($A652="","",IF($B652="","YETİM",IF(COUNTIF(tblKartlar[KartId],$B652)=0,"YETİM","")))</f>
        <v/>
      </c>
      <c r="N652" s="35">
        <f>IF(OR($A652="",$D652=""),"",IF(OR($D652&amp;"|"&amp;$E652="",COUNTIF(ListeIzinliGecis,$D652&amp;"|"&amp;$E652)&gt;0),"","GEÇERSİZ GEÇİŞ"))</f>
        <v/>
      </c>
      <c r="O652" s="35">
        <f>IF($A652="","",IF(OR($F652="",$G652=""),"",IF(ABS($G652-$F652)&gt;zincirTolerans,"ZİNCİR KIRIK","OK")))</f>
        <v/>
      </c>
      <c r="P652" s="35">
        <f>IF($A652="","",1)</f>
        <v/>
      </c>
    </row>
    <row r="653">
      <c r="A653" s="29" t="n"/>
      <c r="B653" s="29" t="n"/>
      <c r="C653" s="70" t="n"/>
      <c r="D653" s="29" t="n"/>
      <c r="E653" s="29" t="n"/>
      <c r="F653" s="30" t="n"/>
      <c r="G653" s="30" t="n"/>
      <c r="H653" s="31" t="n"/>
      <c r="I653" s="31" t="n"/>
      <c r="J653" s="29" t="n"/>
      <c r="K653" s="35">
        <f>IF($A653="","",IF($C653="","",raporTarihi-$C653))</f>
        <v/>
      </c>
      <c r="L653" s="35">
        <f>IF($A653="","",IF($K653="","",IF($K653&lt;=7,"0-7",IF($K653&lt;=30,"8-30",IF($K653&lt;=60,"31-60","60+")))))</f>
        <v/>
      </c>
      <c r="M653" s="35">
        <f>IF($A653="","",IF($B653="","YETİM",IF(COUNTIF(tblKartlar[KartId],$B653)=0,"YETİM","")))</f>
        <v/>
      </c>
      <c r="N653" s="35">
        <f>IF(OR($A653="",$D653=""),"",IF(OR($D653&amp;"|"&amp;$E653="",COUNTIF(ListeIzinliGecis,$D653&amp;"|"&amp;$E653)&gt;0),"","GEÇERSİZ GEÇİŞ"))</f>
        <v/>
      </c>
      <c r="O653" s="35">
        <f>IF($A653="","",IF(OR($F653="",$G653=""),"",IF(ABS($G653-$F653)&gt;zincirTolerans,"ZİNCİR KIRIK","OK")))</f>
        <v/>
      </c>
      <c r="P653" s="35">
        <f>IF($A653="","",1)</f>
        <v/>
      </c>
    </row>
    <row r="654">
      <c r="A654" s="29" t="n"/>
      <c r="B654" s="29" t="n"/>
      <c r="C654" s="70" t="n"/>
      <c r="D654" s="29" t="n"/>
      <c r="E654" s="29" t="n"/>
      <c r="F654" s="30" t="n"/>
      <c r="G654" s="30" t="n"/>
      <c r="H654" s="31" t="n"/>
      <c r="I654" s="31" t="n"/>
      <c r="J654" s="29" t="n"/>
      <c r="K654" s="35">
        <f>IF($A654="","",IF($C654="","",raporTarihi-$C654))</f>
        <v/>
      </c>
      <c r="L654" s="35">
        <f>IF($A654="","",IF($K654="","",IF($K654&lt;=7,"0-7",IF($K654&lt;=30,"8-30",IF($K654&lt;=60,"31-60","60+")))))</f>
        <v/>
      </c>
      <c r="M654" s="35">
        <f>IF($A654="","",IF($B654="","YETİM",IF(COUNTIF(tblKartlar[KartId],$B654)=0,"YETİM","")))</f>
        <v/>
      </c>
      <c r="N654" s="35">
        <f>IF(OR($A654="",$D654=""),"",IF(OR($D654&amp;"|"&amp;$E654="",COUNTIF(ListeIzinliGecis,$D654&amp;"|"&amp;$E654)&gt;0),"","GEÇERSİZ GEÇİŞ"))</f>
        <v/>
      </c>
      <c r="O654" s="35">
        <f>IF($A654="","",IF(OR($F654="",$G654=""),"",IF(ABS($G654-$F654)&gt;zincirTolerans,"ZİNCİR KIRIK","OK")))</f>
        <v/>
      </c>
      <c r="P654" s="35">
        <f>IF($A654="","",1)</f>
        <v/>
      </c>
    </row>
    <row r="655">
      <c r="A655" s="29" t="n"/>
      <c r="B655" s="29" t="n"/>
      <c r="C655" s="70" t="n"/>
      <c r="D655" s="29" t="n"/>
      <c r="E655" s="29" t="n"/>
      <c r="F655" s="30" t="n"/>
      <c r="G655" s="30" t="n"/>
      <c r="H655" s="31" t="n"/>
      <c r="I655" s="31" t="n"/>
      <c r="J655" s="29" t="n"/>
      <c r="K655" s="35">
        <f>IF($A655="","",IF($C655="","",raporTarihi-$C655))</f>
        <v/>
      </c>
      <c r="L655" s="35">
        <f>IF($A655="","",IF($K655="","",IF($K655&lt;=7,"0-7",IF($K655&lt;=30,"8-30",IF($K655&lt;=60,"31-60","60+")))))</f>
        <v/>
      </c>
      <c r="M655" s="35">
        <f>IF($A655="","",IF($B655="","YETİM",IF(COUNTIF(tblKartlar[KartId],$B655)=0,"YETİM","")))</f>
        <v/>
      </c>
      <c r="N655" s="35">
        <f>IF(OR($A655="",$D655=""),"",IF(OR($D655&amp;"|"&amp;$E655="",COUNTIF(ListeIzinliGecis,$D655&amp;"|"&amp;$E655)&gt;0),"","GEÇERSİZ GEÇİŞ"))</f>
        <v/>
      </c>
      <c r="O655" s="35">
        <f>IF($A655="","",IF(OR($F655="",$G655=""),"",IF(ABS($G655-$F655)&gt;zincirTolerans,"ZİNCİR KIRIK","OK")))</f>
        <v/>
      </c>
      <c r="P655" s="35">
        <f>IF($A655="","",1)</f>
        <v/>
      </c>
    </row>
    <row r="656">
      <c r="A656" s="29" t="n"/>
      <c r="B656" s="29" t="n"/>
      <c r="C656" s="70" t="n"/>
      <c r="D656" s="29" t="n"/>
      <c r="E656" s="29" t="n"/>
      <c r="F656" s="30" t="n"/>
      <c r="G656" s="30" t="n"/>
      <c r="H656" s="31" t="n"/>
      <c r="I656" s="31" t="n"/>
      <c r="J656" s="29" t="n"/>
      <c r="K656" s="35">
        <f>IF($A656="","",IF($C656="","",raporTarihi-$C656))</f>
        <v/>
      </c>
      <c r="L656" s="35">
        <f>IF($A656="","",IF($K656="","",IF($K656&lt;=7,"0-7",IF($K656&lt;=30,"8-30",IF($K656&lt;=60,"31-60","60+")))))</f>
        <v/>
      </c>
      <c r="M656" s="35">
        <f>IF($A656="","",IF($B656="","YETİM",IF(COUNTIF(tblKartlar[KartId],$B656)=0,"YETİM","")))</f>
        <v/>
      </c>
      <c r="N656" s="35">
        <f>IF(OR($A656="",$D656=""),"",IF(OR($D656&amp;"|"&amp;$E656="",COUNTIF(ListeIzinliGecis,$D656&amp;"|"&amp;$E656)&gt;0),"","GEÇERSİZ GEÇİŞ"))</f>
        <v/>
      </c>
      <c r="O656" s="35">
        <f>IF($A656="","",IF(OR($F656="",$G656=""),"",IF(ABS($G656-$F656)&gt;zincirTolerans,"ZİNCİR KIRIK","OK")))</f>
        <v/>
      </c>
      <c r="P656" s="35">
        <f>IF($A656="","",1)</f>
        <v/>
      </c>
    </row>
    <row r="657">
      <c r="A657" s="29" t="n"/>
      <c r="B657" s="29" t="n"/>
      <c r="C657" s="70" t="n"/>
      <c r="D657" s="29" t="n"/>
      <c r="E657" s="29" t="n"/>
      <c r="F657" s="30" t="n"/>
      <c r="G657" s="30" t="n"/>
      <c r="H657" s="31" t="n"/>
      <c r="I657" s="31" t="n"/>
      <c r="J657" s="29" t="n"/>
      <c r="K657" s="35">
        <f>IF($A657="","",IF($C657="","",raporTarihi-$C657))</f>
        <v/>
      </c>
      <c r="L657" s="35">
        <f>IF($A657="","",IF($K657="","",IF($K657&lt;=7,"0-7",IF($K657&lt;=30,"8-30",IF($K657&lt;=60,"31-60","60+")))))</f>
        <v/>
      </c>
      <c r="M657" s="35">
        <f>IF($A657="","",IF($B657="","YETİM",IF(COUNTIF(tblKartlar[KartId],$B657)=0,"YETİM","")))</f>
        <v/>
      </c>
      <c r="N657" s="35">
        <f>IF(OR($A657="",$D657=""),"",IF(OR($D657&amp;"|"&amp;$E657="",COUNTIF(ListeIzinliGecis,$D657&amp;"|"&amp;$E657)&gt;0),"","GEÇERSİZ GEÇİŞ"))</f>
        <v/>
      </c>
      <c r="O657" s="35">
        <f>IF($A657="","",IF(OR($F657="",$G657=""),"",IF(ABS($G657-$F657)&gt;zincirTolerans,"ZİNCİR KIRIK","OK")))</f>
        <v/>
      </c>
      <c r="P657" s="35">
        <f>IF($A657="","",1)</f>
        <v/>
      </c>
    </row>
    <row r="658">
      <c r="A658" s="29" t="n"/>
      <c r="B658" s="29" t="n"/>
      <c r="C658" s="70" t="n"/>
      <c r="D658" s="29" t="n"/>
      <c r="E658" s="29" t="n"/>
      <c r="F658" s="30" t="n"/>
      <c r="G658" s="30" t="n"/>
      <c r="H658" s="31" t="n"/>
      <c r="I658" s="31" t="n"/>
      <c r="J658" s="29" t="n"/>
      <c r="K658" s="35">
        <f>IF($A658="","",IF($C658="","",raporTarihi-$C658))</f>
        <v/>
      </c>
      <c r="L658" s="35">
        <f>IF($A658="","",IF($K658="","",IF($K658&lt;=7,"0-7",IF($K658&lt;=30,"8-30",IF($K658&lt;=60,"31-60","60+")))))</f>
        <v/>
      </c>
      <c r="M658" s="35">
        <f>IF($A658="","",IF($B658="","YETİM",IF(COUNTIF(tblKartlar[KartId],$B658)=0,"YETİM","")))</f>
        <v/>
      </c>
      <c r="N658" s="35">
        <f>IF(OR($A658="",$D658=""),"",IF(OR($D658&amp;"|"&amp;$E658="",COUNTIF(ListeIzinliGecis,$D658&amp;"|"&amp;$E658)&gt;0),"","GEÇERSİZ GEÇİŞ"))</f>
        <v/>
      </c>
      <c r="O658" s="35">
        <f>IF($A658="","",IF(OR($F658="",$G658=""),"",IF(ABS($G658-$F658)&gt;zincirTolerans,"ZİNCİR KIRIK","OK")))</f>
        <v/>
      </c>
      <c r="P658" s="35">
        <f>IF($A658="","",1)</f>
        <v/>
      </c>
    </row>
    <row r="659">
      <c r="A659" s="29" t="n"/>
      <c r="B659" s="29" t="n"/>
      <c r="C659" s="70" t="n"/>
      <c r="D659" s="29" t="n"/>
      <c r="E659" s="29" t="n"/>
      <c r="F659" s="30" t="n"/>
      <c r="G659" s="30" t="n"/>
      <c r="H659" s="31" t="n"/>
      <c r="I659" s="31" t="n"/>
      <c r="J659" s="29" t="n"/>
      <c r="K659" s="35">
        <f>IF($A659="","",IF($C659="","",raporTarihi-$C659))</f>
        <v/>
      </c>
      <c r="L659" s="35">
        <f>IF($A659="","",IF($K659="","",IF($K659&lt;=7,"0-7",IF($K659&lt;=30,"8-30",IF($K659&lt;=60,"31-60","60+")))))</f>
        <v/>
      </c>
      <c r="M659" s="35">
        <f>IF($A659="","",IF($B659="","YETİM",IF(COUNTIF(tblKartlar[KartId],$B659)=0,"YETİM","")))</f>
        <v/>
      </c>
      <c r="N659" s="35">
        <f>IF(OR($A659="",$D659=""),"",IF(OR($D659&amp;"|"&amp;$E659="",COUNTIF(ListeIzinliGecis,$D659&amp;"|"&amp;$E659)&gt;0),"","GEÇERSİZ GEÇİŞ"))</f>
        <v/>
      </c>
      <c r="O659" s="35">
        <f>IF($A659="","",IF(OR($F659="",$G659=""),"",IF(ABS($G659-$F659)&gt;zincirTolerans,"ZİNCİR KIRIK","OK")))</f>
        <v/>
      </c>
      <c r="P659" s="35">
        <f>IF($A659="","",1)</f>
        <v/>
      </c>
    </row>
    <row r="660">
      <c r="A660" s="29" t="n"/>
      <c r="B660" s="29" t="n"/>
      <c r="C660" s="70" t="n"/>
      <c r="D660" s="29" t="n"/>
      <c r="E660" s="29" t="n"/>
      <c r="F660" s="30" t="n"/>
      <c r="G660" s="30" t="n"/>
      <c r="H660" s="31" t="n"/>
      <c r="I660" s="31" t="n"/>
      <c r="J660" s="29" t="n"/>
      <c r="K660" s="35">
        <f>IF($A660="","",IF($C660="","",raporTarihi-$C660))</f>
        <v/>
      </c>
      <c r="L660" s="35">
        <f>IF($A660="","",IF($K660="","",IF($K660&lt;=7,"0-7",IF($K660&lt;=30,"8-30",IF($K660&lt;=60,"31-60","60+")))))</f>
        <v/>
      </c>
      <c r="M660" s="35">
        <f>IF($A660="","",IF($B660="","YETİM",IF(COUNTIF(tblKartlar[KartId],$B660)=0,"YETİM","")))</f>
        <v/>
      </c>
      <c r="N660" s="35">
        <f>IF(OR($A660="",$D660=""),"",IF(OR($D660&amp;"|"&amp;$E660="",COUNTIF(ListeIzinliGecis,$D660&amp;"|"&amp;$E660)&gt;0),"","GEÇERSİZ GEÇİŞ"))</f>
        <v/>
      </c>
      <c r="O660" s="35">
        <f>IF($A660="","",IF(OR($F660="",$G660=""),"",IF(ABS($G660-$F660)&gt;zincirTolerans,"ZİNCİR KIRIK","OK")))</f>
        <v/>
      </c>
      <c r="P660" s="35">
        <f>IF($A660="","",1)</f>
        <v/>
      </c>
    </row>
    <row r="661">
      <c r="A661" s="29" t="n"/>
      <c r="B661" s="29" t="n"/>
      <c r="C661" s="70" t="n"/>
      <c r="D661" s="29" t="n"/>
      <c r="E661" s="29" t="n"/>
      <c r="F661" s="30" t="n"/>
      <c r="G661" s="30" t="n"/>
      <c r="H661" s="31" t="n"/>
      <c r="I661" s="31" t="n"/>
      <c r="J661" s="29" t="n"/>
      <c r="K661" s="35">
        <f>IF($A661="","",IF($C661="","",raporTarihi-$C661))</f>
        <v/>
      </c>
      <c r="L661" s="35">
        <f>IF($A661="","",IF($K661="","",IF($K661&lt;=7,"0-7",IF($K661&lt;=30,"8-30",IF($K661&lt;=60,"31-60","60+")))))</f>
        <v/>
      </c>
      <c r="M661" s="35">
        <f>IF($A661="","",IF($B661="","YETİM",IF(COUNTIF(tblKartlar[KartId],$B661)=0,"YETİM","")))</f>
        <v/>
      </c>
      <c r="N661" s="35">
        <f>IF(OR($A661="",$D661=""),"",IF(OR($D661&amp;"|"&amp;$E661="",COUNTIF(ListeIzinliGecis,$D661&amp;"|"&amp;$E661)&gt;0),"","GEÇERSİZ GEÇİŞ"))</f>
        <v/>
      </c>
      <c r="O661" s="35">
        <f>IF($A661="","",IF(OR($F661="",$G661=""),"",IF(ABS($G661-$F661)&gt;zincirTolerans,"ZİNCİR KIRIK","OK")))</f>
        <v/>
      </c>
      <c r="P661" s="35">
        <f>IF($A661="","",1)</f>
        <v/>
      </c>
    </row>
    <row r="662">
      <c r="A662" s="29" t="n"/>
      <c r="B662" s="29" t="n"/>
      <c r="C662" s="70" t="n"/>
      <c r="D662" s="29" t="n"/>
      <c r="E662" s="29" t="n"/>
      <c r="F662" s="30" t="n"/>
      <c r="G662" s="30" t="n"/>
      <c r="H662" s="31" t="n"/>
      <c r="I662" s="31" t="n"/>
      <c r="J662" s="29" t="n"/>
      <c r="K662" s="35">
        <f>IF($A662="","",IF($C662="","",raporTarihi-$C662))</f>
        <v/>
      </c>
      <c r="L662" s="35">
        <f>IF($A662="","",IF($K662="","",IF($K662&lt;=7,"0-7",IF($K662&lt;=30,"8-30",IF($K662&lt;=60,"31-60","60+")))))</f>
        <v/>
      </c>
      <c r="M662" s="35">
        <f>IF($A662="","",IF($B662="","YETİM",IF(COUNTIF(tblKartlar[KartId],$B662)=0,"YETİM","")))</f>
        <v/>
      </c>
      <c r="N662" s="35">
        <f>IF(OR($A662="",$D662=""),"",IF(OR($D662&amp;"|"&amp;$E662="",COUNTIF(ListeIzinliGecis,$D662&amp;"|"&amp;$E662)&gt;0),"","GEÇERSİZ GEÇİŞ"))</f>
        <v/>
      </c>
      <c r="O662" s="35">
        <f>IF($A662="","",IF(OR($F662="",$G662=""),"",IF(ABS($G662-$F662)&gt;zincirTolerans,"ZİNCİR KIRIK","OK")))</f>
        <v/>
      </c>
      <c r="P662" s="35">
        <f>IF($A662="","",1)</f>
        <v/>
      </c>
    </row>
    <row r="663">
      <c r="A663" s="29" t="n"/>
      <c r="B663" s="29" t="n"/>
      <c r="C663" s="70" t="n"/>
      <c r="D663" s="29" t="n"/>
      <c r="E663" s="29" t="n"/>
      <c r="F663" s="30" t="n"/>
      <c r="G663" s="30" t="n"/>
      <c r="H663" s="31" t="n"/>
      <c r="I663" s="31" t="n"/>
      <c r="J663" s="29" t="n"/>
      <c r="K663" s="35">
        <f>IF($A663="","",IF($C663="","",raporTarihi-$C663))</f>
        <v/>
      </c>
      <c r="L663" s="35">
        <f>IF($A663="","",IF($K663="","",IF($K663&lt;=7,"0-7",IF($K663&lt;=30,"8-30",IF($K663&lt;=60,"31-60","60+")))))</f>
        <v/>
      </c>
      <c r="M663" s="35">
        <f>IF($A663="","",IF($B663="","YETİM",IF(COUNTIF(tblKartlar[KartId],$B663)=0,"YETİM","")))</f>
        <v/>
      </c>
      <c r="N663" s="35">
        <f>IF(OR($A663="",$D663=""),"",IF(OR($D663&amp;"|"&amp;$E663="",COUNTIF(ListeIzinliGecis,$D663&amp;"|"&amp;$E663)&gt;0),"","GEÇERSİZ GEÇİŞ"))</f>
        <v/>
      </c>
      <c r="O663" s="35">
        <f>IF($A663="","",IF(OR($F663="",$G663=""),"",IF(ABS($G663-$F663)&gt;zincirTolerans,"ZİNCİR KIRIK","OK")))</f>
        <v/>
      </c>
      <c r="P663" s="35">
        <f>IF($A663="","",1)</f>
        <v/>
      </c>
    </row>
    <row r="664">
      <c r="A664" s="29" t="n"/>
      <c r="B664" s="29" t="n"/>
      <c r="C664" s="70" t="n"/>
      <c r="D664" s="29" t="n"/>
      <c r="E664" s="29" t="n"/>
      <c r="F664" s="30" t="n"/>
      <c r="G664" s="30" t="n"/>
      <c r="H664" s="31" t="n"/>
      <c r="I664" s="31" t="n"/>
      <c r="J664" s="29" t="n"/>
      <c r="K664" s="35">
        <f>IF($A664="","",IF($C664="","",raporTarihi-$C664))</f>
        <v/>
      </c>
      <c r="L664" s="35">
        <f>IF($A664="","",IF($K664="","",IF($K664&lt;=7,"0-7",IF($K664&lt;=30,"8-30",IF($K664&lt;=60,"31-60","60+")))))</f>
        <v/>
      </c>
      <c r="M664" s="35">
        <f>IF($A664="","",IF($B664="","YETİM",IF(COUNTIF(tblKartlar[KartId],$B664)=0,"YETİM","")))</f>
        <v/>
      </c>
      <c r="N664" s="35">
        <f>IF(OR($A664="",$D664=""),"",IF(OR($D664&amp;"|"&amp;$E664="",COUNTIF(ListeIzinliGecis,$D664&amp;"|"&amp;$E664)&gt;0),"","GEÇERSİZ GEÇİŞ"))</f>
        <v/>
      </c>
      <c r="O664" s="35">
        <f>IF($A664="","",IF(OR($F664="",$G664=""),"",IF(ABS($G664-$F664)&gt;zincirTolerans,"ZİNCİR KIRIK","OK")))</f>
        <v/>
      </c>
      <c r="P664" s="35">
        <f>IF($A664="","",1)</f>
        <v/>
      </c>
    </row>
    <row r="665">
      <c r="A665" s="29" t="n"/>
      <c r="B665" s="29" t="n"/>
      <c r="C665" s="70" t="n"/>
      <c r="D665" s="29" t="n"/>
      <c r="E665" s="29" t="n"/>
      <c r="F665" s="30" t="n"/>
      <c r="G665" s="30" t="n"/>
      <c r="H665" s="31" t="n"/>
      <c r="I665" s="31" t="n"/>
      <c r="J665" s="29" t="n"/>
      <c r="K665" s="35">
        <f>IF($A665="","",IF($C665="","",raporTarihi-$C665))</f>
        <v/>
      </c>
      <c r="L665" s="35">
        <f>IF($A665="","",IF($K665="","",IF($K665&lt;=7,"0-7",IF($K665&lt;=30,"8-30",IF($K665&lt;=60,"31-60","60+")))))</f>
        <v/>
      </c>
      <c r="M665" s="35">
        <f>IF($A665="","",IF($B665="","YETİM",IF(COUNTIF(tblKartlar[KartId],$B665)=0,"YETİM","")))</f>
        <v/>
      </c>
      <c r="N665" s="35">
        <f>IF(OR($A665="",$D665=""),"",IF(OR($D665&amp;"|"&amp;$E665="",COUNTIF(ListeIzinliGecis,$D665&amp;"|"&amp;$E665)&gt;0),"","GEÇERSİZ GEÇİŞ"))</f>
        <v/>
      </c>
      <c r="O665" s="35">
        <f>IF($A665="","",IF(OR($F665="",$G665=""),"",IF(ABS($G665-$F665)&gt;zincirTolerans,"ZİNCİR KIRIK","OK")))</f>
        <v/>
      </c>
      <c r="P665" s="35">
        <f>IF($A665="","",1)</f>
        <v/>
      </c>
    </row>
    <row r="666">
      <c r="A666" s="29" t="n"/>
      <c r="B666" s="29" t="n"/>
      <c r="C666" s="70" t="n"/>
      <c r="D666" s="29" t="n"/>
      <c r="E666" s="29" t="n"/>
      <c r="F666" s="30" t="n"/>
      <c r="G666" s="30" t="n"/>
      <c r="H666" s="31" t="n"/>
      <c r="I666" s="31" t="n"/>
      <c r="J666" s="29" t="n"/>
      <c r="K666" s="35">
        <f>IF($A666="","",IF($C666="","",raporTarihi-$C666))</f>
        <v/>
      </c>
      <c r="L666" s="35">
        <f>IF($A666="","",IF($K666="","",IF($K666&lt;=7,"0-7",IF($K666&lt;=30,"8-30",IF($K666&lt;=60,"31-60","60+")))))</f>
        <v/>
      </c>
      <c r="M666" s="35">
        <f>IF($A666="","",IF($B666="","YETİM",IF(COUNTIF(tblKartlar[KartId],$B666)=0,"YETİM","")))</f>
        <v/>
      </c>
      <c r="N666" s="35">
        <f>IF(OR($A666="",$D666=""),"",IF(OR($D666&amp;"|"&amp;$E666="",COUNTIF(ListeIzinliGecis,$D666&amp;"|"&amp;$E666)&gt;0),"","GEÇERSİZ GEÇİŞ"))</f>
        <v/>
      </c>
      <c r="O666" s="35">
        <f>IF($A666="","",IF(OR($F666="",$G666=""),"",IF(ABS($G666-$F666)&gt;zincirTolerans,"ZİNCİR KIRIK","OK")))</f>
        <v/>
      </c>
      <c r="P666" s="35">
        <f>IF($A666="","",1)</f>
        <v/>
      </c>
    </row>
    <row r="667">
      <c r="A667" s="29" t="n"/>
      <c r="B667" s="29" t="n"/>
      <c r="C667" s="70" t="n"/>
      <c r="D667" s="29" t="n"/>
      <c r="E667" s="29" t="n"/>
      <c r="F667" s="30" t="n"/>
      <c r="G667" s="30" t="n"/>
      <c r="H667" s="31" t="n"/>
      <c r="I667" s="31" t="n"/>
      <c r="J667" s="29" t="n"/>
      <c r="K667" s="35">
        <f>IF($A667="","",IF($C667="","",raporTarihi-$C667))</f>
        <v/>
      </c>
      <c r="L667" s="35">
        <f>IF($A667="","",IF($K667="","",IF($K667&lt;=7,"0-7",IF($K667&lt;=30,"8-30",IF($K667&lt;=60,"31-60","60+")))))</f>
        <v/>
      </c>
      <c r="M667" s="35">
        <f>IF($A667="","",IF($B667="","YETİM",IF(COUNTIF(tblKartlar[KartId],$B667)=0,"YETİM","")))</f>
        <v/>
      </c>
      <c r="N667" s="35">
        <f>IF(OR($A667="",$D667=""),"",IF(OR($D667&amp;"|"&amp;$E667="",COUNTIF(ListeIzinliGecis,$D667&amp;"|"&amp;$E667)&gt;0),"","GEÇERSİZ GEÇİŞ"))</f>
        <v/>
      </c>
      <c r="O667" s="35">
        <f>IF($A667="","",IF(OR($F667="",$G667=""),"",IF(ABS($G667-$F667)&gt;zincirTolerans,"ZİNCİR KIRIK","OK")))</f>
        <v/>
      </c>
      <c r="P667" s="35">
        <f>IF($A667="","",1)</f>
        <v/>
      </c>
    </row>
    <row r="668">
      <c r="A668" s="29" t="n"/>
      <c r="B668" s="29" t="n"/>
      <c r="C668" s="70" t="n"/>
      <c r="D668" s="29" t="n"/>
      <c r="E668" s="29" t="n"/>
      <c r="F668" s="30" t="n"/>
      <c r="G668" s="30" t="n"/>
      <c r="H668" s="31" t="n"/>
      <c r="I668" s="31" t="n"/>
      <c r="J668" s="29" t="n"/>
      <c r="K668" s="35">
        <f>IF($A668="","",IF($C668="","",raporTarihi-$C668))</f>
        <v/>
      </c>
      <c r="L668" s="35">
        <f>IF($A668="","",IF($K668="","",IF($K668&lt;=7,"0-7",IF($K668&lt;=30,"8-30",IF($K668&lt;=60,"31-60","60+")))))</f>
        <v/>
      </c>
      <c r="M668" s="35">
        <f>IF($A668="","",IF($B668="","YETİM",IF(COUNTIF(tblKartlar[KartId],$B668)=0,"YETİM","")))</f>
        <v/>
      </c>
      <c r="N668" s="35">
        <f>IF(OR($A668="",$D668=""),"",IF(OR($D668&amp;"|"&amp;$E668="",COUNTIF(ListeIzinliGecis,$D668&amp;"|"&amp;$E668)&gt;0),"","GEÇERSİZ GEÇİŞ"))</f>
        <v/>
      </c>
      <c r="O668" s="35">
        <f>IF($A668="","",IF(OR($F668="",$G668=""),"",IF(ABS($G668-$F668)&gt;zincirTolerans,"ZİNCİR KIRIK","OK")))</f>
        <v/>
      </c>
      <c r="P668" s="35">
        <f>IF($A668="","",1)</f>
        <v/>
      </c>
    </row>
    <row r="669">
      <c r="A669" s="29" t="n"/>
      <c r="B669" s="29" t="n"/>
      <c r="C669" s="70" t="n"/>
      <c r="D669" s="29" t="n"/>
      <c r="E669" s="29" t="n"/>
      <c r="F669" s="30" t="n"/>
      <c r="G669" s="30" t="n"/>
      <c r="H669" s="31" t="n"/>
      <c r="I669" s="31" t="n"/>
      <c r="J669" s="29" t="n"/>
      <c r="K669" s="35">
        <f>IF($A669="","",IF($C669="","",raporTarihi-$C669))</f>
        <v/>
      </c>
      <c r="L669" s="35">
        <f>IF($A669="","",IF($K669="","",IF($K669&lt;=7,"0-7",IF($K669&lt;=30,"8-30",IF($K669&lt;=60,"31-60","60+")))))</f>
        <v/>
      </c>
      <c r="M669" s="35">
        <f>IF($A669="","",IF($B669="","YETİM",IF(COUNTIF(tblKartlar[KartId],$B669)=0,"YETİM","")))</f>
        <v/>
      </c>
      <c r="N669" s="35">
        <f>IF(OR($A669="",$D669=""),"",IF(OR($D669&amp;"|"&amp;$E669="",COUNTIF(ListeIzinliGecis,$D669&amp;"|"&amp;$E669)&gt;0),"","GEÇERSİZ GEÇİŞ"))</f>
        <v/>
      </c>
      <c r="O669" s="35">
        <f>IF($A669="","",IF(OR($F669="",$G669=""),"",IF(ABS($G669-$F669)&gt;zincirTolerans,"ZİNCİR KIRIK","OK")))</f>
        <v/>
      </c>
      <c r="P669" s="35">
        <f>IF($A669="","",1)</f>
        <v/>
      </c>
    </row>
    <row r="670">
      <c r="A670" s="29" t="n"/>
      <c r="B670" s="29" t="n"/>
      <c r="C670" s="70" t="n"/>
      <c r="D670" s="29" t="n"/>
      <c r="E670" s="29" t="n"/>
      <c r="F670" s="30" t="n"/>
      <c r="G670" s="30" t="n"/>
      <c r="H670" s="31" t="n"/>
      <c r="I670" s="31" t="n"/>
      <c r="J670" s="29" t="n"/>
      <c r="K670" s="35">
        <f>IF($A670="","",IF($C670="","",raporTarihi-$C670))</f>
        <v/>
      </c>
      <c r="L670" s="35">
        <f>IF($A670="","",IF($K670="","",IF($K670&lt;=7,"0-7",IF($K670&lt;=30,"8-30",IF($K670&lt;=60,"31-60","60+")))))</f>
        <v/>
      </c>
      <c r="M670" s="35">
        <f>IF($A670="","",IF($B670="","YETİM",IF(COUNTIF(tblKartlar[KartId],$B670)=0,"YETİM","")))</f>
        <v/>
      </c>
      <c r="N670" s="35">
        <f>IF(OR($A670="",$D670=""),"",IF(OR($D670&amp;"|"&amp;$E670="",COUNTIF(ListeIzinliGecis,$D670&amp;"|"&amp;$E670)&gt;0),"","GEÇERSİZ GEÇİŞ"))</f>
        <v/>
      </c>
      <c r="O670" s="35">
        <f>IF($A670="","",IF(OR($F670="",$G670=""),"",IF(ABS($G670-$F670)&gt;zincirTolerans,"ZİNCİR KIRIK","OK")))</f>
        <v/>
      </c>
      <c r="P670" s="35">
        <f>IF($A670="","",1)</f>
        <v/>
      </c>
    </row>
    <row r="671">
      <c r="A671" s="29" t="n"/>
      <c r="B671" s="29" t="n"/>
      <c r="C671" s="70" t="n"/>
      <c r="D671" s="29" t="n"/>
      <c r="E671" s="29" t="n"/>
      <c r="F671" s="30" t="n"/>
      <c r="G671" s="30" t="n"/>
      <c r="H671" s="31" t="n"/>
      <c r="I671" s="31" t="n"/>
      <c r="J671" s="29" t="n"/>
      <c r="K671" s="35">
        <f>IF($A671="","",IF($C671="","",raporTarihi-$C671))</f>
        <v/>
      </c>
      <c r="L671" s="35">
        <f>IF($A671="","",IF($K671="","",IF($K671&lt;=7,"0-7",IF($K671&lt;=30,"8-30",IF($K671&lt;=60,"31-60","60+")))))</f>
        <v/>
      </c>
      <c r="M671" s="35">
        <f>IF($A671="","",IF($B671="","YETİM",IF(COUNTIF(tblKartlar[KartId],$B671)=0,"YETİM","")))</f>
        <v/>
      </c>
      <c r="N671" s="35">
        <f>IF(OR($A671="",$D671=""),"",IF(OR($D671&amp;"|"&amp;$E671="",COUNTIF(ListeIzinliGecis,$D671&amp;"|"&amp;$E671)&gt;0),"","GEÇERSİZ GEÇİŞ"))</f>
        <v/>
      </c>
      <c r="O671" s="35">
        <f>IF($A671="","",IF(OR($F671="",$G671=""),"",IF(ABS($G671-$F671)&gt;zincirTolerans,"ZİNCİR KIRIK","OK")))</f>
        <v/>
      </c>
      <c r="P671" s="35">
        <f>IF($A671="","",1)</f>
        <v/>
      </c>
    </row>
    <row r="672">
      <c r="A672" s="29" t="n"/>
      <c r="B672" s="29" t="n"/>
      <c r="C672" s="70" t="n"/>
      <c r="D672" s="29" t="n"/>
      <c r="E672" s="29" t="n"/>
      <c r="F672" s="30" t="n"/>
      <c r="G672" s="30" t="n"/>
      <c r="H672" s="31" t="n"/>
      <c r="I672" s="31" t="n"/>
      <c r="J672" s="29" t="n"/>
      <c r="K672" s="35">
        <f>IF($A672="","",IF($C672="","",raporTarihi-$C672))</f>
        <v/>
      </c>
      <c r="L672" s="35">
        <f>IF($A672="","",IF($K672="","",IF($K672&lt;=7,"0-7",IF($K672&lt;=30,"8-30",IF($K672&lt;=60,"31-60","60+")))))</f>
        <v/>
      </c>
      <c r="M672" s="35">
        <f>IF($A672="","",IF($B672="","YETİM",IF(COUNTIF(tblKartlar[KartId],$B672)=0,"YETİM","")))</f>
        <v/>
      </c>
      <c r="N672" s="35">
        <f>IF(OR($A672="",$D672=""),"",IF(OR($D672&amp;"|"&amp;$E672="",COUNTIF(ListeIzinliGecis,$D672&amp;"|"&amp;$E672)&gt;0),"","GEÇERSİZ GEÇİŞ"))</f>
        <v/>
      </c>
      <c r="O672" s="35">
        <f>IF($A672="","",IF(OR($F672="",$G672=""),"",IF(ABS($G672-$F672)&gt;zincirTolerans,"ZİNCİR KIRIK","OK")))</f>
        <v/>
      </c>
      <c r="P672" s="35">
        <f>IF($A672="","",1)</f>
        <v/>
      </c>
    </row>
    <row r="673">
      <c r="A673" s="29" t="n"/>
      <c r="B673" s="29" t="n"/>
      <c r="C673" s="70" t="n"/>
      <c r="D673" s="29" t="n"/>
      <c r="E673" s="29" t="n"/>
      <c r="F673" s="30" t="n"/>
      <c r="G673" s="30" t="n"/>
      <c r="H673" s="31" t="n"/>
      <c r="I673" s="31" t="n"/>
      <c r="J673" s="29" t="n"/>
      <c r="K673" s="35">
        <f>IF($A673="","",IF($C673="","",raporTarihi-$C673))</f>
        <v/>
      </c>
      <c r="L673" s="35">
        <f>IF($A673="","",IF($K673="","",IF($K673&lt;=7,"0-7",IF($K673&lt;=30,"8-30",IF($K673&lt;=60,"31-60","60+")))))</f>
        <v/>
      </c>
      <c r="M673" s="35">
        <f>IF($A673="","",IF($B673="","YETİM",IF(COUNTIF(tblKartlar[KartId],$B673)=0,"YETİM","")))</f>
        <v/>
      </c>
      <c r="N673" s="35">
        <f>IF(OR($A673="",$D673=""),"",IF(OR($D673&amp;"|"&amp;$E673="",COUNTIF(ListeIzinliGecis,$D673&amp;"|"&amp;$E673)&gt;0),"","GEÇERSİZ GEÇİŞ"))</f>
        <v/>
      </c>
      <c r="O673" s="35">
        <f>IF($A673="","",IF(OR($F673="",$G673=""),"",IF(ABS($G673-$F673)&gt;zincirTolerans,"ZİNCİR KIRIK","OK")))</f>
        <v/>
      </c>
      <c r="P673" s="35">
        <f>IF($A673="","",1)</f>
        <v/>
      </c>
    </row>
    <row r="674">
      <c r="A674" s="29" t="n"/>
      <c r="B674" s="29" t="n"/>
      <c r="C674" s="70" t="n"/>
      <c r="D674" s="29" t="n"/>
      <c r="E674" s="29" t="n"/>
      <c r="F674" s="30" t="n"/>
      <c r="G674" s="30" t="n"/>
      <c r="H674" s="31" t="n"/>
      <c r="I674" s="31" t="n"/>
      <c r="J674" s="29" t="n"/>
      <c r="K674" s="35">
        <f>IF($A674="","",IF($C674="","",raporTarihi-$C674))</f>
        <v/>
      </c>
      <c r="L674" s="35">
        <f>IF($A674="","",IF($K674="","",IF($K674&lt;=7,"0-7",IF($K674&lt;=30,"8-30",IF($K674&lt;=60,"31-60","60+")))))</f>
        <v/>
      </c>
      <c r="M674" s="35">
        <f>IF($A674="","",IF($B674="","YETİM",IF(COUNTIF(tblKartlar[KartId],$B674)=0,"YETİM","")))</f>
        <v/>
      </c>
      <c r="N674" s="35">
        <f>IF(OR($A674="",$D674=""),"",IF(OR($D674&amp;"|"&amp;$E674="",COUNTIF(ListeIzinliGecis,$D674&amp;"|"&amp;$E674)&gt;0),"","GEÇERSİZ GEÇİŞ"))</f>
        <v/>
      </c>
      <c r="O674" s="35">
        <f>IF($A674="","",IF(OR($F674="",$G674=""),"",IF(ABS($G674-$F674)&gt;zincirTolerans,"ZİNCİR KIRIK","OK")))</f>
        <v/>
      </c>
      <c r="P674" s="35">
        <f>IF($A674="","",1)</f>
        <v/>
      </c>
    </row>
    <row r="675">
      <c r="A675" s="29" t="n"/>
      <c r="B675" s="29" t="n"/>
      <c r="C675" s="70" t="n"/>
      <c r="D675" s="29" t="n"/>
      <c r="E675" s="29" t="n"/>
      <c r="F675" s="30" t="n"/>
      <c r="G675" s="30" t="n"/>
      <c r="H675" s="31" t="n"/>
      <c r="I675" s="31" t="n"/>
      <c r="J675" s="29" t="n"/>
      <c r="K675" s="35">
        <f>IF($A675="","",IF($C675="","",raporTarihi-$C675))</f>
        <v/>
      </c>
      <c r="L675" s="35">
        <f>IF($A675="","",IF($K675="","",IF($K675&lt;=7,"0-7",IF($K675&lt;=30,"8-30",IF($K675&lt;=60,"31-60","60+")))))</f>
        <v/>
      </c>
      <c r="M675" s="35">
        <f>IF($A675="","",IF($B675="","YETİM",IF(COUNTIF(tblKartlar[KartId],$B675)=0,"YETİM","")))</f>
        <v/>
      </c>
      <c r="N675" s="35">
        <f>IF(OR($A675="",$D675=""),"",IF(OR($D675&amp;"|"&amp;$E675="",COUNTIF(ListeIzinliGecis,$D675&amp;"|"&amp;$E675)&gt;0),"","GEÇERSİZ GEÇİŞ"))</f>
        <v/>
      </c>
      <c r="O675" s="35">
        <f>IF($A675="","",IF(OR($F675="",$G675=""),"",IF(ABS($G675-$F675)&gt;zincirTolerans,"ZİNCİR KIRIK","OK")))</f>
        <v/>
      </c>
      <c r="P675" s="35">
        <f>IF($A675="","",1)</f>
        <v/>
      </c>
    </row>
    <row r="676">
      <c r="A676" s="29" t="n"/>
      <c r="B676" s="29" t="n"/>
      <c r="C676" s="70" t="n"/>
      <c r="D676" s="29" t="n"/>
      <c r="E676" s="29" t="n"/>
      <c r="F676" s="30" t="n"/>
      <c r="G676" s="30" t="n"/>
      <c r="H676" s="31" t="n"/>
      <c r="I676" s="31" t="n"/>
      <c r="J676" s="29" t="n"/>
      <c r="K676" s="35">
        <f>IF($A676="","",IF($C676="","",raporTarihi-$C676))</f>
        <v/>
      </c>
      <c r="L676" s="35">
        <f>IF($A676="","",IF($K676="","",IF($K676&lt;=7,"0-7",IF($K676&lt;=30,"8-30",IF($K676&lt;=60,"31-60","60+")))))</f>
        <v/>
      </c>
      <c r="M676" s="35">
        <f>IF($A676="","",IF($B676="","YETİM",IF(COUNTIF(tblKartlar[KartId],$B676)=0,"YETİM","")))</f>
        <v/>
      </c>
      <c r="N676" s="35">
        <f>IF(OR($A676="",$D676=""),"",IF(OR($D676&amp;"|"&amp;$E676="",COUNTIF(ListeIzinliGecis,$D676&amp;"|"&amp;$E676)&gt;0),"","GEÇERSİZ GEÇİŞ"))</f>
        <v/>
      </c>
      <c r="O676" s="35">
        <f>IF($A676="","",IF(OR($F676="",$G676=""),"",IF(ABS($G676-$F676)&gt;zincirTolerans,"ZİNCİR KIRIK","OK")))</f>
        <v/>
      </c>
      <c r="P676" s="35">
        <f>IF($A676="","",1)</f>
        <v/>
      </c>
    </row>
    <row r="677">
      <c r="A677" s="29" t="n"/>
      <c r="B677" s="29" t="n"/>
      <c r="C677" s="70" t="n"/>
      <c r="D677" s="29" t="n"/>
      <c r="E677" s="29" t="n"/>
      <c r="F677" s="30" t="n"/>
      <c r="G677" s="30" t="n"/>
      <c r="H677" s="31" t="n"/>
      <c r="I677" s="31" t="n"/>
      <c r="J677" s="29" t="n"/>
      <c r="K677" s="35">
        <f>IF($A677="","",IF($C677="","",raporTarihi-$C677))</f>
        <v/>
      </c>
      <c r="L677" s="35">
        <f>IF($A677="","",IF($K677="","",IF($K677&lt;=7,"0-7",IF($K677&lt;=30,"8-30",IF($K677&lt;=60,"31-60","60+")))))</f>
        <v/>
      </c>
      <c r="M677" s="35">
        <f>IF($A677="","",IF($B677="","YETİM",IF(COUNTIF(tblKartlar[KartId],$B677)=0,"YETİM","")))</f>
        <v/>
      </c>
      <c r="N677" s="35">
        <f>IF(OR($A677="",$D677=""),"",IF(OR($D677&amp;"|"&amp;$E677="",COUNTIF(ListeIzinliGecis,$D677&amp;"|"&amp;$E677)&gt;0),"","GEÇERSİZ GEÇİŞ"))</f>
        <v/>
      </c>
      <c r="O677" s="35">
        <f>IF($A677="","",IF(OR($F677="",$G677=""),"",IF(ABS($G677-$F677)&gt;zincirTolerans,"ZİNCİR KIRIK","OK")))</f>
        <v/>
      </c>
      <c r="P677" s="35">
        <f>IF($A677="","",1)</f>
        <v/>
      </c>
    </row>
    <row r="678">
      <c r="A678" s="29" t="n"/>
      <c r="B678" s="29" t="n"/>
      <c r="C678" s="70" t="n"/>
      <c r="D678" s="29" t="n"/>
      <c r="E678" s="29" t="n"/>
      <c r="F678" s="30" t="n"/>
      <c r="G678" s="30" t="n"/>
      <c r="H678" s="31" t="n"/>
      <c r="I678" s="31" t="n"/>
      <c r="J678" s="29" t="n"/>
      <c r="K678" s="35">
        <f>IF($A678="","",IF($C678="","",raporTarihi-$C678))</f>
        <v/>
      </c>
      <c r="L678" s="35">
        <f>IF($A678="","",IF($K678="","",IF($K678&lt;=7,"0-7",IF($K678&lt;=30,"8-30",IF($K678&lt;=60,"31-60","60+")))))</f>
        <v/>
      </c>
      <c r="M678" s="35">
        <f>IF($A678="","",IF($B678="","YETİM",IF(COUNTIF(tblKartlar[KartId],$B678)=0,"YETİM","")))</f>
        <v/>
      </c>
      <c r="N678" s="35">
        <f>IF(OR($A678="",$D678=""),"",IF(OR($D678&amp;"|"&amp;$E678="",COUNTIF(ListeIzinliGecis,$D678&amp;"|"&amp;$E678)&gt;0),"","GEÇERSİZ GEÇİŞ"))</f>
        <v/>
      </c>
      <c r="O678" s="35">
        <f>IF($A678="","",IF(OR($F678="",$G678=""),"",IF(ABS($G678-$F678)&gt;zincirTolerans,"ZİNCİR KIRIK","OK")))</f>
        <v/>
      </c>
      <c r="P678" s="35">
        <f>IF($A678="","",1)</f>
        <v/>
      </c>
    </row>
    <row r="679">
      <c r="A679" s="29" t="n"/>
      <c r="B679" s="29" t="n"/>
      <c r="C679" s="70" t="n"/>
      <c r="D679" s="29" t="n"/>
      <c r="E679" s="29" t="n"/>
      <c r="F679" s="30" t="n"/>
      <c r="G679" s="30" t="n"/>
      <c r="H679" s="31" t="n"/>
      <c r="I679" s="31" t="n"/>
      <c r="J679" s="29" t="n"/>
      <c r="K679" s="35">
        <f>IF($A679="","",IF($C679="","",raporTarihi-$C679))</f>
        <v/>
      </c>
      <c r="L679" s="35">
        <f>IF($A679="","",IF($K679="","",IF($K679&lt;=7,"0-7",IF($K679&lt;=30,"8-30",IF($K679&lt;=60,"31-60","60+")))))</f>
        <v/>
      </c>
      <c r="M679" s="35">
        <f>IF($A679="","",IF($B679="","YETİM",IF(COUNTIF(tblKartlar[KartId],$B679)=0,"YETİM","")))</f>
        <v/>
      </c>
      <c r="N679" s="35">
        <f>IF(OR($A679="",$D679=""),"",IF(OR($D679&amp;"|"&amp;$E679="",COUNTIF(ListeIzinliGecis,$D679&amp;"|"&amp;$E679)&gt;0),"","GEÇERSİZ GEÇİŞ"))</f>
        <v/>
      </c>
      <c r="O679" s="35">
        <f>IF($A679="","",IF(OR($F679="",$G679=""),"",IF(ABS($G679-$F679)&gt;zincirTolerans,"ZİNCİR KIRIK","OK")))</f>
        <v/>
      </c>
      <c r="P679" s="35">
        <f>IF($A679="","",1)</f>
        <v/>
      </c>
    </row>
    <row r="680">
      <c r="A680" s="29" t="n"/>
      <c r="B680" s="29" t="n"/>
      <c r="C680" s="70" t="n"/>
      <c r="D680" s="29" t="n"/>
      <c r="E680" s="29" t="n"/>
      <c r="F680" s="30" t="n"/>
      <c r="G680" s="30" t="n"/>
      <c r="H680" s="31" t="n"/>
      <c r="I680" s="31" t="n"/>
      <c r="J680" s="29" t="n"/>
      <c r="K680" s="35">
        <f>IF($A680="","",IF($C680="","",raporTarihi-$C680))</f>
        <v/>
      </c>
      <c r="L680" s="35">
        <f>IF($A680="","",IF($K680="","",IF($K680&lt;=7,"0-7",IF($K680&lt;=30,"8-30",IF($K680&lt;=60,"31-60","60+")))))</f>
        <v/>
      </c>
      <c r="M680" s="35">
        <f>IF($A680="","",IF($B680="","YETİM",IF(COUNTIF(tblKartlar[KartId],$B680)=0,"YETİM","")))</f>
        <v/>
      </c>
      <c r="N680" s="35">
        <f>IF(OR($A680="",$D680=""),"",IF(OR($D680&amp;"|"&amp;$E680="",COUNTIF(ListeIzinliGecis,$D680&amp;"|"&amp;$E680)&gt;0),"","GEÇERSİZ GEÇİŞ"))</f>
        <v/>
      </c>
      <c r="O680" s="35">
        <f>IF($A680="","",IF(OR($F680="",$G680=""),"",IF(ABS($G680-$F680)&gt;zincirTolerans,"ZİNCİR KIRIK","OK")))</f>
        <v/>
      </c>
      <c r="P680" s="35">
        <f>IF($A680="","",1)</f>
        <v/>
      </c>
    </row>
    <row r="681">
      <c r="A681" s="29" t="n"/>
      <c r="B681" s="29" t="n"/>
      <c r="C681" s="70" t="n"/>
      <c r="D681" s="29" t="n"/>
      <c r="E681" s="29" t="n"/>
      <c r="F681" s="30" t="n"/>
      <c r="G681" s="30" t="n"/>
      <c r="H681" s="31" t="n"/>
      <c r="I681" s="31" t="n"/>
      <c r="J681" s="29" t="n"/>
      <c r="K681" s="35">
        <f>IF($A681="","",IF($C681="","",raporTarihi-$C681))</f>
        <v/>
      </c>
      <c r="L681" s="35">
        <f>IF($A681="","",IF($K681="","",IF($K681&lt;=7,"0-7",IF($K681&lt;=30,"8-30",IF($K681&lt;=60,"31-60","60+")))))</f>
        <v/>
      </c>
      <c r="M681" s="35">
        <f>IF($A681="","",IF($B681="","YETİM",IF(COUNTIF(tblKartlar[KartId],$B681)=0,"YETİM","")))</f>
        <v/>
      </c>
      <c r="N681" s="35">
        <f>IF(OR($A681="",$D681=""),"",IF(OR($D681&amp;"|"&amp;$E681="",COUNTIF(ListeIzinliGecis,$D681&amp;"|"&amp;$E681)&gt;0),"","GEÇERSİZ GEÇİŞ"))</f>
        <v/>
      </c>
      <c r="O681" s="35">
        <f>IF($A681="","",IF(OR($F681="",$G681=""),"",IF(ABS($G681-$F681)&gt;zincirTolerans,"ZİNCİR KIRIK","OK")))</f>
        <v/>
      </c>
      <c r="P681" s="35">
        <f>IF($A681="","",1)</f>
        <v/>
      </c>
    </row>
    <row r="682">
      <c r="A682" s="29" t="n"/>
      <c r="B682" s="29" t="n"/>
      <c r="C682" s="70" t="n"/>
      <c r="D682" s="29" t="n"/>
      <c r="E682" s="29" t="n"/>
      <c r="F682" s="30" t="n"/>
      <c r="G682" s="30" t="n"/>
      <c r="H682" s="31" t="n"/>
      <c r="I682" s="31" t="n"/>
      <c r="J682" s="29" t="n"/>
      <c r="K682" s="35">
        <f>IF($A682="","",IF($C682="","",raporTarihi-$C682))</f>
        <v/>
      </c>
      <c r="L682" s="35">
        <f>IF($A682="","",IF($K682="","",IF($K682&lt;=7,"0-7",IF($K682&lt;=30,"8-30",IF($K682&lt;=60,"31-60","60+")))))</f>
        <v/>
      </c>
      <c r="M682" s="35">
        <f>IF($A682="","",IF($B682="","YETİM",IF(COUNTIF(tblKartlar[KartId],$B682)=0,"YETİM","")))</f>
        <v/>
      </c>
      <c r="N682" s="35">
        <f>IF(OR($A682="",$D682=""),"",IF(OR($D682&amp;"|"&amp;$E682="",COUNTIF(ListeIzinliGecis,$D682&amp;"|"&amp;$E682)&gt;0),"","GEÇERSİZ GEÇİŞ"))</f>
        <v/>
      </c>
      <c r="O682" s="35">
        <f>IF($A682="","",IF(OR($F682="",$G682=""),"",IF(ABS($G682-$F682)&gt;zincirTolerans,"ZİNCİR KIRIK","OK")))</f>
        <v/>
      </c>
      <c r="P682" s="35">
        <f>IF($A682="","",1)</f>
        <v/>
      </c>
    </row>
    <row r="683">
      <c r="A683" s="29" t="n"/>
      <c r="B683" s="29" t="n"/>
      <c r="C683" s="70" t="n"/>
      <c r="D683" s="29" t="n"/>
      <c r="E683" s="29" t="n"/>
      <c r="F683" s="30" t="n"/>
      <c r="G683" s="30" t="n"/>
      <c r="H683" s="31" t="n"/>
      <c r="I683" s="31" t="n"/>
      <c r="J683" s="29" t="n"/>
      <c r="K683" s="35">
        <f>IF($A683="","",IF($C683="","",raporTarihi-$C683))</f>
        <v/>
      </c>
      <c r="L683" s="35">
        <f>IF($A683="","",IF($K683="","",IF($K683&lt;=7,"0-7",IF($K683&lt;=30,"8-30",IF($K683&lt;=60,"31-60","60+")))))</f>
        <v/>
      </c>
      <c r="M683" s="35">
        <f>IF($A683="","",IF($B683="","YETİM",IF(COUNTIF(tblKartlar[KartId],$B683)=0,"YETİM","")))</f>
        <v/>
      </c>
      <c r="N683" s="35">
        <f>IF(OR($A683="",$D683=""),"",IF(OR($D683&amp;"|"&amp;$E683="",COUNTIF(ListeIzinliGecis,$D683&amp;"|"&amp;$E683)&gt;0),"","GEÇERSİZ GEÇİŞ"))</f>
        <v/>
      </c>
      <c r="O683" s="35">
        <f>IF($A683="","",IF(OR($F683="",$G683=""),"",IF(ABS($G683-$F683)&gt;zincirTolerans,"ZİNCİR KIRIK","OK")))</f>
        <v/>
      </c>
      <c r="P683" s="35">
        <f>IF($A683="","",1)</f>
        <v/>
      </c>
    </row>
    <row r="684">
      <c r="A684" s="29" t="n"/>
      <c r="B684" s="29" t="n"/>
      <c r="C684" s="70" t="n"/>
      <c r="D684" s="29" t="n"/>
      <c r="E684" s="29" t="n"/>
      <c r="F684" s="30" t="n"/>
      <c r="G684" s="30" t="n"/>
      <c r="H684" s="31" t="n"/>
      <c r="I684" s="31" t="n"/>
      <c r="J684" s="29" t="n"/>
      <c r="K684" s="35">
        <f>IF($A684="","",IF($C684="","",raporTarihi-$C684))</f>
        <v/>
      </c>
      <c r="L684" s="35">
        <f>IF($A684="","",IF($K684="","",IF($K684&lt;=7,"0-7",IF($K684&lt;=30,"8-30",IF($K684&lt;=60,"31-60","60+")))))</f>
        <v/>
      </c>
      <c r="M684" s="35">
        <f>IF($A684="","",IF($B684="","YETİM",IF(COUNTIF(tblKartlar[KartId],$B684)=0,"YETİM","")))</f>
        <v/>
      </c>
      <c r="N684" s="35">
        <f>IF(OR($A684="",$D684=""),"",IF(OR($D684&amp;"|"&amp;$E684="",COUNTIF(ListeIzinliGecis,$D684&amp;"|"&amp;$E684)&gt;0),"","GEÇERSİZ GEÇİŞ"))</f>
        <v/>
      </c>
      <c r="O684" s="35">
        <f>IF($A684="","",IF(OR($F684="",$G684=""),"",IF(ABS($G684-$F684)&gt;zincirTolerans,"ZİNCİR KIRIK","OK")))</f>
        <v/>
      </c>
      <c r="P684" s="35">
        <f>IF($A684="","",1)</f>
        <v/>
      </c>
    </row>
    <row r="685">
      <c r="A685" s="29" t="n"/>
      <c r="B685" s="29" t="n"/>
      <c r="C685" s="70" t="n"/>
      <c r="D685" s="29" t="n"/>
      <c r="E685" s="29" t="n"/>
      <c r="F685" s="30" t="n"/>
      <c r="G685" s="30" t="n"/>
      <c r="H685" s="31" t="n"/>
      <c r="I685" s="31" t="n"/>
      <c r="J685" s="29" t="n"/>
      <c r="K685" s="35">
        <f>IF($A685="","",IF($C685="","",raporTarihi-$C685))</f>
        <v/>
      </c>
      <c r="L685" s="35">
        <f>IF($A685="","",IF($K685="","",IF($K685&lt;=7,"0-7",IF($K685&lt;=30,"8-30",IF($K685&lt;=60,"31-60","60+")))))</f>
        <v/>
      </c>
      <c r="M685" s="35">
        <f>IF($A685="","",IF($B685="","YETİM",IF(COUNTIF(tblKartlar[KartId],$B685)=0,"YETİM","")))</f>
        <v/>
      </c>
      <c r="N685" s="35">
        <f>IF(OR($A685="",$D685=""),"",IF(OR($D685&amp;"|"&amp;$E685="",COUNTIF(ListeIzinliGecis,$D685&amp;"|"&amp;$E685)&gt;0),"","GEÇERSİZ GEÇİŞ"))</f>
        <v/>
      </c>
      <c r="O685" s="35">
        <f>IF($A685="","",IF(OR($F685="",$G685=""),"",IF(ABS($G685-$F685)&gt;zincirTolerans,"ZİNCİR KIRIK","OK")))</f>
        <v/>
      </c>
      <c r="P685" s="35">
        <f>IF($A685="","",1)</f>
        <v/>
      </c>
    </row>
    <row r="686">
      <c r="A686" s="29" t="n"/>
      <c r="B686" s="29" t="n"/>
      <c r="C686" s="70" t="n"/>
      <c r="D686" s="29" t="n"/>
      <c r="E686" s="29" t="n"/>
      <c r="F686" s="30" t="n"/>
      <c r="G686" s="30" t="n"/>
      <c r="H686" s="31" t="n"/>
      <c r="I686" s="31" t="n"/>
      <c r="J686" s="29" t="n"/>
      <c r="K686" s="35">
        <f>IF($A686="","",IF($C686="","",raporTarihi-$C686))</f>
        <v/>
      </c>
      <c r="L686" s="35">
        <f>IF($A686="","",IF($K686="","",IF($K686&lt;=7,"0-7",IF($K686&lt;=30,"8-30",IF($K686&lt;=60,"31-60","60+")))))</f>
        <v/>
      </c>
      <c r="M686" s="35">
        <f>IF($A686="","",IF($B686="","YETİM",IF(COUNTIF(tblKartlar[KartId],$B686)=0,"YETİM","")))</f>
        <v/>
      </c>
      <c r="N686" s="35">
        <f>IF(OR($A686="",$D686=""),"",IF(OR($D686&amp;"|"&amp;$E686="",COUNTIF(ListeIzinliGecis,$D686&amp;"|"&amp;$E686)&gt;0),"","GEÇERSİZ GEÇİŞ"))</f>
        <v/>
      </c>
      <c r="O686" s="35">
        <f>IF($A686="","",IF(OR($F686="",$G686=""),"",IF(ABS($G686-$F686)&gt;zincirTolerans,"ZİNCİR KIRIK","OK")))</f>
        <v/>
      </c>
      <c r="P686" s="35">
        <f>IF($A686="","",1)</f>
        <v/>
      </c>
    </row>
    <row r="687">
      <c r="A687" s="29" t="n"/>
      <c r="B687" s="29" t="n"/>
      <c r="C687" s="70" t="n"/>
      <c r="D687" s="29" t="n"/>
      <c r="E687" s="29" t="n"/>
      <c r="F687" s="30" t="n"/>
      <c r="G687" s="30" t="n"/>
      <c r="H687" s="31" t="n"/>
      <c r="I687" s="31" t="n"/>
      <c r="J687" s="29" t="n"/>
      <c r="K687" s="35">
        <f>IF($A687="","",IF($C687="","",raporTarihi-$C687))</f>
        <v/>
      </c>
      <c r="L687" s="35">
        <f>IF($A687="","",IF($K687="","",IF($K687&lt;=7,"0-7",IF($K687&lt;=30,"8-30",IF($K687&lt;=60,"31-60","60+")))))</f>
        <v/>
      </c>
      <c r="M687" s="35">
        <f>IF($A687="","",IF($B687="","YETİM",IF(COUNTIF(tblKartlar[KartId],$B687)=0,"YETİM","")))</f>
        <v/>
      </c>
      <c r="N687" s="35">
        <f>IF(OR($A687="",$D687=""),"",IF(OR($D687&amp;"|"&amp;$E687="",COUNTIF(ListeIzinliGecis,$D687&amp;"|"&amp;$E687)&gt;0),"","GEÇERSİZ GEÇİŞ"))</f>
        <v/>
      </c>
      <c r="O687" s="35">
        <f>IF($A687="","",IF(OR($F687="",$G687=""),"",IF(ABS($G687-$F687)&gt;zincirTolerans,"ZİNCİR KIRIK","OK")))</f>
        <v/>
      </c>
      <c r="P687" s="35">
        <f>IF($A687="","",1)</f>
        <v/>
      </c>
    </row>
    <row r="688">
      <c r="A688" s="29" t="n"/>
      <c r="B688" s="29" t="n"/>
      <c r="C688" s="70" t="n"/>
      <c r="D688" s="29" t="n"/>
      <c r="E688" s="29" t="n"/>
      <c r="F688" s="30" t="n"/>
      <c r="G688" s="30" t="n"/>
      <c r="H688" s="31" t="n"/>
      <c r="I688" s="31" t="n"/>
      <c r="J688" s="29" t="n"/>
      <c r="K688" s="35">
        <f>IF($A688="","",IF($C688="","",raporTarihi-$C688))</f>
        <v/>
      </c>
      <c r="L688" s="35">
        <f>IF($A688="","",IF($K688="","",IF($K688&lt;=7,"0-7",IF($K688&lt;=30,"8-30",IF($K688&lt;=60,"31-60","60+")))))</f>
        <v/>
      </c>
      <c r="M688" s="35">
        <f>IF($A688="","",IF($B688="","YETİM",IF(COUNTIF(tblKartlar[KartId],$B688)=0,"YETİM","")))</f>
        <v/>
      </c>
      <c r="N688" s="35">
        <f>IF(OR($A688="",$D688=""),"",IF(OR($D688&amp;"|"&amp;$E688="",COUNTIF(ListeIzinliGecis,$D688&amp;"|"&amp;$E688)&gt;0),"","GEÇERSİZ GEÇİŞ"))</f>
        <v/>
      </c>
      <c r="O688" s="35">
        <f>IF($A688="","",IF(OR($F688="",$G688=""),"",IF(ABS($G688-$F688)&gt;zincirTolerans,"ZİNCİR KIRIK","OK")))</f>
        <v/>
      </c>
      <c r="P688" s="35">
        <f>IF($A688="","",1)</f>
        <v/>
      </c>
    </row>
    <row r="689">
      <c r="A689" s="29" t="n"/>
      <c r="B689" s="29" t="n"/>
      <c r="C689" s="70" t="n"/>
      <c r="D689" s="29" t="n"/>
      <c r="E689" s="29" t="n"/>
      <c r="F689" s="30" t="n"/>
      <c r="G689" s="30" t="n"/>
      <c r="H689" s="31" t="n"/>
      <c r="I689" s="31" t="n"/>
      <c r="J689" s="29" t="n"/>
      <c r="K689" s="35">
        <f>IF($A689="","",IF($C689="","",raporTarihi-$C689))</f>
        <v/>
      </c>
      <c r="L689" s="35">
        <f>IF($A689="","",IF($K689="","",IF($K689&lt;=7,"0-7",IF($K689&lt;=30,"8-30",IF($K689&lt;=60,"31-60","60+")))))</f>
        <v/>
      </c>
      <c r="M689" s="35">
        <f>IF($A689="","",IF($B689="","YETİM",IF(COUNTIF(tblKartlar[KartId],$B689)=0,"YETİM","")))</f>
        <v/>
      </c>
      <c r="N689" s="35">
        <f>IF(OR($A689="",$D689=""),"",IF(OR($D689&amp;"|"&amp;$E689="",COUNTIF(ListeIzinliGecis,$D689&amp;"|"&amp;$E689)&gt;0),"","GEÇERSİZ GEÇİŞ"))</f>
        <v/>
      </c>
      <c r="O689" s="35">
        <f>IF($A689="","",IF(OR($F689="",$G689=""),"",IF(ABS($G689-$F689)&gt;zincirTolerans,"ZİNCİR KIRIK","OK")))</f>
        <v/>
      </c>
      <c r="P689" s="35">
        <f>IF($A689="","",1)</f>
        <v/>
      </c>
    </row>
    <row r="690">
      <c r="A690" s="29" t="n"/>
      <c r="B690" s="29" t="n"/>
      <c r="C690" s="70" t="n"/>
      <c r="D690" s="29" t="n"/>
      <c r="E690" s="29" t="n"/>
      <c r="F690" s="30" t="n"/>
      <c r="G690" s="30" t="n"/>
      <c r="H690" s="31" t="n"/>
      <c r="I690" s="31" t="n"/>
      <c r="J690" s="29" t="n"/>
      <c r="K690" s="35">
        <f>IF($A690="","",IF($C690="","",raporTarihi-$C690))</f>
        <v/>
      </c>
      <c r="L690" s="35">
        <f>IF($A690="","",IF($K690="","",IF($K690&lt;=7,"0-7",IF($K690&lt;=30,"8-30",IF($K690&lt;=60,"31-60","60+")))))</f>
        <v/>
      </c>
      <c r="M690" s="35">
        <f>IF($A690="","",IF($B690="","YETİM",IF(COUNTIF(tblKartlar[KartId],$B690)=0,"YETİM","")))</f>
        <v/>
      </c>
      <c r="N690" s="35">
        <f>IF(OR($A690="",$D690=""),"",IF(OR($D690&amp;"|"&amp;$E690="",COUNTIF(ListeIzinliGecis,$D690&amp;"|"&amp;$E690)&gt;0),"","GEÇERSİZ GEÇİŞ"))</f>
        <v/>
      </c>
      <c r="O690" s="35">
        <f>IF($A690="","",IF(OR($F690="",$G690=""),"",IF(ABS($G690-$F690)&gt;zincirTolerans,"ZİNCİR KIRIK","OK")))</f>
        <v/>
      </c>
      <c r="P690" s="35">
        <f>IF($A690="","",1)</f>
        <v/>
      </c>
    </row>
    <row r="691">
      <c r="A691" s="29" t="n"/>
      <c r="B691" s="29" t="n"/>
      <c r="C691" s="70" t="n"/>
      <c r="D691" s="29" t="n"/>
      <c r="E691" s="29" t="n"/>
      <c r="F691" s="30" t="n"/>
      <c r="G691" s="30" t="n"/>
      <c r="H691" s="31" t="n"/>
      <c r="I691" s="31" t="n"/>
      <c r="J691" s="29" t="n"/>
      <c r="K691" s="35">
        <f>IF($A691="","",IF($C691="","",raporTarihi-$C691))</f>
        <v/>
      </c>
      <c r="L691" s="35">
        <f>IF($A691="","",IF($K691="","",IF($K691&lt;=7,"0-7",IF($K691&lt;=30,"8-30",IF($K691&lt;=60,"31-60","60+")))))</f>
        <v/>
      </c>
      <c r="M691" s="35">
        <f>IF($A691="","",IF($B691="","YETİM",IF(COUNTIF(tblKartlar[KartId],$B691)=0,"YETİM","")))</f>
        <v/>
      </c>
      <c r="N691" s="35">
        <f>IF(OR($A691="",$D691=""),"",IF(OR($D691&amp;"|"&amp;$E691="",COUNTIF(ListeIzinliGecis,$D691&amp;"|"&amp;$E691)&gt;0),"","GEÇERSİZ GEÇİŞ"))</f>
        <v/>
      </c>
      <c r="O691" s="35">
        <f>IF($A691="","",IF(OR($F691="",$G691=""),"",IF(ABS($G691-$F691)&gt;zincirTolerans,"ZİNCİR KIRIK","OK")))</f>
        <v/>
      </c>
      <c r="P691" s="35">
        <f>IF($A691="","",1)</f>
        <v/>
      </c>
    </row>
    <row r="692">
      <c r="A692" s="29" t="n"/>
      <c r="B692" s="29" t="n"/>
      <c r="C692" s="70" t="n"/>
      <c r="D692" s="29" t="n"/>
      <c r="E692" s="29" t="n"/>
      <c r="F692" s="30" t="n"/>
      <c r="G692" s="30" t="n"/>
      <c r="H692" s="31" t="n"/>
      <c r="I692" s="31" t="n"/>
      <c r="J692" s="29" t="n"/>
      <c r="K692" s="35">
        <f>IF($A692="","",IF($C692="","",raporTarihi-$C692))</f>
        <v/>
      </c>
      <c r="L692" s="35">
        <f>IF($A692="","",IF($K692="","",IF($K692&lt;=7,"0-7",IF($K692&lt;=30,"8-30",IF($K692&lt;=60,"31-60","60+")))))</f>
        <v/>
      </c>
      <c r="M692" s="35">
        <f>IF($A692="","",IF($B692="","YETİM",IF(COUNTIF(tblKartlar[KartId],$B692)=0,"YETİM","")))</f>
        <v/>
      </c>
      <c r="N692" s="35">
        <f>IF(OR($A692="",$D692=""),"",IF(OR($D692&amp;"|"&amp;$E692="",COUNTIF(ListeIzinliGecis,$D692&amp;"|"&amp;$E692)&gt;0),"","GEÇERSİZ GEÇİŞ"))</f>
        <v/>
      </c>
      <c r="O692" s="35">
        <f>IF($A692="","",IF(OR($F692="",$G692=""),"",IF(ABS($G692-$F692)&gt;zincirTolerans,"ZİNCİR KIRIK","OK")))</f>
        <v/>
      </c>
      <c r="P692" s="35">
        <f>IF($A692="","",1)</f>
        <v/>
      </c>
    </row>
    <row r="693">
      <c r="A693" s="29" t="n"/>
      <c r="B693" s="29" t="n"/>
      <c r="C693" s="70" t="n"/>
      <c r="D693" s="29" t="n"/>
      <c r="E693" s="29" t="n"/>
      <c r="F693" s="30" t="n"/>
      <c r="G693" s="30" t="n"/>
      <c r="H693" s="31" t="n"/>
      <c r="I693" s="31" t="n"/>
      <c r="J693" s="29" t="n"/>
      <c r="K693" s="35">
        <f>IF($A693="","",IF($C693="","",raporTarihi-$C693))</f>
        <v/>
      </c>
      <c r="L693" s="35">
        <f>IF($A693="","",IF($K693="","",IF($K693&lt;=7,"0-7",IF($K693&lt;=30,"8-30",IF($K693&lt;=60,"31-60","60+")))))</f>
        <v/>
      </c>
      <c r="M693" s="35">
        <f>IF($A693="","",IF($B693="","YETİM",IF(COUNTIF(tblKartlar[KartId],$B693)=0,"YETİM","")))</f>
        <v/>
      </c>
      <c r="N693" s="35">
        <f>IF(OR($A693="",$D693=""),"",IF(OR($D693&amp;"|"&amp;$E693="",COUNTIF(ListeIzinliGecis,$D693&amp;"|"&amp;$E693)&gt;0),"","GEÇERSİZ GEÇİŞ"))</f>
        <v/>
      </c>
      <c r="O693" s="35">
        <f>IF($A693="","",IF(OR($F693="",$G693=""),"",IF(ABS($G693-$F693)&gt;zincirTolerans,"ZİNCİR KIRIK","OK")))</f>
        <v/>
      </c>
      <c r="P693" s="35">
        <f>IF($A693="","",1)</f>
        <v/>
      </c>
    </row>
    <row r="694">
      <c r="A694" s="29" t="n"/>
      <c r="B694" s="29" t="n"/>
      <c r="C694" s="70" t="n"/>
      <c r="D694" s="29" t="n"/>
      <c r="E694" s="29" t="n"/>
      <c r="F694" s="30" t="n"/>
      <c r="G694" s="30" t="n"/>
      <c r="H694" s="31" t="n"/>
      <c r="I694" s="31" t="n"/>
      <c r="J694" s="29" t="n"/>
      <c r="K694" s="35">
        <f>IF($A694="","",IF($C694="","",raporTarihi-$C694))</f>
        <v/>
      </c>
      <c r="L694" s="35">
        <f>IF($A694="","",IF($K694="","",IF($K694&lt;=7,"0-7",IF($K694&lt;=30,"8-30",IF($K694&lt;=60,"31-60","60+")))))</f>
        <v/>
      </c>
      <c r="M694" s="35">
        <f>IF($A694="","",IF($B694="","YETİM",IF(COUNTIF(tblKartlar[KartId],$B694)=0,"YETİM","")))</f>
        <v/>
      </c>
      <c r="N694" s="35">
        <f>IF(OR($A694="",$D694=""),"",IF(OR($D694&amp;"|"&amp;$E694="",COUNTIF(ListeIzinliGecis,$D694&amp;"|"&amp;$E694)&gt;0),"","GEÇERSİZ GEÇİŞ"))</f>
        <v/>
      </c>
      <c r="O694" s="35">
        <f>IF($A694="","",IF(OR($F694="",$G694=""),"",IF(ABS($G694-$F694)&gt;zincirTolerans,"ZİNCİR KIRIK","OK")))</f>
        <v/>
      </c>
      <c r="P694" s="35">
        <f>IF($A694="","",1)</f>
        <v/>
      </c>
    </row>
    <row r="695">
      <c r="A695" s="29" t="n"/>
      <c r="B695" s="29" t="n"/>
      <c r="C695" s="70" t="n"/>
      <c r="D695" s="29" t="n"/>
      <c r="E695" s="29" t="n"/>
      <c r="F695" s="30" t="n"/>
      <c r="G695" s="30" t="n"/>
      <c r="H695" s="31" t="n"/>
      <c r="I695" s="31" t="n"/>
      <c r="J695" s="29" t="n"/>
      <c r="K695" s="35">
        <f>IF($A695="","",IF($C695="","",raporTarihi-$C695))</f>
        <v/>
      </c>
      <c r="L695" s="35">
        <f>IF($A695="","",IF($K695="","",IF($K695&lt;=7,"0-7",IF($K695&lt;=30,"8-30",IF($K695&lt;=60,"31-60","60+")))))</f>
        <v/>
      </c>
      <c r="M695" s="35">
        <f>IF($A695="","",IF($B695="","YETİM",IF(COUNTIF(tblKartlar[KartId],$B695)=0,"YETİM","")))</f>
        <v/>
      </c>
      <c r="N695" s="35">
        <f>IF(OR($A695="",$D695=""),"",IF(OR($D695&amp;"|"&amp;$E695="",COUNTIF(ListeIzinliGecis,$D695&amp;"|"&amp;$E695)&gt;0),"","GEÇERSİZ GEÇİŞ"))</f>
        <v/>
      </c>
      <c r="O695" s="35">
        <f>IF($A695="","",IF(OR($F695="",$G695=""),"",IF(ABS($G695-$F695)&gt;zincirTolerans,"ZİNCİR KIRIK","OK")))</f>
        <v/>
      </c>
      <c r="P695" s="35">
        <f>IF($A695="","",1)</f>
        <v/>
      </c>
    </row>
    <row r="696">
      <c r="A696" s="29" t="n"/>
      <c r="B696" s="29" t="n"/>
      <c r="C696" s="70" t="n"/>
      <c r="D696" s="29" t="n"/>
      <c r="E696" s="29" t="n"/>
      <c r="F696" s="30" t="n"/>
      <c r="G696" s="30" t="n"/>
      <c r="H696" s="31" t="n"/>
      <c r="I696" s="31" t="n"/>
      <c r="J696" s="29" t="n"/>
      <c r="K696" s="35">
        <f>IF($A696="","",IF($C696="","",raporTarihi-$C696))</f>
        <v/>
      </c>
      <c r="L696" s="35">
        <f>IF($A696="","",IF($K696="","",IF($K696&lt;=7,"0-7",IF($K696&lt;=30,"8-30",IF($K696&lt;=60,"31-60","60+")))))</f>
        <v/>
      </c>
      <c r="M696" s="35">
        <f>IF($A696="","",IF($B696="","YETİM",IF(COUNTIF(tblKartlar[KartId],$B696)=0,"YETİM","")))</f>
        <v/>
      </c>
      <c r="N696" s="35">
        <f>IF(OR($A696="",$D696=""),"",IF(OR($D696&amp;"|"&amp;$E696="",COUNTIF(ListeIzinliGecis,$D696&amp;"|"&amp;$E696)&gt;0),"","GEÇERSİZ GEÇİŞ"))</f>
        <v/>
      </c>
      <c r="O696" s="35">
        <f>IF($A696="","",IF(OR($F696="",$G696=""),"",IF(ABS($G696-$F696)&gt;zincirTolerans,"ZİNCİR KIRIK","OK")))</f>
        <v/>
      </c>
      <c r="P696" s="35">
        <f>IF($A696="","",1)</f>
        <v/>
      </c>
    </row>
    <row r="697">
      <c r="A697" s="29" t="n"/>
      <c r="B697" s="29" t="n"/>
      <c r="C697" s="70" t="n"/>
      <c r="D697" s="29" t="n"/>
      <c r="E697" s="29" t="n"/>
      <c r="F697" s="30" t="n"/>
      <c r="G697" s="30" t="n"/>
      <c r="H697" s="31" t="n"/>
      <c r="I697" s="31" t="n"/>
      <c r="J697" s="29" t="n"/>
      <c r="K697" s="35">
        <f>IF($A697="","",IF($C697="","",raporTarihi-$C697))</f>
        <v/>
      </c>
      <c r="L697" s="35">
        <f>IF($A697="","",IF($K697="","",IF($K697&lt;=7,"0-7",IF($K697&lt;=30,"8-30",IF($K697&lt;=60,"31-60","60+")))))</f>
        <v/>
      </c>
      <c r="M697" s="35">
        <f>IF($A697="","",IF($B697="","YETİM",IF(COUNTIF(tblKartlar[KartId],$B697)=0,"YETİM","")))</f>
        <v/>
      </c>
      <c r="N697" s="35">
        <f>IF(OR($A697="",$D697=""),"",IF(OR($D697&amp;"|"&amp;$E697="",COUNTIF(ListeIzinliGecis,$D697&amp;"|"&amp;$E697)&gt;0),"","GEÇERSİZ GEÇİŞ"))</f>
        <v/>
      </c>
      <c r="O697" s="35">
        <f>IF($A697="","",IF(OR($F697="",$G697=""),"",IF(ABS($G697-$F697)&gt;zincirTolerans,"ZİNCİR KIRIK","OK")))</f>
        <v/>
      </c>
      <c r="P697" s="35">
        <f>IF($A697="","",1)</f>
        <v/>
      </c>
    </row>
    <row r="698">
      <c r="A698" s="29" t="n"/>
      <c r="B698" s="29" t="n"/>
      <c r="C698" s="70" t="n"/>
      <c r="D698" s="29" t="n"/>
      <c r="E698" s="29" t="n"/>
      <c r="F698" s="30" t="n"/>
      <c r="G698" s="30" t="n"/>
      <c r="H698" s="31" t="n"/>
      <c r="I698" s="31" t="n"/>
      <c r="J698" s="29" t="n"/>
      <c r="K698" s="35">
        <f>IF($A698="","",IF($C698="","",raporTarihi-$C698))</f>
        <v/>
      </c>
      <c r="L698" s="35">
        <f>IF($A698="","",IF($K698="","",IF($K698&lt;=7,"0-7",IF($K698&lt;=30,"8-30",IF($K698&lt;=60,"31-60","60+")))))</f>
        <v/>
      </c>
      <c r="M698" s="35">
        <f>IF($A698="","",IF($B698="","YETİM",IF(COUNTIF(tblKartlar[KartId],$B698)=0,"YETİM","")))</f>
        <v/>
      </c>
      <c r="N698" s="35">
        <f>IF(OR($A698="",$D698=""),"",IF(OR($D698&amp;"|"&amp;$E698="",COUNTIF(ListeIzinliGecis,$D698&amp;"|"&amp;$E698)&gt;0),"","GEÇERSİZ GEÇİŞ"))</f>
        <v/>
      </c>
      <c r="O698" s="35">
        <f>IF($A698="","",IF(OR($F698="",$G698=""),"",IF(ABS($G698-$F698)&gt;zincirTolerans,"ZİNCİR KIRIK","OK")))</f>
        <v/>
      </c>
      <c r="P698" s="35">
        <f>IF($A698="","",1)</f>
        <v/>
      </c>
    </row>
    <row r="699">
      <c r="A699" s="29" t="n"/>
      <c r="B699" s="29" t="n"/>
      <c r="C699" s="70" t="n"/>
      <c r="D699" s="29" t="n"/>
      <c r="E699" s="29" t="n"/>
      <c r="F699" s="30" t="n"/>
      <c r="G699" s="30" t="n"/>
      <c r="H699" s="31" t="n"/>
      <c r="I699" s="31" t="n"/>
      <c r="J699" s="29" t="n"/>
      <c r="K699" s="35">
        <f>IF($A699="","",IF($C699="","",raporTarihi-$C699))</f>
        <v/>
      </c>
      <c r="L699" s="35">
        <f>IF($A699="","",IF($K699="","",IF($K699&lt;=7,"0-7",IF($K699&lt;=30,"8-30",IF($K699&lt;=60,"31-60","60+")))))</f>
        <v/>
      </c>
      <c r="M699" s="35">
        <f>IF($A699="","",IF($B699="","YETİM",IF(COUNTIF(tblKartlar[KartId],$B699)=0,"YETİM","")))</f>
        <v/>
      </c>
      <c r="N699" s="35">
        <f>IF(OR($A699="",$D699=""),"",IF(OR($D699&amp;"|"&amp;$E699="",COUNTIF(ListeIzinliGecis,$D699&amp;"|"&amp;$E699)&gt;0),"","GEÇERSİZ GEÇİŞ"))</f>
        <v/>
      </c>
      <c r="O699" s="35">
        <f>IF($A699="","",IF(OR($F699="",$G699=""),"",IF(ABS($G699-$F699)&gt;zincirTolerans,"ZİNCİR KIRIK","OK")))</f>
        <v/>
      </c>
      <c r="P699" s="35">
        <f>IF($A699="","",1)</f>
        <v/>
      </c>
    </row>
    <row r="700">
      <c r="A700" s="29" t="n"/>
      <c r="B700" s="29" t="n"/>
      <c r="C700" s="70" t="n"/>
      <c r="D700" s="29" t="n"/>
      <c r="E700" s="29" t="n"/>
      <c r="F700" s="30" t="n"/>
      <c r="G700" s="30" t="n"/>
      <c r="H700" s="31" t="n"/>
      <c r="I700" s="31" t="n"/>
      <c r="J700" s="29" t="n"/>
      <c r="K700" s="35">
        <f>IF($A700="","",IF($C700="","",raporTarihi-$C700))</f>
        <v/>
      </c>
      <c r="L700" s="35">
        <f>IF($A700="","",IF($K700="","",IF($K700&lt;=7,"0-7",IF($K700&lt;=30,"8-30",IF($K700&lt;=60,"31-60","60+")))))</f>
        <v/>
      </c>
      <c r="M700" s="35">
        <f>IF($A700="","",IF($B700="","YETİM",IF(COUNTIF(tblKartlar[KartId],$B700)=0,"YETİM","")))</f>
        <v/>
      </c>
      <c r="N700" s="35">
        <f>IF(OR($A700="",$D700=""),"",IF(OR($D700&amp;"|"&amp;$E700="",COUNTIF(ListeIzinliGecis,$D700&amp;"|"&amp;$E700)&gt;0),"","GEÇERSİZ GEÇİŞ"))</f>
        <v/>
      </c>
      <c r="O700" s="35">
        <f>IF($A700="","",IF(OR($F700="",$G700=""),"",IF(ABS($G700-$F700)&gt;zincirTolerans,"ZİNCİR KIRIK","OK")))</f>
        <v/>
      </c>
      <c r="P700" s="35">
        <f>IF($A700="","",1)</f>
        <v/>
      </c>
    </row>
    <row r="701">
      <c r="A701" s="29" t="n"/>
      <c r="B701" s="29" t="n"/>
      <c r="C701" s="70" t="n"/>
      <c r="D701" s="29" t="n"/>
      <c r="E701" s="29" t="n"/>
      <c r="F701" s="30" t="n"/>
      <c r="G701" s="30" t="n"/>
      <c r="H701" s="31" t="n"/>
      <c r="I701" s="31" t="n"/>
      <c r="J701" s="29" t="n"/>
      <c r="K701" s="35">
        <f>IF($A701="","",IF($C701="","",raporTarihi-$C701))</f>
        <v/>
      </c>
      <c r="L701" s="35">
        <f>IF($A701="","",IF($K701="","",IF($K701&lt;=7,"0-7",IF($K701&lt;=30,"8-30",IF($K701&lt;=60,"31-60","60+")))))</f>
        <v/>
      </c>
      <c r="M701" s="35">
        <f>IF($A701="","",IF($B701="","YETİM",IF(COUNTIF(tblKartlar[KartId],$B701)=0,"YETİM","")))</f>
        <v/>
      </c>
      <c r="N701" s="35">
        <f>IF(OR($A701="",$D701=""),"",IF(OR($D701&amp;"|"&amp;$E701="",COUNTIF(ListeIzinliGecis,$D701&amp;"|"&amp;$E701)&gt;0),"","GEÇERSİZ GEÇİŞ"))</f>
        <v/>
      </c>
      <c r="O701" s="35">
        <f>IF($A701="","",IF(OR($F701="",$G701=""),"",IF(ABS($G701-$F701)&gt;zincirTolerans,"ZİNCİR KIRIK","OK")))</f>
        <v/>
      </c>
      <c r="P701" s="35">
        <f>IF($A701="","",1)</f>
        <v/>
      </c>
    </row>
    <row r="702">
      <c r="A702" s="29" t="n"/>
      <c r="B702" s="29" t="n"/>
      <c r="C702" s="70" t="n"/>
      <c r="D702" s="29" t="n"/>
      <c r="E702" s="29" t="n"/>
      <c r="F702" s="30" t="n"/>
      <c r="G702" s="30" t="n"/>
      <c r="H702" s="31" t="n"/>
      <c r="I702" s="31" t="n"/>
      <c r="J702" s="29" t="n"/>
      <c r="K702" s="35">
        <f>IF($A702="","",IF($C702="","",raporTarihi-$C702))</f>
        <v/>
      </c>
      <c r="L702" s="35">
        <f>IF($A702="","",IF($K702="","",IF($K702&lt;=7,"0-7",IF($K702&lt;=30,"8-30",IF($K702&lt;=60,"31-60","60+")))))</f>
        <v/>
      </c>
      <c r="M702" s="35">
        <f>IF($A702="","",IF($B702="","YETİM",IF(COUNTIF(tblKartlar[KartId],$B702)=0,"YETİM","")))</f>
        <v/>
      </c>
      <c r="N702" s="35">
        <f>IF(OR($A702="",$D702=""),"",IF(OR($D702&amp;"|"&amp;$E702="",COUNTIF(ListeIzinliGecis,$D702&amp;"|"&amp;$E702)&gt;0),"","GEÇERSİZ GEÇİŞ"))</f>
        <v/>
      </c>
      <c r="O702" s="35">
        <f>IF($A702="","",IF(OR($F702="",$G702=""),"",IF(ABS($G702-$F702)&gt;zincirTolerans,"ZİNCİR KIRIK","OK")))</f>
        <v/>
      </c>
      <c r="P702" s="35">
        <f>IF($A702="","",1)</f>
        <v/>
      </c>
    </row>
    <row r="703">
      <c r="A703" s="29" t="n"/>
      <c r="B703" s="29" t="n"/>
      <c r="C703" s="70" t="n"/>
      <c r="D703" s="29" t="n"/>
      <c r="E703" s="29" t="n"/>
      <c r="F703" s="30" t="n"/>
      <c r="G703" s="30" t="n"/>
      <c r="H703" s="31" t="n"/>
      <c r="I703" s="31" t="n"/>
      <c r="J703" s="29" t="n"/>
      <c r="K703" s="35">
        <f>IF($A703="","",IF($C703="","",raporTarihi-$C703))</f>
        <v/>
      </c>
      <c r="L703" s="35">
        <f>IF($A703="","",IF($K703="","",IF($K703&lt;=7,"0-7",IF($K703&lt;=30,"8-30",IF($K703&lt;=60,"31-60","60+")))))</f>
        <v/>
      </c>
      <c r="M703" s="35">
        <f>IF($A703="","",IF($B703="","YETİM",IF(COUNTIF(tblKartlar[KartId],$B703)=0,"YETİM","")))</f>
        <v/>
      </c>
      <c r="N703" s="35">
        <f>IF(OR($A703="",$D703=""),"",IF(OR($D703&amp;"|"&amp;$E703="",COUNTIF(ListeIzinliGecis,$D703&amp;"|"&amp;$E703)&gt;0),"","GEÇERSİZ GEÇİŞ"))</f>
        <v/>
      </c>
      <c r="O703" s="35">
        <f>IF($A703="","",IF(OR($F703="",$G703=""),"",IF(ABS($G703-$F703)&gt;zincirTolerans,"ZİNCİR KIRIK","OK")))</f>
        <v/>
      </c>
      <c r="P703" s="35">
        <f>IF($A703="","",1)</f>
        <v/>
      </c>
    </row>
    <row r="704">
      <c r="A704" s="29" t="n"/>
      <c r="B704" s="29" t="n"/>
      <c r="C704" s="70" t="n"/>
      <c r="D704" s="29" t="n"/>
      <c r="E704" s="29" t="n"/>
      <c r="F704" s="30" t="n"/>
      <c r="G704" s="30" t="n"/>
      <c r="H704" s="31" t="n"/>
      <c r="I704" s="31" t="n"/>
      <c r="J704" s="29" t="n"/>
      <c r="K704" s="35">
        <f>IF($A704="","",IF($C704="","",raporTarihi-$C704))</f>
        <v/>
      </c>
      <c r="L704" s="35">
        <f>IF($A704="","",IF($K704="","",IF($K704&lt;=7,"0-7",IF($K704&lt;=30,"8-30",IF($K704&lt;=60,"31-60","60+")))))</f>
        <v/>
      </c>
      <c r="M704" s="35">
        <f>IF($A704="","",IF($B704="","YETİM",IF(COUNTIF(tblKartlar[KartId],$B704)=0,"YETİM","")))</f>
        <v/>
      </c>
      <c r="N704" s="35">
        <f>IF(OR($A704="",$D704=""),"",IF(OR($D704&amp;"|"&amp;$E704="",COUNTIF(ListeIzinliGecis,$D704&amp;"|"&amp;$E704)&gt;0),"","GEÇERSİZ GEÇİŞ"))</f>
        <v/>
      </c>
      <c r="O704" s="35">
        <f>IF($A704="","",IF(OR($F704="",$G704=""),"",IF(ABS($G704-$F704)&gt;zincirTolerans,"ZİNCİR KIRIK","OK")))</f>
        <v/>
      </c>
      <c r="P704" s="35">
        <f>IF($A704="","",1)</f>
        <v/>
      </c>
    </row>
    <row r="705">
      <c r="A705" s="29" t="n"/>
      <c r="B705" s="29" t="n"/>
      <c r="C705" s="70" t="n"/>
      <c r="D705" s="29" t="n"/>
      <c r="E705" s="29" t="n"/>
      <c r="F705" s="30" t="n"/>
      <c r="G705" s="30" t="n"/>
      <c r="H705" s="31" t="n"/>
      <c r="I705" s="31" t="n"/>
      <c r="J705" s="29" t="n"/>
      <c r="K705" s="35">
        <f>IF($A705="","",IF($C705="","",raporTarihi-$C705))</f>
        <v/>
      </c>
      <c r="L705" s="35">
        <f>IF($A705="","",IF($K705="","",IF($K705&lt;=7,"0-7",IF($K705&lt;=30,"8-30",IF($K705&lt;=60,"31-60","60+")))))</f>
        <v/>
      </c>
      <c r="M705" s="35">
        <f>IF($A705="","",IF($B705="","YETİM",IF(COUNTIF(tblKartlar[KartId],$B705)=0,"YETİM","")))</f>
        <v/>
      </c>
      <c r="N705" s="35">
        <f>IF(OR($A705="",$D705=""),"",IF(OR($D705&amp;"|"&amp;$E705="",COUNTIF(ListeIzinliGecis,$D705&amp;"|"&amp;$E705)&gt;0),"","GEÇERSİZ GEÇİŞ"))</f>
        <v/>
      </c>
      <c r="O705" s="35">
        <f>IF($A705="","",IF(OR($F705="",$G705=""),"",IF(ABS($G705-$F705)&gt;zincirTolerans,"ZİNCİR KIRIK","OK")))</f>
        <v/>
      </c>
      <c r="P705" s="35">
        <f>IF($A705="","",1)</f>
        <v/>
      </c>
    </row>
    <row r="706">
      <c r="A706" s="29" t="n"/>
      <c r="B706" s="29" t="n"/>
      <c r="C706" s="70" t="n"/>
      <c r="D706" s="29" t="n"/>
      <c r="E706" s="29" t="n"/>
      <c r="F706" s="30" t="n"/>
      <c r="G706" s="30" t="n"/>
      <c r="H706" s="31" t="n"/>
      <c r="I706" s="31" t="n"/>
      <c r="J706" s="29" t="n"/>
      <c r="K706" s="35">
        <f>IF($A706="","",IF($C706="","",raporTarihi-$C706))</f>
        <v/>
      </c>
      <c r="L706" s="35">
        <f>IF($A706="","",IF($K706="","",IF($K706&lt;=7,"0-7",IF($K706&lt;=30,"8-30",IF($K706&lt;=60,"31-60","60+")))))</f>
        <v/>
      </c>
      <c r="M706" s="35">
        <f>IF($A706="","",IF($B706="","YETİM",IF(COUNTIF(tblKartlar[KartId],$B706)=0,"YETİM","")))</f>
        <v/>
      </c>
      <c r="N706" s="35">
        <f>IF(OR($A706="",$D706=""),"",IF(OR($D706&amp;"|"&amp;$E706="",COUNTIF(ListeIzinliGecis,$D706&amp;"|"&amp;$E706)&gt;0),"","GEÇERSİZ GEÇİŞ"))</f>
        <v/>
      </c>
      <c r="O706" s="35">
        <f>IF($A706="","",IF(OR($F706="",$G706=""),"",IF(ABS($G706-$F706)&gt;zincirTolerans,"ZİNCİR KIRIK","OK")))</f>
        <v/>
      </c>
      <c r="P706" s="35">
        <f>IF($A706="","",1)</f>
        <v/>
      </c>
    </row>
    <row r="707">
      <c r="A707" s="29" t="n"/>
      <c r="B707" s="29" t="n"/>
      <c r="C707" s="70" t="n"/>
      <c r="D707" s="29" t="n"/>
      <c r="E707" s="29" t="n"/>
      <c r="F707" s="30" t="n"/>
      <c r="G707" s="30" t="n"/>
      <c r="H707" s="31" t="n"/>
      <c r="I707" s="31" t="n"/>
      <c r="J707" s="29" t="n"/>
      <c r="K707" s="35">
        <f>IF($A707="","",IF($C707="","",raporTarihi-$C707))</f>
        <v/>
      </c>
      <c r="L707" s="35">
        <f>IF($A707="","",IF($K707="","",IF($K707&lt;=7,"0-7",IF($K707&lt;=30,"8-30",IF($K707&lt;=60,"31-60","60+")))))</f>
        <v/>
      </c>
      <c r="M707" s="35">
        <f>IF($A707="","",IF($B707="","YETİM",IF(COUNTIF(tblKartlar[KartId],$B707)=0,"YETİM","")))</f>
        <v/>
      </c>
      <c r="N707" s="35">
        <f>IF(OR($A707="",$D707=""),"",IF(OR($D707&amp;"|"&amp;$E707="",COUNTIF(ListeIzinliGecis,$D707&amp;"|"&amp;$E707)&gt;0),"","GEÇERSİZ GEÇİŞ"))</f>
        <v/>
      </c>
      <c r="O707" s="35">
        <f>IF($A707="","",IF(OR($F707="",$G707=""),"",IF(ABS($G707-$F707)&gt;zincirTolerans,"ZİNCİR KIRIK","OK")))</f>
        <v/>
      </c>
      <c r="P707" s="35">
        <f>IF($A707="","",1)</f>
        <v/>
      </c>
    </row>
    <row r="708">
      <c r="A708" s="29" t="n"/>
      <c r="B708" s="29" t="n"/>
      <c r="C708" s="70" t="n"/>
      <c r="D708" s="29" t="n"/>
      <c r="E708" s="29" t="n"/>
      <c r="F708" s="30" t="n"/>
      <c r="G708" s="30" t="n"/>
      <c r="H708" s="31" t="n"/>
      <c r="I708" s="31" t="n"/>
      <c r="J708" s="29" t="n"/>
      <c r="K708" s="35">
        <f>IF($A708="","",IF($C708="","",raporTarihi-$C708))</f>
        <v/>
      </c>
      <c r="L708" s="35">
        <f>IF($A708="","",IF($K708="","",IF($K708&lt;=7,"0-7",IF($K708&lt;=30,"8-30",IF($K708&lt;=60,"31-60","60+")))))</f>
        <v/>
      </c>
      <c r="M708" s="35">
        <f>IF($A708="","",IF($B708="","YETİM",IF(COUNTIF(tblKartlar[KartId],$B708)=0,"YETİM","")))</f>
        <v/>
      </c>
      <c r="N708" s="35">
        <f>IF(OR($A708="",$D708=""),"",IF(OR($D708&amp;"|"&amp;$E708="",COUNTIF(ListeIzinliGecis,$D708&amp;"|"&amp;$E708)&gt;0),"","GEÇERSİZ GEÇİŞ"))</f>
        <v/>
      </c>
      <c r="O708" s="35">
        <f>IF($A708="","",IF(OR($F708="",$G708=""),"",IF(ABS($G708-$F708)&gt;zincirTolerans,"ZİNCİR KIRIK","OK")))</f>
        <v/>
      </c>
      <c r="P708" s="35">
        <f>IF($A708="","",1)</f>
        <v/>
      </c>
    </row>
    <row r="709">
      <c r="A709" s="29" t="n"/>
      <c r="B709" s="29" t="n"/>
      <c r="C709" s="70" t="n"/>
      <c r="D709" s="29" t="n"/>
      <c r="E709" s="29" t="n"/>
      <c r="F709" s="30" t="n"/>
      <c r="G709" s="30" t="n"/>
      <c r="H709" s="31" t="n"/>
      <c r="I709" s="31" t="n"/>
      <c r="J709" s="29" t="n"/>
      <c r="K709" s="35">
        <f>IF($A709="","",IF($C709="","",raporTarihi-$C709))</f>
        <v/>
      </c>
      <c r="L709" s="35">
        <f>IF($A709="","",IF($K709="","",IF($K709&lt;=7,"0-7",IF($K709&lt;=30,"8-30",IF($K709&lt;=60,"31-60","60+")))))</f>
        <v/>
      </c>
      <c r="M709" s="35">
        <f>IF($A709="","",IF($B709="","YETİM",IF(COUNTIF(tblKartlar[KartId],$B709)=0,"YETİM","")))</f>
        <v/>
      </c>
      <c r="N709" s="35">
        <f>IF(OR($A709="",$D709=""),"",IF(OR($D709&amp;"|"&amp;$E709="",COUNTIF(ListeIzinliGecis,$D709&amp;"|"&amp;$E709)&gt;0),"","GEÇERSİZ GEÇİŞ"))</f>
        <v/>
      </c>
      <c r="O709" s="35">
        <f>IF($A709="","",IF(OR($F709="",$G709=""),"",IF(ABS($G709-$F709)&gt;zincirTolerans,"ZİNCİR KIRIK","OK")))</f>
        <v/>
      </c>
      <c r="P709" s="35">
        <f>IF($A709="","",1)</f>
        <v/>
      </c>
    </row>
    <row r="710">
      <c r="A710" s="29" t="n"/>
      <c r="B710" s="29" t="n"/>
      <c r="C710" s="70" t="n"/>
      <c r="D710" s="29" t="n"/>
      <c r="E710" s="29" t="n"/>
      <c r="F710" s="30" t="n"/>
      <c r="G710" s="30" t="n"/>
      <c r="H710" s="31" t="n"/>
      <c r="I710" s="31" t="n"/>
      <c r="J710" s="29" t="n"/>
      <c r="K710" s="35">
        <f>IF($A710="","",IF($C710="","",raporTarihi-$C710))</f>
        <v/>
      </c>
      <c r="L710" s="35">
        <f>IF($A710="","",IF($K710="","",IF($K710&lt;=7,"0-7",IF($K710&lt;=30,"8-30",IF($K710&lt;=60,"31-60","60+")))))</f>
        <v/>
      </c>
      <c r="M710" s="35">
        <f>IF($A710="","",IF($B710="","YETİM",IF(COUNTIF(tblKartlar[KartId],$B710)=0,"YETİM","")))</f>
        <v/>
      </c>
      <c r="N710" s="35">
        <f>IF(OR($A710="",$D710=""),"",IF(OR($D710&amp;"|"&amp;$E710="",COUNTIF(ListeIzinliGecis,$D710&amp;"|"&amp;$E710)&gt;0),"","GEÇERSİZ GEÇİŞ"))</f>
        <v/>
      </c>
      <c r="O710" s="35">
        <f>IF($A710="","",IF(OR($F710="",$G710=""),"",IF(ABS($G710-$F710)&gt;zincirTolerans,"ZİNCİR KIRIK","OK")))</f>
        <v/>
      </c>
      <c r="P710" s="35">
        <f>IF($A710="","",1)</f>
        <v/>
      </c>
    </row>
    <row r="711">
      <c r="A711" s="29" t="n"/>
      <c r="B711" s="29" t="n"/>
      <c r="C711" s="70" t="n"/>
      <c r="D711" s="29" t="n"/>
      <c r="E711" s="29" t="n"/>
      <c r="F711" s="30" t="n"/>
      <c r="G711" s="30" t="n"/>
      <c r="H711" s="31" t="n"/>
      <c r="I711" s="31" t="n"/>
      <c r="J711" s="29" t="n"/>
      <c r="K711" s="35">
        <f>IF($A711="","",IF($C711="","",raporTarihi-$C711))</f>
        <v/>
      </c>
      <c r="L711" s="35">
        <f>IF($A711="","",IF($K711="","",IF($K711&lt;=7,"0-7",IF($K711&lt;=30,"8-30",IF($K711&lt;=60,"31-60","60+")))))</f>
        <v/>
      </c>
      <c r="M711" s="35">
        <f>IF($A711="","",IF($B711="","YETİM",IF(COUNTIF(tblKartlar[KartId],$B711)=0,"YETİM","")))</f>
        <v/>
      </c>
      <c r="N711" s="35">
        <f>IF(OR($A711="",$D711=""),"",IF(OR($D711&amp;"|"&amp;$E711="",COUNTIF(ListeIzinliGecis,$D711&amp;"|"&amp;$E711)&gt;0),"","GEÇERSİZ GEÇİŞ"))</f>
        <v/>
      </c>
      <c r="O711" s="35">
        <f>IF($A711="","",IF(OR($F711="",$G711=""),"",IF(ABS($G711-$F711)&gt;zincirTolerans,"ZİNCİR KIRIK","OK")))</f>
        <v/>
      </c>
      <c r="P711" s="35">
        <f>IF($A711="","",1)</f>
        <v/>
      </c>
    </row>
    <row r="712">
      <c r="A712" s="29" t="n"/>
      <c r="B712" s="29" t="n"/>
      <c r="C712" s="70" t="n"/>
      <c r="D712" s="29" t="n"/>
      <c r="E712" s="29" t="n"/>
      <c r="F712" s="30" t="n"/>
      <c r="G712" s="30" t="n"/>
      <c r="H712" s="31" t="n"/>
      <c r="I712" s="31" t="n"/>
      <c r="J712" s="29" t="n"/>
      <c r="K712" s="35">
        <f>IF($A712="","",IF($C712="","",raporTarihi-$C712))</f>
        <v/>
      </c>
      <c r="L712" s="35">
        <f>IF($A712="","",IF($K712="","",IF($K712&lt;=7,"0-7",IF($K712&lt;=30,"8-30",IF($K712&lt;=60,"31-60","60+")))))</f>
        <v/>
      </c>
      <c r="M712" s="35">
        <f>IF($A712="","",IF($B712="","YETİM",IF(COUNTIF(tblKartlar[KartId],$B712)=0,"YETİM","")))</f>
        <v/>
      </c>
      <c r="N712" s="35">
        <f>IF(OR($A712="",$D712=""),"",IF(OR($D712&amp;"|"&amp;$E712="",COUNTIF(ListeIzinliGecis,$D712&amp;"|"&amp;$E712)&gt;0),"","GEÇERSİZ GEÇİŞ"))</f>
        <v/>
      </c>
      <c r="O712" s="35">
        <f>IF($A712="","",IF(OR($F712="",$G712=""),"",IF(ABS($G712-$F712)&gt;zincirTolerans,"ZİNCİR KIRIK","OK")))</f>
        <v/>
      </c>
      <c r="P712" s="35">
        <f>IF($A712="","",1)</f>
        <v/>
      </c>
    </row>
    <row r="713">
      <c r="A713" s="29" t="n"/>
      <c r="B713" s="29" t="n"/>
      <c r="C713" s="70" t="n"/>
      <c r="D713" s="29" t="n"/>
      <c r="E713" s="29" t="n"/>
      <c r="F713" s="30" t="n"/>
      <c r="G713" s="30" t="n"/>
      <c r="H713" s="31" t="n"/>
      <c r="I713" s="31" t="n"/>
      <c r="J713" s="29" t="n"/>
      <c r="K713" s="35">
        <f>IF($A713="","",IF($C713="","",raporTarihi-$C713))</f>
        <v/>
      </c>
      <c r="L713" s="35">
        <f>IF($A713="","",IF($K713="","",IF($K713&lt;=7,"0-7",IF($K713&lt;=30,"8-30",IF($K713&lt;=60,"31-60","60+")))))</f>
        <v/>
      </c>
      <c r="M713" s="35">
        <f>IF($A713="","",IF($B713="","YETİM",IF(COUNTIF(tblKartlar[KartId],$B713)=0,"YETİM","")))</f>
        <v/>
      </c>
      <c r="N713" s="35">
        <f>IF(OR($A713="",$D713=""),"",IF(OR($D713&amp;"|"&amp;$E713="",COUNTIF(ListeIzinliGecis,$D713&amp;"|"&amp;$E713)&gt;0),"","GEÇERSİZ GEÇİŞ"))</f>
        <v/>
      </c>
      <c r="O713" s="35">
        <f>IF($A713="","",IF(OR($F713="",$G713=""),"",IF(ABS($G713-$F713)&gt;zincirTolerans,"ZİNCİR KIRIK","OK")))</f>
        <v/>
      </c>
      <c r="P713" s="35">
        <f>IF($A713="","",1)</f>
        <v/>
      </c>
    </row>
    <row r="714">
      <c r="A714" s="29" t="n"/>
      <c r="B714" s="29" t="n"/>
      <c r="C714" s="70" t="n"/>
      <c r="D714" s="29" t="n"/>
      <c r="E714" s="29" t="n"/>
      <c r="F714" s="30" t="n"/>
      <c r="G714" s="30" t="n"/>
      <c r="H714" s="31" t="n"/>
      <c r="I714" s="31" t="n"/>
      <c r="J714" s="29" t="n"/>
      <c r="K714" s="35">
        <f>IF($A714="","",IF($C714="","",raporTarihi-$C714))</f>
        <v/>
      </c>
      <c r="L714" s="35">
        <f>IF($A714="","",IF($K714="","",IF($K714&lt;=7,"0-7",IF($K714&lt;=30,"8-30",IF($K714&lt;=60,"31-60","60+")))))</f>
        <v/>
      </c>
      <c r="M714" s="35">
        <f>IF($A714="","",IF($B714="","YETİM",IF(COUNTIF(tblKartlar[KartId],$B714)=0,"YETİM","")))</f>
        <v/>
      </c>
      <c r="N714" s="35">
        <f>IF(OR($A714="",$D714=""),"",IF(OR($D714&amp;"|"&amp;$E714="",COUNTIF(ListeIzinliGecis,$D714&amp;"|"&amp;$E714)&gt;0),"","GEÇERSİZ GEÇİŞ"))</f>
        <v/>
      </c>
      <c r="O714" s="35">
        <f>IF($A714="","",IF(OR($F714="",$G714=""),"",IF(ABS($G714-$F714)&gt;zincirTolerans,"ZİNCİR KIRIK","OK")))</f>
        <v/>
      </c>
      <c r="P714" s="35">
        <f>IF($A714="","",1)</f>
        <v/>
      </c>
    </row>
    <row r="715">
      <c r="A715" s="29" t="n"/>
      <c r="B715" s="29" t="n"/>
      <c r="C715" s="70" t="n"/>
      <c r="D715" s="29" t="n"/>
      <c r="E715" s="29" t="n"/>
      <c r="F715" s="30" t="n"/>
      <c r="G715" s="30" t="n"/>
      <c r="H715" s="31" t="n"/>
      <c r="I715" s="31" t="n"/>
      <c r="J715" s="29" t="n"/>
      <c r="K715" s="35">
        <f>IF($A715="","",IF($C715="","",raporTarihi-$C715))</f>
        <v/>
      </c>
      <c r="L715" s="35">
        <f>IF($A715="","",IF($K715="","",IF($K715&lt;=7,"0-7",IF($K715&lt;=30,"8-30",IF($K715&lt;=60,"31-60","60+")))))</f>
        <v/>
      </c>
      <c r="M715" s="35">
        <f>IF($A715="","",IF($B715="","YETİM",IF(COUNTIF(tblKartlar[KartId],$B715)=0,"YETİM","")))</f>
        <v/>
      </c>
      <c r="N715" s="35">
        <f>IF(OR($A715="",$D715=""),"",IF(OR($D715&amp;"|"&amp;$E715="",COUNTIF(ListeIzinliGecis,$D715&amp;"|"&amp;$E715)&gt;0),"","GEÇERSİZ GEÇİŞ"))</f>
        <v/>
      </c>
      <c r="O715" s="35">
        <f>IF($A715="","",IF(OR($F715="",$G715=""),"",IF(ABS($G715-$F715)&gt;zincirTolerans,"ZİNCİR KIRIK","OK")))</f>
        <v/>
      </c>
      <c r="P715" s="35">
        <f>IF($A715="","",1)</f>
        <v/>
      </c>
    </row>
    <row r="716">
      <c r="A716" s="29" t="n"/>
      <c r="B716" s="29" t="n"/>
      <c r="C716" s="70" t="n"/>
      <c r="D716" s="29" t="n"/>
      <c r="E716" s="29" t="n"/>
      <c r="F716" s="30" t="n"/>
      <c r="G716" s="30" t="n"/>
      <c r="H716" s="31" t="n"/>
      <c r="I716" s="31" t="n"/>
      <c r="J716" s="29" t="n"/>
      <c r="K716" s="35">
        <f>IF($A716="","",IF($C716="","",raporTarihi-$C716))</f>
        <v/>
      </c>
      <c r="L716" s="35">
        <f>IF($A716="","",IF($K716="","",IF($K716&lt;=7,"0-7",IF($K716&lt;=30,"8-30",IF($K716&lt;=60,"31-60","60+")))))</f>
        <v/>
      </c>
      <c r="M716" s="35">
        <f>IF($A716="","",IF($B716="","YETİM",IF(COUNTIF(tblKartlar[KartId],$B716)=0,"YETİM","")))</f>
        <v/>
      </c>
      <c r="N716" s="35">
        <f>IF(OR($A716="",$D716=""),"",IF(OR($D716&amp;"|"&amp;$E716="",COUNTIF(ListeIzinliGecis,$D716&amp;"|"&amp;$E716)&gt;0),"","GEÇERSİZ GEÇİŞ"))</f>
        <v/>
      </c>
      <c r="O716" s="35">
        <f>IF($A716="","",IF(OR($F716="",$G716=""),"",IF(ABS($G716-$F716)&gt;zincirTolerans,"ZİNCİR KIRIK","OK")))</f>
        <v/>
      </c>
      <c r="P716" s="35">
        <f>IF($A716="","",1)</f>
        <v/>
      </c>
    </row>
    <row r="717">
      <c r="A717" s="29" t="n"/>
      <c r="B717" s="29" t="n"/>
      <c r="C717" s="70" t="n"/>
      <c r="D717" s="29" t="n"/>
      <c r="E717" s="29" t="n"/>
      <c r="F717" s="30" t="n"/>
      <c r="G717" s="30" t="n"/>
      <c r="H717" s="31" t="n"/>
      <c r="I717" s="31" t="n"/>
      <c r="J717" s="29" t="n"/>
      <c r="K717" s="35">
        <f>IF($A717="","",IF($C717="","",raporTarihi-$C717))</f>
        <v/>
      </c>
      <c r="L717" s="35">
        <f>IF($A717="","",IF($K717="","",IF($K717&lt;=7,"0-7",IF($K717&lt;=30,"8-30",IF($K717&lt;=60,"31-60","60+")))))</f>
        <v/>
      </c>
      <c r="M717" s="35">
        <f>IF($A717="","",IF($B717="","YETİM",IF(COUNTIF(tblKartlar[KartId],$B717)=0,"YETİM","")))</f>
        <v/>
      </c>
      <c r="N717" s="35">
        <f>IF(OR($A717="",$D717=""),"",IF(OR($D717&amp;"|"&amp;$E717="",COUNTIF(ListeIzinliGecis,$D717&amp;"|"&amp;$E717)&gt;0),"","GEÇERSİZ GEÇİŞ"))</f>
        <v/>
      </c>
      <c r="O717" s="35">
        <f>IF($A717="","",IF(OR($F717="",$G717=""),"",IF(ABS($G717-$F717)&gt;zincirTolerans,"ZİNCİR KIRIK","OK")))</f>
        <v/>
      </c>
      <c r="P717" s="35">
        <f>IF($A717="","",1)</f>
        <v/>
      </c>
    </row>
    <row r="718">
      <c r="A718" s="29" t="n"/>
      <c r="B718" s="29" t="n"/>
      <c r="C718" s="70" t="n"/>
      <c r="D718" s="29" t="n"/>
      <c r="E718" s="29" t="n"/>
      <c r="F718" s="30" t="n"/>
      <c r="G718" s="30" t="n"/>
      <c r="H718" s="31" t="n"/>
      <c r="I718" s="31" t="n"/>
      <c r="J718" s="29" t="n"/>
      <c r="K718" s="35">
        <f>IF($A718="","",IF($C718="","",raporTarihi-$C718))</f>
        <v/>
      </c>
      <c r="L718" s="35">
        <f>IF($A718="","",IF($K718="","",IF($K718&lt;=7,"0-7",IF($K718&lt;=30,"8-30",IF($K718&lt;=60,"31-60","60+")))))</f>
        <v/>
      </c>
      <c r="M718" s="35">
        <f>IF($A718="","",IF($B718="","YETİM",IF(COUNTIF(tblKartlar[KartId],$B718)=0,"YETİM","")))</f>
        <v/>
      </c>
      <c r="N718" s="35">
        <f>IF(OR($A718="",$D718=""),"",IF(OR($D718&amp;"|"&amp;$E718="",COUNTIF(ListeIzinliGecis,$D718&amp;"|"&amp;$E718)&gt;0),"","GEÇERSİZ GEÇİŞ"))</f>
        <v/>
      </c>
      <c r="O718" s="35">
        <f>IF($A718="","",IF(OR($F718="",$G718=""),"",IF(ABS($G718-$F718)&gt;zincirTolerans,"ZİNCİR KIRIK","OK")))</f>
        <v/>
      </c>
      <c r="P718" s="35">
        <f>IF($A718="","",1)</f>
        <v/>
      </c>
    </row>
    <row r="719">
      <c r="A719" s="29" t="n"/>
      <c r="B719" s="29" t="n"/>
      <c r="C719" s="70" t="n"/>
      <c r="D719" s="29" t="n"/>
      <c r="E719" s="29" t="n"/>
      <c r="F719" s="30" t="n"/>
      <c r="G719" s="30" t="n"/>
      <c r="H719" s="31" t="n"/>
      <c r="I719" s="31" t="n"/>
      <c r="J719" s="29" t="n"/>
      <c r="K719" s="35">
        <f>IF($A719="","",IF($C719="","",raporTarihi-$C719))</f>
        <v/>
      </c>
      <c r="L719" s="35">
        <f>IF($A719="","",IF($K719="","",IF($K719&lt;=7,"0-7",IF($K719&lt;=30,"8-30",IF($K719&lt;=60,"31-60","60+")))))</f>
        <v/>
      </c>
      <c r="M719" s="35">
        <f>IF($A719="","",IF($B719="","YETİM",IF(COUNTIF(tblKartlar[KartId],$B719)=0,"YETİM","")))</f>
        <v/>
      </c>
      <c r="N719" s="35">
        <f>IF(OR($A719="",$D719=""),"",IF(OR($D719&amp;"|"&amp;$E719="",COUNTIF(ListeIzinliGecis,$D719&amp;"|"&amp;$E719)&gt;0),"","GEÇERSİZ GEÇİŞ"))</f>
        <v/>
      </c>
      <c r="O719" s="35">
        <f>IF($A719="","",IF(OR($F719="",$G719=""),"",IF(ABS($G719-$F719)&gt;zincirTolerans,"ZİNCİR KIRIK","OK")))</f>
        <v/>
      </c>
      <c r="P719" s="35">
        <f>IF($A719="","",1)</f>
        <v/>
      </c>
    </row>
    <row r="720">
      <c r="A720" s="29" t="n"/>
      <c r="B720" s="29" t="n"/>
      <c r="C720" s="70" t="n"/>
      <c r="D720" s="29" t="n"/>
      <c r="E720" s="29" t="n"/>
      <c r="F720" s="30" t="n"/>
      <c r="G720" s="30" t="n"/>
      <c r="H720" s="31" t="n"/>
      <c r="I720" s="31" t="n"/>
      <c r="J720" s="29" t="n"/>
      <c r="K720" s="35">
        <f>IF($A720="","",IF($C720="","",raporTarihi-$C720))</f>
        <v/>
      </c>
      <c r="L720" s="35">
        <f>IF($A720="","",IF($K720="","",IF($K720&lt;=7,"0-7",IF($K720&lt;=30,"8-30",IF($K720&lt;=60,"31-60","60+")))))</f>
        <v/>
      </c>
      <c r="M720" s="35">
        <f>IF($A720="","",IF($B720="","YETİM",IF(COUNTIF(tblKartlar[KartId],$B720)=0,"YETİM","")))</f>
        <v/>
      </c>
      <c r="N720" s="35">
        <f>IF(OR($A720="",$D720=""),"",IF(OR($D720&amp;"|"&amp;$E720="",COUNTIF(ListeIzinliGecis,$D720&amp;"|"&amp;$E720)&gt;0),"","GEÇERSİZ GEÇİŞ"))</f>
        <v/>
      </c>
      <c r="O720" s="35">
        <f>IF($A720="","",IF(OR($F720="",$G720=""),"",IF(ABS($G720-$F720)&gt;zincirTolerans,"ZİNCİR KIRIK","OK")))</f>
        <v/>
      </c>
      <c r="P720" s="35">
        <f>IF($A720="","",1)</f>
        <v/>
      </c>
    </row>
    <row r="721">
      <c r="A721" s="29" t="n"/>
      <c r="B721" s="29" t="n"/>
      <c r="C721" s="70" t="n"/>
      <c r="D721" s="29" t="n"/>
      <c r="E721" s="29" t="n"/>
      <c r="F721" s="30" t="n"/>
      <c r="G721" s="30" t="n"/>
      <c r="H721" s="31" t="n"/>
      <c r="I721" s="31" t="n"/>
      <c r="J721" s="29" t="n"/>
      <c r="K721" s="35">
        <f>IF($A721="","",IF($C721="","",raporTarihi-$C721))</f>
        <v/>
      </c>
      <c r="L721" s="35">
        <f>IF($A721="","",IF($K721="","",IF($K721&lt;=7,"0-7",IF($K721&lt;=30,"8-30",IF($K721&lt;=60,"31-60","60+")))))</f>
        <v/>
      </c>
      <c r="M721" s="35">
        <f>IF($A721="","",IF($B721="","YETİM",IF(COUNTIF(tblKartlar[KartId],$B721)=0,"YETİM","")))</f>
        <v/>
      </c>
      <c r="N721" s="35">
        <f>IF(OR($A721="",$D721=""),"",IF(OR($D721&amp;"|"&amp;$E721="",COUNTIF(ListeIzinliGecis,$D721&amp;"|"&amp;$E721)&gt;0),"","GEÇERSİZ GEÇİŞ"))</f>
        <v/>
      </c>
      <c r="O721" s="35">
        <f>IF($A721="","",IF(OR($F721="",$G721=""),"",IF(ABS($G721-$F721)&gt;zincirTolerans,"ZİNCİR KIRIK","OK")))</f>
        <v/>
      </c>
      <c r="P721" s="35">
        <f>IF($A721="","",1)</f>
        <v/>
      </c>
    </row>
    <row r="722">
      <c r="A722" s="29" t="n"/>
      <c r="B722" s="29" t="n"/>
      <c r="C722" s="70" t="n"/>
      <c r="D722" s="29" t="n"/>
      <c r="E722" s="29" t="n"/>
      <c r="F722" s="30" t="n"/>
      <c r="G722" s="30" t="n"/>
      <c r="H722" s="31" t="n"/>
      <c r="I722" s="31" t="n"/>
      <c r="J722" s="29" t="n"/>
      <c r="K722" s="35">
        <f>IF($A722="","",IF($C722="","",raporTarihi-$C722))</f>
        <v/>
      </c>
      <c r="L722" s="35">
        <f>IF($A722="","",IF($K722="","",IF($K722&lt;=7,"0-7",IF($K722&lt;=30,"8-30",IF($K722&lt;=60,"31-60","60+")))))</f>
        <v/>
      </c>
      <c r="M722" s="35">
        <f>IF($A722="","",IF($B722="","YETİM",IF(COUNTIF(tblKartlar[KartId],$B722)=0,"YETİM","")))</f>
        <v/>
      </c>
      <c r="N722" s="35">
        <f>IF(OR($A722="",$D722=""),"",IF(OR($D722&amp;"|"&amp;$E722="",COUNTIF(ListeIzinliGecis,$D722&amp;"|"&amp;$E722)&gt;0),"","GEÇERSİZ GEÇİŞ"))</f>
        <v/>
      </c>
      <c r="O722" s="35">
        <f>IF($A722="","",IF(OR($F722="",$G722=""),"",IF(ABS($G722-$F722)&gt;zincirTolerans,"ZİNCİR KIRIK","OK")))</f>
        <v/>
      </c>
      <c r="P722" s="35">
        <f>IF($A722="","",1)</f>
        <v/>
      </c>
    </row>
    <row r="723">
      <c r="A723" s="29" t="n"/>
      <c r="B723" s="29" t="n"/>
      <c r="C723" s="70" t="n"/>
      <c r="D723" s="29" t="n"/>
      <c r="E723" s="29" t="n"/>
      <c r="F723" s="30" t="n"/>
      <c r="G723" s="30" t="n"/>
      <c r="H723" s="31" t="n"/>
      <c r="I723" s="31" t="n"/>
      <c r="J723" s="29" t="n"/>
      <c r="K723" s="35">
        <f>IF($A723="","",IF($C723="","",raporTarihi-$C723))</f>
        <v/>
      </c>
      <c r="L723" s="35">
        <f>IF($A723="","",IF($K723="","",IF($K723&lt;=7,"0-7",IF($K723&lt;=30,"8-30",IF($K723&lt;=60,"31-60","60+")))))</f>
        <v/>
      </c>
      <c r="M723" s="35">
        <f>IF($A723="","",IF($B723="","YETİM",IF(COUNTIF(tblKartlar[KartId],$B723)=0,"YETİM","")))</f>
        <v/>
      </c>
      <c r="N723" s="35">
        <f>IF(OR($A723="",$D723=""),"",IF(OR($D723&amp;"|"&amp;$E723="",COUNTIF(ListeIzinliGecis,$D723&amp;"|"&amp;$E723)&gt;0),"","GEÇERSİZ GEÇİŞ"))</f>
        <v/>
      </c>
      <c r="O723" s="35">
        <f>IF($A723="","",IF(OR($F723="",$G723=""),"",IF(ABS($G723-$F723)&gt;zincirTolerans,"ZİNCİR KIRIK","OK")))</f>
        <v/>
      </c>
      <c r="P723" s="35">
        <f>IF($A723="","",1)</f>
        <v/>
      </c>
    </row>
    <row r="724">
      <c r="A724" s="29" t="n"/>
      <c r="B724" s="29" t="n"/>
      <c r="C724" s="70" t="n"/>
      <c r="D724" s="29" t="n"/>
      <c r="E724" s="29" t="n"/>
      <c r="F724" s="30" t="n"/>
      <c r="G724" s="30" t="n"/>
      <c r="H724" s="31" t="n"/>
      <c r="I724" s="31" t="n"/>
      <c r="J724" s="29" t="n"/>
      <c r="K724" s="35">
        <f>IF($A724="","",IF($C724="","",raporTarihi-$C724))</f>
        <v/>
      </c>
      <c r="L724" s="35">
        <f>IF($A724="","",IF($K724="","",IF($K724&lt;=7,"0-7",IF($K724&lt;=30,"8-30",IF($K724&lt;=60,"31-60","60+")))))</f>
        <v/>
      </c>
      <c r="M724" s="35">
        <f>IF($A724="","",IF($B724="","YETİM",IF(COUNTIF(tblKartlar[KartId],$B724)=0,"YETİM","")))</f>
        <v/>
      </c>
      <c r="N724" s="35">
        <f>IF(OR($A724="",$D724=""),"",IF(OR($D724&amp;"|"&amp;$E724="",COUNTIF(ListeIzinliGecis,$D724&amp;"|"&amp;$E724)&gt;0),"","GEÇERSİZ GEÇİŞ"))</f>
        <v/>
      </c>
      <c r="O724" s="35">
        <f>IF($A724="","",IF(OR($F724="",$G724=""),"",IF(ABS($G724-$F724)&gt;zincirTolerans,"ZİNCİR KIRIK","OK")))</f>
        <v/>
      </c>
      <c r="P724" s="35">
        <f>IF($A724="","",1)</f>
        <v/>
      </c>
    </row>
    <row r="725">
      <c r="A725" s="29" t="n"/>
      <c r="B725" s="29" t="n"/>
      <c r="C725" s="70" t="n"/>
      <c r="D725" s="29" t="n"/>
      <c r="E725" s="29" t="n"/>
      <c r="F725" s="30" t="n"/>
      <c r="G725" s="30" t="n"/>
      <c r="H725" s="31" t="n"/>
      <c r="I725" s="31" t="n"/>
      <c r="J725" s="29" t="n"/>
      <c r="K725" s="35">
        <f>IF($A725="","",IF($C725="","",raporTarihi-$C725))</f>
        <v/>
      </c>
      <c r="L725" s="35">
        <f>IF($A725="","",IF($K725="","",IF($K725&lt;=7,"0-7",IF($K725&lt;=30,"8-30",IF($K725&lt;=60,"31-60","60+")))))</f>
        <v/>
      </c>
      <c r="M725" s="35">
        <f>IF($A725="","",IF($B725="","YETİM",IF(COUNTIF(tblKartlar[KartId],$B725)=0,"YETİM","")))</f>
        <v/>
      </c>
      <c r="N725" s="35">
        <f>IF(OR($A725="",$D725=""),"",IF(OR($D725&amp;"|"&amp;$E725="",COUNTIF(ListeIzinliGecis,$D725&amp;"|"&amp;$E725)&gt;0),"","GEÇERSİZ GEÇİŞ"))</f>
        <v/>
      </c>
      <c r="O725" s="35">
        <f>IF($A725="","",IF(OR($F725="",$G725=""),"",IF(ABS($G725-$F725)&gt;zincirTolerans,"ZİNCİR KIRIK","OK")))</f>
        <v/>
      </c>
      <c r="P725" s="35">
        <f>IF($A725="","",1)</f>
        <v/>
      </c>
    </row>
    <row r="726">
      <c r="A726" s="29" t="n"/>
      <c r="B726" s="29" t="n"/>
      <c r="C726" s="70" t="n"/>
      <c r="D726" s="29" t="n"/>
      <c r="E726" s="29" t="n"/>
      <c r="F726" s="30" t="n"/>
      <c r="G726" s="30" t="n"/>
      <c r="H726" s="31" t="n"/>
      <c r="I726" s="31" t="n"/>
      <c r="J726" s="29" t="n"/>
      <c r="K726" s="35">
        <f>IF($A726="","",IF($C726="","",raporTarihi-$C726))</f>
        <v/>
      </c>
      <c r="L726" s="35">
        <f>IF($A726="","",IF($K726="","",IF($K726&lt;=7,"0-7",IF($K726&lt;=30,"8-30",IF($K726&lt;=60,"31-60","60+")))))</f>
        <v/>
      </c>
      <c r="M726" s="35">
        <f>IF($A726="","",IF($B726="","YETİM",IF(COUNTIF(tblKartlar[KartId],$B726)=0,"YETİM","")))</f>
        <v/>
      </c>
      <c r="N726" s="35">
        <f>IF(OR($A726="",$D726=""),"",IF(OR($D726&amp;"|"&amp;$E726="",COUNTIF(ListeIzinliGecis,$D726&amp;"|"&amp;$E726)&gt;0),"","GEÇERSİZ GEÇİŞ"))</f>
        <v/>
      </c>
      <c r="O726" s="35">
        <f>IF($A726="","",IF(OR($F726="",$G726=""),"",IF(ABS($G726-$F726)&gt;zincirTolerans,"ZİNCİR KIRIK","OK")))</f>
        <v/>
      </c>
      <c r="P726" s="35">
        <f>IF($A726="","",1)</f>
        <v/>
      </c>
    </row>
    <row r="727">
      <c r="A727" s="29" t="n"/>
      <c r="B727" s="29" t="n"/>
      <c r="C727" s="70" t="n"/>
      <c r="D727" s="29" t="n"/>
      <c r="E727" s="29" t="n"/>
      <c r="F727" s="30" t="n"/>
      <c r="G727" s="30" t="n"/>
      <c r="H727" s="31" t="n"/>
      <c r="I727" s="31" t="n"/>
      <c r="J727" s="29" t="n"/>
      <c r="K727" s="35">
        <f>IF($A727="","",IF($C727="","",raporTarihi-$C727))</f>
        <v/>
      </c>
      <c r="L727" s="35">
        <f>IF($A727="","",IF($K727="","",IF($K727&lt;=7,"0-7",IF($K727&lt;=30,"8-30",IF($K727&lt;=60,"31-60","60+")))))</f>
        <v/>
      </c>
      <c r="M727" s="35">
        <f>IF($A727="","",IF($B727="","YETİM",IF(COUNTIF(tblKartlar[KartId],$B727)=0,"YETİM","")))</f>
        <v/>
      </c>
      <c r="N727" s="35">
        <f>IF(OR($A727="",$D727=""),"",IF(OR($D727&amp;"|"&amp;$E727="",COUNTIF(ListeIzinliGecis,$D727&amp;"|"&amp;$E727)&gt;0),"","GEÇERSİZ GEÇİŞ"))</f>
        <v/>
      </c>
      <c r="O727" s="35">
        <f>IF($A727="","",IF(OR($F727="",$G727=""),"",IF(ABS($G727-$F727)&gt;zincirTolerans,"ZİNCİR KIRIK","OK")))</f>
        <v/>
      </c>
      <c r="P727" s="35">
        <f>IF($A727="","",1)</f>
        <v/>
      </c>
    </row>
    <row r="728">
      <c r="A728" s="29" t="n"/>
      <c r="B728" s="29" t="n"/>
      <c r="C728" s="70" t="n"/>
      <c r="D728" s="29" t="n"/>
      <c r="E728" s="29" t="n"/>
      <c r="F728" s="30" t="n"/>
      <c r="G728" s="30" t="n"/>
      <c r="H728" s="31" t="n"/>
      <c r="I728" s="31" t="n"/>
      <c r="J728" s="29" t="n"/>
      <c r="K728" s="35">
        <f>IF($A728="","",IF($C728="","",raporTarihi-$C728))</f>
        <v/>
      </c>
      <c r="L728" s="35">
        <f>IF($A728="","",IF($K728="","",IF($K728&lt;=7,"0-7",IF($K728&lt;=30,"8-30",IF($K728&lt;=60,"31-60","60+")))))</f>
        <v/>
      </c>
      <c r="M728" s="35">
        <f>IF($A728="","",IF($B728="","YETİM",IF(COUNTIF(tblKartlar[KartId],$B728)=0,"YETİM","")))</f>
        <v/>
      </c>
      <c r="N728" s="35">
        <f>IF(OR($A728="",$D728=""),"",IF(OR($D728&amp;"|"&amp;$E728="",COUNTIF(ListeIzinliGecis,$D728&amp;"|"&amp;$E728)&gt;0),"","GEÇERSİZ GEÇİŞ"))</f>
        <v/>
      </c>
      <c r="O728" s="35">
        <f>IF($A728="","",IF(OR($F728="",$G728=""),"",IF(ABS($G728-$F728)&gt;zincirTolerans,"ZİNCİR KIRIK","OK")))</f>
        <v/>
      </c>
      <c r="P728" s="35">
        <f>IF($A728="","",1)</f>
        <v/>
      </c>
    </row>
    <row r="729">
      <c r="A729" s="29" t="n"/>
      <c r="B729" s="29" t="n"/>
      <c r="C729" s="70" t="n"/>
      <c r="D729" s="29" t="n"/>
      <c r="E729" s="29" t="n"/>
      <c r="F729" s="30" t="n"/>
      <c r="G729" s="30" t="n"/>
      <c r="H729" s="31" t="n"/>
      <c r="I729" s="31" t="n"/>
      <c r="J729" s="29" t="n"/>
      <c r="K729" s="35">
        <f>IF($A729="","",IF($C729="","",raporTarihi-$C729))</f>
        <v/>
      </c>
      <c r="L729" s="35">
        <f>IF($A729="","",IF($K729="","",IF($K729&lt;=7,"0-7",IF($K729&lt;=30,"8-30",IF($K729&lt;=60,"31-60","60+")))))</f>
        <v/>
      </c>
      <c r="M729" s="35">
        <f>IF($A729="","",IF($B729="","YETİM",IF(COUNTIF(tblKartlar[KartId],$B729)=0,"YETİM","")))</f>
        <v/>
      </c>
      <c r="N729" s="35">
        <f>IF(OR($A729="",$D729=""),"",IF(OR($D729&amp;"|"&amp;$E729="",COUNTIF(ListeIzinliGecis,$D729&amp;"|"&amp;$E729)&gt;0),"","GEÇERSİZ GEÇİŞ"))</f>
        <v/>
      </c>
      <c r="O729" s="35">
        <f>IF($A729="","",IF(OR($F729="",$G729=""),"",IF(ABS($G729-$F729)&gt;zincirTolerans,"ZİNCİR KIRIK","OK")))</f>
        <v/>
      </c>
      <c r="P729" s="35">
        <f>IF($A729="","",1)</f>
        <v/>
      </c>
    </row>
    <row r="730">
      <c r="A730" s="29" t="n"/>
      <c r="B730" s="29" t="n"/>
      <c r="C730" s="70" t="n"/>
      <c r="D730" s="29" t="n"/>
      <c r="E730" s="29" t="n"/>
      <c r="F730" s="30" t="n"/>
      <c r="G730" s="30" t="n"/>
      <c r="H730" s="31" t="n"/>
      <c r="I730" s="31" t="n"/>
      <c r="J730" s="29" t="n"/>
      <c r="K730" s="35">
        <f>IF($A730="","",IF($C730="","",raporTarihi-$C730))</f>
        <v/>
      </c>
      <c r="L730" s="35">
        <f>IF($A730="","",IF($K730="","",IF($K730&lt;=7,"0-7",IF($K730&lt;=30,"8-30",IF($K730&lt;=60,"31-60","60+")))))</f>
        <v/>
      </c>
      <c r="M730" s="35">
        <f>IF($A730="","",IF($B730="","YETİM",IF(COUNTIF(tblKartlar[KartId],$B730)=0,"YETİM","")))</f>
        <v/>
      </c>
      <c r="N730" s="35">
        <f>IF(OR($A730="",$D730=""),"",IF(OR($D730&amp;"|"&amp;$E730="",COUNTIF(ListeIzinliGecis,$D730&amp;"|"&amp;$E730)&gt;0),"","GEÇERSİZ GEÇİŞ"))</f>
        <v/>
      </c>
      <c r="O730" s="35">
        <f>IF($A730="","",IF(OR($F730="",$G730=""),"",IF(ABS($G730-$F730)&gt;zincirTolerans,"ZİNCİR KIRIK","OK")))</f>
        <v/>
      </c>
      <c r="P730" s="35">
        <f>IF($A730="","",1)</f>
        <v/>
      </c>
    </row>
    <row r="731">
      <c r="A731" s="29" t="n"/>
      <c r="B731" s="29" t="n"/>
      <c r="C731" s="70" t="n"/>
      <c r="D731" s="29" t="n"/>
      <c r="E731" s="29" t="n"/>
      <c r="F731" s="30" t="n"/>
      <c r="G731" s="30" t="n"/>
      <c r="H731" s="31" t="n"/>
      <c r="I731" s="31" t="n"/>
      <c r="J731" s="29" t="n"/>
      <c r="K731" s="35">
        <f>IF($A731="","",IF($C731="","",raporTarihi-$C731))</f>
        <v/>
      </c>
      <c r="L731" s="35">
        <f>IF($A731="","",IF($K731="","",IF($K731&lt;=7,"0-7",IF($K731&lt;=30,"8-30",IF($K731&lt;=60,"31-60","60+")))))</f>
        <v/>
      </c>
      <c r="M731" s="35">
        <f>IF($A731="","",IF($B731="","YETİM",IF(COUNTIF(tblKartlar[KartId],$B731)=0,"YETİM","")))</f>
        <v/>
      </c>
      <c r="N731" s="35">
        <f>IF(OR($A731="",$D731=""),"",IF(OR($D731&amp;"|"&amp;$E731="",COUNTIF(ListeIzinliGecis,$D731&amp;"|"&amp;$E731)&gt;0),"","GEÇERSİZ GEÇİŞ"))</f>
        <v/>
      </c>
      <c r="O731" s="35">
        <f>IF($A731="","",IF(OR($F731="",$G731=""),"",IF(ABS($G731-$F731)&gt;zincirTolerans,"ZİNCİR KIRIK","OK")))</f>
        <v/>
      </c>
      <c r="P731" s="35">
        <f>IF($A731="","",1)</f>
        <v/>
      </c>
    </row>
    <row r="732">
      <c r="A732" s="29" t="n"/>
      <c r="B732" s="29" t="n"/>
      <c r="C732" s="70" t="n"/>
      <c r="D732" s="29" t="n"/>
      <c r="E732" s="29" t="n"/>
      <c r="F732" s="30" t="n"/>
      <c r="G732" s="30" t="n"/>
      <c r="H732" s="31" t="n"/>
      <c r="I732" s="31" t="n"/>
      <c r="J732" s="29" t="n"/>
      <c r="K732" s="35">
        <f>IF($A732="","",IF($C732="","",raporTarihi-$C732))</f>
        <v/>
      </c>
      <c r="L732" s="35">
        <f>IF($A732="","",IF($K732="","",IF($K732&lt;=7,"0-7",IF($K732&lt;=30,"8-30",IF($K732&lt;=60,"31-60","60+")))))</f>
        <v/>
      </c>
      <c r="M732" s="35">
        <f>IF($A732="","",IF($B732="","YETİM",IF(COUNTIF(tblKartlar[KartId],$B732)=0,"YETİM","")))</f>
        <v/>
      </c>
      <c r="N732" s="35">
        <f>IF(OR($A732="",$D732=""),"",IF(OR($D732&amp;"|"&amp;$E732="",COUNTIF(ListeIzinliGecis,$D732&amp;"|"&amp;$E732)&gt;0),"","GEÇERSİZ GEÇİŞ"))</f>
        <v/>
      </c>
      <c r="O732" s="35">
        <f>IF($A732="","",IF(OR($F732="",$G732=""),"",IF(ABS($G732-$F732)&gt;zincirTolerans,"ZİNCİR KIRIK","OK")))</f>
        <v/>
      </c>
      <c r="P732" s="35">
        <f>IF($A732="","",1)</f>
        <v/>
      </c>
    </row>
    <row r="733">
      <c r="A733" s="29" t="n"/>
      <c r="B733" s="29" t="n"/>
      <c r="C733" s="70" t="n"/>
      <c r="D733" s="29" t="n"/>
      <c r="E733" s="29" t="n"/>
      <c r="F733" s="30" t="n"/>
      <c r="G733" s="30" t="n"/>
      <c r="H733" s="31" t="n"/>
      <c r="I733" s="31" t="n"/>
      <c r="J733" s="29" t="n"/>
      <c r="K733" s="35">
        <f>IF($A733="","",IF($C733="","",raporTarihi-$C733))</f>
        <v/>
      </c>
      <c r="L733" s="35">
        <f>IF($A733="","",IF($K733="","",IF($K733&lt;=7,"0-7",IF($K733&lt;=30,"8-30",IF($K733&lt;=60,"31-60","60+")))))</f>
        <v/>
      </c>
      <c r="M733" s="35">
        <f>IF($A733="","",IF($B733="","YETİM",IF(COUNTIF(tblKartlar[KartId],$B733)=0,"YETİM","")))</f>
        <v/>
      </c>
      <c r="N733" s="35">
        <f>IF(OR($A733="",$D733=""),"",IF(OR($D733&amp;"|"&amp;$E733="",COUNTIF(ListeIzinliGecis,$D733&amp;"|"&amp;$E733)&gt;0),"","GEÇERSİZ GEÇİŞ"))</f>
        <v/>
      </c>
      <c r="O733" s="35">
        <f>IF($A733="","",IF(OR($F733="",$G733=""),"",IF(ABS($G733-$F733)&gt;zincirTolerans,"ZİNCİR KIRIK","OK")))</f>
        <v/>
      </c>
      <c r="P733" s="35">
        <f>IF($A733="","",1)</f>
        <v/>
      </c>
    </row>
    <row r="734">
      <c r="A734" s="29" t="n"/>
      <c r="B734" s="29" t="n"/>
      <c r="C734" s="70" t="n"/>
      <c r="D734" s="29" t="n"/>
      <c r="E734" s="29" t="n"/>
      <c r="F734" s="30" t="n"/>
      <c r="G734" s="30" t="n"/>
      <c r="H734" s="31" t="n"/>
      <c r="I734" s="31" t="n"/>
      <c r="J734" s="29" t="n"/>
      <c r="K734" s="35">
        <f>IF($A734="","",IF($C734="","",raporTarihi-$C734))</f>
        <v/>
      </c>
      <c r="L734" s="35">
        <f>IF($A734="","",IF($K734="","",IF($K734&lt;=7,"0-7",IF($K734&lt;=30,"8-30",IF($K734&lt;=60,"31-60","60+")))))</f>
        <v/>
      </c>
      <c r="M734" s="35">
        <f>IF($A734="","",IF($B734="","YETİM",IF(COUNTIF(tblKartlar[KartId],$B734)=0,"YETİM","")))</f>
        <v/>
      </c>
      <c r="N734" s="35">
        <f>IF(OR($A734="",$D734=""),"",IF(OR($D734&amp;"|"&amp;$E734="",COUNTIF(ListeIzinliGecis,$D734&amp;"|"&amp;$E734)&gt;0),"","GEÇERSİZ GEÇİŞ"))</f>
        <v/>
      </c>
      <c r="O734" s="35">
        <f>IF($A734="","",IF(OR($F734="",$G734=""),"",IF(ABS($G734-$F734)&gt;zincirTolerans,"ZİNCİR KIRIK","OK")))</f>
        <v/>
      </c>
      <c r="P734" s="35">
        <f>IF($A734="","",1)</f>
        <v/>
      </c>
    </row>
    <row r="735">
      <c r="A735" s="29" t="n"/>
      <c r="B735" s="29" t="n"/>
      <c r="C735" s="70" t="n"/>
      <c r="D735" s="29" t="n"/>
      <c r="E735" s="29" t="n"/>
      <c r="F735" s="30" t="n"/>
      <c r="G735" s="30" t="n"/>
      <c r="H735" s="31" t="n"/>
      <c r="I735" s="31" t="n"/>
      <c r="J735" s="29" t="n"/>
      <c r="K735" s="35">
        <f>IF($A735="","",IF($C735="","",raporTarihi-$C735))</f>
        <v/>
      </c>
      <c r="L735" s="35">
        <f>IF($A735="","",IF($K735="","",IF($K735&lt;=7,"0-7",IF($K735&lt;=30,"8-30",IF($K735&lt;=60,"31-60","60+")))))</f>
        <v/>
      </c>
      <c r="M735" s="35">
        <f>IF($A735="","",IF($B735="","YETİM",IF(COUNTIF(tblKartlar[KartId],$B735)=0,"YETİM","")))</f>
        <v/>
      </c>
      <c r="N735" s="35">
        <f>IF(OR($A735="",$D735=""),"",IF(OR($D735&amp;"|"&amp;$E735="",COUNTIF(ListeIzinliGecis,$D735&amp;"|"&amp;$E735)&gt;0),"","GEÇERSİZ GEÇİŞ"))</f>
        <v/>
      </c>
      <c r="O735" s="35">
        <f>IF($A735="","",IF(OR($F735="",$G735=""),"",IF(ABS($G735-$F735)&gt;zincirTolerans,"ZİNCİR KIRIK","OK")))</f>
        <v/>
      </c>
      <c r="P735" s="35">
        <f>IF($A735="","",1)</f>
        <v/>
      </c>
    </row>
    <row r="736">
      <c r="A736" s="29" t="n"/>
      <c r="B736" s="29" t="n"/>
      <c r="C736" s="70" t="n"/>
      <c r="D736" s="29" t="n"/>
      <c r="E736" s="29" t="n"/>
      <c r="F736" s="30" t="n"/>
      <c r="G736" s="30" t="n"/>
      <c r="H736" s="31" t="n"/>
      <c r="I736" s="31" t="n"/>
      <c r="J736" s="29" t="n"/>
      <c r="K736" s="35">
        <f>IF($A736="","",IF($C736="","",raporTarihi-$C736))</f>
        <v/>
      </c>
      <c r="L736" s="35">
        <f>IF($A736="","",IF($K736="","",IF($K736&lt;=7,"0-7",IF($K736&lt;=30,"8-30",IF($K736&lt;=60,"31-60","60+")))))</f>
        <v/>
      </c>
      <c r="M736" s="35">
        <f>IF($A736="","",IF($B736="","YETİM",IF(COUNTIF(tblKartlar[KartId],$B736)=0,"YETİM","")))</f>
        <v/>
      </c>
      <c r="N736" s="35">
        <f>IF(OR($A736="",$D736=""),"",IF(OR($D736&amp;"|"&amp;$E736="",COUNTIF(ListeIzinliGecis,$D736&amp;"|"&amp;$E736)&gt;0),"","GEÇERSİZ GEÇİŞ"))</f>
        <v/>
      </c>
      <c r="O736" s="35">
        <f>IF($A736="","",IF(OR($F736="",$G736=""),"",IF(ABS($G736-$F736)&gt;zincirTolerans,"ZİNCİR KIRIK","OK")))</f>
        <v/>
      </c>
      <c r="P736" s="35">
        <f>IF($A736="","",1)</f>
        <v/>
      </c>
    </row>
    <row r="737">
      <c r="A737" s="29" t="n"/>
      <c r="B737" s="29" t="n"/>
      <c r="C737" s="70" t="n"/>
      <c r="D737" s="29" t="n"/>
      <c r="E737" s="29" t="n"/>
      <c r="F737" s="30" t="n"/>
      <c r="G737" s="30" t="n"/>
      <c r="H737" s="31" t="n"/>
      <c r="I737" s="31" t="n"/>
      <c r="J737" s="29" t="n"/>
      <c r="K737" s="35">
        <f>IF($A737="","",IF($C737="","",raporTarihi-$C737))</f>
        <v/>
      </c>
      <c r="L737" s="35">
        <f>IF($A737="","",IF($K737="","",IF($K737&lt;=7,"0-7",IF($K737&lt;=30,"8-30",IF($K737&lt;=60,"31-60","60+")))))</f>
        <v/>
      </c>
      <c r="M737" s="35">
        <f>IF($A737="","",IF($B737="","YETİM",IF(COUNTIF(tblKartlar[KartId],$B737)=0,"YETİM","")))</f>
        <v/>
      </c>
      <c r="N737" s="35">
        <f>IF(OR($A737="",$D737=""),"",IF(OR($D737&amp;"|"&amp;$E737="",COUNTIF(ListeIzinliGecis,$D737&amp;"|"&amp;$E737)&gt;0),"","GEÇERSİZ GEÇİŞ"))</f>
        <v/>
      </c>
      <c r="O737" s="35">
        <f>IF($A737="","",IF(OR($F737="",$G737=""),"",IF(ABS($G737-$F737)&gt;zincirTolerans,"ZİNCİR KIRIK","OK")))</f>
        <v/>
      </c>
      <c r="P737" s="35">
        <f>IF($A737="","",1)</f>
        <v/>
      </c>
    </row>
    <row r="738">
      <c r="A738" s="29" t="n"/>
      <c r="B738" s="29" t="n"/>
      <c r="C738" s="70" t="n"/>
      <c r="D738" s="29" t="n"/>
      <c r="E738" s="29" t="n"/>
      <c r="F738" s="30" t="n"/>
      <c r="G738" s="30" t="n"/>
      <c r="H738" s="31" t="n"/>
      <c r="I738" s="31" t="n"/>
      <c r="J738" s="29" t="n"/>
      <c r="K738" s="35">
        <f>IF($A738="","",IF($C738="","",raporTarihi-$C738))</f>
        <v/>
      </c>
      <c r="L738" s="35">
        <f>IF($A738="","",IF($K738="","",IF($K738&lt;=7,"0-7",IF($K738&lt;=30,"8-30",IF($K738&lt;=60,"31-60","60+")))))</f>
        <v/>
      </c>
      <c r="M738" s="35">
        <f>IF($A738="","",IF($B738="","YETİM",IF(COUNTIF(tblKartlar[KartId],$B738)=0,"YETİM","")))</f>
        <v/>
      </c>
      <c r="N738" s="35">
        <f>IF(OR($A738="",$D738=""),"",IF(OR($D738&amp;"|"&amp;$E738="",COUNTIF(ListeIzinliGecis,$D738&amp;"|"&amp;$E738)&gt;0),"","GEÇERSİZ GEÇİŞ"))</f>
        <v/>
      </c>
      <c r="O738" s="35">
        <f>IF($A738="","",IF(OR($F738="",$G738=""),"",IF(ABS($G738-$F738)&gt;zincirTolerans,"ZİNCİR KIRIK","OK")))</f>
        <v/>
      </c>
      <c r="P738" s="35">
        <f>IF($A738="","",1)</f>
        <v/>
      </c>
    </row>
    <row r="739">
      <c r="A739" s="29" t="n"/>
      <c r="B739" s="29" t="n"/>
      <c r="C739" s="70" t="n"/>
      <c r="D739" s="29" t="n"/>
      <c r="E739" s="29" t="n"/>
      <c r="F739" s="30" t="n"/>
      <c r="G739" s="30" t="n"/>
      <c r="H739" s="31" t="n"/>
      <c r="I739" s="31" t="n"/>
      <c r="J739" s="29" t="n"/>
      <c r="K739" s="35">
        <f>IF($A739="","",IF($C739="","",raporTarihi-$C739))</f>
        <v/>
      </c>
      <c r="L739" s="35">
        <f>IF($A739="","",IF($K739="","",IF($K739&lt;=7,"0-7",IF($K739&lt;=30,"8-30",IF($K739&lt;=60,"31-60","60+")))))</f>
        <v/>
      </c>
      <c r="M739" s="35">
        <f>IF($A739="","",IF($B739="","YETİM",IF(COUNTIF(tblKartlar[KartId],$B739)=0,"YETİM","")))</f>
        <v/>
      </c>
      <c r="N739" s="35">
        <f>IF(OR($A739="",$D739=""),"",IF(OR($D739&amp;"|"&amp;$E739="",COUNTIF(ListeIzinliGecis,$D739&amp;"|"&amp;$E739)&gt;0),"","GEÇERSİZ GEÇİŞ"))</f>
        <v/>
      </c>
      <c r="O739" s="35">
        <f>IF($A739="","",IF(OR($F739="",$G739=""),"",IF(ABS($G739-$F739)&gt;zincirTolerans,"ZİNCİR KIRIK","OK")))</f>
        <v/>
      </c>
      <c r="P739" s="35">
        <f>IF($A739="","",1)</f>
        <v/>
      </c>
    </row>
    <row r="740">
      <c r="A740" s="29" t="n"/>
      <c r="B740" s="29" t="n"/>
      <c r="C740" s="70" t="n"/>
      <c r="D740" s="29" t="n"/>
      <c r="E740" s="29" t="n"/>
      <c r="F740" s="30" t="n"/>
      <c r="G740" s="30" t="n"/>
      <c r="H740" s="31" t="n"/>
      <c r="I740" s="31" t="n"/>
      <c r="J740" s="29" t="n"/>
      <c r="K740" s="35">
        <f>IF($A740="","",IF($C740="","",raporTarihi-$C740))</f>
        <v/>
      </c>
      <c r="L740" s="35">
        <f>IF($A740="","",IF($K740="","",IF($K740&lt;=7,"0-7",IF($K740&lt;=30,"8-30",IF($K740&lt;=60,"31-60","60+")))))</f>
        <v/>
      </c>
      <c r="M740" s="35">
        <f>IF($A740="","",IF($B740="","YETİM",IF(COUNTIF(tblKartlar[KartId],$B740)=0,"YETİM","")))</f>
        <v/>
      </c>
      <c r="N740" s="35">
        <f>IF(OR($A740="",$D740=""),"",IF(OR($D740&amp;"|"&amp;$E740="",COUNTIF(ListeIzinliGecis,$D740&amp;"|"&amp;$E740)&gt;0),"","GEÇERSİZ GEÇİŞ"))</f>
        <v/>
      </c>
      <c r="O740" s="35">
        <f>IF($A740="","",IF(OR($F740="",$G740=""),"",IF(ABS($G740-$F740)&gt;zincirTolerans,"ZİNCİR KIRIK","OK")))</f>
        <v/>
      </c>
      <c r="P740" s="35">
        <f>IF($A740="","",1)</f>
        <v/>
      </c>
    </row>
    <row r="741">
      <c r="A741" s="29" t="n"/>
      <c r="B741" s="29" t="n"/>
      <c r="C741" s="70" t="n"/>
      <c r="D741" s="29" t="n"/>
      <c r="E741" s="29" t="n"/>
      <c r="F741" s="30" t="n"/>
      <c r="G741" s="30" t="n"/>
      <c r="H741" s="31" t="n"/>
      <c r="I741" s="31" t="n"/>
      <c r="J741" s="29" t="n"/>
      <c r="K741" s="35">
        <f>IF($A741="","",IF($C741="","",raporTarihi-$C741))</f>
        <v/>
      </c>
      <c r="L741" s="35">
        <f>IF($A741="","",IF($K741="","",IF($K741&lt;=7,"0-7",IF($K741&lt;=30,"8-30",IF($K741&lt;=60,"31-60","60+")))))</f>
        <v/>
      </c>
      <c r="M741" s="35">
        <f>IF($A741="","",IF($B741="","YETİM",IF(COUNTIF(tblKartlar[KartId],$B741)=0,"YETİM","")))</f>
        <v/>
      </c>
      <c r="N741" s="35">
        <f>IF(OR($A741="",$D741=""),"",IF(OR($D741&amp;"|"&amp;$E741="",COUNTIF(ListeIzinliGecis,$D741&amp;"|"&amp;$E741)&gt;0),"","GEÇERSİZ GEÇİŞ"))</f>
        <v/>
      </c>
      <c r="O741" s="35">
        <f>IF($A741="","",IF(OR($F741="",$G741=""),"",IF(ABS($G741-$F741)&gt;zincirTolerans,"ZİNCİR KIRIK","OK")))</f>
        <v/>
      </c>
      <c r="P741" s="35">
        <f>IF($A741="","",1)</f>
        <v/>
      </c>
    </row>
    <row r="742">
      <c r="A742" s="29" t="n"/>
      <c r="B742" s="29" t="n"/>
      <c r="C742" s="70" t="n"/>
      <c r="D742" s="29" t="n"/>
      <c r="E742" s="29" t="n"/>
      <c r="F742" s="30" t="n"/>
      <c r="G742" s="30" t="n"/>
      <c r="H742" s="31" t="n"/>
      <c r="I742" s="31" t="n"/>
      <c r="J742" s="29" t="n"/>
      <c r="K742" s="35">
        <f>IF($A742="","",IF($C742="","",raporTarihi-$C742))</f>
        <v/>
      </c>
      <c r="L742" s="35">
        <f>IF($A742="","",IF($K742="","",IF($K742&lt;=7,"0-7",IF($K742&lt;=30,"8-30",IF($K742&lt;=60,"31-60","60+")))))</f>
        <v/>
      </c>
      <c r="M742" s="35">
        <f>IF($A742="","",IF($B742="","YETİM",IF(COUNTIF(tblKartlar[KartId],$B742)=0,"YETİM","")))</f>
        <v/>
      </c>
      <c r="N742" s="35">
        <f>IF(OR($A742="",$D742=""),"",IF(OR($D742&amp;"|"&amp;$E742="",COUNTIF(ListeIzinliGecis,$D742&amp;"|"&amp;$E742)&gt;0),"","GEÇERSİZ GEÇİŞ"))</f>
        <v/>
      </c>
      <c r="O742" s="35">
        <f>IF($A742="","",IF(OR($F742="",$G742=""),"",IF(ABS($G742-$F742)&gt;zincirTolerans,"ZİNCİR KIRIK","OK")))</f>
        <v/>
      </c>
      <c r="P742" s="35">
        <f>IF($A742="","",1)</f>
        <v/>
      </c>
    </row>
    <row r="743">
      <c r="A743" s="29" t="n"/>
      <c r="B743" s="29" t="n"/>
      <c r="C743" s="70" t="n"/>
      <c r="D743" s="29" t="n"/>
      <c r="E743" s="29" t="n"/>
      <c r="F743" s="30" t="n"/>
      <c r="G743" s="30" t="n"/>
      <c r="H743" s="31" t="n"/>
      <c r="I743" s="31" t="n"/>
      <c r="J743" s="29" t="n"/>
      <c r="K743" s="35">
        <f>IF($A743="","",IF($C743="","",raporTarihi-$C743))</f>
        <v/>
      </c>
      <c r="L743" s="35">
        <f>IF($A743="","",IF($K743="","",IF($K743&lt;=7,"0-7",IF($K743&lt;=30,"8-30",IF($K743&lt;=60,"31-60","60+")))))</f>
        <v/>
      </c>
      <c r="M743" s="35">
        <f>IF($A743="","",IF($B743="","YETİM",IF(COUNTIF(tblKartlar[KartId],$B743)=0,"YETİM","")))</f>
        <v/>
      </c>
      <c r="N743" s="35">
        <f>IF(OR($A743="",$D743=""),"",IF(OR($D743&amp;"|"&amp;$E743="",COUNTIF(ListeIzinliGecis,$D743&amp;"|"&amp;$E743)&gt;0),"","GEÇERSİZ GEÇİŞ"))</f>
        <v/>
      </c>
      <c r="O743" s="35">
        <f>IF($A743="","",IF(OR($F743="",$G743=""),"",IF(ABS($G743-$F743)&gt;zincirTolerans,"ZİNCİR KIRIK","OK")))</f>
        <v/>
      </c>
      <c r="P743" s="35">
        <f>IF($A743="","",1)</f>
        <v/>
      </c>
    </row>
    <row r="744">
      <c r="A744" s="29" t="n"/>
      <c r="B744" s="29" t="n"/>
      <c r="C744" s="70" t="n"/>
      <c r="D744" s="29" t="n"/>
      <c r="E744" s="29" t="n"/>
      <c r="F744" s="30" t="n"/>
      <c r="G744" s="30" t="n"/>
      <c r="H744" s="31" t="n"/>
      <c r="I744" s="31" t="n"/>
      <c r="J744" s="29" t="n"/>
      <c r="K744" s="35">
        <f>IF($A744="","",IF($C744="","",raporTarihi-$C744))</f>
        <v/>
      </c>
      <c r="L744" s="35">
        <f>IF($A744="","",IF($K744="","",IF($K744&lt;=7,"0-7",IF($K744&lt;=30,"8-30",IF($K744&lt;=60,"31-60","60+")))))</f>
        <v/>
      </c>
      <c r="M744" s="35">
        <f>IF($A744="","",IF($B744="","YETİM",IF(COUNTIF(tblKartlar[KartId],$B744)=0,"YETİM","")))</f>
        <v/>
      </c>
      <c r="N744" s="35">
        <f>IF(OR($A744="",$D744=""),"",IF(OR($D744&amp;"|"&amp;$E744="",COUNTIF(ListeIzinliGecis,$D744&amp;"|"&amp;$E744)&gt;0),"","GEÇERSİZ GEÇİŞ"))</f>
        <v/>
      </c>
      <c r="O744" s="35">
        <f>IF($A744="","",IF(OR($F744="",$G744=""),"",IF(ABS($G744-$F744)&gt;zincirTolerans,"ZİNCİR KIRIK","OK")))</f>
        <v/>
      </c>
      <c r="P744" s="35">
        <f>IF($A744="","",1)</f>
        <v/>
      </c>
    </row>
    <row r="745">
      <c r="A745" s="29" t="n"/>
      <c r="B745" s="29" t="n"/>
      <c r="C745" s="70" t="n"/>
      <c r="D745" s="29" t="n"/>
      <c r="E745" s="29" t="n"/>
      <c r="F745" s="30" t="n"/>
      <c r="G745" s="30" t="n"/>
      <c r="H745" s="31" t="n"/>
      <c r="I745" s="31" t="n"/>
      <c r="J745" s="29" t="n"/>
      <c r="K745" s="35">
        <f>IF($A745="","",IF($C745="","",raporTarihi-$C745))</f>
        <v/>
      </c>
      <c r="L745" s="35">
        <f>IF($A745="","",IF($K745="","",IF($K745&lt;=7,"0-7",IF($K745&lt;=30,"8-30",IF($K745&lt;=60,"31-60","60+")))))</f>
        <v/>
      </c>
      <c r="M745" s="35">
        <f>IF($A745="","",IF($B745="","YETİM",IF(COUNTIF(tblKartlar[KartId],$B745)=0,"YETİM","")))</f>
        <v/>
      </c>
      <c r="N745" s="35">
        <f>IF(OR($A745="",$D745=""),"",IF(OR($D745&amp;"|"&amp;$E745="",COUNTIF(ListeIzinliGecis,$D745&amp;"|"&amp;$E745)&gt;0),"","GEÇERSİZ GEÇİŞ"))</f>
        <v/>
      </c>
      <c r="O745" s="35">
        <f>IF($A745="","",IF(OR($F745="",$G745=""),"",IF(ABS($G745-$F745)&gt;zincirTolerans,"ZİNCİR KIRIK","OK")))</f>
        <v/>
      </c>
      <c r="P745" s="35">
        <f>IF($A745="","",1)</f>
        <v/>
      </c>
    </row>
    <row r="746">
      <c r="A746" s="29" t="n"/>
      <c r="B746" s="29" t="n"/>
      <c r="C746" s="70" t="n"/>
      <c r="D746" s="29" t="n"/>
      <c r="E746" s="29" t="n"/>
      <c r="F746" s="30" t="n"/>
      <c r="G746" s="30" t="n"/>
      <c r="H746" s="31" t="n"/>
      <c r="I746" s="31" t="n"/>
      <c r="J746" s="29" t="n"/>
      <c r="K746" s="35">
        <f>IF($A746="","",IF($C746="","",raporTarihi-$C746))</f>
        <v/>
      </c>
      <c r="L746" s="35">
        <f>IF($A746="","",IF($K746="","",IF($K746&lt;=7,"0-7",IF($K746&lt;=30,"8-30",IF($K746&lt;=60,"31-60","60+")))))</f>
        <v/>
      </c>
      <c r="M746" s="35">
        <f>IF($A746="","",IF($B746="","YETİM",IF(COUNTIF(tblKartlar[KartId],$B746)=0,"YETİM","")))</f>
        <v/>
      </c>
      <c r="N746" s="35">
        <f>IF(OR($A746="",$D746=""),"",IF(OR($D746&amp;"|"&amp;$E746="",COUNTIF(ListeIzinliGecis,$D746&amp;"|"&amp;$E746)&gt;0),"","GEÇERSİZ GEÇİŞ"))</f>
        <v/>
      </c>
      <c r="O746" s="35">
        <f>IF($A746="","",IF(OR($F746="",$G746=""),"",IF(ABS($G746-$F746)&gt;zincirTolerans,"ZİNCİR KIRIK","OK")))</f>
        <v/>
      </c>
      <c r="P746" s="35">
        <f>IF($A746="","",1)</f>
        <v/>
      </c>
    </row>
    <row r="747">
      <c r="A747" s="29" t="n"/>
      <c r="B747" s="29" t="n"/>
      <c r="C747" s="70" t="n"/>
      <c r="D747" s="29" t="n"/>
      <c r="E747" s="29" t="n"/>
      <c r="F747" s="30" t="n"/>
      <c r="G747" s="30" t="n"/>
      <c r="H747" s="31" t="n"/>
      <c r="I747" s="31" t="n"/>
      <c r="J747" s="29" t="n"/>
      <c r="K747" s="35">
        <f>IF($A747="","",IF($C747="","",raporTarihi-$C747))</f>
        <v/>
      </c>
      <c r="L747" s="35">
        <f>IF($A747="","",IF($K747="","",IF($K747&lt;=7,"0-7",IF($K747&lt;=30,"8-30",IF($K747&lt;=60,"31-60","60+")))))</f>
        <v/>
      </c>
      <c r="M747" s="35">
        <f>IF($A747="","",IF($B747="","YETİM",IF(COUNTIF(tblKartlar[KartId],$B747)=0,"YETİM","")))</f>
        <v/>
      </c>
      <c r="N747" s="35">
        <f>IF(OR($A747="",$D747=""),"",IF(OR($D747&amp;"|"&amp;$E747="",COUNTIF(ListeIzinliGecis,$D747&amp;"|"&amp;$E747)&gt;0),"","GEÇERSİZ GEÇİŞ"))</f>
        <v/>
      </c>
      <c r="O747" s="35">
        <f>IF($A747="","",IF(OR($F747="",$G747=""),"",IF(ABS($G747-$F747)&gt;zincirTolerans,"ZİNCİR KIRIK","OK")))</f>
        <v/>
      </c>
      <c r="P747" s="35">
        <f>IF($A747="","",1)</f>
        <v/>
      </c>
    </row>
    <row r="748">
      <c r="A748" s="29" t="n"/>
      <c r="B748" s="29" t="n"/>
      <c r="C748" s="70" t="n"/>
      <c r="D748" s="29" t="n"/>
      <c r="E748" s="29" t="n"/>
      <c r="F748" s="30" t="n"/>
      <c r="G748" s="30" t="n"/>
      <c r="H748" s="31" t="n"/>
      <c r="I748" s="31" t="n"/>
      <c r="J748" s="29" t="n"/>
      <c r="K748" s="35">
        <f>IF($A748="","",IF($C748="","",raporTarihi-$C748))</f>
        <v/>
      </c>
      <c r="L748" s="35">
        <f>IF($A748="","",IF($K748="","",IF($K748&lt;=7,"0-7",IF($K748&lt;=30,"8-30",IF($K748&lt;=60,"31-60","60+")))))</f>
        <v/>
      </c>
      <c r="M748" s="35">
        <f>IF($A748="","",IF($B748="","YETİM",IF(COUNTIF(tblKartlar[KartId],$B748)=0,"YETİM","")))</f>
        <v/>
      </c>
      <c r="N748" s="35">
        <f>IF(OR($A748="",$D748=""),"",IF(OR($D748&amp;"|"&amp;$E748="",COUNTIF(ListeIzinliGecis,$D748&amp;"|"&amp;$E748)&gt;0),"","GEÇERSİZ GEÇİŞ"))</f>
        <v/>
      </c>
      <c r="O748" s="35">
        <f>IF($A748="","",IF(OR($F748="",$G748=""),"",IF(ABS($G748-$F748)&gt;zincirTolerans,"ZİNCİR KIRIK","OK")))</f>
        <v/>
      </c>
      <c r="P748" s="35">
        <f>IF($A748="","",1)</f>
        <v/>
      </c>
    </row>
    <row r="749">
      <c r="A749" s="29" t="n"/>
      <c r="B749" s="29" t="n"/>
      <c r="C749" s="70" t="n"/>
      <c r="D749" s="29" t="n"/>
      <c r="E749" s="29" t="n"/>
      <c r="F749" s="30" t="n"/>
      <c r="G749" s="30" t="n"/>
      <c r="H749" s="31" t="n"/>
      <c r="I749" s="31" t="n"/>
      <c r="J749" s="29" t="n"/>
      <c r="K749" s="35">
        <f>IF($A749="","",IF($C749="","",raporTarihi-$C749))</f>
        <v/>
      </c>
      <c r="L749" s="35">
        <f>IF($A749="","",IF($K749="","",IF($K749&lt;=7,"0-7",IF($K749&lt;=30,"8-30",IF($K749&lt;=60,"31-60","60+")))))</f>
        <v/>
      </c>
      <c r="M749" s="35">
        <f>IF($A749="","",IF($B749="","YETİM",IF(COUNTIF(tblKartlar[KartId],$B749)=0,"YETİM","")))</f>
        <v/>
      </c>
      <c r="N749" s="35">
        <f>IF(OR($A749="",$D749=""),"",IF(OR($D749&amp;"|"&amp;$E749="",COUNTIF(ListeIzinliGecis,$D749&amp;"|"&amp;$E749)&gt;0),"","GEÇERSİZ GEÇİŞ"))</f>
        <v/>
      </c>
      <c r="O749" s="35">
        <f>IF($A749="","",IF(OR($F749="",$G749=""),"",IF(ABS($G749-$F749)&gt;zincirTolerans,"ZİNCİR KIRIK","OK")))</f>
        <v/>
      </c>
      <c r="P749" s="35">
        <f>IF($A749="","",1)</f>
        <v/>
      </c>
    </row>
    <row r="750">
      <c r="A750" s="29" t="n"/>
      <c r="B750" s="29" t="n"/>
      <c r="C750" s="70" t="n"/>
      <c r="D750" s="29" t="n"/>
      <c r="E750" s="29" t="n"/>
      <c r="F750" s="30" t="n"/>
      <c r="G750" s="30" t="n"/>
      <c r="H750" s="31" t="n"/>
      <c r="I750" s="31" t="n"/>
      <c r="J750" s="29" t="n"/>
      <c r="K750" s="35">
        <f>IF($A750="","",IF($C750="","",raporTarihi-$C750))</f>
        <v/>
      </c>
      <c r="L750" s="35">
        <f>IF($A750="","",IF($K750="","",IF($K750&lt;=7,"0-7",IF($K750&lt;=30,"8-30",IF($K750&lt;=60,"31-60","60+")))))</f>
        <v/>
      </c>
      <c r="M750" s="35">
        <f>IF($A750="","",IF($B750="","YETİM",IF(COUNTIF(tblKartlar[KartId],$B750)=0,"YETİM","")))</f>
        <v/>
      </c>
      <c r="N750" s="35">
        <f>IF(OR($A750="",$D750=""),"",IF(OR($D750&amp;"|"&amp;$E750="",COUNTIF(ListeIzinliGecis,$D750&amp;"|"&amp;$E750)&gt;0),"","GEÇERSİZ GEÇİŞ"))</f>
        <v/>
      </c>
      <c r="O750" s="35">
        <f>IF($A750="","",IF(OR($F750="",$G750=""),"",IF(ABS($G750-$F750)&gt;zincirTolerans,"ZİNCİR KIRIK","OK")))</f>
        <v/>
      </c>
      <c r="P750" s="35">
        <f>IF($A750="","",1)</f>
        <v/>
      </c>
    </row>
    <row r="751">
      <c r="A751" s="29" t="n"/>
      <c r="B751" s="29" t="n"/>
      <c r="C751" s="70" t="n"/>
      <c r="D751" s="29" t="n"/>
      <c r="E751" s="29" t="n"/>
      <c r="F751" s="30" t="n"/>
      <c r="G751" s="30" t="n"/>
      <c r="H751" s="31" t="n"/>
      <c r="I751" s="31" t="n"/>
      <c r="J751" s="29" t="n"/>
      <c r="K751" s="35">
        <f>IF($A751="","",IF($C751="","",raporTarihi-$C751))</f>
        <v/>
      </c>
      <c r="L751" s="35">
        <f>IF($A751="","",IF($K751="","",IF($K751&lt;=7,"0-7",IF($K751&lt;=30,"8-30",IF($K751&lt;=60,"31-60","60+")))))</f>
        <v/>
      </c>
      <c r="M751" s="35">
        <f>IF($A751="","",IF($B751="","YETİM",IF(COUNTIF(tblKartlar[KartId],$B751)=0,"YETİM","")))</f>
        <v/>
      </c>
      <c r="N751" s="35">
        <f>IF(OR($A751="",$D751=""),"",IF(OR($D751&amp;"|"&amp;$E751="",COUNTIF(ListeIzinliGecis,$D751&amp;"|"&amp;$E751)&gt;0),"","GEÇERSİZ GEÇİŞ"))</f>
        <v/>
      </c>
      <c r="O751" s="35">
        <f>IF($A751="","",IF(OR($F751="",$G751=""),"",IF(ABS($G751-$F751)&gt;zincirTolerans,"ZİNCİR KIRIK","OK")))</f>
        <v/>
      </c>
      <c r="P751" s="35">
        <f>IF($A751="","",1)</f>
        <v/>
      </c>
    </row>
    <row r="752">
      <c r="A752" s="29" t="n"/>
      <c r="B752" s="29" t="n"/>
      <c r="C752" s="70" t="n"/>
      <c r="D752" s="29" t="n"/>
      <c r="E752" s="29" t="n"/>
      <c r="F752" s="30" t="n"/>
      <c r="G752" s="30" t="n"/>
      <c r="H752" s="31" t="n"/>
      <c r="I752" s="31" t="n"/>
      <c r="J752" s="29" t="n"/>
      <c r="K752" s="35">
        <f>IF($A752="","",IF($C752="","",raporTarihi-$C752))</f>
        <v/>
      </c>
      <c r="L752" s="35">
        <f>IF($A752="","",IF($K752="","",IF($K752&lt;=7,"0-7",IF($K752&lt;=30,"8-30",IF($K752&lt;=60,"31-60","60+")))))</f>
        <v/>
      </c>
      <c r="M752" s="35">
        <f>IF($A752="","",IF($B752="","YETİM",IF(COUNTIF(tblKartlar[KartId],$B752)=0,"YETİM","")))</f>
        <v/>
      </c>
      <c r="N752" s="35">
        <f>IF(OR($A752="",$D752=""),"",IF(OR($D752&amp;"|"&amp;$E752="",COUNTIF(ListeIzinliGecis,$D752&amp;"|"&amp;$E752)&gt;0),"","GEÇERSİZ GEÇİŞ"))</f>
        <v/>
      </c>
      <c r="O752" s="35">
        <f>IF($A752="","",IF(OR($F752="",$G752=""),"",IF(ABS($G752-$F752)&gt;zincirTolerans,"ZİNCİR KIRIK","OK")))</f>
        <v/>
      </c>
      <c r="P752" s="35">
        <f>IF($A752="","",1)</f>
        <v/>
      </c>
    </row>
    <row r="753">
      <c r="A753" s="29" t="n"/>
      <c r="B753" s="29" t="n"/>
      <c r="C753" s="70" t="n"/>
      <c r="D753" s="29" t="n"/>
      <c r="E753" s="29" t="n"/>
      <c r="F753" s="30" t="n"/>
      <c r="G753" s="30" t="n"/>
      <c r="H753" s="31" t="n"/>
      <c r="I753" s="31" t="n"/>
      <c r="J753" s="29" t="n"/>
      <c r="K753" s="35">
        <f>IF($A753="","",IF($C753="","",raporTarihi-$C753))</f>
        <v/>
      </c>
      <c r="L753" s="35">
        <f>IF($A753="","",IF($K753="","",IF($K753&lt;=7,"0-7",IF($K753&lt;=30,"8-30",IF($K753&lt;=60,"31-60","60+")))))</f>
        <v/>
      </c>
      <c r="M753" s="35">
        <f>IF($A753="","",IF($B753="","YETİM",IF(COUNTIF(tblKartlar[KartId],$B753)=0,"YETİM","")))</f>
        <v/>
      </c>
      <c r="N753" s="35">
        <f>IF(OR($A753="",$D753=""),"",IF(OR($D753&amp;"|"&amp;$E753="",COUNTIF(ListeIzinliGecis,$D753&amp;"|"&amp;$E753)&gt;0),"","GEÇERSİZ GEÇİŞ"))</f>
        <v/>
      </c>
      <c r="O753" s="35">
        <f>IF($A753="","",IF(OR($F753="",$G753=""),"",IF(ABS($G753-$F753)&gt;zincirTolerans,"ZİNCİR KIRIK","OK")))</f>
        <v/>
      </c>
      <c r="P753" s="35">
        <f>IF($A753="","",1)</f>
        <v/>
      </c>
    </row>
    <row r="754">
      <c r="A754" s="29" t="n"/>
      <c r="B754" s="29" t="n"/>
      <c r="C754" s="70" t="n"/>
      <c r="D754" s="29" t="n"/>
      <c r="E754" s="29" t="n"/>
      <c r="F754" s="30" t="n"/>
      <c r="G754" s="30" t="n"/>
      <c r="H754" s="31" t="n"/>
      <c r="I754" s="31" t="n"/>
      <c r="J754" s="29" t="n"/>
      <c r="K754" s="35">
        <f>IF($A754="","",IF($C754="","",raporTarihi-$C754))</f>
        <v/>
      </c>
      <c r="L754" s="35">
        <f>IF($A754="","",IF($K754="","",IF($K754&lt;=7,"0-7",IF($K754&lt;=30,"8-30",IF($K754&lt;=60,"31-60","60+")))))</f>
        <v/>
      </c>
      <c r="M754" s="35">
        <f>IF($A754="","",IF($B754="","YETİM",IF(COUNTIF(tblKartlar[KartId],$B754)=0,"YETİM","")))</f>
        <v/>
      </c>
      <c r="N754" s="35">
        <f>IF(OR($A754="",$D754=""),"",IF(OR($D754&amp;"|"&amp;$E754="",COUNTIF(ListeIzinliGecis,$D754&amp;"|"&amp;$E754)&gt;0),"","GEÇERSİZ GEÇİŞ"))</f>
        <v/>
      </c>
      <c r="O754" s="35">
        <f>IF($A754="","",IF(OR($F754="",$G754=""),"",IF(ABS($G754-$F754)&gt;zincirTolerans,"ZİNCİR KIRIK","OK")))</f>
        <v/>
      </c>
      <c r="P754" s="35">
        <f>IF($A754="","",1)</f>
        <v/>
      </c>
    </row>
    <row r="755">
      <c r="A755" s="29" t="n"/>
      <c r="B755" s="29" t="n"/>
      <c r="C755" s="70" t="n"/>
      <c r="D755" s="29" t="n"/>
      <c r="E755" s="29" t="n"/>
      <c r="F755" s="30" t="n"/>
      <c r="G755" s="30" t="n"/>
      <c r="H755" s="31" t="n"/>
      <c r="I755" s="31" t="n"/>
      <c r="J755" s="29" t="n"/>
      <c r="K755" s="35">
        <f>IF($A755="","",IF($C755="","",raporTarihi-$C755))</f>
        <v/>
      </c>
      <c r="L755" s="35">
        <f>IF($A755="","",IF($K755="","",IF($K755&lt;=7,"0-7",IF($K755&lt;=30,"8-30",IF($K755&lt;=60,"31-60","60+")))))</f>
        <v/>
      </c>
      <c r="M755" s="35">
        <f>IF($A755="","",IF($B755="","YETİM",IF(COUNTIF(tblKartlar[KartId],$B755)=0,"YETİM","")))</f>
        <v/>
      </c>
      <c r="N755" s="35">
        <f>IF(OR($A755="",$D755=""),"",IF(OR($D755&amp;"|"&amp;$E755="",COUNTIF(ListeIzinliGecis,$D755&amp;"|"&amp;$E755)&gt;0),"","GEÇERSİZ GEÇİŞ"))</f>
        <v/>
      </c>
      <c r="O755" s="35">
        <f>IF($A755="","",IF(OR($F755="",$G755=""),"",IF(ABS($G755-$F755)&gt;zincirTolerans,"ZİNCİR KIRIK","OK")))</f>
        <v/>
      </c>
      <c r="P755" s="35">
        <f>IF($A755="","",1)</f>
        <v/>
      </c>
    </row>
    <row r="756">
      <c r="A756" s="29" t="n"/>
      <c r="B756" s="29" t="n"/>
      <c r="C756" s="70" t="n"/>
      <c r="D756" s="29" t="n"/>
      <c r="E756" s="29" t="n"/>
      <c r="F756" s="30" t="n"/>
      <c r="G756" s="30" t="n"/>
      <c r="H756" s="31" t="n"/>
      <c r="I756" s="31" t="n"/>
      <c r="J756" s="29" t="n"/>
      <c r="K756" s="35">
        <f>IF($A756="","",IF($C756="","",raporTarihi-$C756))</f>
        <v/>
      </c>
      <c r="L756" s="35">
        <f>IF($A756="","",IF($K756="","",IF($K756&lt;=7,"0-7",IF($K756&lt;=30,"8-30",IF($K756&lt;=60,"31-60","60+")))))</f>
        <v/>
      </c>
      <c r="M756" s="35">
        <f>IF($A756="","",IF($B756="","YETİM",IF(COUNTIF(tblKartlar[KartId],$B756)=0,"YETİM","")))</f>
        <v/>
      </c>
      <c r="N756" s="35">
        <f>IF(OR($A756="",$D756=""),"",IF(OR($D756&amp;"|"&amp;$E756="",COUNTIF(ListeIzinliGecis,$D756&amp;"|"&amp;$E756)&gt;0),"","GEÇERSİZ GEÇİŞ"))</f>
        <v/>
      </c>
      <c r="O756" s="35">
        <f>IF($A756="","",IF(OR($F756="",$G756=""),"",IF(ABS($G756-$F756)&gt;zincirTolerans,"ZİNCİR KIRIK","OK")))</f>
        <v/>
      </c>
      <c r="P756" s="35">
        <f>IF($A756="","",1)</f>
        <v/>
      </c>
    </row>
    <row r="757">
      <c r="A757" s="29" t="n"/>
      <c r="B757" s="29" t="n"/>
      <c r="C757" s="70" t="n"/>
      <c r="D757" s="29" t="n"/>
      <c r="E757" s="29" t="n"/>
      <c r="F757" s="30" t="n"/>
      <c r="G757" s="30" t="n"/>
      <c r="H757" s="31" t="n"/>
      <c r="I757" s="31" t="n"/>
      <c r="J757" s="29" t="n"/>
      <c r="K757" s="35">
        <f>IF($A757="","",IF($C757="","",raporTarihi-$C757))</f>
        <v/>
      </c>
      <c r="L757" s="35">
        <f>IF($A757="","",IF($K757="","",IF($K757&lt;=7,"0-7",IF($K757&lt;=30,"8-30",IF($K757&lt;=60,"31-60","60+")))))</f>
        <v/>
      </c>
      <c r="M757" s="35">
        <f>IF($A757="","",IF($B757="","YETİM",IF(COUNTIF(tblKartlar[KartId],$B757)=0,"YETİM","")))</f>
        <v/>
      </c>
      <c r="N757" s="35">
        <f>IF(OR($A757="",$D757=""),"",IF(OR($D757&amp;"|"&amp;$E757="",COUNTIF(ListeIzinliGecis,$D757&amp;"|"&amp;$E757)&gt;0),"","GEÇERSİZ GEÇİŞ"))</f>
        <v/>
      </c>
      <c r="O757" s="35">
        <f>IF($A757="","",IF(OR($F757="",$G757=""),"",IF(ABS($G757-$F757)&gt;zincirTolerans,"ZİNCİR KIRIK","OK")))</f>
        <v/>
      </c>
      <c r="P757" s="35">
        <f>IF($A757="","",1)</f>
        <v/>
      </c>
    </row>
    <row r="758">
      <c r="A758" s="29" t="n"/>
      <c r="B758" s="29" t="n"/>
      <c r="C758" s="70" t="n"/>
      <c r="D758" s="29" t="n"/>
      <c r="E758" s="29" t="n"/>
      <c r="F758" s="30" t="n"/>
      <c r="G758" s="30" t="n"/>
      <c r="H758" s="31" t="n"/>
      <c r="I758" s="31" t="n"/>
      <c r="J758" s="29" t="n"/>
      <c r="K758" s="35">
        <f>IF($A758="","",IF($C758="","",raporTarihi-$C758))</f>
        <v/>
      </c>
      <c r="L758" s="35">
        <f>IF($A758="","",IF($K758="","",IF($K758&lt;=7,"0-7",IF($K758&lt;=30,"8-30",IF($K758&lt;=60,"31-60","60+")))))</f>
        <v/>
      </c>
      <c r="M758" s="35">
        <f>IF($A758="","",IF($B758="","YETİM",IF(COUNTIF(tblKartlar[KartId],$B758)=0,"YETİM","")))</f>
        <v/>
      </c>
      <c r="N758" s="35">
        <f>IF(OR($A758="",$D758=""),"",IF(OR($D758&amp;"|"&amp;$E758="",COUNTIF(ListeIzinliGecis,$D758&amp;"|"&amp;$E758)&gt;0),"","GEÇERSİZ GEÇİŞ"))</f>
        <v/>
      </c>
      <c r="O758" s="35">
        <f>IF($A758="","",IF(OR($F758="",$G758=""),"",IF(ABS($G758-$F758)&gt;zincirTolerans,"ZİNCİR KIRIK","OK")))</f>
        <v/>
      </c>
      <c r="P758" s="35">
        <f>IF($A758="","",1)</f>
        <v/>
      </c>
    </row>
    <row r="759">
      <c r="A759" s="29" t="n"/>
      <c r="B759" s="29" t="n"/>
      <c r="C759" s="70" t="n"/>
      <c r="D759" s="29" t="n"/>
      <c r="E759" s="29" t="n"/>
      <c r="F759" s="30" t="n"/>
      <c r="G759" s="30" t="n"/>
      <c r="H759" s="31" t="n"/>
      <c r="I759" s="31" t="n"/>
      <c r="J759" s="29" t="n"/>
      <c r="K759" s="35">
        <f>IF($A759="","",IF($C759="","",raporTarihi-$C759))</f>
        <v/>
      </c>
      <c r="L759" s="35">
        <f>IF($A759="","",IF($K759="","",IF($K759&lt;=7,"0-7",IF($K759&lt;=30,"8-30",IF($K759&lt;=60,"31-60","60+")))))</f>
        <v/>
      </c>
      <c r="M759" s="35">
        <f>IF($A759="","",IF($B759="","YETİM",IF(COUNTIF(tblKartlar[KartId],$B759)=0,"YETİM","")))</f>
        <v/>
      </c>
      <c r="N759" s="35">
        <f>IF(OR($A759="",$D759=""),"",IF(OR($D759&amp;"|"&amp;$E759="",COUNTIF(ListeIzinliGecis,$D759&amp;"|"&amp;$E759)&gt;0),"","GEÇERSİZ GEÇİŞ"))</f>
        <v/>
      </c>
      <c r="O759" s="35">
        <f>IF($A759="","",IF(OR($F759="",$G759=""),"",IF(ABS($G759-$F759)&gt;zincirTolerans,"ZİNCİR KIRIK","OK")))</f>
        <v/>
      </c>
      <c r="P759" s="35">
        <f>IF($A759="","",1)</f>
        <v/>
      </c>
    </row>
    <row r="760">
      <c r="A760" s="29" t="n"/>
      <c r="B760" s="29" t="n"/>
      <c r="C760" s="70" t="n"/>
      <c r="D760" s="29" t="n"/>
      <c r="E760" s="29" t="n"/>
      <c r="F760" s="30" t="n"/>
      <c r="G760" s="30" t="n"/>
      <c r="H760" s="31" t="n"/>
      <c r="I760" s="31" t="n"/>
      <c r="J760" s="29" t="n"/>
      <c r="K760" s="35">
        <f>IF($A760="","",IF($C760="","",raporTarihi-$C760))</f>
        <v/>
      </c>
      <c r="L760" s="35">
        <f>IF($A760="","",IF($K760="","",IF($K760&lt;=7,"0-7",IF($K760&lt;=30,"8-30",IF($K760&lt;=60,"31-60","60+")))))</f>
        <v/>
      </c>
      <c r="M760" s="35">
        <f>IF($A760="","",IF($B760="","YETİM",IF(COUNTIF(tblKartlar[KartId],$B760)=0,"YETİM","")))</f>
        <v/>
      </c>
      <c r="N760" s="35">
        <f>IF(OR($A760="",$D760=""),"",IF(OR($D760&amp;"|"&amp;$E760="",COUNTIF(ListeIzinliGecis,$D760&amp;"|"&amp;$E760)&gt;0),"","GEÇERSİZ GEÇİŞ"))</f>
        <v/>
      </c>
      <c r="O760" s="35">
        <f>IF($A760="","",IF(OR($F760="",$G760=""),"",IF(ABS($G760-$F760)&gt;zincirTolerans,"ZİNCİR KIRIK","OK")))</f>
        <v/>
      </c>
      <c r="P760" s="35">
        <f>IF($A760="","",1)</f>
        <v/>
      </c>
    </row>
    <row r="761">
      <c r="A761" s="29" t="n"/>
      <c r="B761" s="29" t="n"/>
      <c r="C761" s="70" t="n"/>
      <c r="D761" s="29" t="n"/>
      <c r="E761" s="29" t="n"/>
      <c r="F761" s="30" t="n"/>
      <c r="G761" s="30" t="n"/>
      <c r="H761" s="31" t="n"/>
      <c r="I761" s="31" t="n"/>
      <c r="J761" s="29" t="n"/>
      <c r="K761" s="35">
        <f>IF($A761="","",IF($C761="","",raporTarihi-$C761))</f>
        <v/>
      </c>
      <c r="L761" s="35">
        <f>IF($A761="","",IF($K761="","",IF($K761&lt;=7,"0-7",IF($K761&lt;=30,"8-30",IF($K761&lt;=60,"31-60","60+")))))</f>
        <v/>
      </c>
      <c r="M761" s="35">
        <f>IF($A761="","",IF($B761="","YETİM",IF(COUNTIF(tblKartlar[KartId],$B761)=0,"YETİM","")))</f>
        <v/>
      </c>
      <c r="N761" s="35">
        <f>IF(OR($A761="",$D761=""),"",IF(OR($D761&amp;"|"&amp;$E761="",COUNTIF(ListeIzinliGecis,$D761&amp;"|"&amp;$E761)&gt;0),"","GEÇERSİZ GEÇİŞ"))</f>
        <v/>
      </c>
      <c r="O761" s="35">
        <f>IF($A761="","",IF(OR($F761="",$G761=""),"",IF(ABS($G761-$F761)&gt;zincirTolerans,"ZİNCİR KIRIK","OK")))</f>
        <v/>
      </c>
      <c r="P761" s="35">
        <f>IF($A761="","",1)</f>
        <v/>
      </c>
    </row>
    <row r="762">
      <c r="A762" s="29" t="n"/>
      <c r="B762" s="29" t="n"/>
      <c r="C762" s="70" t="n"/>
      <c r="D762" s="29" t="n"/>
      <c r="E762" s="29" t="n"/>
      <c r="F762" s="30" t="n"/>
      <c r="G762" s="30" t="n"/>
      <c r="H762" s="31" t="n"/>
      <c r="I762" s="31" t="n"/>
      <c r="J762" s="29" t="n"/>
      <c r="K762" s="35">
        <f>IF($A762="","",IF($C762="","",raporTarihi-$C762))</f>
        <v/>
      </c>
      <c r="L762" s="35">
        <f>IF($A762="","",IF($K762="","",IF($K762&lt;=7,"0-7",IF($K762&lt;=30,"8-30",IF($K762&lt;=60,"31-60","60+")))))</f>
        <v/>
      </c>
      <c r="M762" s="35">
        <f>IF($A762="","",IF($B762="","YETİM",IF(COUNTIF(tblKartlar[KartId],$B762)=0,"YETİM","")))</f>
        <v/>
      </c>
      <c r="N762" s="35">
        <f>IF(OR($A762="",$D762=""),"",IF(OR($D762&amp;"|"&amp;$E762="",COUNTIF(ListeIzinliGecis,$D762&amp;"|"&amp;$E762)&gt;0),"","GEÇERSİZ GEÇİŞ"))</f>
        <v/>
      </c>
      <c r="O762" s="35">
        <f>IF($A762="","",IF(OR($F762="",$G762=""),"",IF(ABS($G762-$F762)&gt;zincirTolerans,"ZİNCİR KIRIK","OK")))</f>
        <v/>
      </c>
      <c r="P762" s="35">
        <f>IF($A762="","",1)</f>
        <v/>
      </c>
    </row>
    <row r="763">
      <c r="A763" s="29" t="n"/>
      <c r="B763" s="29" t="n"/>
      <c r="C763" s="70" t="n"/>
      <c r="D763" s="29" t="n"/>
      <c r="E763" s="29" t="n"/>
      <c r="F763" s="30" t="n"/>
      <c r="G763" s="30" t="n"/>
      <c r="H763" s="31" t="n"/>
      <c r="I763" s="31" t="n"/>
      <c r="J763" s="29" t="n"/>
      <c r="K763" s="35">
        <f>IF($A763="","",IF($C763="","",raporTarihi-$C763))</f>
        <v/>
      </c>
      <c r="L763" s="35">
        <f>IF($A763="","",IF($K763="","",IF($K763&lt;=7,"0-7",IF($K763&lt;=30,"8-30",IF($K763&lt;=60,"31-60","60+")))))</f>
        <v/>
      </c>
      <c r="M763" s="35">
        <f>IF($A763="","",IF($B763="","YETİM",IF(COUNTIF(tblKartlar[KartId],$B763)=0,"YETİM","")))</f>
        <v/>
      </c>
      <c r="N763" s="35">
        <f>IF(OR($A763="",$D763=""),"",IF(OR($D763&amp;"|"&amp;$E763="",COUNTIF(ListeIzinliGecis,$D763&amp;"|"&amp;$E763)&gt;0),"","GEÇERSİZ GEÇİŞ"))</f>
        <v/>
      </c>
      <c r="O763" s="35">
        <f>IF($A763="","",IF(OR($F763="",$G763=""),"",IF(ABS($G763-$F763)&gt;zincirTolerans,"ZİNCİR KIRIK","OK")))</f>
        <v/>
      </c>
      <c r="P763" s="35">
        <f>IF($A763="","",1)</f>
        <v/>
      </c>
    </row>
    <row r="764">
      <c r="A764" s="29" t="n"/>
      <c r="B764" s="29" t="n"/>
      <c r="C764" s="70" t="n"/>
      <c r="D764" s="29" t="n"/>
      <c r="E764" s="29" t="n"/>
      <c r="F764" s="30" t="n"/>
      <c r="G764" s="30" t="n"/>
      <c r="H764" s="31" t="n"/>
      <c r="I764" s="31" t="n"/>
      <c r="J764" s="29" t="n"/>
      <c r="K764" s="35">
        <f>IF($A764="","",IF($C764="","",raporTarihi-$C764))</f>
        <v/>
      </c>
      <c r="L764" s="35">
        <f>IF($A764="","",IF($K764="","",IF($K764&lt;=7,"0-7",IF($K764&lt;=30,"8-30",IF($K764&lt;=60,"31-60","60+")))))</f>
        <v/>
      </c>
      <c r="M764" s="35">
        <f>IF($A764="","",IF($B764="","YETİM",IF(COUNTIF(tblKartlar[KartId],$B764)=0,"YETİM","")))</f>
        <v/>
      </c>
      <c r="N764" s="35">
        <f>IF(OR($A764="",$D764=""),"",IF(OR($D764&amp;"|"&amp;$E764="",COUNTIF(ListeIzinliGecis,$D764&amp;"|"&amp;$E764)&gt;0),"","GEÇERSİZ GEÇİŞ"))</f>
        <v/>
      </c>
      <c r="O764" s="35">
        <f>IF($A764="","",IF(OR($F764="",$G764=""),"",IF(ABS($G764-$F764)&gt;zincirTolerans,"ZİNCİR KIRIK","OK")))</f>
        <v/>
      </c>
      <c r="P764" s="35">
        <f>IF($A764="","",1)</f>
        <v/>
      </c>
    </row>
    <row r="765">
      <c r="A765" s="29" t="n"/>
      <c r="B765" s="29" t="n"/>
      <c r="C765" s="70" t="n"/>
      <c r="D765" s="29" t="n"/>
      <c r="E765" s="29" t="n"/>
      <c r="F765" s="30" t="n"/>
      <c r="G765" s="30" t="n"/>
      <c r="H765" s="31" t="n"/>
      <c r="I765" s="31" t="n"/>
      <c r="J765" s="29" t="n"/>
      <c r="K765" s="35">
        <f>IF($A765="","",IF($C765="","",raporTarihi-$C765))</f>
        <v/>
      </c>
      <c r="L765" s="35">
        <f>IF($A765="","",IF($K765="","",IF($K765&lt;=7,"0-7",IF($K765&lt;=30,"8-30",IF($K765&lt;=60,"31-60","60+")))))</f>
        <v/>
      </c>
      <c r="M765" s="35">
        <f>IF($A765="","",IF($B765="","YETİM",IF(COUNTIF(tblKartlar[KartId],$B765)=0,"YETİM","")))</f>
        <v/>
      </c>
      <c r="N765" s="35">
        <f>IF(OR($A765="",$D765=""),"",IF(OR($D765&amp;"|"&amp;$E765="",COUNTIF(ListeIzinliGecis,$D765&amp;"|"&amp;$E765)&gt;0),"","GEÇERSİZ GEÇİŞ"))</f>
        <v/>
      </c>
      <c r="O765" s="35">
        <f>IF($A765="","",IF(OR($F765="",$G765=""),"",IF(ABS($G765-$F765)&gt;zincirTolerans,"ZİNCİR KIRIK","OK")))</f>
        <v/>
      </c>
      <c r="P765" s="35">
        <f>IF($A765="","",1)</f>
        <v/>
      </c>
    </row>
    <row r="766">
      <c r="A766" s="29" t="n"/>
      <c r="B766" s="29" t="n"/>
      <c r="C766" s="70" t="n"/>
      <c r="D766" s="29" t="n"/>
      <c r="E766" s="29" t="n"/>
      <c r="F766" s="30" t="n"/>
      <c r="G766" s="30" t="n"/>
      <c r="H766" s="31" t="n"/>
      <c r="I766" s="31" t="n"/>
      <c r="J766" s="29" t="n"/>
      <c r="K766" s="35">
        <f>IF($A766="","",IF($C766="","",raporTarihi-$C766))</f>
        <v/>
      </c>
      <c r="L766" s="35">
        <f>IF($A766="","",IF($K766="","",IF($K766&lt;=7,"0-7",IF($K766&lt;=30,"8-30",IF($K766&lt;=60,"31-60","60+")))))</f>
        <v/>
      </c>
      <c r="M766" s="35">
        <f>IF($A766="","",IF($B766="","YETİM",IF(COUNTIF(tblKartlar[KartId],$B766)=0,"YETİM","")))</f>
        <v/>
      </c>
      <c r="N766" s="35">
        <f>IF(OR($A766="",$D766=""),"",IF(OR($D766&amp;"|"&amp;$E766="",COUNTIF(ListeIzinliGecis,$D766&amp;"|"&amp;$E766)&gt;0),"","GEÇERSİZ GEÇİŞ"))</f>
        <v/>
      </c>
      <c r="O766" s="35">
        <f>IF($A766="","",IF(OR($F766="",$G766=""),"",IF(ABS($G766-$F766)&gt;zincirTolerans,"ZİNCİR KIRIK","OK")))</f>
        <v/>
      </c>
      <c r="P766" s="35">
        <f>IF($A766="","",1)</f>
        <v/>
      </c>
    </row>
    <row r="767">
      <c r="A767" s="29" t="n"/>
      <c r="B767" s="29" t="n"/>
      <c r="C767" s="70" t="n"/>
      <c r="D767" s="29" t="n"/>
      <c r="E767" s="29" t="n"/>
      <c r="F767" s="30" t="n"/>
      <c r="G767" s="30" t="n"/>
      <c r="H767" s="31" t="n"/>
      <c r="I767" s="31" t="n"/>
      <c r="J767" s="29" t="n"/>
      <c r="K767" s="35">
        <f>IF($A767="","",IF($C767="","",raporTarihi-$C767))</f>
        <v/>
      </c>
      <c r="L767" s="35">
        <f>IF($A767="","",IF($K767="","",IF($K767&lt;=7,"0-7",IF($K767&lt;=30,"8-30",IF($K767&lt;=60,"31-60","60+")))))</f>
        <v/>
      </c>
      <c r="M767" s="35">
        <f>IF($A767="","",IF($B767="","YETİM",IF(COUNTIF(tblKartlar[KartId],$B767)=0,"YETİM","")))</f>
        <v/>
      </c>
      <c r="N767" s="35">
        <f>IF(OR($A767="",$D767=""),"",IF(OR($D767&amp;"|"&amp;$E767="",COUNTIF(ListeIzinliGecis,$D767&amp;"|"&amp;$E767)&gt;0),"","GEÇERSİZ GEÇİŞ"))</f>
        <v/>
      </c>
      <c r="O767" s="35">
        <f>IF($A767="","",IF(OR($F767="",$G767=""),"",IF(ABS($G767-$F767)&gt;zincirTolerans,"ZİNCİR KIRIK","OK")))</f>
        <v/>
      </c>
      <c r="P767" s="35">
        <f>IF($A767="","",1)</f>
        <v/>
      </c>
    </row>
    <row r="768">
      <c r="A768" s="29" t="n"/>
      <c r="B768" s="29" t="n"/>
      <c r="C768" s="70" t="n"/>
      <c r="D768" s="29" t="n"/>
      <c r="E768" s="29" t="n"/>
      <c r="F768" s="30" t="n"/>
      <c r="G768" s="30" t="n"/>
      <c r="H768" s="31" t="n"/>
      <c r="I768" s="31" t="n"/>
      <c r="J768" s="29" t="n"/>
      <c r="K768" s="35">
        <f>IF($A768="","",IF($C768="","",raporTarihi-$C768))</f>
        <v/>
      </c>
      <c r="L768" s="35">
        <f>IF($A768="","",IF($K768="","",IF($K768&lt;=7,"0-7",IF($K768&lt;=30,"8-30",IF($K768&lt;=60,"31-60","60+")))))</f>
        <v/>
      </c>
      <c r="M768" s="35">
        <f>IF($A768="","",IF($B768="","YETİM",IF(COUNTIF(tblKartlar[KartId],$B768)=0,"YETİM","")))</f>
        <v/>
      </c>
      <c r="N768" s="35">
        <f>IF(OR($A768="",$D768=""),"",IF(OR($D768&amp;"|"&amp;$E768="",COUNTIF(ListeIzinliGecis,$D768&amp;"|"&amp;$E768)&gt;0),"","GEÇERSİZ GEÇİŞ"))</f>
        <v/>
      </c>
      <c r="O768" s="35">
        <f>IF($A768="","",IF(OR($F768="",$G768=""),"",IF(ABS($G768-$F768)&gt;zincirTolerans,"ZİNCİR KIRIK","OK")))</f>
        <v/>
      </c>
      <c r="P768" s="35">
        <f>IF($A768="","",1)</f>
        <v/>
      </c>
    </row>
    <row r="769">
      <c r="A769" s="29" t="n"/>
      <c r="B769" s="29" t="n"/>
      <c r="C769" s="70" t="n"/>
      <c r="D769" s="29" t="n"/>
      <c r="E769" s="29" t="n"/>
      <c r="F769" s="30" t="n"/>
      <c r="G769" s="30" t="n"/>
      <c r="H769" s="31" t="n"/>
      <c r="I769" s="31" t="n"/>
      <c r="J769" s="29" t="n"/>
      <c r="K769" s="35">
        <f>IF($A769="","",IF($C769="","",raporTarihi-$C769))</f>
        <v/>
      </c>
      <c r="L769" s="35">
        <f>IF($A769="","",IF($K769="","",IF($K769&lt;=7,"0-7",IF($K769&lt;=30,"8-30",IF($K769&lt;=60,"31-60","60+")))))</f>
        <v/>
      </c>
      <c r="M769" s="35">
        <f>IF($A769="","",IF($B769="","YETİM",IF(COUNTIF(tblKartlar[KartId],$B769)=0,"YETİM","")))</f>
        <v/>
      </c>
      <c r="N769" s="35">
        <f>IF(OR($A769="",$D769=""),"",IF(OR($D769&amp;"|"&amp;$E769="",COUNTIF(ListeIzinliGecis,$D769&amp;"|"&amp;$E769)&gt;0),"","GEÇERSİZ GEÇİŞ"))</f>
        <v/>
      </c>
      <c r="O769" s="35">
        <f>IF($A769="","",IF(OR($F769="",$G769=""),"",IF(ABS($G769-$F769)&gt;zincirTolerans,"ZİNCİR KIRIK","OK")))</f>
        <v/>
      </c>
      <c r="P769" s="35">
        <f>IF($A769="","",1)</f>
        <v/>
      </c>
    </row>
    <row r="770">
      <c r="A770" s="29" t="n"/>
      <c r="B770" s="29" t="n"/>
      <c r="C770" s="70" t="n"/>
      <c r="D770" s="29" t="n"/>
      <c r="E770" s="29" t="n"/>
      <c r="F770" s="30" t="n"/>
      <c r="G770" s="30" t="n"/>
      <c r="H770" s="31" t="n"/>
      <c r="I770" s="31" t="n"/>
      <c r="J770" s="29" t="n"/>
      <c r="K770" s="35">
        <f>IF($A770="","",IF($C770="","",raporTarihi-$C770))</f>
        <v/>
      </c>
      <c r="L770" s="35">
        <f>IF($A770="","",IF($K770="","",IF($K770&lt;=7,"0-7",IF($K770&lt;=30,"8-30",IF($K770&lt;=60,"31-60","60+")))))</f>
        <v/>
      </c>
      <c r="M770" s="35">
        <f>IF($A770="","",IF($B770="","YETİM",IF(COUNTIF(tblKartlar[KartId],$B770)=0,"YETİM","")))</f>
        <v/>
      </c>
      <c r="N770" s="35">
        <f>IF(OR($A770="",$D770=""),"",IF(OR($D770&amp;"|"&amp;$E770="",COUNTIF(ListeIzinliGecis,$D770&amp;"|"&amp;$E770)&gt;0),"","GEÇERSİZ GEÇİŞ"))</f>
        <v/>
      </c>
      <c r="O770" s="35">
        <f>IF($A770="","",IF(OR($F770="",$G770=""),"",IF(ABS($G770-$F770)&gt;zincirTolerans,"ZİNCİR KIRIK","OK")))</f>
        <v/>
      </c>
      <c r="P770" s="35">
        <f>IF($A770="","",1)</f>
        <v/>
      </c>
    </row>
    <row r="771">
      <c r="A771" s="29" t="n"/>
      <c r="B771" s="29" t="n"/>
      <c r="C771" s="70" t="n"/>
      <c r="D771" s="29" t="n"/>
      <c r="E771" s="29" t="n"/>
      <c r="F771" s="30" t="n"/>
      <c r="G771" s="30" t="n"/>
      <c r="H771" s="31" t="n"/>
      <c r="I771" s="31" t="n"/>
      <c r="J771" s="29" t="n"/>
      <c r="K771" s="35">
        <f>IF($A771="","",IF($C771="","",raporTarihi-$C771))</f>
        <v/>
      </c>
      <c r="L771" s="35">
        <f>IF($A771="","",IF($K771="","",IF($K771&lt;=7,"0-7",IF($K771&lt;=30,"8-30",IF($K771&lt;=60,"31-60","60+")))))</f>
        <v/>
      </c>
      <c r="M771" s="35">
        <f>IF($A771="","",IF($B771="","YETİM",IF(COUNTIF(tblKartlar[KartId],$B771)=0,"YETİM","")))</f>
        <v/>
      </c>
      <c r="N771" s="35">
        <f>IF(OR($A771="",$D771=""),"",IF(OR($D771&amp;"|"&amp;$E771="",COUNTIF(ListeIzinliGecis,$D771&amp;"|"&amp;$E771)&gt;0),"","GEÇERSİZ GEÇİŞ"))</f>
        <v/>
      </c>
      <c r="O771" s="35">
        <f>IF($A771="","",IF(OR($F771="",$G771=""),"",IF(ABS($G771-$F771)&gt;zincirTolerans,"ZİNCİR KIRIK","OK")))</f>
        <v/>
      </c>
      <c r="P771" s="35">
        <f>IF($A771="","",1)</f>
        <v/>
      </c>
    </row>
    <row r="772">
      <c r="A772" s="29" t="n"/>
      <c r="B772" s="29" t="n"/>
      <c r="C772" s="70" t="n"/>
      <c r="D772" s="29" t="n"/>
      <c r="E772" s="29" t="n"/>
      <c r="F772" s="30" t="n"/>
      <c r="G772" s="30" t="n"/>
      <c r="H772" s="31" t="n"/>
      <c r="I772" s="31" t="n"/>
      <c r="J772" s="29" t="n"/>
      <c r="K772" s="35">
        <f>IF($A772="","",IF($C772="","",raporTarihi-$C772))</f>
        <v/>
      </c>
      <c r="L772" s="35">
        <f>IF($A772="","",IF($K772="","",IF($K772&lt;=7,"0-7",IF($K772&lt;=30,"8-30",IF($K772&lt;=60,"31-60","60+")))))</f>
        <v/>
      </c>
      <c r="M772" s="35">
        <f>IF($A772="","",IF($B772="","YETİM",IF(COUNTIF(tblKartlar[KartId],$B772)=0,"YETİM","")))</f>
        <v/>
      </c>
      <c r="N772" s="35">
        <f>IF(OR($A772="",$D772=""),"",IF(OR($D772&amp;"|"&amp;$E772="",COUNTIF(ListeIzinliGecis,$D772&amp;"|"&amp;$E772)&gt;0),"","GEÇERSİZ GEÇİŞ"))</f>
        <v/>
      </c>
      <c r="O772" s="35">
        <f>IF($A772="","",IF(OR($F772="",$G772=""),"",IF(ABS($G772-$F772)&gt;zincirTolerans,"ZİNCİR KIRIK","OK")))</f>
        <v/>
      </c>
      <c r="P772" s="35">
        <f>IF($A772="","",1)</f>
        <v/>
      </c>
    </row>
    <row r="773">
      <c r="A773" s="29" t="n"/>
      <c r="B773" s="29" t="n"/>
      <c r="C773" s="70" t="n"/>
      <c r="D773" s="29" t="n"/>
      <c r="E773" s="29" t="n"/>
      <c r="F773" s="30" t="n"/>
      <c r="G773" s="30" t="n"/>
      <c r="H773" s="31" t="n"/>
      <c r="I773" s="31" t="n"/>
      <c r="J773" s="29" t="n"/>
      <c r="K773" s="35">
        <f>IF($A773="","",IF($C773="","",raporTarihi-$C773))</f>
        <v/>
      </c>
      <c r="L773" s="35">
        <f>IF($A773="","",IF($K773="","",IF($K773&lt;=7,"0-7",IF($K773&lt;=30,"8-30",IF($K773&lt;=60,"31-60","60+")))))</f>
        <v/>
      </c>
      <c r="M773" s="35">
        <f>IF($A773="","",IF($B773="","YETİM",IF(COUNTIF(tblKartlar[KartId],$B773)=0,"YETİM","")))</f>
        <v/>
      </c>
      <c r="N773" s="35">
        <f>IF(OR($A773="",$D773=""),"",IF(OR($D773&amp;"|"&amp;$E773="",COUNTIF(ListeIzinliGecis,$D773&amp;"|"&amp;$E773)&gt;0),"","GEÇERSİZ GEÇİŞ"))</f>
        <v/>
      </c>
      <c r="O773" s="35">
        <f>IF($A773="","",IF(OR($F773="",$G773=""),"",IF(ABS($G773-$F773)&gt;zincirTolerans,"ZİNCİR KIRIK","OK")))</f>
        <v/>
      </c>
      <c r="P773" s="35">
        <f>IF($A773="","",1)</f>
        <v/>
      </c>
    </row>
    <row r="774">
      <c r="A774" s="29" t="n"/>
      <c r="B774" s="29" t="n"/>
      <c r="C774" s="70" t="n"/>
      <c r="D774" s="29" t="n"/>
      <c r="E774" s="29" t="n"/>
      <c r="F774" s="30" t="n"/>
      <c r="G774" s="30" t="n"/>
      <c r="H774" s="31" t="n"/>
      <c r="I774" s="31" t="n"/>
      <c r="J774" s="29" t="n"/>
      <c r="K774" s="35">
        <f>IF($A774="","",IF($C774="","",raporTarihi-$C774))</f>
        <v/>
      </c>
      <c r="L774" s="35">
        <f>IF($A774="","",IF($K774="","",IF($K774&lt;=7,"0-7",IF($K774&lt;=30,"8-30",IF($K774&lt;=60,"31-60","60+")))))</f>
        <v/>
      </c>
      <c r="M774" s="35">
        <f>IF($A774="","",IF($B774="","YETİM",IF(COUNTIF(tblKartlar[KartId],$B774)=0,"YETİM","")))</f>
        <v/>
      </c>
      <c r="N774" s="35">
        <f>IF(OR($A774="",$D774=""),"",IF(OR($D774&amp;"|"&amp;$E774="",COUNTIF(ListeIzinliGecis,$D774&amp;"|"&amp;$E774)&gt;0),"","GEÇERSİZ GEÇİŞ"))</f>
        <v/>
      </c>
      <c r="O774" s="35">
        <f>IF($A774="","",IF(OR($F774="",$G774=""),"",IF(ABS($G774-$F774)&gt;zincirTolerans,"ZİNCİR KIRIK","OK")))</f>
        <v/>
      </c>
      <c r="P774" s="35">
        <f>IF($A774="","",1)</f>
        <v/>
      </c>
    </row>
    <row r="775">
      <c r="A775" s="29" t="n"/>
      <c r="B775" s="29" t="n"/>
      <c r="C775" s="70" t="n"/>
      <c r="D775" s="29" t="n"/>
      <c r="E775" s="29" t="n"/>
      <c r="F775" s="30" t="n"/>
      <c r="G775" s="30" t="n"/>
      <c r="H775" s="31" t="n"/>
      <c r="I775" s="31" t="n"/>
      <c r="J775" s="29" t="n"/>
      <c r="K775" s="35">
        <f>IF($A775="","",IF($C775="","",raporTarihi-$C775))</f>
        <v/>
      </c>
      <c r="L775" s="35">
        <f>IF($A775="","",IF($K775="","",IF($K775&lt;=7,"0-7",IF($K775&lt;=30,"8-30",IF($K775&lt;=60,"31-60","60+")))))</f>
        <v/>
      </c>
      <c r="M775" s="35">
        <f>IF($A775="","",IF($B775="","YETİM",IF(COUNTIF(tblKartlar[KartId],$B775)=0,"YETİM","")))</f>
        <v/>
      </c>
      <c r="N775" s="35">
        <f>IF(OR($A775="",$D775=""),"",IF(OR($D775&amp;"|"&amp;$E775="",COUNTIF(ListeIzinliGecis,$D775&amp;"|"&amp;$E775)&gt;0),"","GEÇERSİZ GEÇİŞ"))</f>
        <v/>
      </c>
      <c r="O775" s="35">
        <f>IF($A775="","",IF(OR($F775="",$G775=""),"",IF(ABS($G775-$F775)&gt;zincirTolerans,"ZİNCİR KIRIK","OK")))</f>
        <v/>
      </c>
      <c r="P775" s="35">
        <f>IF($A775="","",1)</f>
        <v/>
      </c>
    </row>
    <row r="776">
      <c r="A776" s="29" t="n"/>
      <c r="B776" s="29" t="n"/>
      <c r="C776" s="70" t="n"/>
      <c r="D776" s="29" t="n"/>
      <c r="E776" s="29" t="n"/>
      <c r="F776" s="30" t="n"/>
      <c r="G776" s="30" t="n"/>
      <c r="H776" s="31" t="n"/>
      <c r="I776" s="31" t="n"/>
      <c r="J776" s="29" t="n"/>
      <c r="K776" s="35">
        <f>IF($A776="","",IF($C776="","",raporTarihi-$C776))</f>
        <v/>
      </c>
      <c r="L776" s="35">
        <f>IF($A776="","",IF($K776="","",IF($K776&lt;=7,"0-7",IF($K776&lt;=30,"8-30",IF($K776&lt;=60,"31-60","60+")))))</f>
        <v/>
      </c>
      <c r="M776" s="35">
        <f>IF($A776="","",IF($B776="","YETİM",IF(COUNTIF(tblKartlar[KartId],$B776)=0,"YETİM","")))</f>
        <v/>
      </c>
      <c r="N776" s="35">
        <f>IF(OR($A776="",$D776=""),"",IF(OR($D776&amp;"|"&amp;$E776="",COUNTIF(ListeIzinliGecis,$D776&amp;"|"&amp;$E776)&gt;0),"","GEÇERSİZ GEÇİŞ"))</f>
        <v/>
      </c>
      <c r="O776" s="35">
        <f>IF($A776="","",IF(OR($F776="",$G776=""),"",IF(ABS($G776-$F776)&gt;zincirTolerans,"ZİNCİR KIRIK","OK")))</f>
        <v/>
      </c>
      <c r="P776" s="35">
        <f>IF($A776="","",1)</f>
        <v/>
      </c>
    </row>
    <row r="777">
      <c r="A777" s="29" t="n"/>
      <c r="B777" s="29" t="n"/>
      <c r="C777" s="70" t="n"/>
      <c r="D777" s="29" t="n"/>
      <c r="E777" s="29" t="n"/>
      <c r="F777" s="30" t="n"/>
      <c r="G777" s="30" t="n"/>
      <c r="H777" s="31" t="n"/>
      <c r="I777" s="31" t="n"/>
      <c r="J777" s="29" t="n"/>
      <c r="K777" s="35">
        <f>IF($A777="","",IF($C777="","",raporTarihi-$C777))</f>
        <v/>
      </c>
      <c r="L777" s="35">
        <f>IF($A777="","",IF($K777="","",IF($K777&lt;=7,"0-7",IF($K777&lt;=30,"8-30",IF($K777&lt;=60,"31-60","60+")))))</f>
        <v/>
      </c>
      <c r="M777" s="35">
        <f>IF($A777="","",IF($B777="","YETİM",IF(COUNTIF(tblKartlar[KartId],$B777)=0,"YETİM","")))</f>
        <v/>
      </c>
      <c r="N777" s="35">
        <f>IF(OR($A777="",$D777=""),"",IF(OR($D777&amp;"|"&amp;$E777="",COUNTIF(ListeIzinliGecis,$D777&amp;"|"&amp;$E777)&gt;0),"","GEÇERSİZ GEÇİŞ"))</f>
        <v/>
      </c>
      <c r="O777" s="35">
        <f>IF($A777="","",IF(OR($F777="",$G777=""),"",IF(ABS($G777-$F777)&gt;zincirTolerans,"ZİNCİR KIRIK","OK")))</f>
        <v/>
      </c>
      <c r="P777" s="35">
        <f>IF($A777="","",1)</f>
        <v/>
      </c>
    </row>
    <row r="778">
      <c r="A778" s="29" t="n"/>
      <c r="B778" s="29" t="n"/>
      <c r="C778" s="70" t="n"/>
      <c r="D778" s="29" t="n"/>
      <c r="E778" s="29" t="n"/>
      <c r="F778" s="30" t="n"/>
      <c r="G778" s="30" t="n"/>
      <c r="H778" s="31" t="n"/>
      <c r="I778" s="31" t="n"/>
      <c r="J778" s="29" t="n"/>
      <c r="K778" s="35">
        <f>IF($A778="","",IF($C778="","",raporTarihi-$C778))</f>
        <v/>
      </c>
      <c r="L778" s="35">
        <f>IF($A778="","",IF($K778="","",IF($K778&lt;=7,"0-7",IF($K778&lt;=30,"8-30",IF($K778&lt;=60,"31-60","60+")))))</f>
        <v/>
      </c>
      <c r="M778" s="35">
        <f>IF($A778="","",IF($B778="","YETİM",IF(COUNTIF(tblKartlar[KartId],$B778)=0,"YETİM","")))</f>
        <v/>
      </c>
      <c r="N778" s="35">
        <f>IF(OR($A778="",$D778=""),"",IF(OR($D778&amp;"|"&amp;$E778="",COUNTIF(ListeIzinliGecis,$D778&amp;"|"&amp;$E778)&gt;0),"","GEÇERSİZ GEÇİŞ"))</f>
        <v/>
      </c>
      <c r="O778" s="35">
        <f>IF($A778="","",IF(OR($F778="",$G778=""),"",IF(ABS($G778-$F778)&gt;zincirTolerans,"ZİNCİR KIRIK","OK")))</f>
        <v/>
      </c>
      <c r="P778" s="35">
        <f>IF($A778="","",1)</f>
        <v/>
      </c>
    </row>
    <row r="779">
      <c r="A779" s="29" t="n"/>
      <c r="B779" s="29" t="n"/>
      <c r="C779" s="70" t="n"/>
      <c r="D779" s="29" t="n"/>
      <c r="E779" s="29" t="n"/>
      <c r="F779" s="30" t="n"/>
      <c r="G779" s="30" t="n"/>
      <c r="H779" s="31" t="n"/>
      <c r="I779" s="31" t="n"/>
      <c r="J779" s="29" t="n"/>
      <c r="K779" s="35">
        <f>IF($A779="","",IF($C779="","",raporTarihi-$C779))</f>
        <v/>
      </c>
      <c r="L779" s="35">
        <f>IF($A779="","",IF($K779="","",IF($K779&lt;=7,"0-7",IF($K779&lt;=30,"8-30",IF($K779&lt;=60,"31-60","60+")))))</f>
        <v/>
      </c>
      <c r="M779" s="35">
        <f>IF($A779="","",IF($B779="","YETİM",IF(COUNTIF(tblKartlar[KartId],$B779)=0,"YETİM","")))</f>
        <v/>
      </c>
      <c r="N779" s="35">
        <f>IF(OR($A779="",$D779=""),"",IF(OR($D779&amp;"|"&amp;$E779="",COUNTIF(ListeIzinliGecis,$D779&amp;"|"&amp;$E779)&gt;0),"","GEÇERSİZ GEÇİŞ"))</f>
        <v/>
      </c>
      <c r="O779" s="35">
        <f>IF($A779="","",IF(OR($F779="",$G779=""),"",IF(ABS($G779-$F779)&gt;zincirTolerans,"ZİNCİR KIRIK","OK")))</f>
        <v/>
      </c>
      <c r="P779" s="35">
        <f>IF($A779="","",1)</f>
        <v/>
      </c>
    </row>
    <row r="780">
      <c r="A780" s="29" t="n"/>
      <c r="B780" s="29" t="n"/>
      <c r="C780" s="70" t="n"/>
      <c r="D780" s="29" t="n"/>
      <c r="E780" s="29" t="n"/>
      <c r="F780" s="30" t="n"/>
      <c r="G780" s="30" t="n"/>
      <c r="H780" s="31" t="n"/>
      <c r="I780" s="31" t="n"/>
      <c r="J780" s="29" t="n"/>
      <c r="K780" s="35">
        <f>IF($A780="","",IF($C780="","",raporTarihi-$C780))</f>
        <v/>
      </c>
      <c r="L780" s="35">
        <f>IF($A780="","",IF($K780="","",IF($K780&lt;=7,"0-7",IF($K780&lt;=30,"8-30",IF($K780&lt;=60,"31-60","60+")))))</f>
        <v/>
      </c>
      <c r="M780" s="35">
        <f>IF($A780="","",IF($B780="","YETİM",IF(COUNTIF(tblKartlar[KartId],$B780)=0,"YETİM","")))</f>
        <v/>
      </c>
      <c r="N780" s="35">
        <f>IF(OR($A780="",$D780=""),"",IF(OR($D780&amp;"|"&amp;$E780="",COUNTIF(ListeIzinliGecis,$D780&amp;"|"&amp;$E780)&gt;0),"","GEÇERSİZ GEÇİŞ"))</f>
        <v/>
      </c>
      <c r="O780" s="35">
        <f>IF($A780="","",IF(OR($F780="",$G780=""),"",IF(ABS($G780-$F780)&gt;zincirTolerans,"ZİNCİR KIRIK","OK")))</f>
        <v/>
      </c>
      <c r="P780" s="35">
        <f>IF($A780="","",1)</f>
        <v/>
      </c>
    </row>
    <row r="781">
      <c r="A781" s="29" t="n"/>
      <c r="B781" s="29" t="n"/>
      <c r="C781" s="70" t="n"/>
      <c r="D781" s="29" t="n"/>
      <c r="E781" s="29" t="n"/>
      <c r="F781" s="30" t="n"/>
      <c r="G781" s="30" t="n"/>
      <c r="H781" s="31" t="n"/>
      <c r="I781" s="31" t="n"/>
      <c r="J781" s="29" t="n"/>
      <c r="K781" s="35">
        <f>IF($A781="","",IF($C781="","",raporTarihi-$C781))</f>
        <v/>
      </c>
      <c r="L781" s="35">
        <f>IF($A781="","",IF($K781="","",IF($K781&lt;=7,"0-7",IF($K781&lt;=30,"8-30",IF($K781&lt;=60,"31-60","60+")))))</f>
        <v/>
      </c>
      <c r="M781" s="35">
        <f>IF($A781="","",IF($B781="","YETİM",IF(COUNTIF(tblKartlar[KartId],$B781)=0,"YETİM","")))</f>
        <v/>
      </c>
      <c r="N781" s="35">
        <f>IF(OR($A781="",$D781=""),"",IF(OR($D781&amp;"|"&amp;$E781="",COUNTIF(ListeIzinliGecis,$D781&amp;"|"&amp;$E781)&gt;0),"","GEÇERSİZ GEÇİŞ"))</f>
        <v/>
      </c>
      <c r="O781" s="35">
        <f>IF($A781="","",IF(OR($F781="",$G781=""),"",IF(ABS($G781-$F781)&gt;zincirTolerans,"ZİNCİR KIRIK","OK")))</f>
        <v/>
      </c>
      <c r="P781" s="35">
        <f>IF($A781="","",1)</f>
        <v/>
      </c>
    </row>
    <row r="782">
      <c r="A782" s="29" t="n"/>
      <c r="B782" s="29" t="n"/>
      <c r="C782" s="70" t="n"/>
      <c r="D782" s="29" t="n"/>
      <c r="E782" s="29" t="n"/>
      <c r="F782" s="30" t="n"/>
      <c r="G782" s="30" t="n"/>
      <c r="H782" s="31" t="n"/>
      <c r="I782" s="31" t="n"/>
      <c r="J782" s="29" t="n"/>
      <c r="K782" s="35">
        <f>IF($A782="","",IF($C782="","",raporTarihi-$C782))</f>
        <v/>
      </c>
      <c r="L782" s="35">
        <f>IF($A782="","",IF($K782="","",IF($K782&lt;=7,"0-7",IF($K782&lt;=30,"8-30",IF($K782&lt;=60,"31-60","60+")))))</f>
        <v/>
      </c>
      <c r="M782" s="35">
        <f>IF($A782="","",IF($B782="","YETİM",IF(COUNTIF(tblKartlar[KartId],$B782)=0,"YETİM","")))</f>
        <v/>
      </c>
      <c r="N782" s="35">
        <f>IF(OR($A782="",$D782=""),"",IF(OR($D782&amp;"|"&amp;$E782="",COUNTIF(ListeIzinliGecis,$D782&amp;"|"&amp;$E782)&gt;0),"","GEÇERSİZ GEÇİŞ"))</f>
        <v/>
      </c>
      <c r="O782" s="35">
        <f>IF($A782="","",IF(OR($F782="",$G782=""),"",IF(ABS($G782-$F782)&gt;zincirTolerans,"ZİNCİR KIRIK","OK")))</f>
        <v/>
      </c>
      <c r="P782" s="35">
        <f>IF($A782="","",1)</f>
        <v/>
      </c>
    </row>
    <row r="783">
      <c r="A783" s="29" t="n"/>
      <c r="B783" s="29" t="n"/>
      <c r="C783" s="70" t="n"/>
      <c r="D783" s="29" t="n"/>
      <c r="E783" s="29" t="n"/>
      <c r="F783" s="30" t="n"/>
      <c r="G783" s="30" t="n"/>
      <c r="H783" s="31" t="n"/>
      <c r="I783" s="31" t="n"/>
      <c r="J783" s="29" t="n"/>
      <c r="K783" s="35">
        <f>IF($A783="","",IF($C783="","",raporTarihi-$C783))</f>
        <v/>
      </c>
      <c r="L783" s="35">
        <f>IF($A783="","",IF($K783="","",IF($K783&lt;=7,"0-7",IF($K783&lt;=30,"8-30",IF($K783&lt;=60,"31-60","60+")))))</f>
        <v/>
      </c>
      <c r="M783" s="35">
        <f>IF($A783="","",IF($B783="","YETİM",IF(COUNTIF(tblKartlar[KartId],$B783)=0,"YETİM","")))</f>
        <v/>
      </c>
      <c r="N783" s="35">
        <f>IF(OR($A783="",$D783=""),"",IF(OR($D783&amp;"|"&amp;$E783="",COUNTIF(ListeIzinliGecis,$D783&amp;"|"&amp;$E783)&gt;0),"","GEÇERSİZ GEÇİŞ"))</f>
        <v/>
      </c>
      <c r="O783" s="35">
        <f>IF($A783="","",IF(OR($F783="",$G783=""),"",IF(ABS($G783-$F783)&gt;zincirTolerans,"ZİNCİR KIRIK","OK")))</f>
        <v/>
      </c>
      <c r="P783" s="35">
        <f>IF($A783="","",1)</f>
        <v/>
      </c>
    </row>
    <row r="784">
      <c r="A784" s="29" t="n"/>
      <c r="B784" s="29" t="n"/>
      <c r="C784" s="70" t="n"/>
      <c r="D784" s="29" t="n"/>
      <c r="E784" s="29" t="n"/>
      <c r="F784" s="30" t="n"/>
      <c r="G784" s="30" t="n"/>
      <c r="H784" s="31" t="n"/>
      <c r="I784" s="31" t="n"/>
      <c r="J784" s="29" t="n"/>
      <c r="K784" s="35">
        <f>IF($A784="","",IF($C784="","",raporTarihi-$C784))</f>
        <v/>
      </c>
      <c r="L784" s="35">
        <f>IF($A784="","",IF($K784="","",IF($K784&lt;=7,"0-7",IF($K784&lt;=30,"8-30",IF($K784&lt;=60,"31-60","60+")))))</f>
        <v/>
      </c>
      <c r="M784" s="35">
        <f>IF($A784="","",IF($B784="","YETİM",IF(COUNTIF(tblKartlar[KartId],$B784)=0,"YETİM","")))</f>
        <v/>
      </c>
      <c r="N784" s="35">
        <f>IF(OR($A784="",$D784=""),"",IF(OR($D784&amp;"|"&amp;$E784="",COUNTIF(ListeIzinliGecis,$D784&amp;"|"&amp;$E784)&gt;0),"","GEÇERSİZ GEÇİŞ"))</f>
        <v/>
      </c>
      <c r="O784" s="35">
        <f>IF($A784="","",IF(OR($F784="",$G784=""),"",IF(ABS($G784-$F784)&gt;zincirTolerans,"ZİNCİR KIRIK","OK")))</f>
        <v/>
      </c>
      <c r="P784" s="35">
        <f>IF($A784="","",1)</f>
        <v/>
      </c>
    </row>
    <row r="785">
      <c r="A785" s="29" t="n"/>
      <c r="B785" s="29" t="n"/>
      <c r="C785" s="70" t="n"/>
      <c r="D785" s="29" t="n"/>
      <c r="E785" s="29" t="n"/>
      <c r="F785" s="30" t="n"/>
      <c r="G785" s="30" t="n"/>
      <c r="H785" s="31" t="n"/>
      <c r="I785" s="31" t="n"/>
      <c r="J785" s="29" t="n"/>
      <c r="K785" s="35">
        <f>IF($A785="","",IF($C785="","",raporTarihi-$C785))</f>
        <v/>
      </c>
      <c r="L785" s="35">
        <f>IF($A785="","",IF($K785="","",IF($K785&lt;=7,"0-7",IF($K785&lt;=30,"8-30",IF($K785&lt;=60,"31-60","60+")))))</f>
        <v/>
      </c>
      <c r="M785" s="35">
        <f>IF($A785="","",IF($B785="","YETİM",IF(COUNTIF(tblKartlar[KartId],$B785)=0,"YETİM","")))</f>
        <v/>
      </c>
      <c r="N785" s="35">
        <f>IF(OR($A785="",$D785=""),"",IF(OR($D785&amp;"|"&amp;$E785="",COUNTIF(ListeIzinliGecis,$D785&amp;"|"&amp;$E785)&gt;0),"","GEÇERSİZ GEÇİŞ"))</f>
        <v/>
      </c>
      <c r="O785" s="35">
        <f>IF($A785="","",IF(OR($F785="",$G785=""),"",IF(ABS($G785-$F785)&gt;zincirTolerans,"ZİNCİR KIRIK","OK")))</f>
        <v/>
      </c>
      <c r="P785" s="35">
        <f>IF($A785="","",1)</f>
        <v/>
      </c>
    </row>
    <row r="786">
      <c r="A786" s="29" t="n"/>
      <c r="B786" s="29" t="n"/>
      <c r="C786" s="70" t="n"/>
      <c r="D786" s="29" t="n"/>
      <c r="E786" s="29" t="n"/>
      <c r="F786" s="30" t="n"/>
      <c r="G786" s="30" t="n"/>
      <c r="H786" s="31" t="n"/>
      <c r="I786" s="31" t="n"/>
      <c r="J786" s="29" t="n"/>
      <c r="K786" s="35">
        <f>IF($A786="","",IF($C786="","",raporTarihi-$C786))</f>
        <v/>
      </c>
      <c r="L786" s="35">
        <f>IF($A786="","",IF($K786="","",IF($K786&lt;=7,"0-7",IF($K786&lt;=30,"8-30",IF($K786&lt;=60,"31-60","60+")))))</f>
        <v/>
      </c>
      <c r="M786" s="35">
        <f>IF($A786="","",IF($B786="","YETİM",IF(COUNTIF(tblKartlar[KartId],$B786)=0,"YETİM","")))</f>
        <v/>
      </c>
      <c r="N786" s="35">
        <f>IF(OR($A786="",$D786=""),"",IF(OR($D786&amp;"|"&amp;$E786="",COUNTIF(ListeIzinliGecis,$D786&amp;"|"&amp;$E786)&gt;0),"","GEÇERSİZ GEÇİŞ"))</f>
        <v/>
      </c>
      <c r="O786" s="35">
        <f>IF($A786="","",IF(OR($F786="",$G786=""),"",IF(ABS($G786-$F786)&gt;zincirTolerans,"ZİNCİR KIRIK","OK")))</f>
        <v/>
      </c>
      <c r="P786" s="35">
        <f>IF($A786="","",1)</f>
        <v/>
      </c>
    </row>
    <row r="787">
      <c r="A787" s="29" t="n"/>
      <c r="B787" s="29" t="n"/>
      <c r="C787" s="70" t="n"/>
      <c r="D787" s="29" t="n"/>
      <c r="E787" s="29" t="n"/>
      <c r="F787" s="30" t="n"/>
      <c r="G787" s="30" t="n"/>
      <c r="H787" s="31" t="n"/>
      <c r="I787" s="31" t="n"/>
      <c r="J787" s="29" t="n"/>
      <c r="K787" s="35">
        <f>IF($A787="","",IF($C787="","",raporTarihi-$C787))</f>
        <v/>
      </c>
      <c r="L787" s="35">
        <f>IF($A787="","",IF($K787="","",IF($K787&lt;=7,"0-7",IF($K787&lt;=30,"8-30",IF($K787&lt;=60,"31-60","60+")))))</f>
        <v/>
      </c>
      <c r="M787" s="35">
        <f>IF($A787="","",IF($B787="","YETİM",IF(COUNTIF(tblKartlar[KartId],$B787)=0,"YETİM","")))</f>
        <v/>
      </c>
      <c r="N787" s="35">
        <f>IF(OR($A787="",$D787=""),"",IF(OR($D787&amp;"|"&amp;$E787="",COUNTIF(ListeIzinliGecis,$D787&amp;"|"&amp;$E787)&gt;0),"","GEÇERSİZ GEÇİŞ"))</f>
        <v/>
      </c>
      <c r="O787" s="35">
        <f>IF($A787="","",IF(OR($F787="",$G787=""),"",IF(ABS($G787-$F787)&gt;zincirTolerans,"ZİNCİR KIRIK","OK")))</f>
        <v/>
      </c>
      <c r="P787" s="35">
        <f>IF($A787="","",1)</f>
        <v/>
      </c>
    </row>
    <row r="788">
      <c r="A788" s="29" t="n"/>
      <c r="B788" s="29" t="n"/>
      <c r="C788" s="70" t="n"/>
      <c r="D788" s="29" t="n"/>
      <c r="E788" s="29" t="n"/>
      <c r="F788" s="30" t="n"/>
      <c r="G788" s="30" t="n"/>
      <c r="H788" s="31" t="n"/>
      <c r="I788" s="31" t="n"/>
      <c r="J788" s="29" t="n"/>
      <c r="K788" s="35">
        <f>IF($A788="","",IF($C788="","",raporTarihi-$C788))</f>
        <v/>
      </c>
      <c r="L788" s="35">
        <f>IF($A788="","",IF($K788="","",IF($K788&lt;=7,"0-7",IF($K788&lt;=30,"8-30",IF($K788&lt;=60,"31-60","60+")))))</f>
        <v/>
      </c>
      <c r="M788" s="35">
        <f>IF($A788="","",IF($B788="","YETİM",IF(COUNTIF(tblKartlar[KartId],$B788)=0,"YETİM","")))</f>
        <v/>
      </c>
      <c r="N788" s="35">
        <f>IF(OR($A788="",$D788=""),"",IF(OR($D788&amp;"|"&amp;$E788="",COUNTIF(ListeIzinliGecis,$D788&amp;"|"&amp;$E788)&gt;0),"","GEÇERSİZ GEÇİŞ"))</f>
        <v/>
      </c>
      <c r="O788" s="35">
        <f>IF($A788="","",IF(OR($F788="",$G788=""),"",IF(ABS($G788-$F788)&gt;zincirTolerans,"ZİNCİR KIRIK","OK")))</f>
        <v/>
      </c>
      <c r="P788" s="35">
        <f>IF($A788="","",1)</f>
        <v/>
      </c>
    </row>
    <row r="789">
      <c r="A789" s="29" t="n"/>
      <c r="B789" s="29" t="n"/>
      <c r="C789" s="70" t="n"/>
      <c r="D789" s="29" t="n"/>
      <c r="E789" s="29" t="n"/>
      <c r="F789" s="30" t="n"/>
      <c r="G789" s="30" t="n"/>
      <c r="H789" s="31" t="n"/>
      <c r="I789" s="31" t="n"/>
      <c r="J789" s="29" t="n"/>
      <c r="K789" s="35">
        <f>IF($A789="","",IF($C789="","",raporTarihi-$C789))</f>
        <v/>
      </c>
      <c r="L789" s="35">
        <f>IF($A789="","",IF($K789="","",IF($K789&lt;=7,"0-7",IF($K789&lt;=30,"8-30",IF($K789&lt;=60,"31-60","60+")))))</f>
        <v/>
      </c>
      <c r="M789" s="35">
        <f>IF($A789="","",IF($B789="","YETİM",IF(COUNTIF(tblKartlar[KartId],$B789)=0,"YETİM","")))</f>
        <v/>
      </c>
      <c r="N789" s="35">
        <f>IF(OR($A789="",$D789=""),"",IF(OR($D789&amp;"|"&amp;$E789="",COUNTIF(ListeIzinliGecis,$D789&amp;"|"&amp;$E789)&gt;0),"","GEÇERSİZ GEÇİŞ"))</f>
        <v/>
      </c>
      <c r="O789" s="35">
        <f>IF($A789="","",IF(OR($F789="",$G789=""),"",IF(ABS($G789-$F789)&gt;zincirTolerans,"ZİNCİR KIRIK","OK")))</f>
        <v/>
      </c>
      <c r="P789" s="35">
        <f>IF($A789="","",1)</f>
        <v/>
      </c>
    </row>
    <row r="790">
      <c r="A790" s="29" t="n"/>
      <c r="B790" s="29" t="n"/>
      <c r="C790" s="70" t="n"/>
      <c r="D790" s="29" t="n"/>
      <c r="E790" s="29" t="n"/>
      <c r="F790" s="30" t="n"/>
      <c r="G790" s="30" t="n"/>
      <c r="H790" s="31" t="n"/>
      <c r="I790" s="31" t="n"/>
      <c r="J790" s="29" t="n"/>
      <c r="K790" s="35">
        <f>IF($A790="","",IF($C790="","",raporTarihi-$C790))</f>
        <v/>
      </c>
      <c r="L790" s="35">
        <f>IF($A790="","",IF($K790="","",IF($K790&lt;=7,"0-7",IF($K790&lt;=30,"8-30",IF($K790&lt;=60,"31-60","60+")))))</f>
        <v/>
      </c>
      <c r="M790" s="35">
        <f>IF($A790="","",IF($B790="","YETİM",IF(COUNTIF(tblKartlar[KartId],$B790)=0,"YETİM","")))</f>
        <v/>
      </c>
      <c r="N790" s="35">
        <f>IF(OR($A790="",$D790=""),"",IF(OR($D790&amp;"|"&amp;$E790="",COUNTIF(ListeIzinliGecis,$D790&amp;"|"&amp;$E790)&gt;0),"","GEÇERSİZ GEÇİŞ"))</f>
        <v/>
      </c>
      <c r="O790" s="35">
        <f>IF($A790="","",IF(OR($F790="",$G790=""),"",IF(ABS($G790-$F790)&gt;zincirTolerans,"ZİNCİR KIRIK","OK")))</f>
        <v/>
      </c>
      <c r="P790" s="35">
        <f>IF($A790="","",1)</f>
        <v/>
      </c>
    </row>
    <row r="791">
      <c r="A791" s="29" t="n"/>
      <c r="B791" s="29" t="n"/>
      <c r="C791" s="70" t="n"/>
      <c r="D791" s="29" t="n"/>
      <c r="E791" s="29" t="n"/>
      <c r="F791" s="30" t="n"/>
      <c r="G791" s="30" t="n"/>
      <c r="H791" s="31" t="n"/>
      <c r="I791" s="31" t="n"/>
      <c r="J791" s="29" t="n"/>
      <c r="K791" s="35">
        <f>IF($A791="","",IF($C791="","",raporTarihi-$C791))</f>
        <v/>
      </c>
      <c r="L791" s="35">
        <f>IF($A791="","",IF($K791="","",IF($K791&lt;=7,"0-7",IF($K791&lt;=30,"8-30",IF($K791&lt;=60,"31-60","60+")))))</f>
        <v/>
      </c>
      <c r="M791" s="35">
        <f>IF($A791="","",IF($B791="","YETİM",IF(COUNTIF(tblKartlar[KartId],$B791)=0,"YETİM","")))</f>
        <v/>
      </c>
      <c r="N791" s="35">
        <f>IF(OR($A791="",$D791=""),"",IF(OR($D791&amp;"|"&amp;$E791="",COUNTIF(ListeIzinliGecis,$D791&amp;"|"&amp;$E791)&gt;0),"","GEÇERSİZ GEÇİŞ"))</f>
        <v/>
      </c>
      <c r="O791" s="35">
        <f>IF($A791="","",IF(OR($F791="",$G791=""),"",IF(ABS($G791-$F791)&gt;zincirTolerans,"ZİNCİR KIRIK","OK")))</f>
        <v/>
      </c>
      <c r="P791" s="35">
        <f>IF($A791="","",1)</f>
        <v/>
      </c>
    </row>
    <row r="792">
      <c r="A792" s="29" t="n"/>
      <c r="B792" s="29" t="n"/>
      <c r="C792" s="70" t="n"/>
      <c r="D792" s="29" t="n"/>
      <c r="E792" s="29" t="n"/>
      <c r="F792" s="30" t="n"/>
      <c r="G792" s="30" t="n"/>
      <c r="H792" s="31" t="n"/>
      <c r="I792" s="31" t="n"/>
      <c r="J792" s="29" t="n"/>
      <c r="K792" s="35">
        <f>IF($A792="","",IF($C792="","",raporTarihi-$C792))</f>
        <v/>
      </c>
      <c r="L792" s="35">
        <f>IF($A792="","",IF($K792="","",IF($K792&lt;=7,"0-7",IF($K792&lt;=30,"8-30",IF($K792&lt;=60,"31-60","60+")))))</f>
        <v/>
      </c>
      <c r="M792" s="35">
        <f>IF($A792="","",IF($B792="","YETİM",IF(COUNTIF(tblKartlar[KartId],$B792)=0,"YETİM","")))</f>
        <v/>
      </c>
      <c r="N792" s="35">
        <f>IF(OR($A792="",$D792=""),"",IF(OR($D792&amp;"|"&amp;$E792="",COUNTIF(ListeIzinliGecis,$D792&amp;"|"&amp;$E792)&gt;0),"","GEÇERSİZ GEÇİŞ"))</f>
        <v/>
      </c>
      <c r="O792" s="35">
        <f>IF($A792="","",IF(OR($F792="",$G792=""),"",IF(ABS($G792-$F792)&gt;zincirTolerans,"ZİNCİR KIRIK","OK")))</f>
        <v/>
      </c>
      <c r="P792" s="35">
        <f>IF($A792="","",1)</f>
        <v/>
      </c>
    </row>
    <row r="793">
      <c r="A793" s="29" t="n"/>
      <c r="B793" s="29" t="n"/>
      <c r="C793" s="70" t="n"/>
      <c r="D793" s="29" t="n"/>
      <c r="E793" s="29" t="n"/>
      <c r="F793" s="30" t="n"/>
      <c r="G793" s="30" t="n"/>
      <c r="H793" s="31" t="n"/>
      <c r="I793" s="31" t="n"/>
      <c r="J793" s="29" t="n"/>
      <c r="K793" s="35">
        <f>IF($A793="","",IF($C793="","",raporTarihi-$C793))</f>
        <v/>
      </c>
      <c r="L793" s="35">
        <f>IF($A793="","",IF($K793="","",IF($K793&lt;=7,"0-7",IF($K793&lt;=30,"8-30",IF($K793&lt;=60,"31-60","60+")))))</f>
        <v/>
      </c>
      <c r="M793" s="35">
        <f>IF($A793="","",IF($B793="","YETİM",IF(COUNTIF(tblKartlar[KartId],$B793)=0,"YETİM","")))</f>
        <v/>
      </c>
      <c r="N793" s="35">
        <f>IF(OR($A793="",$D793=""),"",IF(OR($D793&amp;"|"&amp;$E793="",COUNTIF(ListeIzinliGecis,$D793&amp;"|"&amp;$E793)&gt;0),"","GEÇERSİZ GEÇİŞ"))</f>
        <v/>
      </c>
      <c r="O793" s="35">
        <f>IF($A793="","",IF(OR($F793="",$G793=""),"",IF(ABS($G793-$F793)&gt;zincirTolerans,"ZİNCİR KIRIK","OK")))</f>
        <v/>
      </c>
      <c r="P793" s="35">
        <f>IF($A793="","",1)</f>
        <v/>
      </c>
    </row>
    <row r="794">
      <c r="A794" s="29" t="n"/>
      <c r="B794" s="29" t="n"/>
      <c r="C794" s="70" t="n"/>
      <c r="D794" s="29" t="n"/>
      <c r="E794" s="29" t="n"/>
      <c r="F794" s="30" t="n"/>
      <c r="G794" s="30" t="n"/>
      <c r="H794" s="31" t="n"/>
      <c r="I794" s="31" t="n"/>
      <c r="J794" s="29" t="n"/>
      <c r="K794" s="35">
        <f>IF($A794="","",IF($C794="","",raporTarihi-$C794))</f>
        <v/>
      </c>
      <c r="L794" s="35">
        <f>IF($A794="","",IF($K794="","",IF($K794&lt;=7,"0-7",IF($K794&lt;=30,"8-30",IF($K794&lt;=60,"31-60","60+")))))</f>
        <v/>
      </c>
      <c r="M794" s="35">
        <f>IF($A794="","",IF($B794="","YETİM",IF(COUNTIF(tblKartlar[KartId],$B794)=0,"YETİM","")))</f>
        <v/>
      </c>
      <c r="N794" s="35">
        <f>IF(OR($A794="",$D794=""),"",IF(OR($D794&amp;"|"&amp;$E794="",COUNTIF(ListeIzinliGecis,$D794&amp;"|"&amp;$E794)&gt;0),"","GEÇERSİZ GEÇİŞ"))</f>
        <v/>
      </c>
      <c r="O794" s="35">
        <f>IF($A794="","",IF(OR($F794="",$G794=""),"",IF(ABS($G794-$F794)&gt;zincirTolerans,"ZİNCİR KIRIK","OK")))</f>
        <v/>
      </c>
      <c r="P794" s="35">
        <f>IF($A794="","",1)</f>
        <v/>
      </c>
    </row>
    <row r="795">
      <c r="A795" s="29" t="n"/>
      <c r="B795" s="29" t="n"/>
      <c r="C795" s="70" t="n"/>
      <c r="D795" s="29" t="n"/>
      <c r="E795" s="29" t="n"/>
      <c r="F795" s="30" t="n"/>
      <c r="G795" s="30" t="n"/>
      <c r="H795" s="31" t="n"/>
      <c r="I795" s="31" t="n"/>
      <c r="J795" s="29" t="n"/>
      <c r="K795" s="35">
        <f>IF($A795="","",IF($C795="","",raporTarihi-$C795))</f>
        <v/>
      </c>
      <c r="L795" s="35">
        <f>IF($A795="","",IF($K795="","",IF($K795&lt;=7,"0-7",IF($K795&lt;=30,"8-30",IF($K795&lt;=60,"31-60","60+")))))</f>
        <v/>
      </c>
      <c r="M795" s="35">
        <f>IF($A795="","",IF($B795="","YETİM",IF(COUNTIF(tblKartlar[KartId],$B795)=0,"YETİM","")))</f>
        <v/>
      </c>
      <c r="N795" s="35">
        <f>IF(OR($A795="",$D795=""),"",IF(OR($D795&amp;"|"&amp;$E795="",COUNTIF(ListeIzinliGecis,$D795&amp;"|"&amp;$E795)&gt;0),"","GEÇERSİZ GEÇİŞ"))</f>
        <v/>
      </c>
      <c r="O795" s="35">
        <f>IF($A795="","",IF(OR($F795="",$G795=""),"",IF(ABS($G795-$F795)&gt;zincirTolerans,"ZİNCİR KIRIK","OK")))</f>
        <v/>
      </c>
      <c r="P795" s="35">
        <f>IF($A795="","",1)</f>
        <v/>
      </c>
    </row>
    <row r="796">
      <c r="A796" s="29" t="n"/>
      <c r="B796" s="29" t="n"/>
      <c r="C796" s="70" t="n"/>
      <c r="D796" s="29" t="n"/>
      <c r="E796" s="29" t="n"/>
      <c r="F796" s="30" t="n"/>
      <c r="G796" s="30" t="n"/>
      <c r="H796" s="31" t="n"/>
      <c r="I796" s="31" t="n"/>
      <c r="J796" s="29" t="n"/>
      <c r="K796" s="35">
        <f>IF($A796="","",IF($C796="","",raporTarihi-$C796))</f>
        <v/>
      </c>
      <c r="L796" s="35">
        <f>IF($A796="","",IF($K796="","",IF($K796&lt;=7,"0-7",IF($K796&lt;=30,"8-30",IF($K796&lt;=60,"31-60","60+")))))</f>
        <v/>
      </c>
      <c r="M796" s="35">
        <f>IF($A796="","",IF($B796="","YETİM",IF(COUNTIF(tblKartlar[KartId],$B796)=0,"YETİM","")))</f>
        <v/>
      </c>
      <c r="N796" s="35">
        <f>IF(OR($A796="",$D796=""),"",IF(OR($D796&amp;"|"&amp;$E796="",COUNTIF(ListeIzinliGecis,$D796&amp;"|"&amp;$E796)&gt;0),"","GEÇERSİZ GEÇİŞ"))</f>
        <v/>
      </c>
      <c r="O796" s="35">
        <f>IF($A796="","",IF(OR($F796="",$G796=""),"",IF(ABS($G796-$F796)&gt;zincirTolerans,"ZİNCİR KIRIK","OK")))</f>
        <v/>
      </c>
      <c r="P796" s="35">
        <f>IF($A796="","",1)</f>
        <v/>
      </c>
    </row>
    <row r="797">
      <c r="A797" s="29" t="n"/>
      <c r="B797" s="29" t="n"/>
      <c r="C797" s="70" t="n"/>
      <c r="D797" s="29" t="n"/>
      <c r="E797" s="29" t="n"/>
      <c r="F797" s="30" t="n"/>
      <c r="G797" s="30" t="n"/>
      <c r="H797" s="31" t="n"/>
      <c r="I797" s="31" t="n"/>
      <c r="J797" s="29" t="n"/>
      <c r="K797" s="35">
        <f>IF($A797="","",IF($C797="","",raporTarihi-$C797))</f>
        <v/>
      </c>
      <c r="L797" s="35">
        <f>IF($A797="","",IF($K797="","",IF($K797&lt;=7,"0-7",IF($K797&lt;=30,"8-30",IF($K797&lt;=60,"31-60","60+")))))</f>
        <v/>
      </c>
      <c r="M797" s="35">
        <f>IF($A797="","",IF($B797="","YETİM",IF(COUNTIF(tblKartlar[KartId],$B797)=0,"YETİM","")))</f>
        <v/>
      </c>
      <c r="N797" s="35">
        <f>IF(OR($A797="",$D797=""),"",IF(OR($D797&amp;"|"&amp;$E797="",COUNTIF(ListeIzinliGecis,$D797&amp;"|"&amp;$E797)&gt;0),"","GEÇERSİZ GEÇİŞ"))</f>
        <v/>
      </c>
      <c r="O797" s="35">
        <f>IF($A797="","",IF(OR($F797="",$G797=""),"",IF(ABS($G797-$F797)&gt;zincirTolerans,"ZİNCİR KIRIK","OK")))</f>
        <v/>
      </c>
      <c r="P797" s="35">
        <f>IF($A797="","",1)</f>
        <v/>
      </c>
    </row>
    <row r="798">
      <c r="A798" s="29" t="n"/>
      <c r="B798" s="29" t="n"/>
      <c r="C798" s="70" t="n"/>
      <c r="D798" s="29" t="n"/>
      <c r="E798" s="29" t="n"/>
      <c r="F798" s="30" t="n"/>
      <c r="G798" s="30" t="n"/>
      <c r="H798" s="31" t="n"/>
      <c r="I798" s="31" t="n"/>
      <c r="J798" s="29" t="n"/>
      <c r="K798" s="35">
        <f>IF($A798="","",IF($C798="","",raporTarihi-$C798))</f>
        <v/>
      </c>
      <c r="L798" s="35">
        <f>IF($A798="","",IF($K798="","",IF($K798&lt;=7,"0-7",IF($K798&lt;=30,"8-30",IF($K798&lt;=60,"31-60","60+")))))</f>
        <v/>
      </c>
      <c r="M798" s="35">
        <f>IF($A798="","",IF($B798="","YETİM",IF(COUNTIF(tblKartlar[KartId],$B798)=0,"YETİM","")))</f>
        <v/>
      </c>
      <c r="N798" s="35">
        <f>IF(OR($A798="",$D798=""),"",IF(OR($D798&amp;"|"&amp;$E798="",COUNTIF(ListeIzinliGecis,$D798&amp;"|"&amp;$E798)&gt;0),"","GEÇERSİZ GEÇİŞ"))</f>
        <v/>
      </c>
      <c r="O798" s="35">
        <f>IF($A798="","",IF(OR($F798="",$G798=""),"",IF(ABS($G798-$F798)&gt;zincirTolerans,"ZİNCİR KIRIK","OK")))</f>
        <v/>
      </c>
      <c r="P798" s="35">
        <f>IF($A798="","",1)</f>
        <v/>
      </c>
    </row>
    <row r="799">
      <c r="A799" s="29" t="n"/>
      <c r="B799" s="29" t="n"/>
      <c r="C799" s="70" t="n"/>
      <c r="D799" s="29" t="n"/>
      <c r="E799" s="29" t="n"/>
      <c r="F799" s="30" t="n"/>
      <c r="G799" s="30" t="n"/>
      <c r="H799" s="31" t="n"/>
      <c r="I799" s="31" t="n"/>
      <c r="J799" s="29" t="n"/>
      <c r="K799" s="35">
        <f>IF($A799="","",IF($C799="","",raporTarihi-$C799))</f>
        <v/>
      </c>
      <c r="L799" s="35">
        <f>IF($A799="","",IF($K799="","",IF($K799&lt;=7,"0-7",IF($K799&lt;=30,"8-30",IF($K799&lt;=60,"31-60","60+")))))</f>
        <v/>
      </c>
      <c r="M799" s="35">
        <f>IF($A799="","",IF($B799="","YETİM",IF(COUNTIF(tblKartlar[KartId],$B799)=0,"YETİM","")))</f>
        <v/>
      </c>
      <c r="N799" s="35">
        <f>IF(OR($A799="",$D799=""),"",IF(OR($D799&amp;"|"&amp;$E799="",COUNTIF(ListeIzinliGecis,$D799&amp;"|"&amp;$E799)&gt;0),"","GEÇERSİZ GEÇİŞ"))</f>
        <v/>
      </c>
      <c r="O799" s="35">
        <f>IF($A799="","",IF(OR($F799="",$G799=""),"",IF(ABS($G799-$F799)&gt;zincirTolerans,"ZİNCİR KIRIK","OK")))</f>
        <v/>
      </c>
      <c r="P799" s="35">
        <f>IF($A799="","",1)</f>
        <v/>
      </c>
    </row>
    <row r="800">
      <c r="A800" s="29" t="n"/>
      <c r="B800" s="29" t="n"/>
      <c r="C800" s="70" t="n"/>
      <c r="D800" s="29" t="n"/>
      <c r="E800" s="29" t="n"/>
      <c r="F800" s="30" t="n"/>
      <c r="G800" s="30" t="n"/>
      <c r="H800" s="31" t="n"/>
      <c r="I800" s="31" t="n"/>
      <c r="J800" s="29" t="n"/>
      <c r="K800" s="35">
        <f>IF($A800="","",IF($C800="","",raporTarihi-$C800))</f>
        <v/>
      </c>
      <c r="L800" s="35">
        <f>IF($A800="","",IF($K800="","",IF($K800&lt;=7,"0-7",IF($K800&lt;=30,"8-30",IF($K800&lt;=60,"31-60","60+")))))</f>
        <v/>
      </c>
      <c r="M800" s="35">
        <f>IF($A800="","",IF($B800="","YETİM",IF(COUNTIF(tblKartlar[KartId],$B800)=0,"YETİM","")))</f>
        <v/>
      </c>
      <c r="N800" s="35">
        <f>IF(OR($A800="",$D800=""),"",IF(OR($D800&amp;"|"&amp;$E800="",COUNTIF(ListeIzinliGecis,$D800&amp;"|"&amp;$E800)&gt;0),"","GEÇERSİZ GEÇİŞ"))</f>
        <v/>
      </c>
      <c r="O800" s="35">
        <f>IF($A800="","",IF(OR($F800="",$G800=""),"",IF(ABS($G800-$F800)&gt;zincirTolerans,"ZİNCİR KIRIK","OK")))</f>
        <v/>
      </c>
      <c r="P800" s="35">
        <f>IF($A800="","",1)</f>
        <v/>
      </c>
    </row>
    <row r="801">
      <c r="A801" s="29" t="n"/>
      <c r="B801" s="29" t="n"/>
      <c r="C801" s="70" t="n"/>
      <c r="D801" s="29" t="n"/>
      <c r="E801" s="29" t="n"/>
      <c r="F801" s="30" t="n"/>
      <c r="G801" s="30" t="n"/>
      <c r="H801" s="31" t="n"/>
      <c r="I801" s="31" t="n"/>
      <c r="J801" s="29" t="n"/>
      <c r="K801" s="35">
        <f>IF($A801="","",IF($C801="","",raporTarihi-$C801))</f>
        <v/>
      </c>
      <c r="L801" s="35">
        <f>IF($A801="","",IF($K801="","",IF($K801&lt;=7,"0-7",IF($K801&lt;=30,"8-30",IF($K801&lt;=60,"31-60","60+")))))</f>
        <v/>
      </c>
      <c r="M801" s="35">
        <f>IF($A801="","",IF($B801="","YETİM",IF(COUNTIF(tblKartlar[KartId],$B801)=0,"YETİM","")))</f>
        <v/>
      </c>
      <c r="N801" s="35">
        <f>IF(OR($A801="",$D801=""),"",IF(OR($D801&amp;"|"&amp;$E801="",COUNTIF(ListeIzinliGecis,$D801&amp;"|"&amp;$E801)&gt;0),"","GEÇERSİZ GEÇİŞ"))</f>
        <v/>
      </c>
      <c r="O801" s="35">
        <f>IF($A801="","",IF(OR($F801="",$G801=""),"",IF(ABS($G801-$F801)&gt;zincirTolerans,"ZİNCİR KIRIK","OK")))</f>
        <v/>
      </c>
      <c r="P801" s="35">
        <f>IF($A801="","",1)</f>
        <v/>
      </c>
    </row>
    <row r="802">
      <c r="A802" s="29" t="n"/>
      <c r="B802" s="29" t="n"/>
      <c r="C802" s="70" t="n"/>
      <c r="D802" s="29" t="n"/>
      <c r="E802" s="29" t="n"/>
      <c r="F802" s="30" t="n"/>
      <c r="G802" s="30" t="n"/>
      <c r="H802" s="31" t="n"/>
      <c r="I802" s="31" t="n"/>
      <c r="J802" s="29" t="n"/>
      <c r="K802" s="35">
        <f>IF($A802="","",IF($C802="","",raporTarihi-$C802))</f>
        <v/>
      </c>
      <c r="L802" s="35">
        <f>IF($A802="","",IF($K802="","",IF($K802&lt;=7,"0-7",IF($K802&lt;=30,"8-30",IF($K802&lt;=60,"31-60","60+")))))</f>
        <v/>
      </c>
      <c r="M802" s="35">
        <f>IF($A802="","",IF($B802="","YETİM",IF(COUNTIF(tblKartlar[KartId],$B802)=0,"YETİM","")))</f>
        <v/>
      </c>
      <c r="N802" s="35">
        <f>IF(OR($A802="",$D802=""),"",IF(OR($D802&amp;"|"&amp;$E802="",COUNTIF(ListeIzinliGecis,$D802&amp;"|"&amp;$E802)&gt;0),"","GEÇERSİZ GEÇİŞ"))</f>
        <v/>
      </c>
      <c r="O802" s="35">
        <f>IF($A802="","",IF(OR($F802="",$G802=""),"",IF(ABS($G802-$F802)&gt;zincirTolerans,"ZİNCİR KIRIK","OK")))</f>
        <v/>
      </c>
      <c r="P802" s="35">
        <f>IF($A802="","",1)</f>
        <v/>
      </c>
    </row>
    <row r="803">
      <c r="A803" s="29" t="n"/>
      <c r="B803" s="29" t="n"/>
      <c r="C803" s="70" t="n"/>
      <c r="D803" s="29" t="n"/>
      <c r="E803" s="29" t="n"/>
      <c r="F803" s="30" t="n"/>
      <c r="G803" s="30" t="n"/>
      <c r="H803" s="31" t="n"/>
      <c r="I803" s="31" t="n"/>
      <c r="J803" s="29" t="n"/>
      <c r="K803" s="35">
        <f>IF($A803="","",IF($C803="","",raporTarihi-$C803))</f>
        <v/>
      </c>
      <c r="L803" s="35">
        <f>IF($A803="","",IF($K803="","",IF($K803&lt;=7,"0-7",IF($K803&lt;=30,"8-30",IF($K803&lt;=60,"31-60","60+")))))</f>
        <v/>
      </c>
      <c r="M803" s="35">
        <f>IF($A803="","",IF($B803="","YETİM",IF(COUNTIF(tblKartlar[KartId],$B803)=0,"YETİM","")))</f>
        <v/>
      </c>
      <c r="N803" s="35">
        <f>IF(OR($A803="",$D803=""),"",IF(OR($D803&amp;"|"&amp;$E803="",COUNTIF(ListeIzinliGecis,$D803&amp;"|"&amp;$E803)&gt;0),"","GEÇERSİZ GEÇİŞ"))</f>
        <v/>
      </c>
      <c r="O803" s="35">
        <f>IF($A803="","",IF(OR($F803="",$G803=""),"",IF(ABS($G803-$F803)&gt;zincirTolerans,"ZİNCİR KIRIK","OK")))</f>
        <v/>
      </c>
      <c r="P803" s="35">
        <f>IF($A803="","",1)</f>
        <v/>
      </c>
    </row>
    <row r="804">
      <c r="A804" s="29" t="n"/>
      <c r="B804" s="29" t="n"/>
      <c r="C804" s="70" t="n"/>
      <c r="D804" s="29" t="n"/>
      <c r="E804" s="29" t="n"/>
      <c r="F804" s="30" t="n"/>
      <c r="G804" s="30" t="n"/>
      <c r="H804" s="31" t="n"/>
      <c r="I804" s="31" t="n"/>
      <c r="J804" s="29" t="n"/>
      <c r="K804" s="35">
        <f>IF($A804="","",IF($C804="","",raporTarihi-$C804))</f>
        <v/>
      </c>
      <c r="L804" s="35">
        <f>IF($A804="","",IF($K804="","",IF($K804&lt;=7,"0-7",IF($K804&lt;=30,"8-30",IF($K804&lt;=60,"31-60","60+")))))</f>
        <v/>
      </c>
      <c r="M804" s="35">
        <f>IF($A804="","",IF($B804="","YETİM",IF(COUNTIF(tblKartlar[KartId],$B804)=0,"YETİM","")))</f>
        <v/>
      </c>
      <c r="N804" s="35">
        <f>IF(OR($A804="",$D804=""),"",IF(OR($D804&amp;"|"&amp;$E804="",COUNTIF(ListeIzinliGecis,$D804&amp;"|"&amp;$E804)&gt;0),"","GEÇERSİZ GEÇİŞ"))</f>
        <v/>
      </c>
      <c r="O804" s="35">
        <f>IF($A804="","",IF(OR($F804="",$G804=""),"",IF(ABS($G804-$F804)&gt;zincirTolerans,"ZİNCİR KIRIK","OK")))</f>
        <v/>
      </c>
      <c r="P804" s="35">
        <f>IF($A804="","",1)</f>
        <v/>
      </c>
    </row>
    <row r="805">
      <c r="A805" s="29" t="n"/>
      <c r="B805" s="29" t="n"/>
      <c r="C805" s="70" t="n"/>
      <c r="D805" s="29" t="n"/>
      <c r="E805" s="29" t="n"/>
      <c r="F805" s="30" t="n"/>
      <c r="G805" s="30" t="n"/>
      <c r="H805" s="31" t="n"/>
      <c r="I805" s="31" t="n"/>
      <c r="J805" s="29" t="n"/>
      <c r="K805" s="35">
        <f>IF($A805="","",IF($C805="","",raporTarihi-$C805))</f>
        <v/>
      </c>
      <c r="L805" s="35">
        <f>IF($A805="","",IF($K805="","",IF($K805&lt;=7,"0-7",IF($K805&lt;=30,"8-30",IF($K805&lt;=60,"31-60","60+")))))</f>
        <v/>
      </c>
      <c r="M805" s="35">
        <f>IF($A805="","",IF($B805="","YETİM",IF(COUNTIF(tblKartlar[KartId],$B805)=0,"YETİM","")))</f>
        <v/>
      </c>
      <c r="N805" s="35">
        <f>IF(OR($A805="",$D805=""),"",IF(OR($D805&amp;"|"&amp;$E805="",COUNTIF(ListeIzinliGecis,$D805&amp;"|"&amp;$E805)&gt;0),"","GEÇERSİZ GEÇİŞ"))</f>
        <v/>
      </c>
      <c r="O805" s="35">
        <f>IF($A805="","",IF(OR($F805="",$G805=""),"",IF(ABS($G805-$F805)&gt;zincirTolerans,"ZİNCİR KIRIK","OK")))</f>
        <v/>
      </c>
      <c r="P805" s="35">
        <f>IF($A805="","",1)</f>
        <v/>
      </c>
    </row>
    <row r="806">
      <c r="A806" s="29" t="n"/>
      <c r="B806" s="29" t="n"/>
      <c r="C806" s="70" t="n"/>
      <c r="D806" s="29" t="n"/>
      <c r="E806" s="29" t="n"/>
      <c r="F806" s="30" t="n"/>
      <c r="G806" s="30" t="n"/>
      <c r="H806" s="31" t="n"/>
      <c r="I806" s="31" t="n"/>
      <c r="J806" s="29" t="n"/>
      <c r="K806" s="35">
        <f>IF($A806="","",IF($C806="","",raporTarihi-$C806))</f>
        <v/>
      </c>
      <c r="L806" s="35">
        <f>IF($A806="","",IF($K806="","",IF($K806&lt;=7,"0-7",IF($K806&lt;=30,"8-30",IF($K806&lt;=60,"31-60","60+")))))</f>
        <v/>
      </c>
      <c r="M806" s="35">
        <f>IF($A806="","",IF($B806="","YETİM",IF(COUNTIF(tblKartlar[KartId],$B806)=0,"YETİM","")))</f>
        <v/>
      </c>
      <c r="N806" s="35">
        <f>IF(OR($A806="",$D806=""),"",IF(OR($D806&amp;"|"&amp;$E806="",COUNTIF(ListeIzinliGecis,$D806&amp;"|"&amp;$E806)&gt;0),"","GEÇERSİZ GEÇİŞ"))</f>
        <v/>
      </c>
      <c r="O806" s="35">
        <f>IF($A806="","",IF(OR($F806="",$G806=""),"",IF(ABS($G806-$F806)&gt;zincirTolerans,"ZİNCİR KIRIK","OK")))</f>
        <v/>
      </c>
      <c r="P806" s="35">
        <f>IF($A806="","",1)</f>
        <v/>
      </c>
    </row>
    <row r="807">
      <c r="A807" s="29" t="n"/>
      <c r="B807" s="29" t="n"/>
      <c r="C807" s="70" t="n"/>
      <c r="D807" s="29" t="n"/>
      <c r="E807" s="29" t="n"/>
      <c r="F807" s="30" t="n"/>
      <c r="G807" s="30" t="n"/>
      <c r="H807" s="31" t="n"/>
      <c r="I807" s="31" t="n"/>
      <c r="J807" s="29" t="n"/>
      <c r="K807" s="35">
        <f>IF($A807="","",IF($C807="","",raporTarihi-$C807))</f>
        <v/>
      </c>
      <c r="L807" s="35">
        <f>IF($A807="","",IF($K807="","",IF($K807&lt;=7,"0-7",IF($K807&lt;=30,"8-30",IF($K807&lt;=60,"31-60","60+")))))</f>
        <v/>
      </c>
      <c r="M807" s="35">
        <f>IF($A807="","",IF($B807="","YETİM",IF(COUNTIF(tblKartlar[KartId],$B807)=0,"YETİM","")))</f>
        <v/>
      </c>
      <c r="N807" s="35">
        <f>IF(OR($A807="",$D807=""),"",IF(OR($D807&amp;"|"&amp;$E807="",COUNTIF(ListeIzinliGecis,$D807&amp;"|"&amp;$E807)&gt;0),"","GEÇERSİZ GEÇİŞ"))</f>
        <v/>
      </c>
      <c r="O807" s="35">
        <f>IF($A807="","",IF(OR($F807="",$G807=""),"",IF(ABS($G807-$F807)&gt;zincirTolerans,"ZİNCİR KIRIK","OK")))</f>
        <v/>
      </c>
      <c r="P807" s="35">
        <f>IF($A807="","",1)</f>
        <v/>
      </c>
    </row>
    <row r="808">
      <c r="A808" s="29" t="n"/>
      <c r="B808" s="29" t="n"/>
      <c r="C808" s="70" t="n"/>
      <c r="D808" s="29" t="n"/>
      <c r="E808" s="29" t="n"/>
      <c r="F808" s="30" t="n"/>
      <c r="G808" s="30" t="n"/>
      <c r="H808" s="31" t="n"/>
      <c r="I808" s="31" t="n"/>
      <c r="J808" s="29" t="n"/>
      <c r="K808" s="35">
        <f>IF($A808="","",IF($C808="","",raporTarihi-$C808))</f>
        <v/>
      </c>
      <c r="L808" s="35">
        <f>IF($A808="","",IF($K808="","",IF($K808&lt;=7,"0-7",IF($K808&lt;=30,"8-30",IF($K808&lt;=60,"31-60","60+")))))</f>
        <v/>
      </c>
      <c r="M808" s="35">
        <f>IF($A808="","",IF($B808="","YETİM",IF(COUNTIF(tblKartlar[KartId],$B808)=0,"YETİM","")))</f>
        <v/>
      </c>
      <c r="N808" s="35">
        <f>IF(OR($A808="",$D808=""),"",IF(OR($D808&amp;"|"&amp;$E808="",COUNTIF(ListeIzinliGecis,$D808&amp;"|"&amp;$E808)&gt;0),"","GEÇERSİZ GEÇİŞ"))</f>
        <v/>
      </c>
      <c r="O808" s="35">
        <f>IF($A808="","",IF(OR($F808="",$G808=""),"",IF(ABS($G808-$F808)&gt;zincirTolerans,"ZİNCİR KIRIK","OK")))</f>
        <v/>
      </c>
      <c r="P808" s="35">
        <f>IF($A808="","",1)</f>
        <v/>
      </c>
    </row>
    <row r="809">
      <c r="A809" s="29" t="n"/>
      <c r="B809" s="29" t="n"/>
      <c r="C809" s="70" t="n"/>
      <c r="D809" s="29" t="n"/>
      <c r="E809" s="29" t="n"/>
      <c r="F809" s="30" t="n"/>
      <c r="G809" s="30" t="n"/>
      <c r="H809" s="31" t="n"/>
      <c r="I809" s="31" t="n"/>
      <c r="J809" s="29" t="n"/>
      <c r="K809" s="35">
        <f>IF($A809="","",IF($C809="","",raporTarihi-$C809))</f>
        <v/>
      </c>
      <c r="L809" s="35">
        <f>IF($A809="","",IF($K809="","",IF($K809&lt;=7,"0-7",IF($K809&lt;=30,"8-30",IF($K809&lt;=60,"31-60","60+")))))</f>
        <v/>
      </c>
      <c r="M809" s="35">
        <f>IF($A809="","",IF($B809="","YETİM",IF(COUNTIF(tblKartlar[KartId],$B809)=0,"YETİM","")))</f>
        <v/>
      </c>
      <c r="N809" s="35">
        <f>IF(OR($A809="",$D809=""),"",IF(OR($D809&amp;"|"&amp;$E809="",COUNTIF(ListeIzinliGecis,$D809&amp;"|"&amp;$E809)&gt;0),"","GEÇERSİZ GEÇİŞ"))</f>
        <v/>
      </c>
      <c r="O809" s="35">
        <f>IF($A809="","",IF(OR($F809="",$G809=""),"",IF(ABS($G809-$F809)&gt;zincirTolerans,"ZİNCİR KIRIK","OK")))</f>
        <v/>
      </c>
      <c r="P809" s="35">
        <f>IF($A809="","",1)</f>
        <v/>
      </c>
    </row>
    <row r="810">
      <c r="A810" s="29" t="n"/>
      <c r="B810" s="29" t="n"/>
      <c r="C810" s="70" t="n"/>
      <c r="D810" s="29" t="n"/>
      <c r="E810" s="29" t="n"/>
      <c r="F810" s="30" t="n"/>
      <c r="G810" s="30" t="n"/>
      <c r="H810" s="31" t="n"/>
      <c r="I810" s="31" t="n"/>
      <c r="J810" s="29" t="n"/>
      <c r="K810" s="35">
        <f>IF($A810="","",IF($C810="","",raporTarihi-$C810))</f>
        <v/>
      </c>
      <c r="L810" s="35">
        <f>IF($A810="","",IF($K810="","",IF($K810&lt;=7,"0-7",IF($K810&lt;=30,"8-30",IF($K810&lt;=60,"31-60","60+")))))</f>
        <v/>
      </c>
      <c r="M810" s="35">
        <f>IF($A810="","",IF($B810="","YETİM",IF(COUNTIF(tblKartlar[KartId],$B810)=0,"YETİM","")))</f>
        <v/>
      </c>
      <c r="N810" s="35">
        <f>IF(OR($A810="",$D810=""),"",IF(OR($D810&amp;"|"&amp;$E810="",COUNTIF(ListeIzinliGecis,$D810&amp;"|"&amp;$E810)&gt;0),"","GEÇERSİZ GEÇİŞ"))</f>
        <v/>
      </c>
      <c r="O810" s="35">
        <f>IF($A810="","",IF(OR($F810="",$G810=""),"",IF(ABS($G810-$F810)&gt;zincirTolerans,"ZİNCİR KIRIK","OK")))</f>
        <v/>
      </c>
      <c r="P810" s="35">
        <f>IF($A810="","",1)</f>
        <v/>
      </c>
    </row>
    <row r="811">
      <c r="A811" s="29" t="n"/>
      <c r="B811" s="29" t="n"/>
      <c r="C811" s="70" t="n"/>
      <c r="D811" s="29" t="n"/>
      <c r="E811" s="29" t="n"/>
      <c r="F811" s="30" t="n"/>
      <c r="G811" s="30" t="n"/>
      <c r="H811" s="31" t="n"/>
      <c r="I811" s="31" t="n"/>
      <c r="J811" s="29" t="n"/>
      <c r="K811" s="35">
        <f>IF($A811="","",IF($C811="","",raporTarihi-$C811))</f>
        <v/>
      </c>
      <c r="L811" s="35">
        <f>IF($A811="","",IF($K811="","",IF($K811&lt;=7,"0-7",IF($K811&lt;=30,"8-30",IF($K811&lt;=60,"31-60","60+")))))</f>
        <v/>
      </c>
      <c r="M811" s="35">
        <f>IF($A811="","",IF($B811="","YETİM",IF(COUNTIF(tblKartlar[KartId],$B811)=0,"YETİM","")))</f>
        <v/>
      </c>
      <c r="N811" s="35">
        <f>IF(OR($A811="",$D811=""),"",IF(OR($D811&amp;"|"&amp;$E811="",COUNTIF(ListeIzinliGecis,$D811&amp;"|"&amp;$E811)&gt;0),"","GEÇERSİZ GEÇİŞ"))</f>
        <v/>
      </c>
      <c r="O811" s="35">
        <f>IF($A811="","",IF(OR($F811="",$G811=""),"",IF(ABS($G811-$F811)&gt;zincirTolerans,"ZİNCİR KIRIK","OK")))</f>
        <v/>
      </c>
      <c r="P811" s="35">
        <f>IF($A811="","",1)</f>
        <v/>
      </c>
    </row>
    <row r="812">
      <c r="A812" s="29" t="n"/>
      <c r="B812" s="29" t="n"/>
      <c r="C812" s="70" t="n"/>
      <c r="D812" s="29" t="n"/>
      <c r="E812" s="29" t="n"/>
      <c r="F812" s="30" t="n"/>
      <c r="G812" s="30" t="n"/>
      <c r="H812" s="31" t="n"/>
      <c r="I812" s="31" t="n"/>
      <c r="J812" s="29" t="n"/>
      <c r="K812" s="35">
        <f>IF($A812="","",IF($C812="","",raporTarihi-$C812))</f>
        <v/>
      </c>
      <c r="L812" s="35">
        <f>IF($A812="","",IF($K812="","",IF($K812&lt;=7,"0-7",IF($K812&lt;=30,"8-30",IF($K812&lt;=60,"31-60","60+")))))</f>
        <v/>
      </c>
      <c r="M812" s="35">
        <f>IF($A812="","",IF($B812="","YETİM",IF(COUNTIF(tblKartlar[KartId],$B812)=0,"YETİM","")))</f>
        <v/>
      </c>
      <c r="N812" s="35">
        <f>IF(OR($A812="",$D812=""),"",IF(OR($D812&amp;"|"&amp;$E812="",COUNTIF(ListeIzinliGecis,$D812&amp;"|"&amp;$E812)&gt;0),"","GEÇERSİZ GEÇİŞ"))</f>
        <v/>
      </c>
      <c r="O812" s="35">
        <f>IF($A812="","",IF(OR($F812="",$G812=""),"",IF(ABS($G812-$F812)&gt;zincirTolerans,"ZİNCİR KIRIK","OK")))</f>
        <v/>
      </c>
      <c r="P812" s="35">
        <f>IF($A812="","",1)</f>
        <v/>
      </c>
    </row>
    <row r="813">
      <c r="A813" s="29" t="n"/>
      <c r="B813" s="29" t="n"/>
      <c r="C813" s="70" t="n"/>
      <c r="D813" s="29" t="n"/>
      <c r="E813" s="29" t="n"/>
      <c r="F813" s="30" t="n"/>
      <c r="G813" s="30" t="n"/>
      <c r="H813" s="31" t="n"/>
      <c r="I813" s="31" t="n"/>
      <c r="J813" s="29" t="n"/>
      <c r="K813" s="35">
        <f>IF($A813="","",IF($C813="","",raporTarihi-$C813))</f>
        <v/>
      </c>
      <c r="L813" s="35">
        <f>IF($A813="","",IF($K813="","",IF($K813&lt;=7,"0-7",IF($K813&lt;=30,"8-30",IF($K813&lt;=60,"31-60","60+")))))</f>
        <v/>
      </c>
      <c r="M813" s="35">
        <f>IF($A813="","",IF($B813="","YETİM",IF(COUNTIF(tblKartlar[KartId],$B813)=0,"YETİM","")))</f>
        <v/>
      </c>
      <c r="N813" s="35">
        <f>IF(OR($A813="",$D813=""),"",IF(OR($D813&amp;"|"&amp;$E813="",COUNTIF(ListeIzinliGecis,$D813&amp;"|"&amp;$E813)&gt;0),"","GEÇERSİZ GEÇİŞ"))</f>
        <v/>
      </c>
      <c r="O813" s="35">
        <f>IF($A813="","",IF(OR($F813="",$G813=""),"",IF(ABS($G813-$F813)&gt;zincirTolerans,"ZİNCİR KIRIK","OK")))</f>
        <v/>
      </c>
      <c r="P813" s="35">
        <f>IF($A813="","",1)</f>
        <v/>
      </c>
    </row>
    <row r="814">
      <c r="A814" s="29" t="n"/>
      <c r="B814" s="29" t="n"/>
      <c r="C814" s="70" t="n"/>
      <c r="D814" s="29" t="n"/>
      <c r="E814" s="29" t="n"/>
      <c r="F814" s="30" t="n"/>
      <c r="G814" s="30" t="n"/>
      <c r="H814" s="31" t="n"/>
      <c r="I814" s="31" t="n"/>
      <c r="J814" s="29" t="n"/>
      <c r="K814" s="35">
        <f>IF($A814="","",IF($C814="","",raporTarihi-$C814))</f>
        <v/>
      </c>
      <c r="L814" s="35">
        <f>IF($A814="","",IF($K814="","",IF($K814&lt;=7,"0-7",IF($K814&lt;=30,"8-30",IF($K814&lt;=60,"31-60","60+")))))</f>
        <v/>
      </c>
      <c r="M814" s="35">
        <f>IF($A814="","",IF($B814="","YETİM",IF(COUNTIF(tblKartlar[KartId],$B814)=0,"YETİM","")))</f>
        <v/>
      </c>
      <c r="N814" s="35">
        <f>IF(OR($A814="",$D814=""),"",IF(OR($D814&amp;"|"&amp;$E814="",COUNTIF(ListeIzinliGecis,$D814&amp;"|"&amp;$E814)&gt;0),"","GEÇERSİZ GEÇİŞ"))</f>
        <v/>
      </c>
      <c r="O814" s="35">
        <f>IF($A814="","",IF(OR($F814="",$G814=""),"",IF(ABS($G814-$F814)&gt;zincirTolerans,"ZİNCİR KIRIK","OK")))</f>
        <v/>
      </c>
      <c r="P814" s="35">
        <f>IF($A814="","",1)</f>
        <v/>
      </c>
    </row>
    <row r="815">
      <c r="A815" s="29" t="n"/>
      <c r="B815" s="29" t="n"/>
      <c r="C815" s="70" t="n"/>
      <c r="D815" s="29" t="n"/>
      <c r="E815" s="29" t="n"/>
      <c r="F815" s="30" t="n"/>
      <c r="G815" s="30" t="n"/>
      <c r="H815" s="31" t="n"/>
      <c r="I815" s="31" t="n"/>
      <c r="J815" s="29" t="n"/>
      <c r="K815" s="35">
        <f>IF($A815="","",IF($C815="","",raporTarihi-$C815))</f>
        <v/>
      </c>
      <c r="L815" s="35">
        <f>IF($A815="","",IF($K815="","",IF($K815&lt;=7,"0-7",IF($K815&lt;=30,"8-30",IF($K815&lt;=60,"31-60","60+")))))</f>
        <v/>
      </c>
      <c r="M815" s="35">
        <f>IF($A815="","",IF($B815="","YETİM",IF(COUNTIF(tblKartlar[KartId],$B815)=0,"YETİM","")))</f>
        <v/>
      </c>
      <c r="N815" s="35">
        <f>IF(OR($A815="",$D815=""),"",IF(OR($D815&amp;"|"&amp;$E815="",COUNTIF(ListeIzinliGecis,$D815&amp;"|"&amp;$E815)&gt;0),"","GEÇERSİZ GEÇİŞ"))</f>
        <v/>
      </c>
      <c r="O815" s="35">
        <f>IF($A815="","",IF(OR($F815="",$G815=""),"",IF(ABS($G815-$F815)&gt;zincirTolerans,"ZİNCİR KIRIK","OK")))</f>
        <v/>
      </c>
      <c r="P815" s="35">
        <f>IF($A815="","",1)</f>
        <v/>
      </c>
    </row>
    <row r="816">
      <c r="A816" s="29" t="n"/>
      <c r="B816" s="29" t="n"/>
      <c r="C816" s="70" t="n"/>
      <c r="D816" s="29" t="n"/>
      <c r="E816" s="29" t="n"/>
      <c r="F816" s="30" t="n"/>
      <c r="G816" s="30" t="n"/>
      <c r="H816" s="31" t="n"/>
      <c r="I816" s="31" t="n"/>
      <c r="J816" s="29" t="n"/>
      <c r="K816" s="35">
        <f>IF($A816="","",IF($C816="","",raporTarihi-$C816))</f>
        <v/>
      </c>
      <c r="L816" s="35">
        <f>IF($A816="","",IF($K816="","",IF($K816&lt;=7,"0-7",IF($K816&lt;=30,"8-30",IF($K816&lt;=60,"31-60","60+")))))</f>
        <v/>
      </c>
      <c r="M816" s="35">
        <f>IF($A816="","",IF($B816="","YETİM",IF(COUNTIF(tblKartlar[KartId],$B816)=0,"YETİM","")))</f>
        <v/>
      </c>
      <c r="N816" s="35">
        <f>IF(OR($A816="",$D816=""),"",IF(OR($D816&amp;"|"&amp;$E816="",COUNTIF(ListeIzinliGecis,$D816&amp;"|"&amp;$E816)&gt;0),"","GEÇERSİZ GEÇİŞ"))</f>
        <v/>
      </c>
      <c r="O816" s="35">
        <f>IF($A816="","",IF(OR($F816="",$G816=""),"",IF(ABS($G816-$F816)&gt;zincirTolerans,"ZİNCİR KIRIK","OK")))</f>
        <v/>
      </c>
      <c r="P816" s="35">
        <f>IF($A816="","",1)</f>
        <v/>
      </c>
    </row>
    <row r="817">
      <c r="A817" s="29" t="n"/>
      <c r="B817" s="29" t="n"/>
      <c r="C817" s="70" t="n"/>
      <c r="D817" s="29" t="n"/>
      <c r="E817" s="29" t="n"/>
      <c r="F817" s="30" t="n"/>
      <c r="G817" s="30" t="n"/>
      <c r="H817" s="31" t="n"/>
      <c r="I817" s="31" t="n"/>
      <c r="J817" s="29" t="n"/>
      <c r="K817" s="35">
        <f>IF($A817="","",IF($C817="","",raporTarihi-$C817))</f>
        <v/>
      </c>
      <c r="L817" s="35">
        <f>IF($A817="","",IF($K817="","",IF($K817&lt;=7,"0-7",IF($K817&lt;=30,"8-30",IF($K817&lt;=60,"31-60","60+")))))</f>
        <v/>
      </c>
      <c r="M817" s="35">
        <f>IF($A817="","",IF($B817="","YETİM",IF(COUNTIF(tblKartlar[KartId],$B817)=0,"YETİM","")))</f>
        <v/>
      </c>
      <c r="N817" s="35">
        <f>IF(OR($A817="",$D817=""),"",IF(OR($D817&amp;"|"&amp;$E817="",COUNTIF(ListeIzinliGecis,$D817&amp;"|"&amp;$E817)&gt;0),"","GEÇERSİZ GEÇİŞ"))</f>
        <v/>
      </c>
      <c r="O817" s="35">
        <f>IF($A817="","",IF(OR($F817="",$G817=""),"",IF(ABS($G817-$F817)&gt;zincirTolerans,"ZİNCİR KIRIK","OK")))</f>
        <v/>
      </c>
      <c r="P817" s="35">
        <f>IF($A817="","",1)</f>
        <v/>
      </c>
    </row>
    <row r="818">
      <c r="A818" s="29" t="n"/>
      <c r="B818" s="29" t="n"/>
      <c r="C818" s="70" t="n"/>
      <c r="D818" s="29" t="n"/>
      <c r="E818" s="29" t="n"/>
      <c r="F818" s="30" t="n"/>
      <c r="G818" s="30" t="n"/>
      <c r="H818" s="31" t="n"/>
      <c r="I818" s="31" t="n"/>
      <c r="J818" s="29" t="n"/>
      <c r="K818" s="35">
        <f>IF($A818="","",IF($C818="","",raporTarihi-$C818))</f>
        <v/>
      </c>
      <c r="L818" s="35">
        <f>IF($A818="","",IF($K818="","",IF($K818&lt;=7,"0-7",IF($K818&lt;=30,"8-30",IF($K818&lt;=60,"31-60","60+")))))</f>
        <v/>
      </c>
      <c r="M818" s="35">
        <f>IF($A818="","",IF($B818="","YETİM",IF(COUNTIF(tblKartlar[KartId],$B818)=0,"YETİM","")))</f>
        <v/>
      </c>
      <c r="N818" s="35">
        <f>IF(OR($A818="",$D818=""),"",IF(OR($D818&amp;"|"&amp;$E818="",COUNTIF(ListeIzinliGecis,$D818&amp;"|"&amp;$E818)&gt;0),"","GEÇERSİZ GEÇİŞ"))</f>
        <v/>
      </c>
      <c r="O818" s="35">
        <f>IF($A818="","",IF(OR($F818="",$G818=""),"",IF(ABS($G818-$F818)&gt;zincirTolerans,"ZİNCİR KIRIK","OK")))</f>
        <v/>
      </c>
      <c r="P818" s="35">
        <f>IF($A818="","",1)</f>
        <v/>
      </c>
    </row>
    <row r="819">
      <c r="A819" s="29" t="n"/>
      <c r="B819" s="29" t="n"/>
      <c r="C819" s="70" t="n"/>
      <c r="D819" s="29" t="n"/>
      <c r="E819" s="29" t="n"/>
      <c r="F819" s="30" t="n"/>
      <c r="G819" s="30" t="n"/>
      <c r="H819" s="31" t="n"/>
      <c r="I819" s="31" t="n"/>
      <c r="J819" s="29" t="n"/>
      <c r="K819" s="35">
        <f>IF($A819="","",IF($C819="","",raporTarihi-$C819))</f>
        <v/>
      </c>
      <c r="L819" s="35">
        <f>IF($A819="","",IF($K819="","",IF($K819&lt;=7,"0-7",IF($K819&lt;=30,"8-30",IF($K819&lt;=60,"31-60","60+")))))</f>
        <v/>
      </c>
      <c r="M819" s="35">
        <f>IF($A819="","",IF($B819="","YETİM",IF(COUNTIF(tblKartlar[KartId],$B819)=0,"YETİM","")))</f>
        <v/>
      </c>
      <c r="N819" s="35">
        <f>IF(OR($A819="",$D819=""),"",IF(OR($D819&amp;"|"&amp;$E819="",COUNTIF(ListeIzinliGecis,$D819&amp;"|"&amp;$E819)&gt;0),"","GEÇERSİZ GEÇİŞ"))</f>
        <v/>
      </c>
      <c r="O819" s="35">
        <f>IF($A819="","",IF(OR($F819="",$G819=""),"",IF(ABS($G819-$F819)&gt;zincirTolerans,"ZİNCİR KIRIK","OK")))</f>
        <v/>
      </c>
      <c r="P819" s="35">
        <f>IF($A819="","",1)</f>
        <v/>
      </c>
    </row>
    <row r="820">
      <c r="A820" s="29" t="n"/>
      <c r="B820" s="29" t="n"/>
      <c r="C820" s="70" t="n"/>
      <c r="D820" s="29" t="n"/>
      <c r="E820" s="29" t="n"/>
      <c r="F820" s="30" t="n"/>
      <c r="G820" s="30" t="n"/>
      <c r="H820" s="31" t="n"/>
      <c r="I820" s="31" t="n"/>
      <c r="J820" s="29" t="n"/>
      <c r="K820" s="35">
        <f>IF($A820="","",IF($C820="","",raporTarihi-$C820))</f>
        <v/>
      </c>
      <c r="L820" s="35">
        <f>IF($A820="","",IF($K820="","",IF($K820&lt;=7,"0-7",IF($K820&lt;=30,"8-30",IF($K820&lt;=60,"31-60","60+")))))</f>
        <v/>
      </c>
      <c r="M820" s="35">
        <f>IF($A820="","",IF($B820="","YETİM",IF(COUNTIF(tblKartlar[KartId],$B820)=0,"YETİM","")))</f>
        <v/>
      </c>
      <c r="N820" s="35">
        <f>IF(OR($A820="",$D820=""),"",IF(OR($D820&amp;"|"&amp;$E820="",COUNTIF(ListeIzinliGecis,$D820&amp;"|"&amp;$E820)&gt;0),"","GEÇERSİZ GEÇİŞ"))</f>
        <v/>
      </c>
      <c r="O820" s="35">
        <f>IF($A820="","",IF(OR($F820="",$G820=""),"",IF(ABS($G820-$F820)&gt;zincirTolerans,"ZİNCİR KIRIK","OK")))</f>
        <v/>
      </c>
      <c r="P820" s="35">
        <f>IF($A820="","",1)</f>
        <v/>
      </c>
    </row>
    <row r="821">
      <c r="A821" s="29" t="n"/>
      <c r="B821" s="29" t="n"/>
      <c r="C821" s="70" t="n"/>
      <c r="D821" s="29" t="n"/>
      <c r="E821" s="29" t="n"/>
      <c r="F821" s="30" t="n"/>
      <c r="G821" s="30" t="n"/>
      <c r="H821" s="31" t="n"/>
      <c r="I821" s="31" t="n"/>
      <c r="J821" s="29" t="n"/>
      <c r="K821" s="35">
        <f>IF($A821="","",IF($C821="","",raporTarihi-$C821))</f>
        <v/>
      </c>
      <c r="L821" s="35">
        <f>IF($A821="","",IF($K821="","",IF($K821&lt;=7,"0-7",IF($K821&lt;=30,"8-30",IF($K821&lt;=60,"31-60","60+")))))</f>
        <v/>
      </c>
      <c r="M821" s="35">
        <f>IF($A821="","",IF($B821="","YETİM",IF(COUNTIF(tblKartlar[KartId],$B821)=0,"YETİM","")))</f>
        <v/>
      </c>
      <c r="N821" s="35">
        <f>IF(OR($A821="",$D821=""),"",IF(OR($D821&amp;"|"&amp;$E821="",COUNTIF(ListeIzinliGecis,$D821&amp;"|"&amp;$E821)&gt;0),"","GEÇERSİZ GEÇİŞ"))</f>
        <v/>
      </c>
      <c r="O821" s="35">
        <f>IF($A821="","",IF(OR($F821="",$G821=""),"",IF(ABS($G821-$F821)&gt;zincirTolerans,"ZİNCİR KIRIK","OK")))</f>
        <v/>
      </c>
      <c r="P821" s="35">
        <f>IF($A821="","",1)</f>
        <v/>
      </c>
    </row>
    <row r="822">
      <c r="A822" s="29" t="n"/>
      <c r="B822" s="29" t="n"/>
      <c r="C822" s="70" t="n"/>
      <c r="D822" s="29" t="n"/>
      <c r="E822" s="29" t="n"/>
      <c r="F822" s="30" t="n"/>
      <c r="G822" s="30" t="n"/>
      <c r="H822" s="31" t="n"/>
      <c r="I822" s="31" t="n"/>
      <c r="J822" s="29" t="n"/>
      <c r="K822" s="35">
        <f>IF($A822="","",IF($C822="","",raporTarihi-$C822))</f>
        <v/>
      </c>
      <c r="L822" s="35">
        <f>IF($A822="","",IF($K822="","",IF($K822&lt;=7,"0-7",IF($K822&lt;=30,"8-30",IF($K822&lt;=60,"31-60","60+")))))</f>
        <v/>
      </c>
      <c r="M822" s="35">
        <f>IF($A822="","",IF($B822="","YETİM",IF(COUNTIF(tblKartlar[KartId],$B822)=0,"YETİM","")))</f>
        <v/>
      </c>
      <c r="N822" s="35">
        <f>IF(OR($A822="",$D822=""),"",IF(OR($D822&amp;"|"&amp;$E822="",COUNTIF(ListeIzinliGecis,$D822&amp;"|"&amp;$E822)&gt;0),"","GEÇERSİZ GEÇİŞ"))</f>
        <v/>
      </c>
      <c r="O822" s="35">
        <f>IF($A822="","",IF(OR($F822="",$G822=""),"",IF(ABS($G822-$F822)&gt;zincirTolerans,"ZİNCİR KIRIK","OK")))</f>
        <v/>
      </c>
      <c r="P822" s="35">
        <f>IF($A822="","",1)</f>
        <v/>
      </c>
    </row>
    <row r="823">
      <c r="A823" s="29" t="n"/>
      <c r="B823" s="29" t="n"/>
      <c r="C823" s="70" t="n"/>
      <c r="D823" s="29" t="n"/>
      <c r="E823" s="29" t="n"/>
      <c r="F823" s="30" t="n"/>
      <c r="G823" s="30" t="n"/>
      <c r="H823" s="31" t="n"/>
      <c r="I823" s="31" t="n"/>
      <c r="J823" s="29" t="n"/>
      <c r="K823" s="35">
        <f>IF($A823="","",IF($C823="","",raporTarihi-$C823))</f>
        <v/>
      </c>
      <c r="L823" s="35">
        <f>IF($A823="","",IF($K823="","",IF($K823&lt;=7,"0-7",IF($K823&lt;=30,"8-30",IF($K823&lt;=60,"31-60","60+")))))</f>
        <v/>
      </c>
      <c r="M823" s="35">
        <f>IF($A823="","",IF($B823="","YETİM",IF(COUNTIF(tblKartlar[KartId],$B823)=0,"YETİM","")))</f>
        <v/>
      </c>
      <c r="N823" s="35">
        <f>IF(OR($A823="",$D823=""),"",IF(OR($D823&amp;"|"&amp;$E823="",COUNTIF(ListeIzinliGecis,$D823&amp;"|"&amp;$E823)&gt;0),"","GEÇERSİZ GEÇİŞ"))</f>
        <v/>
      </c>
      <c r="O823" s="35">
        <f>IF($A823="","",IF(OR($F823="",$G823=""),"",IF(ABS($G823-$F823)&gt;zincirTolerans,"ZİNCİR KIRIK","OK")))</f>
        <v/>
      </c>
      <c r="P823" s="35">
        <f>IF($A823="","",1)</f>
        <v/>
      </c>
    </row>
    <row r="824">
      <c r="A824" s="29" t="n"/>
      <c r="B824" s="29" t="n"/>
      <c r="C824" s="70" t="n"/>
      <c r="D824" s="29" t="n"/>
      <c r="E824" s="29" t="n"/>
      <c r="F824" s="30" t="n"/>
      <c r="G824" s="30" t="n"/>
      <c r="H824" s="31" t="n"/>
      <c r="I824" s="31" t="n"/>
      <c r="J824" s="29" t="n"/>
      <c r="K824" s="35">
        <f>IF($A824="","",IF($C824="","",raporTarihi-$C824))</f>
        <v/>
      </c>
      <c r="L824" s="35">
        <f>IF($A824="","",IF($K824="","",IF($K824&lt;=7,"0-7",IF($K824&lt;=30,"8-30",IF($K824&lt;=60,"31-60","60+")))))</f>
        <v/>
      </c>
      <c r="M824" s="35">
        <f>IF($A824="","",IF($B824="","YETİM",IF(COUNTIF(tblKartlar[KartId],$B824)=0,"YETİM","")))</f>
        <v/>
      </c>
      <c r="N824" s="35">
        <f>IF(OR($A824="",$D824=""),"",IF(OR($D824&amp;"|"&amp;$E824="",COUNTIF(ListeIzinliGecis,$D824&amp;"|"&amp;$E824)&gt;0),"","GEÇERSİZ GEÇİŞ"))</f>
        <v/>
      </c>
      <c r="O824" s="35">
        <f>IF($A824="","",IF(OR($F824="",$G824=""),"",IF(ABS($G824-$F824)&gt;zincirTolerans,"ZİNCİR KIRIK","OK")))</f>
        <v/>
      </c>
      <c r="P824" s="35">
        <f>IF($A824="","",1)</f>
        <v/>
      </c>
    </row>
    <row r="825">
      <c r="A825" s="29" t="n"/>
      <c r="B825" s="29" t="n"/>
      <c r="C825" s="70" t="n"/>
      <c r="D825" s="29" t="n"/>
      <c r="E825" s="29" t="n"/>
      <c r="F825" s="30" t="n"/>
      <c r="G825" s="30" t="n"/>
      <c r="H825" s="31" t="n"/>
      <c r="I825" s="31" t="n"/>
      <c r="J825" s="29" t="n"/>
      <c r="K825" s="35">
        <f>IF($A825="","",IF($C825="","",raporTarihi-$C825))</f>
        <v/>
      </c>
      <c r="L825" s="35">
        <f>IF($A825="","",IF($K825="","",IF($K825&lt;=7,"0-7",IF($K825&lt;=30,"8-30",IF($K825&lt;=60,"31-60","60+")))))</f>
        <v/>
      </c>
      <c r="M825" s="35">
        <f>IF($A825="","",IF($B825="","YETİM",IF(COUNTIF(tblKartlar[KartId],$B825)=0,"YETİM","")))</f>
        <v/>
      </c>
      <c r="N825" s="35">
        <f>IF(OR($A825="",$D825=""),"",IF(OR($D825&amp;"|"&amp;$E825="",COUNTIF(ListeIzinliGecis,$D825&amp;"|"&amp;$E825)&gt;0),"","GEÇERSİZ GEÇİŞ"))</f>
        <v/>
      </c>
      <c r="O825" s="35">
        <f>IF($A825="","",IF(OR($F825="",$G825=""),"",IF(ABS($G825-$F825)&gt;zincirTolerans,"ZİNCİR KIRIK","OK")))</f>
        <v/>
      </c>
      <c r="P825" s="35">
        <f>IF($A825="","",1)</f>
        <v/>
      </c>
    </row>
    <row r="826">
      <c r="A826" s="29" t="n"/>
      <c r="B826" s="29" t="n"/>
      <c r="C826" s="70" t="n"/>
      <c r="D826" s="29" t="n"/>
      <c r="E826" s="29" t="n"/>
      <c r="F826" s="30" t="n"/>
      <c r="G826" s="30" t="n"/>
      <c r="H826" s="31" t="n"/>
      <c r="I826" s="31" t="n"/>
      <c r="J826" s="29" t="n"/>
      <c r="K826" s="35">
        <f>IF($A826="","",IF($C826="","",raporTarihi-$C826))</f>
        <v/>
      </c>
      <c r="L826" s="35">
        <f>IF($A826="","",IF($K826="","",IF($K826&lt;=7,"0-7",IF($K826&lt;=30,"8-30",IF($K826&lt;=60,"31-60","60+")))))</f>
        <v/>
      </c>
      <c r="M826" s="35">
        <f>IF($A826="","",IF($B826="","YETİM",IF(COUNTIF(tblKartlar[KartId],$B826)=0,"YETİM","")))</f>
        <v/>
      </c>
      <c r="N826" s="35">
        <f>IF(OR($A826="",$D826=""),"",IF(OR($D826&amp;"|"&amp;$E826="",COUNTIF(ListeIzinliGecis,$D826&amp;"|"&amp;$E826)&gt;0),"","GEÇERSİZ GEÇİŞ"))</f>
        <v/>
      </c>
      <c r="O826" s="35">
        <f>IF($A826="","",IF(OR($F826="",$G826=""),"",IF(ABS($G826-$F826)&gt;zincirTolerans,"ZİNCİR KIRIK","OK")))</f>
        <v/>
      </c>
      <c r="P826" s="35">
        <f>IF($A826="","",1)</f>
        <v/>
      </c>
    </row>
    <row r="827">
      <c r="A827" s="29" t="n"/>
      <c r="B827" s="29" t="n"/>
      <c r="C827" s="70" t="n"/>
      <c r="D827" s="29" t="n"/>
      <c r="E827" s="29" t="n"/>
      <c r="F827" s="30" t="n"/>
      <c r="G827" s="30" t="n"/>
      <c r="H827" s="31" t="n"/>
      <c r="I827" s="31" t="n"/>
      <c r="J827" s="29" t="n"/>
      <c r="K827" s="35">
        <f>IF($A827="","",IF($C827="","",raporTarihi-$C827))</f>
        <v/>
      </c>
      <c r="L827" s="35">
        <f>IF($A827="","",IF($K827="","",IF($K827&lt;=7,"0-7",IF($K827&lt;=30,"8-30",IF($K827&lt;=60,"31-60","60+")))))</f>
        <v/>
      </c>
      <c r="M827" s="35">
        <f>IF($A827="","",IF($B827="","YETİM",IF(COUNTIF(tblKartlar[KartId],$B827)=0,"YETİM","")))</f>
        <v/>
      </c>
      <c r="N827" s="35">
        <f>IF(OR($A827="",$D827=""),"",IF(OR($D827&amp;"|"&amp;$E827="",COUNTIF(ListeIzinliGecis,$D827&amp;"|"&amp;$E827)&gt;0),"","GEÇERSİZ GEÇİŞ"))</f>
        <v/>
      </c>
      <c r="O827" s="35">
        <f>IF($A827="","",IF(OR($F827="",$G827=""),"",IF(ABS($G827-$F827)&gt;zincirTolerans,"ZİNCİR KIRIK","OK")))</f>
        <v/>
      </c>
      <c r="P827" s="35">
        <f>IF($A827="","",1)</f>
        <v/>
      </c>
    </row>
    <row r="828">
      <c r="A828" s="29" t="n"/>
      <c r="B828" s="29" t="n"/>
      <c r="C828" s="70" t="n"/>
      <c r="D828" s="29" t="n"/>
      <c r="E828" s="29" t="n"/>
      <c r="F828" s="30" t="n"/>
      <c r="G828" s="30" t="n"/>
      <c r="H828" s="31" t="n"/>
      <c r="I828" s="31" t="n"/>
      <c r="J828" s="29" t="n"/>
      <c r="K828" s="35">
        <f>IF($A828="","",IF($C828="","",raporTarihi-$C828))</f>
        <v/>
      </c>
      <c r="L828" s="35">
        <f>IF($A828="","",IF($K828="","",IF($K828&lt;=7,"0-7",IF($K828&lt;=30,"8-30",IF($K828&lt;=60,"31-60","60+")))))</f>
        <v/>
      </c>
      <c r="M828" s="35">
        <f>IF($A828="","",IF($B828="","YETİM",IF(COUNTIF(tblKartlar[KartId],$B828)=0,"YETİM","")))</f>
        <v/>
      </c>
      <c r="N828" s="35">
        <f>IF(OR($A828="",$D828=""),"",IF(OR($D828&amp;"|"&amp;$E828="",COUNTIF(ListeIzinliGecis,$D828&amp;"|"&amp;$E828)&gt;0),"","GEÇERSİZ GEÇİŞ"))</f>
        <v/>
      </c>
      <c r="O828" s="35">
        <f>IF($A828="","",IF(OR($F828="",$G828=""),"",IF(ABS($G828-$F828)&gt;zincirTolerans,"ZİNCİR KIRIK","OK")))</f>
        <v/>
      </c>
      <c r="P828" s="35">
        <f>IF($A828="","",1)</f>
        <v/>
      </c>
    </row>
    <row r="829">
      <c r="A829" s="29" t="n"/>
      <c r="B829" s="29" t="n"/>
      <c r="C829" s="70" t="n"/>
      <c r="D829" s="29" t="n"/>
      <c r="E829" s="29" t="n"/>
      <c r="F829" s="30" t="n"/>
      <c r="G829" s="30" t="n"/>
      <c r="H829" s="31" t="n"/>
      <c r="I829" s="31" t="n"/>
      <c r="J829" s="29" t="n"/>
      <c r="K829" s="35">
        <f>IF($A829="","",IF($C829="","",raporTarihi-$C829))</f>
        <v/>
      </c>
      <c r="L829" s="35">
        <f>IF($A829="","",IF($K829="","",IF($K829&lt;=7,"0-7",IF($K829&lt;=30,"8-30",IF($K829&lt;=60,"31-60","60+")))))</f>
        <v/>
      </c>
      <c r="M829" s="35">
        <f>IF($A829="","",IF($B829="","YETİM",IF(COUNTIF(tblKartlar[KartId],$B829)=0,"YETİM","")))</f>
        <v/>
      </c>
      <c r="N829" s="35">
        <f>IF(OR($A829="",$D829=""),"",IF(OR($D829&amp;"|"&amp;$E829="",COUNTIF(ListeIzinliGecis,$D829&amp;"|"&amp;$E829)&gt;0),"","GEÇERSİZ GEÇİŞ"))</f>
        <v/>
      </c>
      <c r="O829" s="35">
        <f>IF($A829="","",IF(OR($F829="",$G829=""),"",IF(ABS($G829-$F829)&gt;zincirTolerans,"ZİNCİR KIRIK","OK")))</f>
        <v/>
      </c>
      <c r="P829" s="35">
        <f>IF($A829="","",1)</f>
        <v/>
      </c>
    </row>
    <row r="830">
      <c r="A830" s="29" t="n"/>
      <c r="B830" s="29" t="n"/>
      <c r="C830" s="70" t="n"/>
      <c r="D830" s="29" t="n"/>
      <c r="E830" s="29" t="n"/>
      <c r="F830" s="30" t="n"/>
      <c r="G830" s="30" t="n"/>
      <c r="H830" s="31" t="n"/>
      <c r="I830" s="31" t="n"/>
      <c r="J830" s="29" t="n"/>
      <c r="K830" s="35">
        <f>IF($A830="","",IF($C830="","",raporTarihi-$C830))</f>
        <v/>
      </c>
      <c r="L830" s="35">
        <f>IF($A830="","",IF($K830="","",IF($K830&lt;=7,"0-7",IF($K830&lt;=30,"8-30",IF($K830&lt;=60,"31-60","60+")))))</f>
        <v/>
      </c>
      <c r="M830" s="35">
        <f>IF($A830="","",IF($B830="","YETİM",IF(COUNTIF(tblKartlar[KartId],$B830)=0,"YETİM","")))</f>
        <v/>
      </c>
      <c r="N830" s="35">
        <f>IF(OR($A830="",$D830=""),"",IF(OR($D830&amp;"|"&amp;$E830="",COUNTIF(ListeIzinliGecis,$D830&amp;"|"&amp;$E830)&gt;0),"","GEÇERSİZ GEÇİŞ"))</f>
        <v/>
      </c>
      <c r="O830" s="35">
        <f>IF($A830="","",IF(OR($F830="",$G830=""),"",IF(ABS($G830-$F830)&gt;zincirTolerans,"ZİNCİR KIRIK","OK")))</f>
        <v/>
      </c>
      <c r="P830" s="35">
        <f>IF($A830="","",1)</f>
        <v/>
      </c>
    </row>
    <row r="831">
      <c r="A831" s="29" t="n"/>
      <c r="B831" s="29" t="n"/>
      <c r="C831" s="70" t="n"/>
      <c r="D831" s="29" t="n"/>
      <c r="E831" s="29" t="n"/>
      <c r="F831" s="30" t="n"/>
      <c r="G831" s="30" t="n"/>
      <c r="H831" s="31" t="n"/>
      <c r="I831" s="31" t="n"/>
      <c r="J831" s="29" t="n"/>
      <c r="K831" s="35">
        <f>IF($A831="","",IF($C831="","",raporTarihi-$C831))</f>
        <v/>
      </c>
      <c r="L831" s="35">
        <f>IF($A831="","",IF($K831="","",IF($K831&lt;=7,"0-7",IF($K831&lt;=30,"8-30",IF($K831&lt;=60,"31-60","60+")))))</f>
        <v/>
      </c>
      <c r="M831" s="35">
        <f>IF($A831="","",IF($B831="","YETİM",IF(COUNTIF(tblKartlar[KartId],$B831)=0,"YETİM","")))</f>
        <v/>
      </c>
      <c r="N831" s="35">
        <f>IF(OR($A831="",$D831=""),"",IF(OR($D831&amp;"|"&amp;$E831="",COUNTIF(ListeIzinliGecis,$D831&amp;"|"&amp;$E831)&gt;0),"","GEÇERSİZ GEÇİŞ"))</f>
        <v/>
      </c>
      <c r="O831" s="35">
        <f>IF($A831="","",IF(OR($F831="",$G831=""),"",IF(ABS($G831-$F831)&gt;zincirTolerans,"ZİNCİR KIRIK","OK")))</f>
        <v/>
      </c>
      <c r="P831" s="35">
        <f>IF($A831="","",1)</f>
        <v/>
      </c>
    </row>
    <row r="832">
      <c r="A832" s="29" t="n"/>
      <c r="B832" s="29" t="n"/>
      <c r="C832" s="70" t="n"/>
      <c r="D832" s="29" t="n"/>
      <c r="E832" s="29" t="n"/>
      <c r="F832" s="30" t="n"/>
      <c r="G832" s="30" t="n"/>
      <c r="H832" s="31" t="n"/>
      <c r="I832" s="31" t="n"/>
      <c r="J832" s="29" t="n"/>
      <c r="K832" s="35">
        <f>IF($A832="","",IF($C832="","",raporTarihi-$C832))</f>
        <v/>
      </c>
      <c r="L832" s="35">
        <f>IF($A832="","",IF($K832="","",IF($K832&lt;=7,"0-7",IF($K832&lt;=30,"8-30",IF($K832&lt;=60,"31-60","60+")))))</f>
        <v/>
      </c>
      <c r="M832" s="35">
        <f>IF($A832="","",IF($B832="","YETİM",IF(COUNTIF(tblKartlar[KartId],$B832)=0,"YETİM","")))</f>
        <v/>
      </c>
      <c r="N832" s="35">
        <f>IF(OR($A832="",$D832=""),"",IF(OR($D832&amp;"|"&amp;$E832="",COUNTIF(ListeIzinliGecis,$D832&amp;"|"&amp;$E832)&gt;0),"","GEÇERSİZ GEÇİŞ"))</f>
        <v/>
      </c>
      <c r="O832" s="35">
        <f>IF($A832="","",IF(OR($F832="",$G832=""),"",IF(ABS($G832-$F832)&gt;zincirTolerans,"ZİNCİR KIRIK","OK")))</f>
        <v/>
      </c>
      <c r="P832" s="35">
        <f>IF($A832="","",1)</f>
        <v/>
      </c>
    </row>
    <row r="833">
      <c r="A833" s="29" t="n"/>
      <c r="B833" s="29" t="n"/>
      <c r="C833" s="70" t="n"/>
      <c r="D833" s="29" t="n"/>
      <c r="E833" s="29" t="n"/>
      <c r="F833" s="30" t="n"/>
      <c r="G833" s="30" t="n"/>
      <c r="H833" s="31" t="n"/>
      <c r="I833" s="31" t="n"/>
      <c r="J833" s="29" t="n"/>
      <c r="K833" s="35">
        <f>IF($A833="","",IF($C833="","",raporTarihi-$C833))</f>
        <v/>
      </c>
      <c r="L833" s="35">
        <f>IF($A833="","",IF($K833="","",IF($K833&lt;=7,"0-7",IF($K833&lt;=30,"8-30",IF($K833&lt;=60,"31-60","60+")))))</f>
        <v/>
      </c>
      <c r="M833" s="35">
        <f>IF($A833="","",IF($B833="","YETİM",IF(COUNTIF(tblKartlar[KartId],$B833)=0,"YETİM","")))</f>
        <v/>
      </c>
      <c r="N833" s="35">
        <f>IF(OR($A833="",$D833=""),"",IF(OR($D833&amp;"|"&amp;$E833="",COUNTIF(ListeIzinliGecis,$D833&amp;"|"&amp;$E833)&gt;0),"","GEÇERSİZ GEÇİŞ"))</f>
        <v/>
      </c>
      <c r="O833" s="35">
        <f>IF($A833="","",IF(OR($F833="",$G833=""),"",IF(ABS($G833-$F833)&gt;zincirTolerans,"ZİNCİR KIRIK","OK")))</f>
        <v/>
      </c>
      <c r="P833" s="35">
        <f>IF($A833="","",1)</f>
        <v/>
      </c>
    </row>
    <row r="834">
      <c r="A834" s="29" t="n"/>
      <c r="B834" s="29" t="n"/>
      <c r="C834" s="70" t="n"/>
      <c r="D834" s="29" t="n"/>
      <c r="E834" s="29" t="n"/>
      <c r="F834" s="30" t="n"/>
      <c r="G834" s="30" t="n"/>
      <c r="H834" s="31" t="n"/>
      <c r="I834" s="31" t="n"/>
      <c r="J834" s="29" t="n"/>
      <c r="K834" s="35">
        <f>IF($A834="","",IF($C834="","",raporTarihi-$C834))</f>
        <v/>
      </c>
      <c r="L834" s="35">
        <f>IF($A834="","",IF($K834="","",IF($K834&lt;=7,"0-7",IF($K834&lt;=30,"8-30",IF($K834&lt;=60,"31-60","60+")))))</f>
        <v/>
      </c>
      <c r="M834" s="35">
        <f>IF($A834="","",IF($B834="","YETİM",IF(COUNTIF(tblKartlar[KartId],$B834)=0,"YETİM","")))</f>
        <v/>
      </c>
      <c r="N834" s="35">
        <f>IF(OR($A834="",$D834=""),"",IF(OR($D834&amp;"|"&amp;$E834="",COUNTIF(ListeIzinliGecis,$D834&amp;"|"&amp;$E834)&gt;0),"","GEÇERSİZ GEÇİŞ"))</f>
        <v/>
      </c>
      <c r="O834" s="35">
        <f>IF($A834="","",IF(OR($F834="",$G834=""),"",IF(ABS($G834-$F834)&gt;zincirTolerans,"ZİNCİR KIRIK","OK")))</f>
        <v/>
      </c>
      <c r="P834" s="35">
        <f>IF($A834="","",1)</f>
        <v/>
      </c>
    </row>
    <row r="835">
      <c r="A835" s="29" t="n"/>
      <c r="B835" s="29" t="n"/>
      <c r="C835" s="70" t="n"/>
      <c r="D835" s="29" t="n"/>
      <c r="E835" s="29" t="n"/>
      <c r="F835" s="30" t="n"/>
      <c r="G835" s="30" t="n"/>
      <c r="H835" s="31" t="n"/>
      <c r="I835" s="31" t="n"/>
      <c r="J835" s="29" t="n"/>
      <c r="K835" s="35">
        <f>IF($A835="","",IF($C835="","",raporTarihi-$C835))</f>
        <v/>
      </c>
      <c r="L835" s="35">
        <f>IF($A835="","",IF($K835="","",IF($K835&lt;=7,"0-7",IF($K835&lt;=30,"8-30",IF($K835&lt;=60,"31-60","60+")))))</f>
        <v/>
      </c>
      <c r="M835" s="35">
        <f>IF($A835="","",IF($B835="","YETİM",IF(COUNTIF(tblKartlar[KartId],$B835)=0,"YETİM","")))</f>
        <v/>
      </c>
      <c r="N835" s="35">
        <f>IF(OR($A835="",$D835=""),"",IF(OR($D835&amp;"|"&amp;$E835="",COUNTIF(ListeIzinliGecis,$D835&amp;"|"&amp;$E835)&gt;0),"","GEÇERSİZ GEÇİŞ"))</f>
        <v/>
      </c>
      <c r="O835" s="35">
        <f>IF($A835="","",IF(OR($F835="",$G835=""),"",IF(ABS($G835-$F835)&gt;zincirTolerans,"ZİNCİR KIRIK","OK")))</f>
        <v/>
      </c>
      <c r="P835" s="35">
        <f>IF($A835="","",1)</f>
        <v/>
      </c>
    </row>
    <row r="836">
      <c r="A836" s="29" t="n"/>
      <c r="B836" s="29" t="n"/>
      <c r="C836" s="70" t="n"/>
      <c r="D836" s="29" t="n"/>
      <c r="E836" s="29" t="n"/>
      <c r="F836" s="30" t="n"/>
      <c r="G836" s="30" t="n"/>
      <c r="H836" s="31" t="n"/>
      <c r="I836" s="31" t="n"/>
      <c r="J836" s="29" t="n"/>
      <c r="K836" s="35">
        <f>IF($A836="","",IF($C836="","",raporTarihi-$C836))</f>
        <v/>
      </c>
      <c r="L836" s="35">
        <f>IF($A836="","",IF($K836="","",IF($K836&lt;=7,"0-7",IF($K836&lt;=30,"8-30",IF($K836&lt;=60,"31-60","60+")))))</f>
        <v/>
      </c>
      <c r="M836" s="35">
        <f>IF($A836="","",IF($B836="","YETİM",IF(COUNTIF(tblKartlar[KartId],$B836)=0,"YETİM","")))</f>
        <v/>
      </c>
      <c r="N836" s="35">
        <f>IF(OR($A836="",$D836=""),"",IF(OR($D836&amp;"|"&amp;$E836="",COUNTIF(ListeIzinliGecis,$D836&amp;"|"&amp;$E836)&gt;0),"","GEÇERSİZ GEÇİŞ"))</f>
        <v/>
      </c>
      <c r="O836" s="35">
        <f>IF($A836="","",IF(OR($F836="",$G836=""),"",IF(ABS($G836-$F836)&gt;zincirTolerans,"ZİNCİR KIRIK","OK")))</f>
        <v/>
      </c>
      <c r="P836" s="35">
        <f>IF($A836="","",1)</f>
        <v/>
      </c>
    </row>
    <row r="837">
      <c r="A837" s="29" t="n"/>
      <c r="B837" s="29" t="n"/>
      <c r="C837" s="70" t="n"/>
      <c r="D837" s="29" t="n"/>
      <c r="E837" s="29" t="n"/>
      <c r="F837" s="30" t="n"/>
      <c r="G837" s="30" t="n"/>
      <c r="H837" s="31" t="n"/>
      <c r="I837" s="31" t="n"/>
      <c r="J837" s="29" t="n"/>
      <c r="K837" s="35">
        <f>IF($A837="","",IF($C837="","",raporTarihi-$C837))</f>
        <v/>
      </c>
      <c r="L837" s="35">
        <f>IF($A837="","",IF($K837="","",IF($K837&lt;=7,"0-7",IF($K837&lt;=30,"8-30",IF($K837&lt;=60,"31-60","60+")))))</f>
        <v/>
      </c>
      <c r="M837" s="35">
        <f>IF($A837="","",IF($B837="","YETİM",IF(COUNTIF(tblKartlar[KartId],$B837)=0,"YETİM","")))</f>
        <v/>
      </c>
      <c r="N837" s="35">
        <f>IF(OR($A837="",$D837=""),"",IF(OR($D837&amp;"|"&amp;$E837="",COUNTIF(ListeIzinliGecis,$D837&amp;"|"&amp;$E837)&gt;0),"","GEÇERSİZ GEÇİŞ"))</f>
        <v/>
      </c>
      <c r="O837" s="35">
        <f>IF($A837="","",IF(OR($F837="",$G837=""),"",IF(ABS($G837-$F837)&gt;zincirTolerans,"ZİNCİR KIRIK","OK")))</f>
        <v/>
      </c>
      <c r="P837" s="35">
        <f>IF($A837="","",1)</f>
        <v/>
      </c>
    </row>
    <row r="838">
      <c r="A838" s="29" t="n"/>
      <c r="B838" s="29" t="n"/>
      <c r="C838" s="70" t="n"/>
      <c r="D838" s="29" t="n"/>
      <c r="E838" s="29" t="n"/>
      <c r="F838" s="30" t="n"/>
      <c r="G838" s="30" t="n"/>
      <c r="H838" s="31" t="n"/>
      <c r="I838" s="31" t="n"/>
      <c r="J838" s="29" t="n"/>
      <c r="K838" s="35">
        <f>IF($A838="","",IF($C838="","",raporTarihi-$C838))</f>
        <v/>
      </c>
      <c r="L838" s="35">
        <f>IF($A838="","",IF($K838="","",IF($K838&lt;=7,"0-7",IF($K838&lt;=30,"8-30",IF($K838&lt;=60,"31-60","60+")))))</f>
        <v/>
      </c>
      <c r="M838" s="35">
        <f>IF($A838="","",IF($B838="","YETİM",IF(COUNTIF(tblKartlar[KartId],$B838)=0,"YETİM","")))</f>
        <v/>
      </c>
      <c r="N838" s="35">
        <f>IF(OR($A838="",$D838=""),"",IF(OR($D838&amp;"|"&amp;$E838="",COUNTIF(ListeIzinliGecis,$D838&amp;"|"&amp;$E838)&gt;0),"","GEÇERSİZ GEÇİŞ"))</f>
        <v/>
      </c>
      <c r="O838" s="35">
        <f>IF($A838="","",IF(OR($F838="",$G838=""),"",IF(ABS($G838-$F838)&gt;zincirTolerans,"ZİNCİR KIRIK","OK")))</f>
        <v/>
      </c>
      <c r="P838" s="35">
        <f>IF($A838="","",1)</f>
        <v/>
      </c>
    </row>
    <row r="839">
      <c r="A839" s="29" t="n"/>
      <c r="B839" s="29" t="n"/>
      <c r="C839" s="70" t="n"/>
      <c r="D839" s="29" t="n"/>
      <c r="E839" s="29" t="n"/>
      <c r="F839" s="30" t="n"/>
      <c r="G839" s="30" t="n"/>
      <c r="H839" s="31" t="n"/>
      <c r="I839" s="31" t="n"/>
      <c r="J839" s="29" t="n"/>
      <c r="K839" s="35">
        <f>IF($A839="","",IF($C839="","",raporTarihi-$C839))</f>
        <v/>
      </c>
      <c r="L839" s="35">
        <f>IF($A839="","",IF($K839="","",IF($K839&lt;=7,"0-7",IF($K839&lt;=30,"8-30",IF($K839&lt;=60,"31-60","60+")))))</f>
        <v/>
      </c>
      <c r="M839" s="35">
        <f>IF($A839="","",IF($B839="","YETİM",IF(COUNTIF(tblKartlar[KartId],$B839)=0,"YETİM","")))</f>
        <v/>
      </c>
      <c r="N839" s="35">
        <f>IF(OR($A839="",$D839=""),"",IF(OR($D839&amp;"|"&amp;$E839="",COUNTIF(ListeIzinliGecis,$D839&amp;"|"&amp;$E839)&gt;0),"","GEÇERSİZ GEÇİŞ"))</f>
        <v/>
      </c>
      <c r="O839" s="35">
        <f>IF($A839="","",IF(OR($F839="",$G839=""),"",IF(ABS($G839-$F839)&gt;zincirTolerans,"ZİNCİR KIRIK","OK")))</f>
        <v/>
      </c>
      <c r="P839" s="35">
        <f>IF($A839="","",1)</f>
        <v/>
      </c>
    </row>
    <row r="840">
      <c r="A840" s="29" t="n"/>
      <c r="B840" s="29" t="n"/>
      <c r="C840" s="70" t="n"/>
      <c r="D840" s="29" t="n"/>
      <c r="E840" s="29" t="n"/>
      <c r="F840" s="30" t="n"/>
      <c r="G840" s="30" t="n"/>
      <c r="H840" s="31" t="n"/>
      <c r="I840" s="31" t="n"/>
      <c r="J840" s="29" t="n"/>
      <c r="K840" s="35">
        <f>IF($A840="","",IF($C840="","",raporTarihi-$C840))</f>
        <v/>
      </c>
      <c r="L840" s="35">
        <f>IF($A840="","",IF($K840="","",IF($K840&lt;=7,"0-7",IF($K840&lt;=30,"8-30",IF($K840&lt;=60,"31-60","60+")))))</f>
        <v/>
      </c>
      <c r="M840" s="35">
        <f>IF($A840="","",IF($B840="","YETİM",IF(COUNTIF(tblKartlar[KartId],$B840)=0,"YETİM","")))</f>
        <v/>
      </c>
      <c r="N840" s="35">
        <f>IF(OR($A840="",$D840=""),"",IF(OR($D840&amp;"|"&amp;$E840="",COUNTIF(ListeIzinliGecis,$D840&amp;"|"&amp;$E840)&gt;0),"","GEÇERSİZ GEÇİŞ"))</f>
        <v/>
      </c>
      <c r="O840" s="35">
        <f>IF($A840="","",IF(OR($F840="",$G840=""),"",IF(ABS($G840-$F840)&gt;zincirTolerans,"ZİNCİR KIRIK","OK")))</f>
        <v/>
      </c>
      <c r="P840" s="35">
        <f>IF($A840="","",1)</f>
        <v/>
      </c>
    </row>
    <row r="841">
      <c r="A841" s="29" t="n"/>
      <c r="B841" s="29" t="n"/>
      <c r="C841" s="70" t="n"/>
      <c r="D841" s="29" t="n"/>
      <c r="E841" s="29" t="n"/>
      <c r="F841" s="30" t="n"/>
      <c r="G841" s="30" t="n"/>
      <c r="H841" s="31" t="n"/>
      <c r="I841" s="31" t="n"/>
      <c r="J841" s="29" t="n"/>
      <c r="K841" s="35">
        <f>IF($A841="","",IF($C841="","",raporTarihi-$C841))</f>
        <v/>
      </c>
      <c r="L841" s="35">
        <f>IF($A841="","",IF($K841="","",IF($K841&lt;=7,"0-7",IF($K841&lt;=30,"8-30",IF($K841&lt;=60,"31-60","60+")))))</f>
        <v/>
      </c>
      <c r="M841" s="35">
        <f>IF($A841="","",IF($B841="","YETİM",IF(COUNTIF(tblKartlar[KartId],$B841)=0,"YETİM","")))</f>
        <v/>
      </c>
      <c r="N841" s="35">
        <f>IF(OR($A841="",$D841=""),"",IF(OR($D841&amp;"|"&amp;$E841="",COUNTIF(ListeIzinliGecis,$D841&amp;"|"&amp;$E841)&gt;0),"","GEÇERSİZ GEÇİŞ"))</f>
        <v/>
      </c>
      <c r="O841" s="35">
        <f>IF($A841="","",IF(OR($F841="",$G841=""),"",IF(ABS($G841-$F841)&gt;zincirTolerans,"ZİNCİR KIRIK","OK")))</f>
        <v/>
      </c>
      <c r="P841" s="35">
        <f>IF($A841="","",1)</f>
        <v/>
      </c>
    </row>
    <row r="842">
      <c r="A842" s="29" t="n"/>
      <c r="B842" s="29" t="n"/>
      <c r="C842" s="70" t="n"/>
      <c r="D842" s="29" t="n"/>
      <c r="E842" s="29" t="n"/>
      <c r="F842" s="30" t="n"/>
      <c r="G842" s="30" t="n"/>
      <c r="H842" s="31" t="n"/>
      <c r="I842" s="31" t="n"/>
      <c r="J842" s="29" t="n"/>
      <c r="K842" s="35">
        <f>IF($A842="","",IF($C842="","",raporTarihi-$C842))</f>
        <v/>
      </c>
      <c r="L842" s="35">
        <f>IF($A842="","",IF($K842="","",IF($K842&lt;=7,"0-7",IF($K842&lt;=30,"8-30",IF($K842&lt;=60,"31-60","60+")))))</f>
        <v/>
      </c>
      <c r="M842" s="35">
        <f>IF($A842="","",IF($B842="","YETİM",IF(COUNTIF(tblKartlar[KartId],$B842)=0,"YETİM","")))</f>
        <v/>
      </c>
      <c r="N842" s="35">
        <f>IF(OR($A842="",$D842=""),"",IF(OR($D842&amp;"|"&amp;$E842="",COUNTIF(ListeIzinliGecis,$D842&amp;"|"&amp;$E842)&gt;0),"","GEÇERSİZ GEÇİŞ"))</f>
        <v/>
      </c>
      <c r="O842" s="35">
        <f>IF($A842="","",IF(OR($F842="",$G842=""),"",IF(ABS($G842-$F842)&gt;zincirTolerans,"ZİNCİR KIRIK","OK")))</f>
        <v/>
      </c>
      <c r="P842" s="35">
        <f>IF($A842="","",1)</f>
        <v/>
      </c>
    </row>
    <row r="843">
      <c r="A843" s="29" t="n"/>
      <c r="B843" s="29" t="n"/>
      <c r="C843" s="70" t="n"/>
      <c r="D843" s="29" t="n"/>
      <c r="E843" s="29" t="n"/>
      <c r="F843" s="30" t="n"/>
      <c r="G843" s="30" t="n"/>
      <c r="H843" s="31" t="n"/>
      <c r="I843" s="31" t="n"/>
      <c r="J843" s="29" t="n"/>
      <c r="K843" s="35">
        <f>IF($A843="","",IF($C843="","",raporTarihi-$C843))</f>
        <v/>
      </c>
      <c r="L843" s="35">
        <f>IF($A843="","",IF($K843="","",IF($K843&lt;=7,"0-7",IF($K843&lt;=30,"8-30",IF($K843&lt;=60,"31-60","60+")))))</f>
        <v/>
      </c>
      <c r="M843" s="35">
        <f>IF($A843="","",IF($B843="","YETİM",IF(COUNTIF(tblKartlar[KartId],$B843)=0,"YETİM","")))</f>
        <v/>
      </c>
      <c r="N843" s="35">
        <f>IF(OR($A843="",$D843=""),"",IF(OR($D843&amp;"|"&amp;$E843="",COUNTIF(ListeIzinliGecis,$D843&amp;"|"&amp;$E843)&gt;0),"","GEÇERSİZ GEÇİŞ"))</f>
        <v/>
      </c>
      <c r="O843" s="35">
        <f>IF($A843="","",IF(OR($F843="",$G843=""),"",IF(ABS($G843-$F843)&gt;zincirTolerans,"ZİNCİR KIRIK","OK")))</f>
        <v/>
      </c>
      <c r="P843" s="35">
        <f>IF($A843="","",1)</f>
        <v/>
      </c>
    </row>
    <row r="844">
      <c r="A844" s="29" t="n"/>
      <c r="B844" s="29" t="n"/>
      <c r="C844" s="70" t="n"/>
      <c r="D844" s="29" t="n"/>
      <c r="E844" s="29" t="n"/>
      <c r="F844" s="30" t="n"/>
      <c r="G844" s="30" t="n"/>
      <c r="H844" s="31" t="n"/>
      <c r="I844" s="31" t="n"/>
      <c r="J844" s="29" t="n"/>
      <c r="K844" s="35">
        <f>IF($A844="","",IF($C844="","",raporTarihi-$C844))</f>
        <v/>
      </c>
      <c r="L844" s="35">
        <f>IF($A844="","",IF($K844="","",IF($K844&lt;=7,"0-7",IF($K844&lt;=30,"8-30",IF($K844&lt;=60,"31-60","60+")))))</f>
        <v/>
      </c>
      <c r="M844" s="35">
        <f>IF($A844="","",IF($B844="","YETİM",IF(COUNTIF(tblKartlar[KartId],$B844)=0,"YETİM","")))</f>
        <v/>
      </c>
      <c r="N844" s="35">
        <f>IF(OR($A844="",$D844=""),"",IF(OR($D844&amp;"|"&amp;$E844="",COUNTIF(ListeIzinliGecis,$D844&amp;"|"&amp;$E844)&gt;0),"","GEÇERSİZ GEÇİŞ"))</f>
        <v/>
      </c>
      <c r="O844" s="35">
        <f>IF($A844="","",IF(OR($F844="",$G844=""),"",IF(ABS($G844-$F844)&gt;zincirTolerans,"ZİNCİR KIRIK","OK")))</f>
        <v/>
      </c>
      <c r="P844" s="35">
        <f>IF($A844="","",1)</f>
        <v/>
      </c>
    </row>
    <row r="845">
      <c r="A845" s="29" t="n"/>
      <c r="B845" s="29" t="n"/>
      <c r="C845" s="70" t="n"/>
      <c r="D845" s="29" t="n"/>
      <c r="E845" s="29" t="n"/>
      <c r="F845" s="30" t="n"/>
      <c r="G845" s="30" t="n"/>
      <c r="H845" s="31" t="n"/>
      <c r="I845" s="31" t="n"/>
      <c r="J845" s="29" t="n"/>
      <c r="K845" s="35">
        <f>IF($A845="","",IF($C845="","",raporTarihi-$C845))</f>
        <v/>
      </c>
      <c r="L845" s="35">
        <f>IF($A845="","",IF($K845="","",IF($K845&lt;=7,"0-7",IF($K845&lt;=30,"8-30",IF($K845&lt;=60,"31-60","60+")))))</f>
        <v/>
      </c>
      <c r="M845" s="35">
        <f>IF($A845="","",IF($B845="","YETİM",IF(COUNTIF(tblKartlar[KartId],$B845)=0,"YETİM","")))</f>
        <v/>
      </c>
      <c r="N845" s="35">
        <f>IF(OR($A845="",$D845=""),"",IF(OR($D845&amp;"|"&amp;$E845="",COUNTIF(ListeIzinliGecis,$D845&amp;"|"&amp;$E845)&gt;0),"","GEÇERSİZ GEÇİŞ"))</f>
        <v/>
      </c>
      <c r="O845" s="35">
        <f>IF($A845="","",IF(OR($F845="",$G845=""),"",IF(ABS($G845-$F845)&gt;zincirTolerans,"ZİNCİR KIRIK","OK")))</f>
        <v/>
      </c>
      <c r="P845" s="35">
        <f>IF($A845="","",1)</f>
        <v/>
      </c>
    </row>
    <row r="846">
      <c r="A846" s="29" t="n"/>
      <c r="B846" s="29" t="n"/>
      <c r="C846" s="70" t="n"/>
      <c r="D846" s="29" t="n"/>
      <c r="E846" s="29" t="n"/>
      <c r="F846" s="30" t="n"/>
      <c r="G846" s="30" t="n"/>
      <c r="H846" s="31" t="n"/>
      <c r="I846" s="31" t="n"/>
      <c r="J846" s="29" t="n"/>
      <c r="K846" s="35">
        <f>IF($A846="","",IF($C846="","",raporTarihi-$C846))</f>
        <v/>
      </c>
      <c r="L846" s="35">
        <f>IF($A846="","",IF($K846="","",IF($K846&lt;=7,"0-7",IF($K846&lt;=30,"8-30",IF($K846&lt;=60,"31-60","60+")))))</f>
        <v/>
      </c>
      <c r="M846" s="35">
        <f>IF($A846="","",IF($B846="","YETİM",IF(COUNTIF(tblKartlar[KartId],$B846)=0,"YETİM","")))</f>
        <v/>
      </c>
      <c r="N846" s="35">
        <f>IF(OR($A846="",$D846=""),"",IF(OR($D846&amp;"|"&amp;$E846="",COUNTIF(ListeIzinliGecis,$D846&amp;"|"&amp;$E846)&gt;0),"","GEÇERSİZ GEÇİŞ"))</f>
        <v/>
      </c>
      <c r="O846" s="35">
        <f>IF($A846="","",IF(OR($F846="",$G846=""),"",IF(ABS($G846-$F846)&gt;zincirTolerans,"ZİNCİR KIRIK","OK")))</f>
        <v/>
      </c>
      <c r="P846" s="35">
        <f>IF($A846="","",1)</f>
        <v/>
      </c>
    </row>
    <row r="847">
      <c r="A847" s="29" t="n"/>
      <c r="B847" s="29" t="n"/>
      <c r="C847" s="70" t="n"/>
      <c r="D847" s="29" t="n"/>
      <c r="E847" s="29" t="n"/>
      <c r="F847" s="30" t="n"/>
      <c r="G847" s="30" t="n"/>
      <c r="H847" s="31" t="n"/>
      <c r="I847" s="31" t="n"/>
      <c r="J847" s="29" t="n"/>
      <c r="K847" s="35">
        <f>IF($A847="","",IF($C847="","",raporTarihi-$C847))</f>
        <v/>
      </c>
      <c r="L847" s="35">
        <f>IF($A847="","",IF($K847="","",IF($K847&lt;=7,"0-7",IF($K847&lt;=30,"8-30",IF($K847&lt;=60,"31-60","60+")))))</f>
        <v/>
      </c>
      <c r="M847" s="35">
        <f>IF($A847="","",IF($B847="","YETİM",IF(COUNTIF(tblKartlar[KartId],$B847)=0,"YETİM","")))</f>
        <v/>
      </c>
      <c r="N847" s="35">
        <f>IF(OR($A847="",$D847=""),"",IF(OR($D847&amp;"|"&amp;$E847="",COUNTIF(ListeIzinliGecis,$D847&amp;"|"&amp;$E847)&gt;0),"","GEÇERSİZ GEÇİŞ"))</f>
        <v/>
      </c>
      <c r="O847" s="35">
        <f>IF($A847="","",IF(OR($F847="",$G847=""),"",IF(ABS($G847-$F847)&gt;zincirTolerans,"ZİNCİR KIRIK","OK")))</f>
        <v/>
      </c>
      <c r="P847" s="35">
        <f>IF($A847="","",1)</f>
        <v/>
      </c>
    </row>
    <row r="848">
      <c r="A848" s="29" t="n"/>
      <c r="B848" s="29" t="n"/>
      <c r="C848" s="70" t="n"/>
      <c r="D848" s="29" t="n"/>
      <c r="E848" s="29" t="n"/>
      <c r="F848" s="30" t="n"/>
      <c r="G848" s="30" t="n"/>
      <c r="H848" s="31" t="n"/>
      <c r="I848" s="31" t="n"/>
      <c r="J848" s="29" t="n"/>
      <c r="K848" s="35">
        <f>IF($A848="","",IF($C848="","",raporTarihi-$C848))</f>
        <v/>
      </c>
      <c r="L848" s="35">
        <f>IF($A848="","",IF($K848="","",IF($K848&lt;=7,"0-7",IF($K848&lt;=30,"8-30",IF($K848&lt;=60,"31-60","60+")))))</f>
        <v/>
      </c>
      <c r="M848" s="35">
        <f>IF($A848="","",IF($B848="","YETİM",IF(COUNTIF(tblKartlar[KartId],$B848)=0,"YETİM","")))</f>
        <v/>
      </c>
      <c r="N848" s="35">
        <f>IF(OR($A848="",$D848=""),"",IF(OR($D848&amp;"|"&amp;$E848="",COUNTIF(ListeIzinliGecis,$D848&amp;"|"&amp;$E848)&gt;0),"","GEÇERSİZ GEÇİŞ"))</f>
        <v/>
      </c>
      <c r="O848" s="35">
        <f>IF($A848="","",IF(OR($F848="",$G848=""),"",IF(ABS($G848-$F848)&gt;zincirTolerans,"ZİNCİR KIRIK","OK")))</f>
        <v/>
      </c>
      <c r="P848" s="35">
        <f>IF($A848="","",1)</f>
        <v/>
      </c>
    </row>
    <row r="849">
      <c r="A849" s="29" t="n"/>
      <c r="B849" s="29" t="n"/>
      <c r="C849" s="70" t="n"/>
      <c r="D849" s="29" t="n"/>
      <c r="E849" s="29" t="n"/>
      <c r="F849" s="30" t="n"/>
      <c r="G849" s="30" t="n"/>
      <c r="H849" s="31" t="n"/>
      <c r="I849" s="31" t="n"/>
      <c r="J849" s="29" t="n"/>
      <c r="K849" s="35">
        <f>IF($A849="","",IF($C849="","",raporTarihi-$C849))</f>
        <v/>
      </c>
      <c r="L849" s="35">
        <f>IF($A849="","",IF($K849="","",IF($K849&lt;=7,"0-7",IF($K849&lt;=30,"8-30",IF($K849&lt;=60,"31-60","60+")))))</f>
        <v/>
      </c>
      <c r="M849" s="35">
        <f>IF($A849="","",IF($B849="","YETİM",IF(COUNTIF(tblKartlar[KartId],$B849)=0,"YETİM","")))</f>
        <v/>
      </c>
      <c r="N849" s="35">
        <f>IF(OR($A849="",$D849=""),"",IF(OR($D849&amp;"|"&amp;$E849="",COUNTIF(ListeIzinliGecis,$D849&amp;"|"&amp;$E849)&gt;0),"","GEÇERSİZ GEÇİŞ"))</f>
        <v/>
      </c>
      <c r="O849" s="35">
        <f>IF($A849="","",IF(OR($F849="",$G849=""),"",IF(ABS($G849-$F849)&gt;zincirTolerans,"ZİNCİR KIRIK","OK")))</f>
        <v/>
      </c>
      <c r="P849" s="35">
        <f>IF($A849="","",1)</f>
        <v/>
      </c>
    </row>
    <row r="850">
      <c r="A850" s="29" t="n"/>
      <c r="B850" s="29" t="n"/>
      <c r="C850" s="70" t="n"/>
      <c r="D850" s="29" t="n"/>
      <c r="E850" s="29" t="n"/>
      <c r="F850" s="30" t="n"/>
      <c r="G850" s="30" t="n"/>
      <c r="H850" s="31" t="n"/>
      <c r="I850" s="31" t="n"/>
      <c r="J850" s="29" t="n"/>
      <c r="K850" s="35">
        <f>IF($A850="","",IF($C850="","",raporTarihi-$C850))</f>
        <v/>
      </c>
      <c r="L850" s="35">
        <f>IF($A850="","",IF($K850="","",IF($K850&lt;=7,"0-7",IF($K850&lt;=30,"8-30",IF($K850&lt;=60,"31-60","60+")))))</f>
        <v/>
      </c>
      <c r="M850" s="35">
        <f>IF($A850="","",IF($B850="","YETİM",IF(COUNTIF(tblKartlar[KartId],$B850)=0,"YETİM","")))</f>
        <v/>
      </c>
      <c r="N850" s="35">
        <f>IF(OR($A850="",$D850=""),"",IF(OR($D850&amp;"|"&amp;$E850="",COUNTIF(ListeIzinliGecis,$D850&amp;"|"&amp;$E850)&gt;0),"","GEÇERSİZ GEÇİŞ"))</f>
        <v/>
      </c>
      <c r="O850" s="35">
        <f>IF($A850="","",IF(OR($F850="",$G850=""),"",IF(ABS($G850-$F850)&gt;zincirTolerans,"ZİNCİR KIRIK","OK")))</f>
        <v/>
      </c>
      <c r="P850" s="35">
        <f>IF($A850="","",1)</f>
        <v/>
      </c>
    </row>
    <row r="851">
      <c r="A851" s="29" t="n"/>
      <c r="B851" s="29" t="n"/>
      <c r="C851" s="70" t="n"/>
      <c r="D851" s="29" t="n"/>
      <c r="E851" s="29" t="n"/>
      <c r="F851" s="30" t="n"/>
      <c r="G851" s="30" t="n"/>
      <c r="H851" s="31" t="n"/>
      <c r="I851" s="31" t="n"/>
      <c r="J851" s="29" t="n"/>
      <c r="K851" s="35">
        <f>IF($A851="","",IF($C851="","",raporTarihi-$C851))</f>
        <v/>
      </c>
      <c r="L851" s="35">
        <f>IF($A851="","",IF($K851="","",IF($K851&lt;=7,"0-7",IF($K851&lt;=30,"8-30",IF($K851&lt;=60,"31-60","60+")))))</f>
        <v/>
      </c>
      <c r="M851" s="35">
        <f>IF($A851="","",IF($B851="","YETİM",IF(COUNTIF(tblKartlar[KartId],$B851)=0,"YETİM","")))</f>
        <v/>
      </c>
      <c r="N851" s="35">
        <f>IF(OR($A851="",$D851=""),"",IF(OR($D851&amp;"|"&amp;$E851="",COUNTIF(ListeIzinliGecis,$D851&amp;"|"&amp;$E851)&gt;0),"","GEÇERSİZ GEÇİŞ"))</f>
        <v/>
      </c>
      <c r="O851" s="35">
        <f>IF($A851="","",IF(OR($F851="",$G851=""),"",IF(ABS($G851-$F851)&gt;zincirTolerans,"ZİNCİR KIRIK","OK")))</f>
        <v/>
      </c>
      <c r="P851" s="35">
        <f>IF($A851="","",1)</f>
        <v/>
      </c>
    </row>
    <row r="852">
      <c r="A852" s="29" t="n"/>
      <c r="B852" s="29" t="n"/>
      <c r="C852" s="70" t="n"/>
      <c r="D852" s="29" t="n"/>
      <c r="E852" s="29" t="n"/>
      <c r="F852" s="30" t="n"/>
      <c r="G852" s="30" t="n"/>
      <c r="H852" s="31" t="n"/>
      <c r="I852" s="31" t="n"/>
      <c r="J852" s="29" t="n"/>
      <c r="K852" s="35">
        <f>IF($A852="","",IF($C852="","",raporTarihi-$C852))</f>
        <v/>
      </c>
      <c r="L852" s="35">
        <f>IF($A852="","",IF($K852="","",IF($K852&lt;=7,"0-7",IF($K852&lt;=30,"8-30",IF($K852&lt;=60,"31-60","60+")))))</f>
        <v/>
      </c>
      <c r="M852" s="35">
        <f>IF($A852="","",IF($B852="","YETİM",IF(COUNTIF(tblKartlar[KartId],$B852)=0,"YETİM","")))</f>
        <v/>
      </c>
      <c r="N852" s="35">
        <f>IF(OR($A852="",$D852=""),"",IF(OR($D852&amp;"|"&amp;$E852="",COUNTIF(ListeIzinliGecis,$D852&amp;"|"&amp;$E852)&gt;0),"","GEÇERSİZ GEÇİŞ"))</f>
        <v/>
      </c>
      <c r="O852" s="35">
        <f>IF($A852="","",IF(OR($F852="",$G852=""),"",IF(ABS($G852-$F852)&gt;zincirTolerans,"ZİNCİR KIRIK","OK")))</f>
        <v/>
      </c>
      <c r="P852" s="35">
        <f>IF($A852="","",1)</f>
        <v/>
      </c>
    </row>
    <row r="853">
      <c r="A853" s="29" t="n"/>
      <c r="B853" s="29" t="n"/>
      <c r="C853" s="70" t="n"/>
      <c r="D853" s="29" t="n"/>
      <c r="E853" s="29" t="n"/>
      <c r="F853" s="30" t="n"/>
      <c r="G853" s="30" t="n"/>
      <c r="H853" s="31" t="n"/>
      <c r="I853" s="31" t="n"/>
      <c r="J853" s="29" t="n"/>
      <c r="K853" s="35">
        <f>IF($A853="","",IF($C853="","",raporTarihi-$C853))</f>
        <v/>
      </c>
      <c r="L853" s="35">
        <f>IF($A853="","",IF($K853="","",IF($K853&lt;=7,"0-7",IF($K853&lt;=30,"8-30",IF($K853&lt;=60,"31-60","60+")))))</f>
        <v/>
      </c>
      <c r="M853" s="35">
        <f>IF($A853="","",IF($B853="","YETİM",IF(COUNTIF(tblKartlar[KartId],$B853)=0,"YETİM","")))</f>
        <v/>
      </c>
      <c r="N853" s="35">
        <f>IF(OR($A853="",$D853=""),"",IF(OR($D853&amp;"|"&amp;$E853="",COUNTIF(ListeIzinliGecis,$D853&amp;"|"&amp;$E853)&gt;0),"","GEÇERSİZ GEÇİŞ"))</f>
        <v/>
      </c>
      <c r="O853" s="35">
        <f>IF($A853="","",IF(OR($F853="",$G853=""),"",IF(ABS($G853-$F853)&gt;zincirTolerans,"ZİNCİR KIRIK","OK")))</f>
        <v/>
      </c>
      <c r="P853" s="35">
        <f>IF($A853="","",1)</f>
        <v/>
      </c>
    </row>
    <row r="854">
      <c r="A854" s="29" t="n"/>
      <c r="B854" s="29" t="n"/>
      <c r="C854" s="70" t="n"/>
      <c r="D854" s="29" t="n"/>
      <c r="E854" s="29" t="n"/>
      <c r="F854" s="30" t="n"/>
      <c r="G854" s="30" t="n"/>
      <c r="H854" s="31" t="n"/>
      <c r="I854" s="31" t="n"/>
      <c r="J854" s="29" t="n"/>
      <c r="K854" s="35">
        <f>IF($A854="","",IF($C854="","",raporTarihi-$C854))</f>
        <v/>
      </c>
      <c r="L854" s="35">
        <f>IF($A854="","",IF($K854="","",IF($K854&lt;=7,"0-7",IF($K854&lt;=30,"8-30",IF($K854&lt;=60,"31-60","60+")))))</f>
        <v/>
      </c>
      <c r="M854" s="35">
        <f>IF($A854="","",IF($B854="","YETİM",IF(COUNTIF(tblKartlar[KartId],$B854)=0,"YETİM","")))</f>
        <v/>
      </c>
      <c r="N854" s="35">
        <f>IF(OR($A854="",$D854=""),"",IF(OR($D854&amp;"|"&amp;$E854="",COUNTIF(ListeIzinliGecis,$D854&amp;"|"&amp;$E854)&gt;0),"","GEÇERSİZ GEÇİŞ"))</f>
        <v/>
      </c>
      <c r="O854" s="35">
        <f>IF($A854="","",IF(OR($F854="",$G854=""),"",IF(ABS($G854-$F854)&gt;zincirTolerans,"ZİNCİR KIRIK","OK")))</f>
        <v/>
      </c>
      <c r="P854" s="35">
        <f>IF($A854="","",1)</f>
        <v/>
      </c>
    </row>
    <row r="855">
      <c r="A855" s="29" t="n"/>
      <c r="B855" s="29" t="n"/>
      <c r="C855" s="70" t="n"/>
      <c r="D855" s="29" t="n"/>
      <c r="E855" s="29" t="n"/>
      <c r="F855" s="30" t="n"/>
      <c r="G855" s="30" t="n"/>
      <c r="H855" s="31" t="n"/>
      <c r="I855" s="31" t="n"/>
      <c r="J855" s="29" t="n"/>
      <c r="K855" s="35">
        <f>IF($A855="","",IF($C855="","",raporTarihi-$C855))</f>
        <v/>
      </c>
      <c r="L855" s="35">
        <f>IF($A855="","",IF($K855="","",IF($K855&lt;=7,"0-7",IF($K855&lt;=30,"8-30",IF($K855&lt;=60,"31-60","60+")))))</f>
        <v/>
      </c>
      <c r="M855" s="35">
        <f>IF($A855="","",IF($B855="","YETİM",IF(COUNTIF(tblKartlar[KartId],$B855)=0,"YETİM","")))</f>
        <v/>
      </c>
      <c r="N855" s="35">
        <f>IF(OR($A855="",$D855=""),"",IF(OR($D855&amp;"|"&amp;$E855="",COUNTIF(ListeIzinliGecis,$D855&amp;"|"&amp;$E855)&gt;0),"","GEÇERSİZ GEÇİŞ"))</f>
        <v/>
      </c>
      <c r="O855" s="35">
        <f>IF($A855="","",IF(OR($F855="",$G855=""),"",IF(ABS($G855-$F855)&gt;zincirTolerans,"ZİNCİR KIRIK","OK")))</f>
        <v/>
      </c>
      <c r="P855" s="35">
        <f>IF($A855="","",1)</f>
        <v/>
      </c>
    </row>
    <row r="856">
      <c r="A856" s="29" t="n"/>
      <c r="B856" s="29" t="n"/>
      <c r="C856" s="70" t="n"/>
      <c r="D856" s="29" t="n"/>
      <c r="E856" s="29" t="n"/>
      <c r="F856" s="30" t="n"/>
      <c r="G856" s="30" t="n"/>
      <c r="H856" s="31" t="n"/>
      <c r="I856" s="31" t="n"/>
      <c r="J856" s="29" t="n"/>
      <c r="K856" s="35">
        <f>IF($A856="","",IF($C856="","",raporTarihi-$C856))</f>
        <v/>
      </c>
      <c r="L856" s="35">
        <f>IF($A856="","",IF($K856="","",IF($K856&lt;=7,"0-7",IF($K856&lt;=30,"8-30",IF($K856&lt;=60,"31-60","60+")))))</f>
        <v/>
      </c>
      <c r="M856" s="35">
        <f>IF($A856="","",IF($B856="","YETİM",IF(COUNTIF(tblKartlar[KartId],$B856)=0,"YETİM","")))</f>
        <v/>
      </c>
      <c r="N856" s="35">
        <f>IF(OR($A856="",$D856=""),"",IF(OR($D856&amp;"|"&amp;$E856="",COUNTIF(ListeIzinliGecis,$D856&amp;"|"&amp;$E856)&gt;0),"","GEÇERSİZ GEÇİŞ"))</f>
        <v/>
      </c>
      <c r="O856" s="35">
        <f>IF($A856="","",IF(OR($F856="",$G856=""),"",IF(ABS($G856-$F856)&gt;zincirTolerans,"ZİNCİR KIRIK","OK")))</f>
        <v/>
      </c>
      <c r="P856" s="35">
        <f>IF($A856="","",1)</f>
        <v/>
      </c>
    </row>
    <row r="857">
      <c r="A857" s="29" t="n"/>
      <c r="B857" s="29" t="n"/>
      <c r="C857" s="70" t="n"/>
      <c r="D857" s="29" t="n"/>
      <c r="E857" s="29" t="n"/>
      <c r="F857" s="30" t="n"/>
      <c r="G857" s="30" t="n"/>
      <c r="H857" s="31" t="n"/>
      <c r="I857" s="31" t="n"/>
      <c r="J857" s="29" t="n"/>
      <c r="K857" s="35">
        <f>IF($A857="","",IF($C857="","",raporTarihi-$C857))</f>
        <v/>
      </c>
      <c r="L857" s="35">
        <f>IF($A857="","",IF($K857="","",IF($K857&lt;=7,"0-7",IF($K857&lt;=30,"8-30",IF($K857&lt;=60,"31-60","60+")))))</f>
        <v/>
      </c>
      <c r="M857" s="35">
        <f>IF($A857="","",IF($B857="","YETİM",IF(COUNTIF(tblKartlar[KartId],$B857)=0,"YETİM","")))</f>
        <v/>
      </c>
      <c r="N857" s="35">
        <f>IF(OR($A857="",$D857=""),"",IF(OR($D857&amp;"|"&amp;$E857="",COUNTIF(ListeIzinliGecis,$D857&amp;"|"&amp;$E857)&gt;0),"","GEÇERSİZ GEÇİŞ"))</f>
        <v/>
      </c>
      <c r="O857" s="35">
        <f>IF($A857="","",IF(OR($F857="",$G857=""),"",IF(ABS($G857-$F857)&gt;zincirTolerans,"ZİNCİR KIRIK","OK")))</f>
        <v/>
      </c>
      <c r="P857" s="35">
        <f>IF($A857="","",1)</f>
        <v/>
      </c>
    </row>
    <row r="858">
      <c r="A858" s="29" t="n"/>
      <c r="B858" s="29" t="n"/>
      <c r="C858" s="70" t="n"/>
      <c r="D858" s="29" t="n"/>
      <c r="E858" s="29" t="n"/>
      <c r="F858" s="30" t="n"/>
      <c r="G858" s="30" t="n"/>
      <c r="H858" s="31" t="n"/>
      <c r="I858" s="31" t="n"/>
      <c r="J858" s="29" t="n"/>
      <c r="K858" s="35">
        <f>IF($A858="","",IF($C858="","",raporTarihi-$C858))</f>
        <v/>
      </c>
      <c r="L858" s="35">
        <f>IF($A858="","",IF($K858="","",IF($K858&lt;=7,"0-7",IF($K858&lt;=30,"8-30",IF($K858&lt;=60,"31-60","60+")))))</f>
        <v/>
      </c>
      <c r="M858" s="35">
        <f>IF($A858="","",IF($B858="","YETİM",IF(COUNTIF(tblKartlar[KartId],$B858)=0,"YETİM","")))</f>
        <v/>
      </c>
      <c r="N858" s="35">
        <f>IF(OR($A858="",$D858=""),"",IF(OR($D858&amp;"|"&amp;$E858="",COUNTIF(ListeIzinliGecis,$D858&amp;"|"&amp;$E858)&gt;0),"","GEÇERSİZ GEÇİŞ"))</f>
        <v/>
      </c>
      <c r="O858" s="35">
        <f>IF($A858="","",IF(OR($F858="",$G858=""),"",IF(ABS($G858-$F858)&gt;zincirTolerans,"ZİNCİR KIRIK","OK")))</f>
        <v/>
      </c>
      <c r="P858" s="35">
        <f>IF($A858="","",1)</f>
        <v/>
      </c>
    </row>
    <row r="859">
      <c r="A859" s="29" t="n"/>
      <c r="B859" s="29" t="n"/>
      <c r="C859" s="70" t="n"/>
      <c r="D859" s="29" t="n"/>
      <c r="E859" s="29" t="n"/>
      <c r="F859" s="30" t="n"/>
      <c r="G859" s="30" t="n"/>
      <c r="H859" s="31" t="n"/>
      <c r="I859" s="31" t="n"/>
      <c r="J859" s="29" t="n"/>
      <c r="K859" s="35">
        <f>IF($A859="","",IF($C859="","",raporTarihi-$C859))</f>
        <v/>
      </c>
      <c r="L859" s="35">
        <f>IF($A859="","",IF($K859="","",IF($K859&lt;=7,"0-7",IF($K859&lt;=30,"8-30",IF($K859&lt;=60,"31-60","60+")))))</f>
        <v/>
      </c>
      <c r="M859" s="35">
        <f>IF($A859="","",IF($B859="","YETİM",IF(COUNTIF(tblKartlar[KartId],$B859)=0,"YETİM","")))</f>
        <v/>
      </c>
      <c r="N859" s="35">
        <f>IF(OR($A859="",$D859=""),"",IF(OR($D859&amp;"|"&amp;$E859="",COUNTIF(ListeIzinliGecis,$D859&amp;"|"&amp;$E859)&gt;0),"","GEÇERSİZ GEÇİŞ"))</f>
        <v/>
      </c>
      <c r="O859" s="35">
        <f>IF($A859="","",IF(OR($F859="",$G859=""),"",IF(ABS($G859-$F859)&gt;zincirTolerans,"ZİNCİR KIRIK","OK")))</f>
        <v/>
      </c>
      <c r="P859" s="35">
        <f>IF($A859="","",1)</f>
        <v/>
      </c>
    </row>
    <row r="860">
      <c r="A860" s="29" t="n"/>
      <c r="B860" s="29" t="n"/>
      <c r="C860" s="70" t="n"/>
      <c r="D860" s="29" t="n"/>
      <c r="E860" s="29" t="n"/>
      <c r="F860" s="30" t="n"/>
      <c r="G860" s="30" t="n"/>
      <c r="H860" s="31" t="n"/>
      <c r="I860" s="31" t="n"/>
      <c r="J860" s="29" t="n"/>
      <c r="K860" s="35">
        <f>IF($A860="","",IF($C860="","",raporTarihi-$C860))</f>
        <v/>
      </c>
      <c r="L860" s="35">
        <f>IF($A860="","",IF($K860="","",IF($K860&lt;=7,"0-7",IF($K860&lt;=30,"8-30",IF($K860&lt;=60,"31-60","60+")))))</f>
        <v/>
      </c>
      <c r="M860" s="35">
        <f>IF($A860="","",IF($B860="","YETİM",IF(COUNTIF(tblKartlar[KartId],$B860)=0,"YETİM","")))</f>
        <v/>
      </c>
      <c r="N860" s="35">
        <f>IF(OR($A860="",$D860=""),"",IF(OR($D860&amp;"|"&amp;$E860="",COUNTIF(ListeIzinliGecis,$D860&amp;"|"&amp;$E860)&gt;0),"","GEÇERSİZ GEÇİŞ"))</f>
        <v/>
      </c>
      <c r="O860" s="35">
        <f>IF($A860="","",IF(OR($F860="",$G860=""),"",IF(ABS($G860-$F860)&gt;zincirTolerans,"ZİNCİR KIRIK","OK")))</f>
        <v/>
      </c>
      <c r="P860" s="35">
        <f>IF($A860="","",1)</f>
        <v/>
      </c>
    </row>
    <row r="861">
      <c r="A861" s="29" t="n"/>
      <c r="B861" s="29" t="n"/>
      <c r="C861" s="70" t="n"/>
      <c r="D861" s="29" t="n"/>
      <c r="E861" s="29" t="n"/>
      <c r="F861" s="30" t="n"/>
      <c r="G861" s="30" t="n"/>
      <c r="H861" s="31" t="n"/>
      <c r="I861" s="31" t="n"/>
      <c r="J861" s="29" t="n"/>
      <c r="K861" s="35">
        <f>IF($A861="","",IF($C861="","",raporTarihi-$C861))</f>
        <v/>
      </c>
      <c r="L861" s="35">
        <f>IF($A861="","",IF($K861="","",IF($K861&lt;=7,"0-7",IF($K861&lt;=30,"8-30",IF($K861&lt;=60,"31-60","60+")))))</f>
        <v/>
      </c>
      <c r="M861" s="35">
        <f>IF($A861="","",IF($B861="","YETİM",IF(COUNTIF(tblKartlar[KartId],$B861)=0,"YETİM","")))</f>
        <v/>
      </c>
      <c r="N861" s="35">
        <f>IF(OR($A861="",$D861=""),"",IF(OR($D861&amp;"|"&amp;$E861="",COUNTIF(ListeIzinliGecis,$D861&amp;"|"&amp;$E861)&gt;0),"","GEÇERSİZ GEÇİŞ"))</f>
        <v/>
      </c>
      <c r="O861" s="35">
        <f>IF($A861="","",IF(OR($F861="",$G861=""),"",IF(ABS($G861-$F861)&gt;zincirTolerans,"ZİNCİR KIRIK","OK")))</f>
        <v/>
      </c>
      <c r="P861" s="35">
        <f>IF($A861="","",1)</f>
        <v/>
      </c>
    </row>
    <row r="862">
      <c r="A862" s="29" t="n"/>
      <c r="B862" s="29" t="n"/>
      <c r="C862" s="70" t="n"/>
      <c r="D862" s="29" t="n"/>
      <c r="E862" s="29" t="n"/>
      <c r="F862" s="30" t="n"/>
      <c r="G862" s="30" t="n"/>
      <c r="H862" s="31" t="n"/>
      <c r="I862" s="31" t="n"/>
      <c r="J862" s="29" t="n"/>
      <c r="K862" s="35">
        <f>IF($A862="","",IF($C862="","",raporTarihi-$C862))</f>
        <v/>
      </c>
      <c r="L862" s="35">
        <f>IF($A862="","",IF($K862="","",IF($K862&lt;=7,"0-7",IF($K862&lt;=30,"8-30",IF($K862&lt;=60,"31-60","60+")))))</f>
        <v/>
      </c>
      <c r="M862" s="35">
        <f>IF($A862="","",IF($B862="","YETİM",IF(COUNTIF(tblKartlar[KartId],$B862)=0,"YETİM","")))</f>
        <v/>
      </c>
      <c r="N862" s="35">
        <f>IF(OR($A862="",$D862=""),"",IF(OR($D862&amp;"|"&amp;$E862="",COUNTIF(ListeIzinliGecis,$D862&amp;"|"&amp;$E862)&gt;0),"","GEÇERSİZ GEÇİŞ"))</f>
        <v/>
      </c>
      <c r="O862" s="35">
        <f>IF($A862="","",IF(OR($F862="",$G862=""),"",IF(ABS($G862-$F862)&gt;zincirTolerans,"ZİNCİR KIRIK","OK")))</f>
        <v/>
      </c>
      <c r="P862" s="35">
        <f>IF($A862="","",1)</f>
        <v/>
      </c>
    </row>
    <row r="863">
      <c r="A863" s="29" t="n"/>
      <c r="B863" s="29" t="n"/>
      <c r="C863" s="70" t="n"/>
      <c r="D863" s="29" t="n"/>
      <c r="E863" s="29" t="n"/>
      <c r="F863" s="30" t="n"/>
      <c r="G863" s="30" t="n"/>
      <c r="H863" s="31" t="n"/>
      <c r="I863" s="31" t="n"/>
      <c r="J863" s="29" t="n"/>
      <c r="K863" s="35">
        <f>IF($A863="","",IF($C863="","",raporTarihi-$C863))</f>
        <v/>
      </c>
      <c r="L863" s="35">
        <f>IF($A863="","",IF($K863="","",IF($K863&lt;=7,"0-7",IF($K863&lt;=30,"8-30",IF($K863&lt;=60,"31-60","60+")))))</f>
        <v/>
      </c>
      <c r="M863" s="35">
        <f>IF($A863="","",IF($B863="","YETİM",IF(COUNTIF(tblKartlar[KartId],$B863)=0,"YETİM","")))</f>
        <v/>
      </c>
      <c r="N863" s="35">
        <f>IF(OR($A863="",$D863=""),"",IF(OR($D863&amp;"|"&amp;$E863="",COUNTIF(ListeIzinliGecis,$D863&amp;"|"&amp;$E863)&gt;0),"","GEÇERSİZ GEÇİŞ"))</f>
        <v/>
      </c>
      <c r="O863" s="35">
        <f>IF($A863="","",IF(OR($F863="",$G863=""),"",IF(ABS($G863-$F863)&gt;zincirTolerans,"ZİNCİR KIRIK","OK")))</f>
        <v/>
      </c>
      <c r="P863" s="35">
        <f>IF($A863="","",1)</f>
        <v/>
      </c>
    </row>
    <row r="864">
      <c r="A864" s="29" t="n"/>
      <c r="B864" s="29" t="n"/>
      <c r="C864" s="70" t="n"/>
      <c r="D864" s="29" t="n"/>
      <c r="E864" s="29" t="n"/>
      <c r="F864" s="30" t="n"/>
      <c r="G864" s="30" t="n"/>
      <c r="H864" s="31" t="n"/>
      <c r="I864" s="31" t="n"/>
      <c r="J864" s="29" t="n"/>
      <c r="K864" s="35">
        <f>IF($A864="","",IF($C864="","",raporTarihi-$C864))</f>
        <v/>
      </c>
      <c r="L864" s="35">
        <f>IF($A864="","",IF($K864="","",IF($K864&lt;=7,"0-7",IF($K864&lt;=30,"8-30",IF($K864&lt;=60,"31-60","60+")))))</f>
        <v/>
      </c>
      <c r="M864" s="35">
        <f>IF($A864="","",IF($B864="","YETİM",IF(COUNTIF(tblKartlar[KartId],$B864)=0,"YETİM","")))</f>
        <v/>
      </c>
      <c r="N864" s="35">
        <f>IF(OR($A864="",$D864=""),"",IF(OR($D864&amp;"|"&amp;$E864="",COUNTIF(ListeIzinliGecis,$D864&amp;"|"&amp;$E864)&gt;0),"","GEÇERSİZ GEÇİŞ"))</f>
        <v/>
      </c>
      <c r="O864" s="35">
        <f>IF($A864="","",IF(OR($F864="",$G864=""),"",IF(ABS($G864-$F864)&gt;zincirTolerans,"ZİNCİR KIRIK","OK")))</f>
        <v/>
      </c>
      <c r="P864" s="35">
        <f>IF($A864="","",1)</f>
        <v/>
      </c>
    </row>
    <row r="865">
      <c r="A865" s="29" t="n"/>
      <c r="B865" s="29" t="n"/>
      <c r="C865" s="70" t="n"/>
      <c r="D865" s="29" t="n"/>
      <c r="E865" s="29" t="n"/>
      <c r="F865" s="30" t="n"/>
      <c r="G865" s="30" t="n"/>
      <c r="H865" s="31" t="n"/>
      <c r="I865" s="31" t="n"/>
      <c r="J865" s="29" t="n"/>
      <c r="K865" s="35">
        <f>IF($A865="","",IF($C865="","",raporTarihi-$C865))</f>
        <v/>
      </c>
      <c r="L865" s="35">
        <f>IF($A865="","",IF($K865="","",IF($K865&lt;=7,"0-7",IF($K865&lt;=30,"8-30",IF($K865&lt;=60,"31-60","60+")))))</f>
        <v/>
      </c>
      <c r="M865" s="35">
        <f>IF($A865="","",IF($B865="","YETİM",IF(COUNTIF(tblKartlar[KartId],$B865)=0,"YETİM","")))</f>
        <v/>
      </c>
      <c r="N865" s="35">
        <f>IF(OR($A865="",$D865=""),"",IF(OR($D865&amp;"|"&amp;$E865="",COUNTIF(ListeIzinliGecis,$D865&amp;"|"&amp;$E865)&gt;0),"","GEÇERSİZ GEÇİŞ"))</f>
        <v/>
      </c>
      <c r="O865" s="35">
        <f>IF($A865="","",IF(OR($F865="",$G865=""),"",IF(ABS($G865-$F865)&gt;zincirTolerans,"ZİNCİR KIRIK","OK")))</f>
        <v/>
      </c>
      <c r="P865" s="35">
        <f>IF($A865="","",1)</f>
        <v/>
      </c>
    </row>
    <row r="866">
      <c r="A866" s="29" t="n"/>
      <c r="B866" s="29" t="n"/>
      <c r="C866" s="70" t="n"/>
      <c r="D866" s="29" t="n"/>
      <c r="E866" s="29" t="n"/>
      <c r="F866" s="30" t="n"/>
      <c r="G866" s="30" t="n"/>
      <c r="H866" s="31" t="n"/>
      <c r="I866" s="31" t="n"/>
      <c r="J866" s="29" t="n"/>
      <c r="K866" s="35">
        <f>IF($A866="","",IF($C866="","",raporTarihi-$C866))</f>
        <v/>
      </c>
      <c r="L866" s="35">
        <f>IF($A866="","",IF($K866="","",IF($K866&lt;=7,"0-7",IF($K866&lt;=30,"8-30",IF($K866&lt;=60,"31-60","60+")))))</f>
        <v/>
      </c>
      <c r="M866" s="35">
        <f>IF($A866="","",IF($B866="","YETİM",IF(COUNTIF(tblKartlar[KartId],$B866)=0,"YETİM","")))</f>
        <v/>
      </c>
      <c r="N866" s="35">
        <f>IF(OR($A866="",$D866=""),"",IF(OR($D866&amp;"|"&amp;$E866="",COUNTIF(ListeIzinliGecis,$D866&amp;"|"&amp;$E866)&gt;0),"","GEÇERSİZ GEÇİŞ"))</f>
        <v/>
      </c>
      <c r="O866" s="35">
        <f>IF($A866="","",IF(OR($F866="",$G866=""),"",IF(ABS($G866-$F866)&gt;zincirTolerans,"ZİNCİR KIRIK","OK")))</f>
        <v/>
      </c>
      <c r="P866" s="35">
        <f>IF($A866="","",1)</f>
        <v/>
      </c>
    </row>
    <row r="867">
      <c r="A867" s="29" t="n"/>
      <c r="B867" s="29" t="n"/>
      <c r="C867" s="70" t="n"/>
      <c r="D867" s="29" t="n"/>
      <c r="E867" s="29" t="n"/>
      <c r="F867" s="30" t="n"/>
      <c r="G867" s="30" t="n"/>
      <c r="H867" s="31" t="n"/>
      <c r="I867" s="31" t="n"/>
      <c r="J867" s="29" t="n"/>
      <c r="K867" s="35">
        <f>IF($A867="","",IF($C867="","",raporTarihi-$C867))</f>
        <v/>
      </c>
      <c r="L867" s="35">
        <f>IF($A867="","",IF($K867="","",IF($K867&lt;=7,"0-7",IF($K867&lt;=30,"8-30",IF($K867&lt;=60,"31-60","60+")))))</f>
        <v/>
      </c>
      <c r="M867" s="35">
        <f>IF($A867="","",IF($B867="","YETİM",IF(COUNTIF(tblKartlar[KartId],$B867)=0,"YETİM","")))</f>
        <v/>
      </c>
      <c r="N867" s="35">
        <f>IF(OR($A867="",$D867=""),"",IF(OR($D867&amp;"|"&amp;$E867="",COUNTIF(ListeIzinliGecis,$D867&amp;"|"&amp;$E867)&gt;0),"","GEÇERSİZ GEÇİŞ"))</f>
        <v/>
      </c>
      <c r="O867" s="35">
        <f>IF($A867="","",IF(OR($F867="",$G867=""),"",IF(ABS($G867-$F867)&gt;zincirTolerans,"ZİNCİR KIRIK","OK")))</f>
        <v/>
      </c>
      <c r="P867" s="35">
        <f>IF($A867="","",1)</f>
        <v/>
      </c>
    </row>
    <row r="868">
      <c r="A868" s="29" t="n"/>
      <c r="B868" s="29" t="n"/>
      <c r="C868" s="70" t="n"/>
      <c r="D868" s="29" t="n"/>
      <c r="E868" s="29" t="n"/>
      <c r="F868" s="30" t="n"/>
      <c r="G868" s="30" t="n"/>
      <c r="H868" s="31" t="n"/>
      <c r="I868" s="31" t="n"/>
      <c r="J868" s="29" t="n"/>
      <c r="K868" s="35">
        <f>IF($A868="","",IF($C868="","",raporTarihi-$C868))</f>
        <v/>
      </c>
      <c r="L868" s="35">
        <f>IF($A868="","",IF($K868="","",IF($K868&lt;=7,"0-7",IF($K868&lt;=30,"8-30",IF($K868&lt;=60,"31-60","60+")))))</f>
        <v/>
      </c>
      <c r="M868" s="35">
        <f>IF($A868="","",IF($B868="","YETİM",IF(COUNTIF(tblKartlar[KartId],$B868)=0,"YETİM","")))</f>
        <v/>
      </c>
      <c r="N868" s="35">
        <f>IF(OR($A868="",$D868=""),"",IF(OR($D868&amp;"|"&amp;$E868="",COUNTIF(ListeIzinliGecis,$D868&amp;"|"&amp;$E868)&gt;0),"","GEÇERSİZ GEÇİŞ"))</f>
        <v/>
      </c>
      <c r="O868" s="35">
        <f>IF($A868="","",IF(OR($F868="",$G868=""),"",IF(ABS($G868-$F868)&gt;zincirTolerans,"ZİNCİR KIRIK","OK")))</f>
        <v/>
      </c>
      <c r="P868" s="35">
        <f>IF($A868="","",1)</f>
        <v/>
      </c>
    </row>
    <row r="869">
      <c r="A869" s="29" t="n"/>
      <c r="B869" s="29" t="n"/>
      <c r="C869" s="70" t="n"/>
      <c r="D869" s="29" t="n"/>
      <c r="E869" s="29" t="n"/>
      <c r="F869" s="30" t="n"/>
      <c r="G869" s="30" t="n"/>
      <c r="H869" s="31" t="n"/>
      <c r="I869" s="31" t="n"/>
      <c r="J869" s="29" t="n"/>
      <c r="K869" s="35">
        <f>IF($A869="","",IF($C869="","",raporTarihi-$C869))</f>
        <v/>
      </c>
      <c r="L869" s="35">
        <f>IF($A869="","",IF($K869="","",IF($K869&lt;=7,"0-7",IF($K869&lt;=30,"8-30",IF($K869&lt;=60,"31-60","60+")))))</f>
        <v/>
      </c>
      <c r="M869" s="35">
        <f>IF($A869="","",IF($B869="","YETİM",IF(COUNTIF(tblKartlar[KartId],$B869)=0,"YETİM","")))</f>
        <v/>
      </c>
      <c r="N869" s="35">
        <f>IF(OR($A869="",$D869=""),"",IF(OR($D869&amp;"|"&amp;$E869="",COUNTIF(ListeIzinliGecis,$D869&amp;"|"&amp;$E869)&gt;0),"","GEÇERSİZ GEÇİŞ"))</f>
        <v/>
      </c>
      <c r="O869" s="35">
        <f>IF($A869="","",IF(OR($F869="",$G869=""),"",IF(ABS($G869-$F869)&gt;zincirTolerans,"ZİNCİR KIRIK","OK")))</f>
        <v/>
      </c>
      <c r="P869" s="35">
        <f>IF($A869="","",1)</f>
        <v/>
      </c>
    </row>
    <row r="870">
      <c r="A870" s="29" t="n"/>
      <c r="B870" s="29" t="n"/>
      <c r="C870" s="70" t="n"/>
      <c r="D870" s="29" t="n"/>
      <c r="E870" s="29" t="n"/>
      <c r="F870" s="30" t="n"/>
      <c r="G870" s="30" t="n"/>
      <c r="H870" s="31" t="n"/>
      <c r="I870" s="31" t="n"/>
      <c r="J870" s="29" t="n"/>
      <c r="K870" s="35">
        <f>IF($A870="","",IF($C870="","",raporTarihi-$C870))</f>
        <v/>
      </c>
      <c r="L870" s="35">
        <f>IF($A870="","",IF($K870="","",IF($K870&lt;=7,"0-7",IF($K870&lt;=30,"8-30",IF($K870&lt;=60,"31-60","60+")))))</f>
        <v/>
      </c>
      <c r="M870" s="35">
        <f>IF($A870="","",IF($B870="","YETİM",IF(COUNTIF(tblKartlar[KartId],$B870)=0,"YETİM","")))</f>
        <v/>
      </c>
      <c r="N870" s="35">
        <f>IF(OR($A870="",$D870=""),"",IF(OR($D870&amp;"|"&amp;$E870="",COUNTIF(ListeIzinliGecis,$D870&amp;"|"&amp;$E870)&gt;0),"","GEÇERSİZ GEÇİŞ"))</f>
        <v/>
      </c>
      <c r="O870" s="35">
        <f>IF($A870="","",IF(OR($F870="",$G870=""),"",IF(ABS($G870-$F870)&gt;zincirTolerans,"ZİNCİR KIRIK","OK")))</f>
        <v/>
      </c>
      <c r="P870" s="35">
        <f>IF($A870="","",1)</f>
        <v/>
      </c>
    </row>
    <row r="871">
      <c r="A871" s="29" t="n"/>
      <c r="B871" s="29" t="n"/>
      <c r="C871" s="70" t="n"/>
      <c r="D871" s="29" t="n"/>
      <c r="E871" s="29" t="n"/>
      <c r="F871" s="30" t="n"/>
      <c r="G871" s="30" t="n"/>
      <c r="H871" s="31" t="n"/>
      <c r="I871" s="31" t="n"/>
      <c r="J871" s="29" t="n"/>
      <c r="K871" s="35">
        <f>IF($A871="","",IF($C871="","",raporTarihi-$C871))</f>
        <v/>
      </c>
      <c r="L871" s="35">
        <f>IF($A871="","",IF($K871="","",IF($K871&lt;=7,"0-7",IF($K871&lt;=30,"8-30",IF($K871&lt;=60,"31-60","60+")))))</f>
        <v/>
      </c>
      <c r="M871" s="35">
        <f>IF($A871="","",IF($B871="","YETİM",IF(COUNTIF(tblKartlar[KartId],$B871)=0,"YETİM","")))</f>
        <v/>
      </c>
      <c r="N871" s="35">
        <f>IF(OR($A871="",$D871=""),"",IF(OR($D871&amp;"|"&amp;$E871="",COUNTIF(ListeIzinliGecis,$D871&amp;"|"&amp;$E871)&gt;0),"","GEÇERSİZ GEÇİŞ"))</f>
        <v/>
      </c>
      <c r="O871" s="35">
        <f>IF($A871="","",IF(OR($F871="",$G871=""),"",IF(ABS($G871-$F871)&gt;zincirTolerans,"ZİNCİR KIRIK","OK")))</f>
        <v/>
      </c>
      <c r="P871" s="35">
        <f>IF($A871="","",1)</f>
        <v/>
      </c>
    </row>
    <row r="872">
      <c r="A872" s="29" t="n"/>
      <c r="B872" s="29" t="n"/>
      <c r="C872" s="70" t="n"/>
      <c r="D872" s="29" t="n"/>
      <c r="E872" s="29" t="n"/>
      <c r="F872" s="30" t="n"/>
      <c r="G872" s="30" t="n"/>
      <c r="H872" s="31" t="n"/>
      <c r="I872" s="31" t="n"/>
      <c r="J872" s="29" t="n"/>
      <c r="K872" s="35">
        <f>IF($A872="","",IF($C872="","",raporTarihi-$C872))</f>
        <v/>
      </c>
      <c r="L872" s="35">
        <f>IF($A872="","",IF($K872="","",IF($K872&lt;=7,"0-7",IF($K872&lt;=30,"8-30",IF($K872&lt;=60,"31-60","60+")))))</f>
        <v/>
      </c>
      <c r="M872" s="35">
        <f>IF($A872="","",IF($B872="","YETİM",IF(COUNTIF(tblKartlar[KartId],$B872)=0,"YETİM","")))</f>
        <v/>
      </c>
      <c r="N872" s="35">
        <f>IF(OR($A872="",$D872=""),"",IF(OR($D872&amp;"|"&amp;$E872="",COUNTIF(ListeIzinliGecis,$D872&amp;"|"&amp;$E872)&gt;0),"","GEÇERSİZ GEÇİŞ"))</f>
        <v/>
      </c>
      <c r="O872" s="35">
        <f>IF($A872="","",IF(OR($F872="",$G872=""),"",IF(ABS($G872-$F872)&gt;zincirTolerans,"ZİNCİR KIRIK","OK")))</f>
        <v/>
      </c>
      <c r="P872" s="35">
        <f>IF($A872="","",1)</f>
        <v/>
      </c>
    </row>
    <row r="873">
      <c r="A873" s="29" t="n"/>
      <c r="B873" s="29" t="n"/>
      <c r="C873" s="70" t="n"/>
      <c r="D873" s="29" t="n"/>
      <c r="E873" s="29" t="n"/>
      <c r="F873" s="30" t="n"/>
      <c r="G873" s="30" t="n"/>
      <c r="H873" s="31" t="n"/>
      <c r="I873" s="31" t="n"/>
      <c r="J873" s="29" t="n"/>
      <c r="K873" s="35">
        <f>IF($A873="","",IF($C873="","",raporTarihi-$C873))</f>
        <v/>
      </c>
      <c r="L873" s="35">
        <f>IF($A873="","",IF($K873="","",IF($K873&lt;=7,"0-7",IF($K873&lt;=30,"8-30",IF($K873&lt;=60,"31-60","60+")))))</f>
        <v/>
      </c>
      <c r="M873" s="35">
        <f>IF($A873="","",IF($B873="","YETİM",IF(COUNTIF(tblKartlar[KartId],$B873)=0,"YETİM","")))</f>
        <v/>
      </c>
      <c r="N873" s="35">
        <f>IF(OR($A873="",$D873=""),"",IF(OR($D873&amp;"|"&amp;$E873="",COUNTIF(ListeIzinliGecis,$D873&amp;"|"&amp;$E873)&gt;0),"","GEÇERSİZ GEÇİŞ"))</f>
        <v/>
      </c>
      <c r="O873" s="35">
        <f>IF($A873="","",IF(OR($F873="",$G873=""),"",IF(ABS($G873-$F873)&gt;zincirTolerans,"ZİNCİR KIRIK","OK")))</f>
        <v/>
      </c>
      <c r="P873" s="35">
        <f>IF($A873="","",1)</f>
        <v/>
      </c>
    </row>
    <row r="874">
      <c r="A874" s="29" t="n"/>
      <c r="B874" s="29" t="n"/>
      <c r="C874" s="70" t="n"/>
      <c r="D874" s="29" t="n"/>
      <c r="E874" s="29" t="n"/>
      <c r="F874" s="30" t="n"/>
      <c r="G874" s="30" t="n"/>
      <c r="H874" s="31" t="n"/>
      <c r="I874" s="31" t="n"/>
      <c r="J874" s="29" t="n"/>
      <c r="K874" s="35">
        <f>IF($A874="","",IF($C874="","",raporTarihi-$C874))</f>
        <v/>
      </c>
      <c r="L874" s="35">
        <f>IF($A874="","",IF($K874="","",IF($K874&lt;=7,"0-7",IF($K874&lt;=30,"8-30",IF($K874&lt;=60,"31-60","60+")))))</f>
        <v/>
      </c>
      <c r="M874" s="35">
        <f>IF($A874="","",IF($B874="","YETİM",IF(COUNTIF(tblKartlar[KartId],$B874)=0,"YETİM","")))</f>
        <v/>
      </c>
      <c r="N874" s="35">
        <f>IF(OR($A874="",$D874=""),"",IF(OR($D874&amp;"|"&amp;$E874="",COUNTIF(ListeIzinliGecis,$D874&amp;"|"&amp;$E874)&gt;0),"","GEÇERSİZ GEÇİŞ"))</f>
        <v/>
      </c>
      <c r="O874" s="35">
        <f>IF($A874="","",IF(OR($F874="",$G874=""),"",IF(ABS($G874-$F874)&gt;zincirTolerans,"ZİNCİR KIRIK","OK")))</f>
        <v/>
      </c>
      <c r="P874" s="35">
        <f>IF($A874="","",1)</f>
        <v/>
      </c>
    </row>
    <row r="875">
      <c r="A875" s="29" t="n"/>
      <c r="B875" s="29" t="n"/>
      <c r="C875" s="70" t="n"/>
      <c r="D875" s="29" t="n"/>
      <c r="E875" s="29" t="n"/>
      <c r="F875" s="30" t="n"/>
      <c r="G875" s="30" t="n"/>
      <c r="H875" s="31" t="n"/>
      <c r="I875" s="31" t="n"/>
      <c r="J875" s="29" t="n"/>
      <c r="K875" s="35">
        <f>IF($A875="","",IF($C875="","",raporTarihi-$C875))</f>
        <v/>
      </c>
      <c r="L875" s="35">
        <f>IF($A875="","",IF($K875="","",IF($K875&lt;=7,"0-7",IF($K875&lt;=30,"8-30",IF($K875&lt;=60,"31-60","60+")))))</f>
        <v/>
      </c>
      <c r="M875" s="35">
        <f>IF($A875="","",IF($B875="","YETİM",IF(COUNTIF(tblKartlar[KartId],$B875)=0,"YETİM","")))</f>
        <v/>
      </c>
      <c r="N875" s="35">
        <f>IF(OR($A875="",$D875=""),"",IF(OR($D875&amp;"|"&amp;$E875="",COUNTIF(ListeIzinliGecis,$D875&amp;"|"&amp;$E875)&gt;0),"","GEÇERSİZ GEÇİŞ"))</f>
        <v/>
      </c>
      <c r="O875" s="35">
        <f>IF($A875="","",IF(OR($F875="",$G875=""),"",IF(ABS($G875-$F875)&gt;zincirTolerans,"ZİNCİR KIRIK","OK")))</f>
        <v/>
      </c>
      <c r="P875" s="35">
        <f>IF($A875="","",1)</f>
        <v/>
      </c>
    </row>
    <row r="876">
      <c r="A876" s="29" t="n"/>
      <c r="B876" s="29" t="n"/>
      <c r="C876" s="70" t="n"/>
      <c r="D876" s="29" t="n"/>
      <c r="E876" s="29" t="n"/>
      <c r="F876" s="30" t="n"/>
      <c r="G876" s="30" t="n"/>
      <c r="H876" s="31" t="n"/>
      <c r="I876" s="31" t="n"/>
      <c r="J876" s="29" t="n"/>
      <c r="K876" s="35">
        <f>IF($A876="","",IF($C876="","",raporTarihi-$C876))</f>
        <v/>
      </c>
      <c r="L876" s="35">
        <f>IF($A876="","",IF($K876="","",IF($K876&lt;=7,"0-7",IF($K876&lt;=30,"8-30",IF($K876&lt;=60,"31-60","60+")))))</f>
        <v/>
      </c>
      <c r="M876" s="35">
        <f>IF($A876="","",IF($B876="","YETİM",IF(COUNTIF(tblKartlar[KartId],$B876)=0,"YETİM","")))</f>
        <v/>
      </c>
      <c r="N876" s="35">
        <f>IF(OR($A876="",$D876=""),"",IF(OR($D876&amp;"|"&amp;$E876="",COUNTIF(ListeIzinliGecis,$D876&amp;"|"&amp;$E876)&gt;0),"","GEÇERSİZ GEÇİŞ"))</f>
        <v/>
      </c>
      <c r="O876" s="35">
        <f>IF($A876="","",IF(OR($F876="",$G876=""),"",IF(ABS($G876-$F876)&gt;zincirTolerans,"ZİNCİR KIRIK","OK")))</f>
        <v/>
      </c>
      <c r="P876" s="35">
        <f>IF($A876="","",1)</f>
        <v/>
      </c>
    </row>
    <row r="877">
      <c r="A877" s="29" t="n"/>
      <c r="B877" s="29" t="n"/>
      <c r="C877" s="70" t="n"/>
      <c r="D877" s="29" t="n"/>
      <c r="E877" s="29" t="n"/>
      <c r="F877" s="30" t="n"/>
      <c r="G877" s="30" t="n"/>
      <c r="H877" s="31" t="n"/>
      <c r="I877" s="31" t="n"/>
      <c r="J877" s="29" t="n"/>
      <c r="K877" s="35">
        <f>IF($A877="","",IF($C877="","",raporTarihi-$C877))</f>
        <v/>
      </c>
      <c r="L877" s="35">
        <f>IF($A877="","",IF($K877="","",IF($K877&lt;=7,"0-7",IF($K877&lt;=30,"8-30",IF($K877&lt;=60,"31-60","60+")))))</f>
        <v/>
      </c>
      <c r="M877" s="35">
        <f>IF($A877="","",IF($B877="","YETİM",IF(COUNTIF(tblKartlar[KartId],$B877)=0,"YETİM","")))</f>
        <v/>
      </c>
      <c r="N877" s="35">
        <f>IF(OR($A877="",$D877=""),"",IF(OR($D877&amp;"|"&amp;$E877="",COUNTIF(ListeIzinliGecis,$D877&amp;"|"&amp;$E877)&gt;0),"","GEÇERSİZ GEÇİŞ"))</f>
        <v/>
      </c>
      <c r="O877" s="35">
        <f>IF($A877="","",IF(OR($F877="",$G877=""),"",IF(ABS($G877-$F877)&gt;zincirTolerans,"ZİNCİR KIRIK","OK")))</f>
        <v/>
      </c>
      <c r="P877" s="35">
        <f>IF($A877="","",1)</f>
        <v/>
      </c>
    </row>
    <row r="878">
      <c r="A878" s="29" t="n"/>
      <c r="B878" s="29" t="n"/>
      <c r="C878" s="70" t="n"/>
      <c r="D878" s="29" t="n"/>
      <c r="E878" s="29" t="n"/>
      <c r="F878" s="30" t="n"/>
      <c r="G878" s="30" t="n"/>
      <c r="H878" s="31" t="n"/>
      <c r="I878" s="31" t="n"/>
      <c r="J878" s="29" t="n"/>
      <c r="K878" s="35">
        <f>IF($A878="","",IF($C878="","",raporTarihi-$C878))</f>
        <v/>
      </c>
      <c r="L878" s="35">
        <f>IF($A878="","",IF($K878="","",IF($K878&lt;=7,"0-7",IF($K878&lt;=30,"8-30",IF($K878&lt;=60,"31-60","60+")))))</f>
        <v/>
      </c>
      <c r="M878" s="35">
        <f>IF($A878="","",IF($B878="","YETİM",IF(COUNTIF(tblKartlar[KartId],$B878)=0,"YETİM","")))</f>
        <v/>
      </c>
      <c r="N878" s="35">
        <f>IF(OR($A878="",$D878=""),"",IF(OR($D878&amp;"|"&amp;$E878="",COUNTIF(ListeIzinliGecis,$D878&amp;"|"&amp;$E878)&gt;0),"","GEÇERSİZ GEÇİŞ"))</f>
        <v/>
      </c>
      <c r="O878" s="35">
        <f>IF($A878="","",IF(OR($F878="",$G878=""),"",IF(ABS($G878-$F878)&gt;zincirTolerans,"ZİNCİR KIRIK","OK")))</f>
        <v/>
      </c>
      <c r="P878" s="35">
        <f>IF($A878="","",1)</f>
        <v/>
      </c>
    </row>
    <row r="879">
      <c r="A879" s="29" t="n"/>
      <c r="B879" s="29" t="n"/>
      <c r="C879" s="70" t="n"/>
      <c r="D879" s="29" t="n"/>
      <c r="E879" s="29" t="n"/>
      <c r="F879" s="30" t="n"/>
      <c r="G879" s="30" t="n"/>
      <c r="H879" s="31" t="n"/>
      <c r="I879" s="31" t="n"/>
      <c r="J879" s="29" t="n"/>
      <c r="K879" s="35">
        <f>IF($A879="","",IF($C879="","",raporTarihi-$C879))</f>
        <v/>
      </c>
      <c r="L879" s="35">
        <f>IF($A879="","",IF($K879="","",IF($K879&lt;=7,"0-7",IF($K879&lt;=30,"8-30",IF($K879&lt;=60,"31-60","60+")))))</f>
        <v/>
      </c>
      <c r="M879" s="35">
        <f>IF($A879="","",IF($B879="","YETİM",IF(COUNTIF(tblKartlar[KartId],$B879)=0,"YETİM","")))</f>
        <v/>
      </c>
      <c r="N879" s="35">
        <f>IF(OR($A879="",$D879=""),"",IF(OR($D879&amp;"|"&amp;$E879="",COUNTIF(ListeIzinliGecis,$D879&amp;"|"&amp;$E879)&gt;0),"","GEÇERSİZ GEÇİŞ"))</f>
        <v/>
      </c>
      <c r="O879" s="35">
        <f>IF($A879="","",IF(OR($F879="",$G879=""),"",IF(ABS($G879-$F879)&gt;zincirTolerans,"ZİNCİR KIRIK","OK")))</f>
        <v/>
      </c>
      <c r="P879" s="35">
        <f>IF($A879="","",1)</f>
        <v/>
      </c>
    </row>
    <row r="880">
      <c r="A880" s="29" t="n"/>
      <c r="B880" s="29" t="n"/>
      <c r="C880" s="70" t="n"/>
      <c r="D880" s="29" t="n"/>
      <c r="E880" s="29" t="n"/>
      <c r="F880" s="30" t="n"/>
      <c r="G880" s="30" t="n"/>
      <c r="H880" s="31" t="n"/>
      <c r="I880" s="31" t="n"/>
      <c r="J880" s="29" t="n"/>
      <c r="K880" s="35">
        <f>IF($A880="","",IF($C880="","",raporTarihi-$C880))</f>
        <v/>
      </c>
      <c r="L880" s="35">
        <f>IF($A880="","",IF($K880="","",IF($K880&lt;=7,"0-7",IF($K880&lt;=30,"8-30",IF($K880&lt;=60,"31-60","60+")))))</f>
        <v/>
      </c>
      <c r="M880" s="35">
        <f>IF($A880="","",IF($B880="","YETİM",IF(COUNTIF(tblKartlar[KartId],$B880)=0,"YETİM","")))</f>
        <v/>
      </c>
      <c r="N880" s="35">
        <f>IF(OR($A880="",$D880=""),"",IF(OR($D880&amp;"|"&amp;$E880="",COUNTIF(ListeIzinliGecis,$D880&amp;"|"&amp;$E880)&gt;0),"","GEÇERSİZ GEÇİŞ"))</f>
        <v/>
      </c>
      <c r="O880" s="35">
        <f>IF($A880="","",IF(OR($F880="",$G880=""),"",IF(ABS($G880-$F880)&gt;zincirTolerans,"ZİNCİR KIRIK","OK")))</f>
        <v/>
      </c>
      <c r="P880" s="35">
        <f>IF($A880="","",1)</f>
        <v/>
      </c>
    </row>
    <row r="881">
      <c r="A881" s="29" t="n"/>
      <c r="B881" s="29" t="n"/>
      <c r="C881" s="70" t="n"/>
      <c r="D881" s="29" t="n"/>
      <c r="E881" s="29" t="n"/>
      <c r="F881" s="30" t="n"/>
      <c r="G881" s="30" t="n"/>
      <c r="H881" s="31" t="n"/>
      <c r="I881" s="31" t="n"/>
      <c r="J881" s="29" t="n"/>
      <c r="K881" s="35">
        <f>IF($A881="","",IF($C881="","",raporTarihi-$C881))</f>
        <v/>
      </c>
      <c r="L881" s="35">
        <f>IF($A881="","",IF($K881="","",IF($K881&lt;=7,"0-7",IF($K881&lt;=30,"8-30",IF($K881&lt;=60,"31-60","60+")))))</f>
        <v/>
      </c>
      <c r="M881" s="35">
        <f>IF($A881="","",IF($B881="","YETİM",IF(COUNTIF(tblKartlar[KartId],$B881)=0,"YETİM","")))</f>
        <v/>
      </c>
      <c r="N881" s="35">
        <f>IF(OR($A881="",$D881=""),"",IF(OR($D881&amp;"|"&amp;$E881="",COUNTIF(ListeIzinliGecis,$D881&amp;"|"&amp;$E881)&gt;0),"","GEÇERSİZ GEÇİŞ"))</f>
        <v/>
      </c>
      <c r="O881" s="35">
        <f>IF($A881="","",IF(OR($F881="",$G881=""),"",IF(ABS($G881-$F881)&gt;zincirTolerans,"ZİNCİR KIRIK","OK")))</f>
        <v/>
      </c>
      <c r="P881" s="35">
        <f>IF($A881="","",1)</f>
        <v/>
      </c>
    </row>
    <row r="882">
      <c r="A882" s="29" t="n"/>
      <c r="B882" s="29" t="n"/>
      <c r="C882" s="70" t="n"/>
      <c r="D882" s="29" t="n"/>
      <c r="E882" s="29" t="n"/>
      <c r="F882" s="30" t="n"/>
      <c r="G882" s="30" t="n"/>
      <c r="H882" s="31" t="n"/>
      <c r="I882" s="31" t="n"/>
      <c r="J882" s="29" t="n"/>
      <c r="K882" s="35">
        <f>IF($A882="","",IF($C882="","",raporTarihi-$C882))</f>
        <v/>
      </c>
      <c r="L882" s="35">
        <f>IF($A882="","",IF($K882="","",IF($K882&lt;=7,"0-7",IF($K882&lt;=30,"8-30",IF($K882&lt;=60,"31-60","60+")))))</f>
        <v/>
      </c>
      <c r="M882" s="35">
        <f>IF($A882="","",IF($B882="","YETİM",IF(COUNTIF(tblKartlar[KartId],$B882)=0,"YETİM","")))</f>
        <v/>
      </c>
      <c r="N882" s="35">
        <f>IF(OR($A882="",$D882=""),"",IF(OR($D882&amp;"|"&amp;$E882="",COUNTIF(ListeIzinliGecis,$D882&amp;"|"&amp;$E882)&gt;0),"","GEÇERSİZ GEÇİŞ"))</f>
        <v/>
      </c>
      <c r="O882" s="35">
        <f>IF($A882="","",IF(OR($F882="",$G882=""),"",IF(ABS($G882-$F882)&gt;zincirTolerans,"ZİNCİR KIRIK","OK")))</f>
        <v/>
      </c>
      <c r="P882" s="35">
        <f>IF($A882="","",1)</f>
        <v/>
      </c>
    </row>
    <row r="883">
      <c r="A883" s="29" t="n"/>
      <c r="B883" s="29" t="n"/>
      <c r="C883" s="70" t="n"/>
      <c r="D883" s="29" t="n"/>
      <c r="E883" s="29" t="n"/>
      <c r="F883" s="30" t="n"/>
      <c r="G883" s="30" t="n"/>
      <c r="H883" s="31" t="n"/>
      <c r="I883" s="31" t="n"/>
      <c r="J883" s="29" t="n"/>
      <c r="K883" s="35">
        <f>IF($A883="","",IF($C883="","",raporTarihi-$C883))</f>
        <v/>
      </c>
      <c r="L883" s="35">
        <f>IF($A883="","",IF($K883="","",IF($K883&lt;=7,"0-7",IF($K883&lt;=30,"8-30",IF($K883&lt;=60,"31-60","60+")))))</f>
        <v/>
      </c>
      <c r="M883" s="35">
        <f>IF($A883="","",IF($B883="","YETİM",IF(COUNTIF(tblKartlar[KartId],$B883)=0,"YETİM","")))</f>
        <v/>
      </c>
      <c r="N883" s="35">
        <f>IF(OR($A883="",$D883=""),"",IF(OR($D883&amp;"|"&amp;$E883="",COUNTIF(ListeIzinliGecis,$D883&amp;"|"&amp;$E883)&gt;0),"","GEÇERSİZ GEÇİŞ"))</f>
        <v/>
      </c>
      <c r="O883" s="35">
        <f>IF($A883="","",IF(OR($F883="",$G883=""),"",IF(ABS($G883-$F883)&gt;zincirTolerans,"ZİNCİR KIRIK","OK")))</f>
        <v/>
      </c>
      <c r="P883" s="35">
        <f>IF($A883="","",1)</f>
        <v/>
      </c>
    </row>
    <row r="884">
      <c r="A884" s="29" t="n"/>
      <c r="B884" s="29" t="n"/>
      <c r="C884" s="70" t="n"/>
      <c r="D884" s="29" t="n"/>
      <c r="E884" s="29" t="n"/>
      <c r="F884" s="30" t="n"/>
      <c r="G884" s="30" t="n"/>
      <c r="H884" s="31" t="n"/>
      <c r="I884" s="31" t="n"/>
      <c r="J884" s="29" t="n"/>
      <c r="K884" s="35">
        <f>IF($A884="","",IF($C884="","",raporTarihi-$C884))</f>
        <v/>
      </c>
      <c r="L884" s="35">
        <f>IF($A884="","",IF($K884="","",IF($K884&lt;=7,"0-7",IF($K884&lt;=30,"8-30",IF($K884&lt;=60,"31-60","60+")))))</f>
        <v/>
      </c>
      <c r="M884" s="35">
        <f>IF($A884="","",IF($B884="","YETİM",IF(COUNTIF(tblKartlar[KartId],$B884)=0,"YETİM","")))</f>
        <v/>
      </c>
      <c r="N884" s="35">
        <f>IF(OR($A884="",$D884=""),"",IF(OR($D884&amp;"|"&amp;$E884="",COUNTIF(ListeIzinliGecis,$D884&amp;"|"&amp;$E884)&gt;0),"","GEÇERSİZ GEÇİŞ"))</f>
        <v/>
      </c>
      <c r="O884" s="35">
        <f>IF($A884="","",IF(OR($F884="",$G884=""),"",IF(ABS($G884-$F884)&gt;zincirTolerans,"ZİNCİR KIRIK","OK")))</f>
        <v/>
      </c>
      <c r="P884" s="35">
        <f>IF($A884="","",1)</f>
        <v/>
      </c>
    </row>
    <row r="885">
      <c r="A885" s="29" t="n"/>
      <c r="B885" s="29" t="n"/>
      <c r="C885" s="70" t="n"/>
      <c r="D885" s="29" t="n"/>
      <c r="E885" s="29" t="n"/>
      <c r="F885" s="30" t="n"/>
      <c r="G885" s="30" t="n"/>
      <c r="H885" s="31" t="n"/>
      <c r="I885" s="31" t="n"/>
      <c r="J885" s="29" t="n"/>
      <c r="K885" s="35">
        <f>IF($A885="","",IF($C885="","",raporTarihi-$C885))</f>
        <v/>
      </c>
      <c r="L885" s="35">
        <f>IF($A885="","",IF($K885="","",IF($K885&lt;=7,"0-7",IF($K885&lt;=30,"8-30",IF($K885&lt;=60,"31-60","60+")))))</f>
        <v/>
      </c>
      <c r="M885" s="35">
        <f>IF($A885="","",IF($B885="","YETİM",IF(COUNTIF(tblKartlar[KartId],$B885)=0,"YETİM","")))</f>
        <v/>
      </c>
      <c r="N885" s="35">
        <f>IF(OR($A885="",$D885=""),"",IF(OR($D885&amp;"|"&amp;$E885="",COUNTIF(ListeIzinliGecis,$D885&amp;"|"&amp;$E885)&gt;0),"","GEÇERSİZ GEÇİŞ"))</f>
        <v/>
      </c>
      <c r="O885" s="35">
        <f>IF($A885="","",IF(OR($F885="",$G885=""),"",IF(ABS($G885-$F885)&gt;zincirTolerans,"ZİNCİR KIRIK","OK")))</f>
        <v/>
      </c>
      <c r="P885" s="35">
        <f>IF($A885="","",1)</f>
        <v/>
      </c>
    </row>
    <row r="886">
      <c r="A886" s="29" t="n"/>
      <c r="B886" s="29" t="n"/>
      <c r="C886" s="70" t="n"/>
      <c r="D886" s="29" t="n"/>
      <c r="E886" s="29" t="n"/>
      <c r="F886" s="30" t="n"/>
      <c r="G886" s="30" t="n"/>
      <c r="H886" s="31" t="n"/>
      <c r="I886" s="31" t="n"/>
      <c r="J886" s="29" t="n"/>
      <c r="K886" s="35">
        <f>IF($A886="","",IF($C886="","",raporTarihi-$C886))</f>
        <v/>
      </c>
      <c r="L886" s="35">
        <f>IF($A886="","",IF($K886="","",IF($K886&lt;=7,"0-7",IF($K886&lt;=30,"8-30",IF($K886&lt;=60,"31-60","60+")))))</f>
        <v/>
      </c>
      <c r="M886" s="35">
        <f>IF($A886="","",IF($B886="","YETİM",IF(COUNTIF(tblKartlar[KartId],$B886)=0,"YETİM","")))</f>
        <v/>
      </c>
      <c r="N886" s="35">
        <f>IF(OR($A886="",$D886=""),"",IF(OR($D886&amp;"|"&amp;$E886="",COUNTIF(ListeIzinliGecis,$D886&amp;"|"&amp;$E886)&gt;0),"","GEÇERSİZ GEÇİŞ"))</f>
        <v/>
      </c>
      <c r="O886" s="35">
        <f>IF($A886="","",IF(OR($F886="",$G886=""),"",IF(ABS($G886-$F886)&gt;zincirTolerans,"ZİNCİR KIRIK","OK")))</f>
        <v/>
      </c>
      <c r="P886" s="35">
        <f>IF($A886="","",1)</f>
        <v/>
      </c>
    </row>
    <row r="887">
      <c r="A887" s="29" t="n"/>
      <c r="B887" s="29" t="n"/>
      <c r="C887" s="70" t="n"/>
      <c r="D887" s="29" t="n"/>
      <c r="E887" s="29" t="n"/>
      <c r="F887" s="30" t="n"/>
      <c r="G887" s="30" t="n"/>
      <c r="H887" s="31" t="n"/>
      <c r="I887" s="31" t="n"/>
      <c r="J887" s="29" t="n"/>
      <c r="K887" s="35">
        <f>IF($A887="","",IF($C887="","",raporTarihi-$C887))</f>
        <v/>
      </c>
      <c r="L887" s="35">
        <f>IF($A887="","",IF($K887="","",IF($K887&lt;=7,"0-7",IF($K887&lt;=30,"8-30",IF($K887&lt;=60,"31-60","60+")))))</f>
        <v/>
      </c>
      <c r="M887" s="35">
        <f>IF($A887="","",IF($B887="","YETİM",IF(COUNTIF(tblKartlar[KartId],$B887)=0,"YETİM","")))</f>
        <v/>
      </c>
      <c r="N887" s="35">
        <f>IF(OR($A887="",$D887=""),"",IF(OR($D887&amp;"|"&amp;$E887="",COUNTIF(ListeIzinliGecis,$D887&amp;"|"&amp;$E887)&gt;0),"","GEÇERSİZ GEÇİŞ"))</f>
        <v/>
      </c>
      <c r="O887" s="35">
        <f>IF($A887="","",IF(OR($F887="",$G887=""),"",IF(ABS($G887-$F887)&gt;zincirTolerans,"ZİNCİR KIRIK","OK")))</f>
        <v/>
      </c>
      <c r="P887" s="35">
        <f>IF($A887="","",1)</f>
        <v/>
      </c>
    </row>
    <row r="888">
      <c r="A888" s="29" t="n"/>
      <c r="B888" s="29" t="n"/>
      <c r="C888" s="70" t="n"/>
      <c r="D888" s="29" t="n"/>
      <c r="E888" s="29" t="n"/>
      <c r="F888" s="30" t="n"/>
      <c r="G888" s="30" t="n"/>
      <c r="H888" s="31" t="n"/>
      <c r="I888" s="31" t="n"/>
      <c r="J888" s="29" t="n"/>
      <c r="K888" s="35">
        <f>IF($A888="","",IF($C888="","",raporTarihi-$C888))</f>
        <v/>
      </c>
      <c r="L888" s="35">
        <f>IF($A888="","",IF($K888="","",IF($K888&lt;=7,"0-7",IF($K888&lt;=30,"8-30",IF($K888&lt;=60,"31-60","60+")))))</f>
        <v/>
      </c>
      <c r="M888" s="35">
        <f>IF($A888="","",IF($B888="","YETİM",IF(COUNTIF(tblKartlar[KartId],$B888)=0,"YETİM","")))</f>
        <v/>
      </c>
      <c r="N888" s="35">
        <f>IF(OR($A888="",$D888=""),"",IF(OR($D888&amp;"|"&amp;$E888="",COUNTIF(ListeIzinliGecis,$D888&amp;"|"&amp;$E888)&gt;0),"","GEÇERSİZ GEÇİŞ"))</f>
        <v/>
      </c>
      <c r="O888" s="35">
        <f>IF($A888="","",IF(OR($F888="",$G888=""),"",IF(ABS($G888-$F888)&gt;zincirTolerans,"ZİNCİR KIRIK","OK")))</f>
        <v/>
      </c>
      <c r="P888" s="35">
        <f>IF($A888="","",1)</f>
        <v/>
      </c>
    </row>
    <row r="889">
      <c r="A889" s="29" t="n"/>
      <c r="B889" s="29" t="n"/>
      <c r="C889" s="70" t="n"/>
      <c r="D889" s="29" t="n"/>
      <c r="E889" s="29" t="n"/>
      <c r="F889" s="30" t="n"/>
      <c r="G889" s="30" t="n"/>
      <c r="H889" s="31" t="n"/>
      <c r="I889" s="31" t="n"/>
      <c r="J889" s="29" t="n"/>
      <c r="K889" s="35">
        <f>IF($A889="","",IF($C889="","",raporTarihi-$C889))</f>
        <v/>
      </c>
      <c r="L889" s="35">
        <f>IF($A889="","",IF($K889="","",IF($K889&lt;=7,"0-7",IF($K889&lt;=30,"8-30",IF($K889&lt;=60,"31-60","60+")))))</f>
        <v/>
      </c>
      <c r="M889" s="35">
        <f>IF($A889="","",IF($B889="","YETİM",IF(COUNTIF(tblKartlar[KartId],$B889)=0,"YETİM","")))</f>
        <v/>
      </c>
      <c r="N889" s="35">
        <f>IF(OR($A889="",$D889=""),"",IF(OR($D889&amp;"|"&amp;$E889="",COUNTIF(ListeIzinliGecis,$D889&amp;"|"&amp;$E889)&gt;0),"","GEÇERSİZ GEÇİŞ"))</f>
        <v/>
      </c>
      <c r="O889" s="35">
        <f>IF($A889="","",IF(OR($F889="",$G889=""),"",IF(ABS($G889-$F889)&gt;zincirTolerans,"ZİNCİR KIRIK","OK")))</f>
        <v/>
      </c>
      <c r="P889" s="35">
        <f>IF($A889="","",1)</f>
        <v/>
      </c>
    </row>
    <row r="890">
      <c r="A890" s="29" t="n"/>
      <c r="B890" s="29" t="n"/>
      <c r="C890" s="70" t="n"/>
      <c r="D890" s="29" t="n"/>
      <c r="E890" s="29" t="n"/>
      <c r="F890" s="30" t="n"/>
      <c r="G890" s="30" t="n"/>
      <c r="H890" s="31" t="n"/>
      <c r="I890" s="31" t="n"/>
      <c r="J890" s="29" t="n"/>
      <c r="K890" s="35">
        <f>IF($A890="","",IF($C890="","",raporTarihi-$C890))</f>
        <v/>
      </c>
      <c r="L890" s="35">
        <f>IF($A890="","",IF($K890="","",IF($K890&lt;=7,"0-7",IF($K890&lt;=30,"8-30",IF($K890&lt;=60,"31-60","60+")))))</f>
        <v/>
      </c>
      <c r="M890" s="35">
        <f>IF($A890="","",IF($B890="","YETİM",IF(COUNTIF(tblKartlar[KartId],$B890)=0,"YETİM","")))</f>
        <v/>
      </c>
      <c r="N890" s="35">
        <f>IF(OR($A890="",$D890=""),"",IF(OR($D890&amp;"|"&amp;$E890="",COUNTIF(ListeIzinliGecis,$D890&amp;"|"&amp;$E890)&gt;0),"","GEÇERSİZ GEÇİŞ"))</f>
        <v/>
      </c>
      <c r="O890" s="35">
        <f>IF($A890="","",IF(OR($F890="",$G890=""),"",IF(ABS($G890-$F890)&gt;zincirTolerans,"ZİNCİR KIRIK","OK")))</f>
        <v/>
      </c>
      <c r="P890" s="35">
        <f>IF($A890="","",1)</f>
        <v/>
      </c>
    </row>
    <row r="891">
      <c r="A891" s="29" t="n"/>
      <c r="B891" s="29" t="n"/>
      <c r="C891" s="70" t="n"/>
      <c r="D891" s="29" t="n"/>
      <c r="E891" s="29" t="n"/>
      <c r="F891" s="30" t="n"/>
      <c r="G891" s="30" t="n"/>
      <c r="H891" s="31" t="n"/>
      <c r="I891" s="31" t="n"/>
      <c r="J891" s="29" t="n"/>
      <c r="K891" s="35">
        <f>IF($A891="","",IF($C891="","",raporTarihi-$C891))</f>
        <v/>
      </c>
      <c r="L891" s="35">
        <f>IF($A891="","",IF($K891="","",IF($K891&lt;=7,"0-7",IF($K891&lt;=30,"8-30",IF($K891&lt;=60,"31-60","60+")))))</f>
        <v/>
      </c>
      <c r="M891" s="35">
        <f>IF($A891="","",IF($B891="","YETİM",IF(COUNTIF(tblKartlar[KartId],$B891)=0,"YETİM","")))</f>
        <v/>
      </c>
      <c r="N891" s="35">
        <f>IF(OR($A891="",$D891=""),"",IF(OR($D891&amp;"|"&amp;$E891="",COUNTIF(ListeIzinliGecis,$D891&amp;"|"&amp;$E891)&gt;0),"","GEÇERSİZ GEÇİŞ"))</f>
        <v/>
      </c>
      <c r="O891" s="35">
        <f>IF($A891="","",IF(OR($F891="",$G891=""),"",IF(ABS($G891-$F891)&gt;zincirTolerans,"ZİNCİR KIRIK","OK")))</f>
        <v/>
      </c>
      <c r="P891" s="35">
        <f>IF($A891="","",1)</f>
        <v/>
      </c>
    </row>
    <row r="892">
      <c r="A892" s="29" t="n"/>
      <c r="B892" s="29" t="n"/>
      <c r="C892" s="70" t="n"/>
      <c r="D892" s="29" t="n"/>
      <c r="E892" s="29" t="n"/>
      <c r="F892" s="30" t="n"/>
      <c r="G892" s="30" t="n"/>
      <c r="H892" s="31" t="n"/>
      <c r="I892" s="31" t="n"/>
      <c r="J892" s="29" t="n"/>
      <c r="K892" s="35">
        <f>IF($A892="","",IF($C892="","",raporTarihi-$C892))</f>
        <v/>
      </c>
      <c r="L892" s="35">
        <f>IF($A892="","",IF($K892="","",IF($K892&lt;=7,"0-7",IF($K892&lt;=30,"8-30",IF($K892&lt;=60,"31-60","60+")))))</f>
        <v/>
      </c>
      <c r="M892" s="35">
        <f>IF($A892="","",IF($B892="","YETİM",IF(COUNTIF(tblKartlar[KartId],$B892)=0,"YETİM","")))</f>
        <v/>
      </c>
      <c r="N892" s="35">
        <f>IF(OR($A892="",$D892=""),"",IF(OR($D892&amp;"|"&amp;$E892="",COUNTIF(ListeIzinliGecis,$D892&amp;"|"&amp;$E892)&gt;0),"","GEÇERSİZ GEÇİŞ"))</f>
        <v/>
      </c>
      <c r="O892" s="35">
        <f>IF($A892="","",IF(OR($F892="",$G892=""),"",IF(ABS($G892-$F892)&gt;zincirTolerans,"ZİNCİR KIRIK","OK")))</f>
        <v/>
      </c>
      <c r="P892" s="35">
        <f>IF($A892="","",1)</f>
        <v/>
      </c>
    </row>
    <row r="893">
      <c r="A893" s="29" t="n"/>
      <c r="B893" s="29" t="n"/>
      <c r="C893" s="70" t="n"/>
      <c r="D893" s="29" t="n"/>
      <c r="E893" s="29" t="n"/>
      <c r="F893" s="30" t="n"/>
      <c r="G893" s="30" t="n"/>
      <c r="H893" s="31" t="n"/>
      <c r="I893" s="31" t="n"/>
      <c r="J893" s="29" t="n"/>
      <c r="K893" s="35">
        <f>IF($A893="","",IF($C893="","",raporTarihi-$C893))</f>
        <v/>
      </c>
      <c r="L893" s="35">
        <f>IF($A893="","",IF($K893="","",IF($K893&lt;=7,"0-7",IF($K893&lt;=30,"8-30",IF($K893&lt;=60,"31-60","60+")))))</f>
        <v/>
      </c>
      <c r="M893" s="35">
        <f>IF($A893="","",IF($B893="","YETİM",IF(COUNTIF(tblKartlar[KartId],$B893)=0,"YETİM","")))</f>
        <v/>
      </c>
      <c r="N893" s="35">
        <f>IF(OR($A893="",$D893=""),"",IF(OR($D893&amp;"|"&amp;$E893="",COUNTIF(ListeIzinliGecis,$D893&amp;"|"&amp;$E893)&gt;0),"","GEÇERSİZ GEÇİŞ"))</f>
        <v/>
      </c>
      <c r="O893" s="35">
        <f>IF($A893="","",IF(OR($F893="",$G893=""),"",IF(ABS($G893-$F893)&gt;zincirTolerans,"ZİNCİR KIRIK","OK")))</f>
        <v/>
      </c>
      <c r="P893" s="35">
        <f>IF($A893="","",1)</f>
        <v/>
      </c>
    </row>
    <row r="894">
      <c r="A894" s="29" t="n"/>
      <c r="B894" s="29" t="n"/>
      <c r="C894" s="70" t="n"/>
      <c r="D894" s="29" t="n"/>
      <c r="E894" s="29" t="n"/>
      <c r="F894" s="30" t="n"/>
      <c r="G894" s="30" t="n"/>
      <c r="H894" s="31" t="n"/>
      <c r="I894" s="31" t="n"/>
      <c r="J894" s="29" t="n"/>
      <c r="K894" s="35">
        <f>IF($A894="","",IF($C894="","",raporTarihi-$C894))</f>
        <v/>
      </c>
      <c r="L894" s="35">
        <f>IF($A894="","",IF($K894="","",IF($K894&lt;=7,"0-7",IF($K894&lt;=30,"8-30",IF($K894&lt;=60,"31-60","60+")))))</f>
        <v/>
      </c>
      <c r="M894" s="35">
        <f>IF($A894="","",IF($B894="","YETİM",IF(COUNTIF(tblKartlar[KartId],$B894)=0,"YETİM","")))</f>
        <v/>
      </c>
      <c r="N894" s="35">
        <f>IF(OR($A894="",$D894=""),"",IF(OR($D894&amp;"|"&amp;$E894="",COUNTIF(ListeIzinliGecis,$D894&amp;"|"&amp;$E894)&gt;0),"","GEÇERSİZ GEÇİŞ"))</f>
        <v/>
      </c>
      <c r="O894" s="35">
        <f>IF($A894="","",IF(OR($F894="",$G894=""),"",IF(ABS($G894-$F894)&gt;zincirTolerans,"ZİNCİR KIRIK","OK")))</f>
        <v/>
      </c>
      <c r="P894" s="35">
        <f>IF($A894="","",1)</f>
        <v/>
      </c>
    </row>
    <row r="895">
      <c r="A895" s="29" t="n"/>
      <c r="B895" s="29" t="n"/>
      <c r="C895" s="70" t="n"/>
      <c r="D895" s="29" t="n"/>
      <c r="E895" s="29" t="n"/>
      <c r="F895" s="30" t="n"/>
      <c r="G895" s="30" t="n"/>
      <c r="H895" s="31" t="n"/>
      <c r="I895" s="31" t="n"/>
      <c r="J895" s="29" t="n"/>
      <c r="K895" s="35">
        <f>IF($A895="","",IF($C895="","",raporTarihi-$C895))</f>
        <v/>
      </c>
      <c r="L895" s="35">
        <f>IF($A895="","",IF($K895="","",IF($K895&lt;=7,"0-7",IF($K895&lt;=30,"8-30",IF($K895&lt;=60,"31-60","60+")))))</f>
        <v/>
      </c>
      <c r="M895" s="35">
        <f>IF($A895="","",IF($B895="","YETİM",IF(COUNTIF(tblKartlar[KartId],$B895)=0,"YETİM","")))</f>
        <v/>
      </c>
      <c r="N895" s="35">
        <f>IF(OR($A895="",$D895=""),"",IF(OR($D895&amp;"|"&amp;$E895="",COUNTIF(ListeIzinliGecis,$D895&amp;"|"&amp;$E895)&gt;0),"","GEÇERSİZ GEÇİŞ"))</f>
        <v/>
      </c>
      <c r="O895" s="35">
        <f>IF($A895="","",IF(OR($F895="",$G895=""),"",IF(ABS($G895-$F895)&gt;zincirTolerans,"ZİNCİR KIRIK","OK")))</f>
        <v/>
      </c>
      <c r="P895" s="35">
        <f>IF($A895="","",1)</f>
        <v/>
      </c>
    </row>
    <row r="896">
      <c r="A896" s="29" t="n"/>
      <c r="B896" s="29" t="n"/>
      <c r="C896" s="70" t="n"/>
      <c r="D896" s="29" t="n"/>
      <c r="E896" s="29" t="n"/>
      <c r="F896" s="30" t="n"/>
      <c r="G896" s="30" t="n"/>
      <c r="H896" s="31" t="n"/>
      <c r="I896" s="31" t="n"/>
      <c r="J896" s="29" t="n"/>
      <c r="K896" s="35">
        <f>IF($A896="","",IF($C896="","",raporTarihi-$C896))</f>
        <v/>
      </c>
      <c r="L896" s="35">
        <f>IF($A896="","",IF($K896="","",IF($K896&lt;=7,"0-7",IF($K896&lt;=30,"8-30",IF($K896&lt;=60,"31-60","60+")))))</f>
        <v/>
      </c>
      <c r="M896" s="35">
        <f>IF($A896="","",IF($B896="","YETİM",IF(COUNTIF(tblKartlar[KartId],$B896)=0,"YETİM","")))</f>
        <v/>
      </c>
      <c r="N896" s="35">
        <f>IF(OR($A896="",$D896=""),"",IF(OR($D896&amp;"|"&amp;$E896="",COUNTIF(ListeIzinliGecis,$D896&amp;"|"&amp;$E896)&gt;0),"","GEÇERSİZ GEÇİŞ"))</f>
        <v/>
      </c>
      <c r="O896" s="35">
        <f>IF($A896="","",IF(OR($F896="",$G896=""),"",IF(ABS($G896-$F896)&gt;zincirTolerans,"ZİNCİR KIRIK","OK")))</f>
        <v/>
      </c>
      <c r="P896" s="35">
        <f>IF($A896="","",1)</f>
        <v/>
      </c>
    </row>
    <row r="897">
      <c r="A897" s="29" t="n"/>
      <c r="B897" s="29" t="n"/>
      <c r="C897" s="70" t="n"/>
      <c r="D897" s="29" t="n"/>
      <c r="E897" s="29" t="n"/>
      <c r="F897" s="30" t="n"/>
      <c r="G897" s="30" t="n"/>
      <c r="H897" s="31" t="n"/>
      <c r="I897" s="31" t="n"/>
      <c r="J897" s="29" t="n"/>
      <c r="K897" s="35">
        <f>IF($A897="","",IF($C897="","",raporTarihi-$C897))</f>
        <v/>
      </c>
      <c r="L897" s="35">
        <f>IF($A897="","",IF($K897="","",IF($K897&lt;=7,"0-7",IF($K897&lt;=30,"8-30",IF($K897&lt;=60,"31-60","60+")))))</f>
        <v/>
      </c>
      <c r="M897" s="35">
        <f>IF($A897="","",IF($B897="","YETİM",IF(COUNTIF(tblKartlar[KartId],$B897)=0,"YETİM","")))</f>
        <v/>
      </c>
      <c r="N897" s="35">
        <f>IF(OR($A897="",$D897=""),"",IF(OR($D897&amp;"|"&amp;$E897="",COUNTIF(ListeIzinliGecis,$D897&amp;"|"&amp;$E897)&gt;0),"","GEÇERSİZ GEÇİŞ"))</f>
        <v/>
      </c>
      <c r="O897" s="35">
        <f>IF($A897="","",IF(OR($F897="",$G897=""),"",IF(ABS($G897-$F897)&gt;zincirTolerans,"ZİNCİR KIRIK","OK")))</f>
        <v/>
      </c>
      <c r="P897" s="35">
        <f>IF($A897="","",1)</f>
        <v/>
      </c>
    </row>
    <row r="898">
      <c r="A898" s="29" t="n"/>
      <c r="B898" s="29" t="n"/>
      <c r="C898" s="70" t="n"/>
      <c r="D898" s="29" t="n"/>
      <c r="E898" s="29" t="n"/>
      <c r="F898" s="30" t="n"/>
      <c r="G898" s="30" t="n"/>
      <c r="H898" s="31" t="n"/>
      <c r="I898" s="31" t="n"/>
      <c r="J898" s="29" t="n"/>
      <c r="K898" s="35">
        <f>IF($A898="","",IF($C898="","",raporTarihi-$C898))</f>
        <v/>
      </c>
      <c r="L898" s="35">
        <f>IF($A898="","",IF($K898="","",IF($K898&lt;=7,"0-7",IF($K898&lt;=30,"8-30",IF($K898&lt;=60,"31-60","60+")))))</f>
        <v/>
      </c>
      <c r="M898" s="35">
        <f>IF($A898="","",IF($B898="","YETİM",IF(COUNTIF(tblKartlar[KartId],$B898)=0,"YETİM","")))</f>
        <v/>
      </c>
      <c r="N898" s="35">
        <f>IF(OR($A898="",$D898=""),"",IF(OR($D898&amp;"|"&amp;$E898="",COUNTIF(ListeIzinliGecis,$D898&amp;"|"&amp;$E898)&gt;0),"","GEÇERSİZ GEÇİŞ"))</f>
        <v/>
      </c>
      <c r="O898" s="35">
        <f>IF($A898="","",IF(OR($F898="",$G898=""),"",IF(ABS($G898-$F898)&gt;zincirTolerans,"ZİNCİR KIRIK","OK")))</f>
        <v/>
      </c>
      <c r="P898" s="35">
        <f>IF($A898="","",1)</f>
        <v/>
      </c>
    </row>
    <row r="899">
      <c r="A899" s="29" t="n"/>
      <c r="B899" s="29" t="n"/>
      <c r="C899" s="70" t="n"/>
      <c r="D899" s="29" t="n"/>
      <c r="E899" s="29" t="n"/>
      <c r="F899" s="30" t="n"/>
      <c r="G899" s="30" t="n"/>
      <c r="H899" s="31" t="n"/>
      <c r="I899" s="31" t="n"/>
      <c r="J899" s="29" t="n"/>
      <c r="K899" s="35">
        <f>IF($A899="","",IF($C899="","",raporTarihi-$C899))</f>
        <v/>
      </c>
      <c r="L899" s="35">
        <f>IF($A899="","",IF($K899="","",IF($K899&lt;=7,"0-7",IF($K899&lt;=30,"8-30",IF($K899&lt;=60,"31-60","60+")))))</f>
        <v/>
      </c>
      <c r="M899" s="35">
        <f>IF($A899="","",IF($B899="","YETİM",IF(COUNTIF(tblKartlar[KartId],$B899)=0,"YETİM","")))</f>
        <v/>
      </c>
      <c r="N899" s="35">
        <f>IF(OR($A899="",$D899=""),"",IF(OR($D899&amp;"|"&amp;$E899="",COUNTIF(ListeIzinliGecis,$D899&amp;"|"&amp;$E899)&gt;0),"","GEÇERSİZ GEÇİŞ"))</f>
        <v/>
      </c>
      <c r="O899" s="35">
        <f>IF($A899="","",IF(OR($F899="",$G899=""),"",IF(ABS($G899-$F899)&gt;zincirTolerans,"ZİNCİR KIRIK","OK")))</f>
        <v/>
      </c>
      <c r="P899" s="35">
        <f>IF($A899="","",1)</f>
        <v/>
      </c>
    </row>
    <row r="900">
      <c r="A900" s="29" t="n"/>
      <c r="B900" s="29" t="n"/>
      <c r="C900" s="70" t="n"/>
      <c r="D900" s="29" t="n"/>
      <c r="E900" s="29" t="n"/>
      <c r="F900" s="30" t="n"/>
      <c r="G900" s="30" t="n"/>
      <c r="H900" s="31" t="n"/>
      <c r="I900" s="31" t="n"/>
      <c r="J900" s="29" t="n"/>
      <c r="K900" s="35">
        <f>IF($A900="","",IF($C900="","",raporTarihi-$C900))</f>
        <v/>
      </c>
      <c r="L900" s="35">
        <f>IF($A900="","",IF($K900="","",IF($K900&lt;=7,"0-7",IF($K900&lt;=30,"8-30",IF($K900&lt;=60,"31-60","60+")))))</f>
        <v/>
      </c>
      <c r="M900" s="35">
        <f>IF($A900="","",IF($B900="","YETİM",IF(COUNTIF(tblKartlar[KartId],$B900)=0,"YETİM","")))</f>
        <v/>
      </c>
      <c r="N900" s="35">
        <f>IF(OR($A900="",$D900=""),"",IF(OR($D900&amp;"|"&amp;$E900="",COUNTIF(ListeIzinliGecis,$D900&amp;"|"&amp;$E900)&gt;0),"","GEÇERSİZ GEÇİŞ"))</f>
        <v/>
      </c>
      <c r="O900" s="35">
        <f>IF($A900="","",IF(OR($F900="",$G900=""),"",IF(ABS($G900-$F900)&gt;zincirTolerans,"ZİNCİR KIRIK","OK")))</f>
        <v/>
      </c>
      <c r="P900" s="35">
        <f>IF($A900="","",1)</f>
        <v/>
      </c>
    </row>
    <row r="901">
      <c r="A901" s="29" t="n"/>
      <c r="B901" s="29" t="n"/>
      <c r="C901" s="70" t="n"/>
      <c r="D901" s="29" t="n"/>
      <c r="E901" s="29" t="n"/>
      <c r="F901" s="30" t="n"/>
      <c r="G901" s="30" t="n"/>
      <c r="H901" s="31" t="n"/>
      <c r="I901" s="31" t="n"/>
      <c r="J901" s="29" t="n"/>
      <c r="K901" s="35">
        <f>IF($A901="","",IF($C901="","",raporTarihi-$C901))</f>
        <v/>
      </c>
      <c r="L901" s="35">
        <f>IF($A901="","",IF($K901="","",IF($K901&lt;=7,"0-7",IF($K901&lt;=30,"8-30",IF($K901&lt;=60,"31-60","60+")))))</f>
        <v/>
      </c>
      <c r="M901" s="35">
        <f>IF($A901="","",IF($B901="","YETİM",IF(COUNTIF(tblKartlar[KartId],$B901)=0,"YETİM","")))</f>
        <v/>
      </c>
      <c r="N901" s="35">
        <f>IF(OR($A901="",$D901=""),"",IF(OR($D901&amp;"|"&amp;$E901="",COUNTIF(ListeIzinliGecis,$D901&amp;"|"&amp;$E901)&gt;0),"","GEÇERSİZ GEÇİŞ"))</f>
        <v/>
      </c>
      <c r="O901" s="35">
        <f>IF($A901="","",IF(OR($F901="",$G901=""),"",IF(ABS($G901-$F901)&gt;zincirTolerans,"ZİNCİR KIRIK","OK")))</f>
        <v/>
      </c>
      <c r="P901" s="35">
        <f>IF($A901="","",1)</f>
        <v/>
      </c>
    </row>
    <row r="902">
      <c r="A902" s="29" t="n"/>
      <c r="B902" s="29" t="n"/>
      <c r="C902" s="70" t="n"/>
      <c r="D902" s="29" t="n"/>
      <c r="E902" s="29" t="n"/>
      <c r="F902" s="30" t="n"/>
      <c r="G902" s="30" t="n"/>
      <c r="H902" s="31" t="n"/>
      <c r="I902" s="31" t="n"/>
      <c r="J902" s="29" t="n"/>
      <c r="K902" s="35">
        <f>IF($A902="","",IF($C902="","",raporTarihi-$C902))</f>
        <v/>
      </c>
      <c r="L902" s="35">
        <f>IF($A902="","",IF($K902="","",IF($K902&lt;=7,"0-7",IF($K902&lt;=30,"8-30",IF($K902&lt;=60,"31-60","60+")))))</f>
        <v/>
      </c>
      <c r="M902" s="35">
        <f>IF($A902="","",IF($B902="","YETİM",IF(COUNTIF(tblKartlar[KartId],$B902)=0,"YETİM","")))</f>
        <v/>
      </c>
      <c r="N902" s="35">
        <f>IF(OR($A902="",$D902=""),"",IF(OR($D902&amp;"|"&amp;$E902="",COUNTIF(ListeIzinliGecis,$D902&amp;"|"&amp;$E902)&gt;0),"","GEÇERSİZ GEÇİŞ"))</f>
        <v/>
      </c>
      <c r="O902" s="35">
        <f>IF($A902="","",IF(OR($F902="",$G902=""),"",IF(ABS($G902-$F902)&gt;zincirTolerans,"ZİNCİR KIRIK","OK")))</f>
        <v/>
      </c>
      <c r="P902" s="35">
        <f>IF($A902="","",1)</f>
        <v/>
      </c>
    </row>
    <row r="903">
      <c r="A903" s="29" t="n"/>
      <c r="B903" s="29" t="n"/>
      <c r="C903" s="70" t="n"/>
      <c r="D903" s="29" t="n"/>
      <c r="E903" s="29" t="n"/>
      <c r="F903" s="30" t="n"/>
      <c r="G903" s="30" t="n"/>
      <c r="H903" s="31" t="n"/>
      <c r="I903" s="31" t="n"/>
      <c r="J903" s="29" t="n"/>
      <c r="K903" s="35">
        <f>IF($A903="","",IF($C903="","",raporTarihi-$C903))</f>
        <v/>
      </c>
      <c r="L903" s="35">
        <f>IF($A903="","",IF($K903="","",IF($K903&lt;=7,"0-7",IF($K903&lt;=30,"8-30",IF($K903&lt;=60,"31-60","60+")))))</f>
        <v/>
      </c>
      <c r="M903" s="35">
        <f>IF($A903="","",IF($B903="","YETİM",IF(COUNTIF(tblKartlar[KartId],$B903)=0,"YETİM","")))</f>
        <v/>
      </c>
      <c r="N903" s="35">
        <f>IF(OR($A903="",$D903=""),"",IF(OR($D903&amp;"|"&amp;$E903="",COUNTIF(ListeIzinliGecis,$D903&amp;"|"&amp;$E903)&gt;0),"","GEÇERSİZ GEÇİŞ"))</f>
        <v/>
      </c>
      <c r="O903" s="35">
        <f>IF($A903="","",IF(OR($F903="",$G903=""),"",IF(ABS($G903-$F903)&gt;zincirTolerans,"ZİNCİR KIRIK","OK")))</f>
        <v/>
      </c>
      <c r="P903" s="35">
        <f>IF($A903="","",1)</f>
        <v/>
      </c>
    </row>
    <row r="904">
      <c r="A904" s="29" t="n"/>
      <c r="B904" s="29" t="n"/>
      <c r="C904" s="70" t="n"/>
      <c r="D904" s="29" t="n"/>
      <c r="E904" s="29" t="n"/>
      <c r="F904" s="30" t="n"/>
      <c r="G904" s="30" t="n"/>
      <c r="H904" s="31" t="n"/>
      <c r="I904" s="31" t="n"/>
      <c r="J904" s="29" t="n"/>
      <c r="K904" s="35">
        <f>IF($A904="","",IF($C904="","",raporTarihi-$C904))</f>
        <v/>
      </c>
      <c r="L904" s="35">
        <f>IF($A904="","",IF($K904="","",IF($K904&lt;=7,"0-7",IF($K904&lt;=30,"8-30",IF($K904&lt;=60,"31-60","60+")))))</f>
        <v/>
      </c>
      <c r="M904" s="35">
        <f>IF($A904="","",IF($B904="","YETİM",IF(COUNTIF(tblKartlar[KartId],$B904)=0,"YETİM","")))</f>
        <v/>
      </c>
      <c r="N904" s="35">
        <f>IF(OR($A904="",$D904=""),"",IF(OR($D904&amp;"|"&amp;$E904="",COUNTIF(ListeIzinliGecis,$D904&amp;"|"&amp;$E904)&gt;0),"","GEÇERSİZ GEÇİŞ"))</f>
        <v/>
      </c>
      <c r="O904" s="35">
        <f>IF($A904="","",IF(OR($F904="",$G904=""),"",IF(ABS($G904-$F904)&gt;zincirTolerans,"ZİNCİR KIRIK","OK")))</f>
        <v/>
      </c>
      <c r="P904" s="35">
        <f>IF($A904="","",1)</f>
        <v/>
      </c>
    </row>
    <row r="905">
      <c r="A905" s="29" t="n"/>
      <c r="B905" s="29" t="n"/>
      <c r="C905" s="70" t="n"/>
      <c r="D905" s="29" t="n"/>
      <c r="E905" s="29" t="n"/>
      <c r="F905" s="30" t="n"/>
      <c r="G905" s="30" t="n"/>
      <c r="H905" s="31" t="n"/>
      <c r="I905" s="31" t="n"/>
      <c r="J905" s="29" t="n"/>
      <c r="K905" s="35">
        <f>IF($A905="","",IF($C905="","",raporTarihi-$C905))</f>
        <v/>
      </c>
      <c r="L905" s="35">
        <f>IF($A905="","",IF($K905="","",IF($K905&lt;=7,"0-7",IF($K905&lt;=30,"8-30",IF($K905&lt;=60,"31-60","60+")))))</f>
        <v/>
      </c>
      <c r="M905" s="35">
        <f>IF($A905="","",IF($B905="","YETİM",IF(COUNTIF(tblKartlar[KartId],$B905)=0,"YETİM","")))</f>
        <v/>
      </c>
      <c r="N905" s="35">
        <f>IF(OR($A905="",$D905=""),"",IF(OR($D905&amp;"|"&amp;$E905="",COUNTIF(ListeIzinliGecis,$D905&amp;"|"&amp;$E905)&gt;0),"","GEÇERSİZ GEÇİŞ"))</f>
        <v/>
      </c>
      <c r="O905" s="35">
        <f>IF($A905="","",IF(OR($F905="",$G905=""),"",IF(ABS($G905-$F905)&gt;zincirTolerans,"ZİNCİR KIRIK","OK")))</f>
        <v/>
      </c>
      <c r="P905" s="35">
        <f>IF($A905="","",1)</f>
        <v/>
      </c>
    </row>
    <row r="906">
      <c r="A906" s="29" t="n"/>
      <c r="B906" s="29" t="n"/>
      <c r="C906" s="70" t="n"/>
      <c r="D906" s="29" t="n"/>
      <c r="E906" s="29" t="n"/>
      <c r="F906" s="30" t="n"/>
      <c r="G906" s="30" t="n"/>
      <c r="H906" s="31" t="n"/>
      <c r="I906" s="31" t="n"/>
      <c r="J906" s="29" t="n"/>
      <c r="K906" s="35">
        <f>IF($A906="","",IF($C906="","",raporTarihi-$C906))</f>
        <v/>
      </c>
      <c r="L906" s="35">
        <f>IF($A906="","",IF($K906="","",IF($K906&lt;=7,"0-7",IF($K906&lt;=30,"8-30",IF($K906&lt;=60,"31-60","60+")))))</f>
        <v/>
      </c>
      <c r="M906" s="35">
        <f>IF($A906="","",IF($B906="","YETİM",IF(COUNTIF(tblKartlar[KartId],$B906)=0,"YETİM","")))</f>
        <v/>
      </c>
      <c r="N906" s="35">
        <f>IF(OR($A906="",$D906=""),"",IF(OR($D906&amp;"|"&amp;$E906="",COUNTIF(ListeIzinliGecis,$D906&amp;"|"&amp;$E906)&gt;0),"","GEÇERSİZ GEÇİŞ"))</f>
        <v/>
      </c>
      <c r="O906" s="35">
        <f>IF($A906="","",IF(OR($F906="",$G906=""),"",IF(ABS($G906-$F906)&gt;zincirTolerans,"ZİNCİR KIRIK","OK")))</f>
        <v/>
      </c>
      <c r="P906" s="35">
        <f>IF($A906="","",1)</f>
        <v/>
      </c>
    </row>
    <row r="907">
      <c r="A907" s="29" t="n"/>
      <c r="B907" s="29" t="n"/>
      <c r="C907" s="70" t="n"/>
      <c r="D907" s="29" t="n"/>
      <c r="E907" s="29" t="n"/>
      <c r="F907" s="30" t="n"/>
      <c r="G907" s="30" t="n"/>
      <c r="H907" s="31" t="n"/>
      <c r="I907" s="31" t="n"/>
      <c r="J907" s="29" t="n"/>
      <c r="K907" s="35">
        <f>IF($A907="","",IF($C907="","",raporTarihi-$C907))</f>
        <v/>
      </c>
      <c r="L907" s="35">
        <f>IF($A907="","",IF($K907="","",IF($K907&lt;=7,"0-7",IF($K907&lt;=30,"8-30",IF($K907&lt;=60,"31-60","60+")))))</f>
        <v/>
      </c>
      <c r="M907" s="35">
        <f>IF($A907="","",IF($B907="","YETİM",IF(COUNTIF(tblKartlar[KartId],$B907)=0,"YETİM","")))</f>
        <v/>
      </c>
      <c r="N907" s="35">
        <f>IF(OR($A907="",$D907=""),"",IF(OR($D907&amp;"|"&amp;$E907="",COUNTIF(ListeIzinliGecis,$D907&amp;"|"&amp;$E907)&gt;0),"","GEÇERSİZ GEÇİŞ"))</f>
        <v/>
      </c>
      <c r="O907" s="35">
        <f>IF($A907="","",IF(OR($F907="",$G907=""),"",IF(ABS($G907-$F907)&gt;zincirTolerans,"ZİNCİR KIRIK","OK")))</f>
        <v/>
      </c>
      <c r="P907" s="35">
        <f>IF($A907="","",1)</f>
        <v/>
      </c>
    </row>
    <row r="908">
      <c r="A908" s="29" t="n"/>
      <c r="B908" s="29" t="n"/>
      <c r="C908" s="70" t="n"/>
      <c r="D908" s="29" t="n"/>
      <c r="E908" s="29" t="n"/>
      <c r="F908" s="30" t="n"/>
      <c r="G908" s="30" t="n"/>
      <c r="H908" s="31" t="n"/>
      <c r="I908" s="31" t="n"/>
      <c r="J908" s="29" t="n"/>
      <c r="K908" s="35">
        <f>IF($A908="","",IF($C908="","",raporTarihi-$C908))</f>
        <v/>
      </c>
      <c r="L908" s="35">
        <f>IF($A908="","",IF($K908="","",IF($K908&lt;=7,"0-7",IF($K908&lt;=30,"8-30",IF($K908&lt;=60,"31-60","60+")))))</f>
        <v/>
      </c>
      <c r="M908" s="35">
        <f>IF($A908="","",IF($B908="","YETİM",IF(COUNTIF(tblKartlar[KartId],$B908)=0,"YETİM","")))</f>
        <v/>
      </c>
      <c r="N908" s="35">
        <f>IF(OR($A908="",$D908=""),"",IF(OR($D908&amp;"|"&amp;$E908="",COUNTIF(ListeIzinliGecis,$D908&amp;"|"&amp;$E908)&gt;0),"","GEÇERSİZ GEÇİŞ"))</f>
        <v/>
      </c>
      <c r="O908" s="35">
        <f>IF($A908="","",IF(OR($F908="",$G908=""),"",IF(ABS($G908-$F908)&gt;zincirTolerans,"ZİNCİR KIRIK","OK")))</f>
        <v/>
      </c>
      <c r="P908" s="35">
        <f>IF($A908="","",1)</f>
        <v/>
      </c>
    </row>
    <row r="909">
      <c r="A909" s="29" t="n"/>
      <c r="B909" s="29" t="n"/>
      <c r="C909" s="70" t="n"/>
      <c r="D909" s="29" t="n"/>
      <c r="E909" s="29" t="n"/>
      <c r="F909" s="30" t="n"/>
      <c r="G909" s="30" t="n"/>
      <c r="H909" s="31" t="n"/>
      <c r="I909" s="31" t="n"/>
      <c r="J909" s="29" t="n"/>
      <c r="K909" s="35">
        <f>IF($A909="","",IF($C909="","",raporTarihi-$C909))</f>
        <v/>
      </c>
      <c r="L909" s="35">
        <f>IF($A909="","",IF($K909="","",IF($K909&lt;=7,"0-7",IF($K909&lt;=30,"8-30",IF($K909&lt;=60,"31-60","60+")))))</f>
        <v/>
      </c>
      <c r="M909" s="35">
        <f>IF($A909="","",IF($B909="","YETİM",IF(COUNTIF(tblKartlar[KartId],$B909)=0,"YETİM","")))</f>
        <v/>
      </c>
      <c r="N909" s="35">
        <f>IF(OR($A909="",$D909=""),"",IF(OR($D909&amp;"|"&amp;$E909="",COUNTIF(ListeIzinliGecis,$D909&amp;"|"&amp;$E909)&gt;0),"","GEÇERSİZ GEÇİŞ"))</f>
        <v/>
      </c>
      <c r="O909" s="35">
        <f>IF($A909="","",IF(OR($F909="",$G909=""),"",IF(ABS($G909-$F909)&gt;zincirTolerans,"ZİNCİR KIRIK","OK")))</f>
        <v/>
      </c>
      <c r="P909" s="35">
        <f>IF($A909="","",1)</f>
        <v/>
      </c>
    </row>
    <row r="910">
      <c r="A910" s="29" t="n"/>
      <c r="B910" s="29" t="n"/>
      <c r="C910" s="70" t="n"/>
      <c r="D910" s="29" t="n"/>
      <c r="E910" s="29" t="n"/>
      <c r="F910" s="30" t="n"/>
      <c r="G910" s="30" t="n"/>
      <c r="H910" s="31" t="n"/>
      <c r="I910" s="31" t="n"/>
      <c r="J910" s="29" t="n"/>
      <c r="K910" s="35">
        <f>IF($A910="","",IF($C910="","",raporTarihi-$C910))</f>
        <v/>
      </c>
      <c r="L910" s="35">
        <f>IF($A910="","",IF($K910="","",IF($K910&lt;=7,"0-7",IF($K910&lt;=30,"8-30",IF($K910&lt;=60,"31-60","60+")))))</f>
        <v/>
      </c>
      <c r="M910" s="35">
        <f>IF($A910="","",IF($B910="","YETİM",IF(COUNTIF(tblKartlar[KartId],$B910)=0,"YETİM","")))</f>
        <v/>
      </c>
      <c r="N910" s="35">
        <f>IF(OR($A910="",$D910=""),"",IF(OR($D910&amp;"|"&amp;$E910="",COUNTIF(ListeIzinliGecis,$D910&amp;"|"&amp;$E910)&gt;0),"","GEÇERSİZ GEÇİŞ"))</f>
        <v/>
      </c>
      <c r="O910" s="35">
        <f>IF($A910="","",IF(OR($F910="",$G910=""),"",IF(ABS($G910-$F910)&gt;zincirTolerans,"ZİNCİR KIRIK","OK")))</f>
        <v/>
      </c>
      <c r="P910" s="35">
        <f>IF($A910="","",1)</f>
        <v/>
      </c>
    </row>
    <row r="911">
      <c r="A911" s="29" t="n"/>
      <c r="B911" s="29" t="n"/>
      <c r="C911" s="70" t="n"/>
      <c r="D911" s="29" t="n"/>
      <c r="E911" s="29" t="n"/>
      <c r="F911" s="30" t="n"/>
      <c r="G911" s="30" t="n"/>
      <c r="H911" s="31" t="n"/>
      <c r="I911" s="31" t="n"/>
      <c r="J911" s="29" t="n"/>
      <c r="K911" s="35">
        <f>IF($A911="","",IF($C911="","",raporTarihi-$C911))</f>
        <v/>
      </c>
      <c r="L911" s="35">
        <f>IF($A911="","",IF($K911="","",IF($K911&lt;=7,"0-7",IF($K911&lt;=30,"8-30",IF($K911&lt;=60,"31-60","60+")))))</f>
        <v/>
      </c>
      <c r="M911" s="35">
        <f>IF($A911="","",IF($B911="","YETİM",IF(COUNTIF(tblKartlar[KartId],$B911)=0,"YETİM","")))</f>
        <v/>
      </c>
      <c r="N911" s="35">
        <f>IF(OR($A911="",$D911=""),"",IF(OR($D911&amp;"|"&amp;$E911="",COUNTIF(ListeIzinliGecis,$D911&amp;"|"&amp;$E911)&gt;0),"","GEÇERSİZ GEÇİŞ"))</f>
        <v/>
      </c>
      <c r="O911" s="35">
        <f>IF($A911="","",IF(OR($F911="",$G911=""),"",IF(ABS($G911-$F911)&gt;zincirTolerans,"ZİNCİR KIRIK","OK")))</f>
        <v/>
      </c>
      <c r="P911" s="35">
        <f>IF($A911="","",1)</f>
        <v/>
      </c>
    </row>
    <row r="912">
      <c r="A912" s="29" t="n"/>
      <c r="B912" s="29" t="n"/>
      <c r="C912" s="70" t="n"/>
      <c r="D912" s="29" t="n"/>
      <c r="E912" s="29" t="n"/>
      <c r="F912" s="30" t="n"/>
      <c r="G912" s="30" t="n"/>
      <c r="H912" s="31" t="n"/>
      <c r="I912" s="31" t="n"/>
      <c r="J912" s="29" t="n"/>
      <c r="K912" s="35">
        <f>IF($A912="","",IF($C912="","",raporTarihi-$C912))</f>
        <v/>
      </c>
      <c r="L912" s="35">
        <f>IF($A912="","",IF($K912="","",IF($K912&lt;=7,"0-7",IF($K912&lt;=30,"8-30",IF($K912&lt;=60,"31-60","60+")))))</f>
        <v/>
      </c>
      <c r="M912" s="35">
        <f>IF($A912="","",IF($B912="","YETİM",IF(COUNTIF(tblKartlar[KartId],$B912)=0,"YETİM","")))</f>
        <v/>
      </c>
      <c r="N912" s="35">
        <f>IF(OR($A912="",$D912=""),"",IF(OR($D912&amp;"|"&amp;$E912="",COUNTIF(ListeIzinliGecis,$D912&amp;"|"&amp;$E912)&gt;0),"","GEÇERSİZ GEÇİŞ"))</f>
        <v/>
      </c>
      <c r="O912" s="35">
        <f>IF($A912="","",IF(OR($F912="",$G912=""),"",IF(ABS($G912-$F912)&gt;zincirTolerans,"ZİNCİR KIRIK","OK")))</f>
        <v/>
      </c>
      <c r="P912" s="35">
        <f>IF($A912="","",1)</f>
        <v/>
      </c>
    </row>
    <row r="913">
      <c r="A913" s="29" t="n"/>
      <c r="B913" s="29" t="n"/>
      <c r="C913" s="70" t="n"/>
      <c r="D913" s="29" t="n"/>
      <c r="E913" s="29" t="n"/>
      <c r="F913" s="30" t="n"/>
      <c r="G913" s="30" t="n"/>
      <c r="H913" s="31" t="n"/>
      <c r="I913" s="31" t="n"/>
      <c r="J913" s="29" t="n"/>
      <c r="K913" s="35">
        <f>IF($A913="","",IF($C913="","",raporTarihi-$C913))</f>
        <v/>
      </c>
      <c r="L913" s="35">
        <f>IF($A913="","",IF($K913="","",IF($K913&lt;=7,"0-7",IF($K913&lt;=30,"8-30",IF($K913&lt;=60,"31-60","60+")))))</f>
        <v/>
      </c>
      <c r="M913" s="35">
        <f>IF($A913="","",IF($B913="","YETİM",IF(COUNTIF(tblKartlar[KartId],$B913)=0,"YETİM","")))</f>
        <v/>
      </c>
      <c r="N913" s="35">
        <f>IF(OR($A913="",$D913=""),"",IF(OR($D913&amp;"|"&amp;$E913="",COUNTIF(ListeIzinliGecis,$D913&amp;"|"&amp;$E913)&gt;0),"","GEÇERSİZ GEÇİŞ"))</f>
        <v/>
      </c>
      <c r="O913" s="35">
        <f>IF($A913="","",IF(OR($F913="",$G913=""),"",IF(ABS($G913-$F913)&gt;zincirTolerans,"ZİNCİR KIRIK","OK")))</f>
        <v/>
      </c>
      <c r="P913" s="35">
        <f>IF($A913="","",1)</f>
        <v/>
      </c>
    </row>
    <row r="914">
      <c r="A914" s="29" t="n"/>
      <c r="B914" s="29" t="n"/>
      <c r="C914" s="70" t="n"/>
      <c r="D914" s="29" t="n"/>
      <c r="E914" s="29" t="n"/>
      <c r="F914" s="30" t="n"/>
      <c r="G914" s="30" t="n"/>
      <c r="H914" s="31" t="n"/>
      <c r="I914" s="31" t="n"/>
      <c r="J914" s="29" t="n"/>
      <c r="K914" s="35">
        <f>IF($A914="","",IF($C914="","",raporTarihi-$C914))</f>
        <v/>
      </c>
      <c r="L914" s="35">
        <f>IF($A914="","",IF($K914="","",IF($K914&lt;=7,"0-7",IF($K914&lt;=30,"8-30",IF($K914&lt;=60,"31-60","60+")))))</f>
        <v/>
      </c>
      <c r="M914" s="35">
        <f>IF($A914="","",IF($B914="","YETİM",IF(COUNTIF(tblKartlar[KartId],$B914)=0,"YETİM","")))</f>
        <v/>
      </c>
      <c r="N914" s="35">
        <f>IF(OR($A914="",$D914=""),"",IF(OR($D914&amp;"|"&amp;$E914="",COUNTIF(ListeIzinliGecis,$D914&amp;"|"&amp;$E914)&gt;0),"","GEÇERSİZ GEÇİŞ"))</f>
        <v/>
      </c>
      <c r="O914" s="35">
        <f>IF($A914="","",IF(OR($F914="",$G914=""),"",IF(ABS($G914-$F914)&gt;zincirTolerans,"ZİNCİR KIRIK","OK")))</f>
        <v/>
      </c>
      <c r="P914" s="35">
        <f>IF($A914="","",1)</f>
        <v/>
      </c>
    </row>
    <row r="915">
      <c r="A915" s="29" t="n"/>
      <c r="B915" s="29" t="n"/>
      <c r="C915" s="70" t="n"/>
      <c r="D915" s="29" t="n"/>
      <c r="E915" s="29" t="n"/>
      <c r="F915" s="30" t="n"/>
      <c r="G915" s="30" t="n"/>
      <c r="H915" s="31" t="n"/>
      <c r="I915" s="31" t="n"/>
      <c r="J915" s="29" t="n"/>
      <c r="K915" s="35">
        <f>IF($A915="","",IF($C915="","",raporTarihi-$C915))</f>
        <v/>
      </c>
      <c r="L915" s="35">
        <f>IF($A915="","",IF($K915="","",IF($K915&lt;=7,"0-7",IF($K915&lt;=30,"8-30",IF($K915&lt;=60,"31-60","60+")))))</f>
        <v/>
      </c>
      <c r="M915" s="35">
        <f>IF($A915="","",IF($B915="","YETİM",IF(COUNTIF(tblKartlar[KartId],$B915)=0,"YETİM","")))</f>
        <v/>
      </c>
      <c r="N915" s="35">
        <f>IF(OR($A915="",$D915=""),"",IF(OR($D915&amp;"|"&amp;$E915="",COUNTIF(ListeIzinliGecis,$D915&amp;"|"&amp;$E915)&gt;0),"","GEÇERSİZ GEÇİŞ"))</f>
        <v/>
      </c>
      <c r="O915" s="35">
        <f>IF($A915="","",IF(OR($F915="",$G915=""),"",IF(ABS($G915-$F915)&gt;zincirTolerans,"ZİNCİR KIRIK","OK")))</f>
        <v/>
      </c>
      <c r="P915" s="35">
        <f>IF($A915="","",1)</f>
        <v/>
      </c>
    </row>
    <row r="916">
      <c r="A916" s="29" t="n"/>
      <c r="B916" s="29" t="n"/>
      <c r="C916" s="70" t="n"/>
      <c r="D916" s="29" t="n"/>
      <c r="E916" s="29" t="n"/>
      <c r="F916" s="30" t="n"/>
      <c r="G916" s="30" t="n"/>
      <c r="H916" s="31" t="n"/>
      <c r="I916" s="31" t="n"/>
      <c r="J916" s="29" t="n"/>
      <c r="K916" s="35">
        <f>IF($A916="","",IF($C916="","",raporTarihi-$C916))</f>
        <v/>
      </c>
      <c r="L916" s="35">
        <f>IF($A916="","",IF($K916="","",IF($K916&lt;=7,"0-7",IF($K916&lt;=30,"8-30",IF($K916&lt;=60,"31-60","60+")))))</f>
        <v/>
      </c>
      <c r="M916" s="35">
        <f>IF($A916="","",IF($B916="","YETİM",IF(COUNTIF(tblKartlar[KartId],$B916)=0,"YETİM","")))</f>
        <v/>
      </c>
      <c r="N916" s="35">
        <f>IF(OR($A916="",$D916=""),"",IF(OR($D916&amp;"|"&amp;$E916="",COUNTIF(ListeIzinliGecis,$D916&amp;"|"&amp;$E916)&gt;0),"","GEÇERSİZ GEÇİŞ"))</f>
        <v/>
      </c>
      <c r="O916" s="35">
        <f>IF($A916="","",IF(OR($F916="",$G916=""),"",IF(ABS($G916-$F916)&gt;zincirTolerans,"ZİNCİR KIRIK","OK")))</f>
        <v/>
      </c>
      <c r="P916" s="35">
        <f>IF($A916="","",1)</f>
        <v/>
      </c>
    </row>
    <row r="917">
      <c r="A917" s="29" t="n"/>
      <c r="B917" s="29" t="n"/>
      <c r="C917" s="70" t="n"/>
      <c r="D917" s="29" t="n"/>
      <c r="E917" s="29" t="n"/>
      <c r="F917" s="30" t="n"/>
      <c r="G917" s="30" t="n"/>
      <c r="H917" s="31" t="n"/>
      <c r="I917" s="31" t="n"/>
      <c r="J917" s="29" t="n"/>
      <c r="K917" s="35">
        <f>IF($A917="","",IF($C917="","",raporTarihi-$C917))</f>
        <v/>
      </c>
      <c r="L917" s="35">
        <f>IF($A917="","",IF($K917="","",IF($K917&lt;=7,"0-7",IF($K917&lt;=30,"8-30",IF($K917&lt;=60,"31-60","60+")))))</f>
        <v/>
      </c>
      <c r="M917" s="35">
        <f>IF($A917="","",IF($B917="","YETİM",IF(COUNTIF(tblKartlar[KartId],$B917)=0,"YETİM","")))</f>
        <v/>
      </c>
      <c r="N917" s="35">
        <f>IF(OR($A917="",$D917=""),"",IF(OR($D917&amp;"|"&amp;$E917="",COUNTIF(ListeIzinliGecis,$D917&amp;"|"&amp;$E917)&gt;0),"","GEÇERSİZ GEÇİŞ"))</f>
        <v/>
      </c>
      <c r="O917" s="35">
        <f>IF($A917="","",IF(OR($F917="",$G917=""),"",IF(ABS($G917-$F917)&gt;zincirTolerans,"ZİNCİR KIRIK","OK")))</f>
        <v/>
      </c>
      <c r="P917" s="35">
        <f>IF($A917="","",1)</f>
        <v/>
      </c>
    </row>
    <row r="918">
      <c r="A918" s="29" t="n"/>
      <c r="B918" s="29" t="n"/>
      <c r="C918" s="70" t="n"/>
      <c r="D918" s="29" t="n"/>
      <c r="E918" s="29" t="n"/>
      <c r="F918" s="30" t="n"/>
      <c r="G918" s="30" t="n"/>
      <c r="H918" s="31" t="n"/>
      <c r="I918" s="31" t="n"/>
      <c r="J918" s="29" t="n"/>
      <c r="K918" s="35">
        <f>IF($A918="","",IF($C918="","",raporTarihi-$C918))</f>
        <v/>
      </c>
      <c r="L918" s="35">
        <f>IF($A918="","",IF($K918="","",IF($K918&lt;=7,"0-7",IF($K918&lt;=30,"8-30",IF($K918&lt;=60,"31-60","60+")))))</f>
        <v/>
      </c>
      <c r="M918" s="35">
        <f>IF($A918="","",IF($B918="","YETİM",IF(COUNTIF(tblKartlar[KartId],$B918)=0,"YETİM","")))</f>
        <v/>
      </c>
      <c r="N918" s="35">
        <f>IF(OR($A918="",$D918=""),"",IF(OR($D918&amp;"|"&amp;$E918="",COUNTIF(ListeIzinliGecis,$D918&amp;"|"&amp;$E918)&gt;0),"","GEÇERSİZ GEÇİŞ"))</f>
        <v/>
      </c>
      <c r="O918" s="35">
        <f>IF($A918="","",IF(OR($F918="",$G918=""),"",IF(ABS($G918-$F918)&gt;zincirTolerans,"ZİNCİR KIRIK","OK")))</f>
        <v/>
      </c>
      <c r="P918" s="35">
        <f>IF($A918="","",1)</f>
        <v/>
      </c>
    </row>
    <row r="919">
      <c r="A919" s="29" t="n"/>
      <c r="B919" s="29" t="n"/>
      <c r="C919" s="70" t="n"/>
      <c r="D919" s="29" t="n"/>
      <c r="E919" s="29" t="n"/>
      <c r="F919" s="30" t="n"/>
      <c r="G919" s="30" t="n"/>
      <c r="H919" s="31" t="n"/>
      <c r="I919" s="31" t="n"/>
      <c r="J919" s="29" t="n"/>
      <c r="K919" s="35">
        <f>IF($A919="","",IF($C919="","",raporTarihi-$C919))</f>
        <v/>
      </c>
      <c r="L919" s="35">
        <f>IF($A919="","",IF($K919="","",IF($K919&lt;=7,"0-7",IF($K919&lt;=30,"8-30",IF($K919&lt;=60,"31-60","60+")))))</f>
        <v/>
      </c>
      <c r="M919" s="35">
        <f>IF($A919="","",IF($B919="","YETİM",IF(COUNTIF(tblKartlar[KartId],$B919)=0,"YETİM","")))</f>
        <v/>
      </c>
      <c r="N919" s="35">
        <f>IF(OR($A919="",$D919=""),"",IF(OR($D919&amp;"|"&amp;$E919="",COUNTIF(ListeIzinliGecis,$D919&amp;"|"&amp;$E919)&gt;0),"","GEÇERSİZ GEÇİŞ"))</f>
        <v/>
      </c>
      <c r="O919" s="35">
        <f>IF($A919="","",IF(OR($F919="",$G919=""),"",IF(ABS($G919-$F919)&gt;zincirTolerans,"ZİNCİR KIRIK","OK")))</f>
        <v/>
      </c>
      <c r="P919" s="35">
        <f>IF($A919="","",1)</f>
        <v/>
      </c>
    </row>
    <row r="920">
      <c r="A920" s="29" t="n"/>
      <c r="B920" s="29" t="n"/>
      <c r="C920" s="70" t="n"/>
      <c r="D920" s="29" t="n"/>
      <c r="E920" s="29" t="n"/>
      <c r="F920" s="30" t="n"/>
      <c r="G920" s="30" t="n"/>
      <c r="H920" s="31" t="n"/>
      <c r="I920" s="31" t="n"/>
      <c r="J920" s="29" t="n"/>
      <c r="K920" s="35">
        <f>IF($A920="","",IF($C920="","",raporTarihi-$C920))</f>
        <v/>
      </c>
      <c r="L920" s="35">
        <f>IF($A920="","",IF($K920="","",IF($K920&lt;=7,"0-7",IF($K920&lt;=30,"8-30",IF($K920&lt;=60,"31-60","60+")))))</f>
        <v/>
      </c>
      <c r="M920" s="35">
        <f>IF($A920="","",IF($B920="","YETİM",IF(COUNTIF(tblKartlar[KartId],$B920)=0,"YETİM","")))</f>
        <v/>
      </c>
      <c r="N920" s="35">
        <f>IF(OR($A920="",$D920=""),"",IF(OR($D920&amp;"|"&amp;$E920="",COUNTIF(ListeIzinliGecis,$D920&amp;"|"&amp;$E920)&gt;0),"","GEÇERSİZ GEÇİŞ"))</f>
        <v/>
      </c>
      <c r="O920" s="35">
        <f>IF($A920="","",IF(OR($F920="",$G920=""),"",IF(ABS($G920-$F920)&gt;zincirTolerans,"ZİNCİR KIRIK","OK")))</f>
        <v/>
      </c>
      <c r="P920" s="35">
        <f>IF($A920="","",1)</f>
        <v/>
      </c>
    </row>
    <row r="921">
      <c r="A921" s="29" t="n"/>
      <c r="B921" s="29" t="n"/>
      <c r="C921" s="70" t="n"/>
      <c r="D921" s="29" t="n"/>
      <c r="E921" s="29" t="n"/>
      <c r="F921" s="30" t="n"/>
      <c r="G921" s="30" t="n"/>
      <c r="H921" s="31" t="n"/>
      <c r="I921" s="31" t="n"/>
      <c r="J921" s="29" t="n"/>
      <c r="K921" s="35">
        <f>IF($A921="","",IF($C921="","",raporTarihi-$C921))</f>
        <v/>
      </c>
      <c r="L921" s="35">
        <f>IF($A921="","",IF($K921="","",IF($K921&lt;=7,"0-7",IF($K921&lt;=30,"8-30",IF($K921&lt;=60,"31-60","60+")))))</f>
        <v/>
      </c>
      <c r="M921" s="35">
        <f>IF($A921="","",IF($B921="","YETİM",IF(COUNTIF(tblKartlar[KartId],$B921)=0,"YETİM","")))</f>
        <v/>
      </c>
      <c r="N921" s="35">
        <f>IF(OR($A921="",$D921=""),"",IF(OR($D921&amp;"|"&amp;$E921="",COUNTIF(ListeIzinliGecis,$D921&amp;"|"&amp;$E921)&gt;0),"","GEÇERSİZ GEÇİŞ"))</f>
        <v/>
      </c>
      <c r="O921" s="35">
        <f>IF($A921="","",IF(OR($F921="",$G921=""),"",IF(ABS($G921-$F921)&gt;zincirTolerans,"ZİNCİR KIRIK","OK")))</f>
        <v/>
      </c>
      <c r="P921" s="35">
        <f>IF($A921="","",1)</f>
        <v/>
      </c>
    </row>
    <row r="922">
      <c r="A922" s="29" t="n"/>
      <c r="B922" s="29" t="n"/>
      <c r="C922" s="70" t="n"/>
      <c r="D922" s="29" t="n"/>
      <c r="E922" s="29" t="n"/>
      <c r="F922" s="30" t="n"/>
      <c r="G922" s="30" t="n"/>
      <c r="H922" s="31" t="n"/>
      <c r="I922" s="31" t="n"/>
      <c r="J922" s="29" t="n"/>
      <c r="K922" s="35">
        <f>IF($A922="","",IF($C922="","",raporTarihi-$C922))</f>
        <v/>
      </c>
      <c r="L922" s="35">
        <f>IF($A922="","",IF($K922="","",IF($K922&lt;=7,"0-7",IF($K922&lt;=30,"8-30",IF($K922&lt;=60,"31-60","60+")))))</f>
        <v/>
      </c>
      <c r="M922" s="35">
        <f>IF($A922="","",IF($B922="","YETİM",IF(COUNTIF(tblKartlar[KartId],$B922)=0,"YETİM","")))</f>
        <v/>
      </c>
      <c r="N922" s="35">
        <f>IF(OR($A922="",$D922=""),"",IF(OR($D922&amp;"|"&amp;$E922="",COUNTIF(ListeIzinliGecis,$D922&amp;"|"&amp;$E922)&gt;0),"","GEÇERSİZ GEÇİŞ"))</f>
        <v/>
      </c>
      <c r="O922" s="35">
        <f>IF($A922="","",IF(OR($F922="",$G922=""),"",IF(ABS($G922-$F922)&gt;zincirTolerans,"ZİNCİR KIRIK","OK")))</f>
        <v/>
      </c>
      <c r="P922" s="35">
        <f>IF($A922="","",1)</f>
        <v/>
      </c>
    </row>
    <row r="923">
      <c r="A923" s="29" t="n"/>
      <c r="B923" s="29" t="n"/>
      <c r="C923" s="70" t="n"/>
      <c r="D923" s="29" t="n"/>
      <c r="E923" s="29" t="n"/>
      <c r="F923" s="30" t="n"/>
      <c r="G923" s="30" t="n"/>
      <c r="H923" s="31" t="n"/>
      <c r="I923" s="31" t="n"/>
      <c r="J923" s="29" t="n"/>
      <c r="K923" s="35">
        <f>IF($A923="","",IF($C923="","",raporTarihi-$C923))</f>
        <v/>
      </c>
      <c r="L923" s="35">
        <f>IF($A923="","",IF($K923="","",IF($K923&lt;=7,"0-7",IF($K923&lt;=30,"8-30",IF($K923&lt;=60,"31-60","60+")))))</f>
        <v/>
      </c>
      <c r="M923" s="35">
        <f>IF($A923="","",IF($B923="","YETİM",IF(COUNTIF(tblKartlar[KartId],$B923)=0,"YETİM","")))</f>
        <v/>
      </c>
      <c r="N923" s="35">
        <f>IF(OR($A923="",$D923=""),"",IF(OR($D923&amp;"|"&amp;$E923="",COUNTIF(ListeIzinliGecis,$D923&amp;"|"&amp;$E923)&gt;0),"","GEÇERSİZ GEÇİŞ"))</f>
        <v/>
      </c>
      <c r="O923" s="35">
        <f>IF($A923="","",IF(OR($F923="",$G923=""),"",IF(ABS($G923-$F923)&gt;zincirTolerans,"ZİNCİR KIRIK","OK")))</f>
        <v/>
      </c>
      <c r="P923" s="35">
        <f>IF($A923="","",1)</f>
        <v/>
      </c>
    </row>
    <row r="924">
      <c r="A924" s="29" t="n"/>
      <c r="B924" s="29" t="n"/>
      <c r="C924" s="70" t="n"/>
      <c r="D924" s="29" t="n"/>
      <c r="E924" s="29" t="n"/>
      <c r="F924" s="30" t="n"/>
      <c r="G924" s="30" t="n"/>
      <c r="H924" s="31" t="n"/>
      <c r="I924" s="31" t="n"/>
      <c r="J924" s="29" t="n"/>
      <c r="K924" s="35">
        <f>IF($A924="","",IF($C924="","",raporTarihi-$C924))</f>
        <v/>
      </c>
      <c r="L924" s="35">
        <f>IF($A924="","",IF($K924="","",IF($K924&lt;=7,"0-7",IF($K924&lt;=30,"8-30",IF($K924&lt;=60,"31-60","60+")))))</f>
        <v/>
      </c>
      <c r="M924" s="35">
        <f>IF($A924="","",IF($B924="","YETİM",IF(COUNTIF(tblKartlar[KartId],$B924)=0,"YETİM","")))</f>
        <v/>
      </c>
      <c r="N924" s="35">
        <f>IF(OR($A924="",$D924=""),"",IF(OR($D924&amp;"|"&amp;$E924="",COUNTIF(ListeIzinliGecis,$D924&amp;"|"&amp;$E924)&gt;0),"","GEÇERSİZ GEÇİŞ"))</f>
        <v/>
      </c>
      <c r="O924" s="35">
        <f>IF($A924="","",IF(OR($F924="",$G924=""),"",IF(ABS($G924-$F924)&gt;zincirTolerans,"ZİNCİR KIRIK","OK")))</f>
        <v/>
      </c>
      <c r="P924" s="35">
        <f>IF($A924="","",1)</f>
        <v/>
      </c>
    </row>
    <row r="925">
      <c r="A925" s="29" t="n"/>
      <c r="B925" s="29" t="n"/>
      <c r="C925" s="70" t="n"/>
      <c r="D925" s="29" t="n"/>
      <c r="E925" s="29" t="n"/>
      <c r="F925" s="30" t="n"/>
      <c r="G925" s="30" t="n"/>
      <c r="H925" s="31" t="n"/>
      <c r="I925" s="31" t="n"/>
      <c r="J925" s="29" t="n"/>
      <c r="K925" s="35">
        <f>IF($A925="","",IF($C925="","",raporTarihi-$C925))</f>
        <v/>
      </c>
      <c r="L925" s="35">
        <f>IF($A925="","",IF($K925="","",IF($K925&lt;=7,"0-7",IF($K925&lt;=30,"8-30",IF($K925&lt;=60,"31-60","60+")))))</f>
        <v/>
      </c>
      <c r="M925" s="35">
        <f>IF($A925="","",IF($B925="","YETİM",IF(COUNTIF(tblKartlar[KartId],$B925)=0,"YETİM","")))</f>
        <v/>
      </c>
      <c r="N925" s="35">
        <f>IF(OR($A925="",$D925=""),"",IF(OR($D925&amp;"|"&amp;$E925="",COUNTIF(ListeIzinliGecis,$D925&amp;"|"&amp;$E925)&gt;0),"","GEÇERSİZ GEÇİŞ"))</f>
        <v/>
      </c>
      <c r="O925" s="35">
        <f>IF($A925="","",IF(OR($F925="",$G925=""),"",IF(ABS($G925-$F925)&gt;zincirTolerans,"ZİNCİR KIRIK","OK")))</f>
        <v/>
      </c>
      <c r="P925" s="35">
        <f>IF($A925="","",1)</f>
        <v/>
      </c>
    </row>
    <row r="926">
      <c r="A926" s="29" t="n"/>
      <c r="B926" s="29" t="n"/>
      <c r="C926" s="70" t="n"/>
      <c r="D926" s="29" t="n"/>
      <c r="E926" s="29" t="n"/>
      <c r="F926" s="30" t="n"/>
      <c r="G926" s="30" t="n"/>
      <c r="H926" s="31" t="n"/>
      <c r="I926" s="31" t="n"/>
      <c r="J926" s="29" t="n"/>
      <c r="K926" s="35">
        <f>IF($A926="","",IF($C926="","",raporTarihi-$C926))</f>
        <v/>
      </c>
      <c r="L926" s="35">
        <f>IF($A926="","",IF($K926="","",IF($K926&lt;=7,"0-7",IF($K926&lt;=30,"8-30",IF($K926&lt;=60,"31-60","60+")))))</f>
        <v/>
      </c>
      <c r="M926" s="35">
        <f>IF($A926="","",IF($B926="","YETİM",IF(COUNTIF(tblKartlar[KartId],$B926)=0,"YETİM","")))</f>
        <v/>
      </c>
      <c r="N926" s="35">
        <f>IF(OR($A926="",$D926=""),"",IF(OR($D926&amp;"|"&amp;$E926="",COUNTIF(ListeIzinliGecis,$D926&amp;"|"&amp;$E926)&gt;0),"","GEÇERSİZ GEÇİŞ"))</f>
        <v/>
      </c>
      <c r="O926" s="35">
        <f>IF($A926="","",IF(OR($F926="",$G926=""),"",IF(ABS($G926-$F926)&gt;zincirTolerans,"ZİNCİR KIRIK","OK")))</f>
        <v/>
      </c>
      <c r="P926" s="35">
        <f>IF($A926="","",1)</f>
        <v/>
      </c>
    </row>
    <row r="927">
      <c r="A927" s="29" t="n"/>
      <c r="B927" s="29" t="n"/>
      <c r="C927" s="70" t="n"/>
      <c r="D927" s="29" t="n"/>
      <c r="E927" s="29" t="n"/>
      <c r="F927" s="30" t="n"/>
      <c r="G927" s="30" t="n"/>
      <c r="H927" s="31" t="n"/>
      <c r="I927" s="31" t="n"/>
      <c r="J927" s="29" t="n"/>
      <c r="K927" s="35">
        <f>IF($A927="","",IF($C927="","",raporTarihi-$C927))</f>
        <v/>
      </c>
      <c r="L927" s="35">
        <f>IF($A927="","",IF($K927="","",IF($K927&lt;=7,"0-7",IF($K927&lt;=30,"8-30",IF($K927&lt;=60,"31-60","60+")))))</f>
        <v/>
      </c>
      <c r="M927" s="35">
        <f>IF($A927="","",IF($B927="","YETİM",IF(COUNTIF(tblKartlar[KartId],$B927)=0,"YETİM","")))</f>
        <v/>
      </c>
      <c r="N927" s="35">
        <f>IF(OR($A927="",$D927=""),"",IF(OR($D927&amp;"|"&amp;$E927="",COUNTIF(ListeIzinliGecis,$D927&amp;"|"&amp;$E927)&gt;0),"","GEÇERSİZ GEÇİŞ"))</f>
        <v/>
      </c>
      <c r="O927" s="35">
        <f>IF($A927="","",IF(OR($F927="",$G927=""),"",IF(ABS($G927-$F927)&gt;zincirTolerans,"ZİNCİR KIRIK","OK")))</f>
        <v/>
      </c>
      <c r="P927" s="35">
        <f>IF($A927="","",1)</f>
        <v/>
      </c>
    </row>
    <row r="928">
      <c r="A928" s="29" t="n"/>
      <c r="B928" s="29" t="n"/>
      <c r="C928" s="70" t="n"/>
      <c r="D928" s="29" t="n"/>
      <c r="E928" s="29" t="n"/>
      <c r="F928" s="30" t="n"/>
      <c r="G928" s="30" t="n"/>
      <c r="H928" s="31" t="n"/>
      <c r="I928" s="31" t="n"/>
      <c r="J928" s="29" t="n"/>
      <c r="K928" s="35">
        <f>IF($A928="","",IF($C928="","",raporTarihi-$C928))</f>
        <v/>
      </c>
      <c r="L928" s="35">
        <f>IF($A928="","",IF($K928="","",IF($K928&lt;=7,"0-7",IF($K928&lt;=30,"8-30",IF($K928&lt;=60,"31-60","60+")))))</f>
        <v/>
      </c>
      <c r="M928" s="35">
        <f>IF($A928="","",IF($B928="","YETİM",IF(COUNTIF(tblKartlar[KartId],$B928)=0,"YETİM","")))</f>
        <v/>
      </c>
      <c r="N928" s="35">
        <f>IF(OR($A928="",$D928=""),"",IF(OR($D928&amp;"|"&amp;$E928="",COUNTIF(ListeIzinliGecis,$D928&amp;"|"&amp;$E928)&gt;0),"","GEÇERSİZ GEÇİŞ"))</f>
        <v/>
      </c>
      <c r="O928" s="35">
        <f>IF($A928="","",IF(OR($F928="",$G928=""),"",IF(ABS($G928-$F928)&gt;zincirTolerans,"ZİNCİR KIRIK","OK")))</f>
        <v/>
      </c>
      <c r="P928" s="35">
        <f>IF($A928="","",1)</f>
        <v/>
      </c>
    </row>
    <row r="929">
      <c r="A929" s="29" t="n"/>
      <c r="B929" s="29" t="n"/>
      <c r="C929" s="70" t="n"/>
      <c r="D929" s="29" t="n"/>
      <c r="E929" s="29" t="n"/>
      <c r="F929" s="30" t="n"/>
      <c r="G929" s="30" t="n"/>
      <c r="H929" s="31" t="n"/>
      <c r="I929" s="31" t="n"/>
      <c r="J929" s="29" t="n"/>
      <c r="K929" s="35">
        <f>IF($A929="","",IF($C929="","",raporTarihi-$C929))</f>
        <v/>
      </c>
      <c r="L929" s="35">
        <f>IF($A929="","",IF($K929="","",IF($K929&lt;=7,"0-7",IF($K929&lt;=30,"8-30",IF($K929&lt;=60,"31-60","60+")))))</f>
        <v/>
      </c>
      <c r="M929" s="35">
        <f>IF($A929="","",IF($B929="","YETİM",IF(COUNTIF(tblKartlar[KartId],$B929)=0,"YETİM","")))</f>
        <v/>
      </c>
      <c r="N929" s="35">
        <f>IF(OR($A929="",$D929=""),"",IF(OR($D929&amp;"|"&amp;$E929="",COUNTIF(ListeIzinliGecis,$D929&amp;"|"&amp;$E929)&gt;0),"","GEÇERSİZ GEÇİŞ"))</f>
        <v/>
      </c>
      <c r="O929" s="35">
        <f>IF($A929="","",IF(OR($F929="",$G929=""),"",IF(ABS($G929-$F929)&gt;zincirTolerans,"ZİNCİR KIRIK","OK")))</f>
        <v/>
      </c>
      <c r="P929" s="35">
        <f>IF($A929="","",1)</f>
        <v/>
      </c>
    </row>
    <row r="930">
      <c r="A930" s="29" t="n"/>
      <c r="B930" s="29" t="n"/>
      <c r="C930" s="70" t="n"/>
      <c r="D930" s="29" t="n"/>
      <c r="E930" s="29" t="n"/>
      <c r="F930" s="30" t="n"/>
      <c r="G930" s="30" t="n"/>
      <c r="H930" s="31" t="n"/>
      <c r="I930" s="31" t="n"/>
      <c r="J930" s="29" t="n"/>
      <c r="K930" s="35">
        <f>IF($A930="","",IF($C930="","",raporTarihi-$C930))</f>
        <v/>
      </c>
      <c r="L930" s="35">
        <f>IF($A930="","",IF($K930="","",IF($K930&lt;=7,"0-7",IF($K930&lt;=30,"8-30",IF($K930&lt;=60,"31-60","60+")))))</f>
        <v/>
      </c>
      <c r="M930" s="35">
        <f>IF($A930="","",IF($B930="","YETİM",IF(COUNTIF(tblKartlar[KartId],$B930)=0,"YETİM","")))</f>
        <v/>
      </c>
      <c r="N930" s="35">
        <f>IF(OR($A930="",$D930=""),"",IF(OR($D930&amp;"|"&amp;$E930="",COUNTIF(ListeIzinliGecis,$D930&amp;"|"&amp;$E930)&gt;0),"","GEÇERSİZ GEÇİŞ"))</f>
        <v/>
      </c>
      <c r="O930" s="35">
        <f>IF($A930="","",IF(OR($F930="",$G930=""),"",IF(ABS($G930-$F930)&gt;zincirTolerans,"ZİNCİR KIRIK","OK")))</f>
        <v/>
      </c>
      <c r="P930" s="35">
        <f>IF($A930="","",1)</f>
        <v/>
      </c>
    </row>
    <row r="931">
      <c r="A931" s="29" t="n"/>
      <c r="B931" s="29" t="n"/>
      <c r="C931" s="70" t="n"/>
      <c r="D931" s="29" t="n"/>
      <c r="E931" s="29" t="n"/>
      <c r="F931" s="30" t="n"/>
      <c r="G931" s="30" t="n"/>
      <c r="H931" s="31" t="n"/>
      <c r="I931" s="31" t="n"/>
      <c r="J931" s="29" t="n"/>
      <c r="K931" s="35">
        <f>IF($A931="","",IF($C931="","",raporTarihi-$C931))</f>
        <v/>
      </c>
      <c r="L931" s="35">
        <f>IF($A931="","",IF($K931="","",IF($K931&lt;=7,"0-7",IF($K931&lt;=30,"8-30",IF($K931&lt;=60,"31-60","60+")))))</f>
        <v/>
      </c>
      <c r="M931" s="35">
        <f>IF($A931="","",IF($B931="","YETİM",IF(COUNTIF(tblKartlar[KartId],$B931)=0,"YETİM","")))</f>
        <v/>
      </c>
      <c r="N931" s="35">
        <f>IF(OR($A931="",$D931=""),"",IF(OR($D931&amp;"|"&amp;$E931="",COUNTIF(ListeIzinliGecis,$D931&amp;"|"&amp;$E931)&gt;0),"","GEÇERSİZ GEÇİŞ"))</f>
        <v/>
      </c>
      <c r="O931" s="35">
        <f>IF($A931="","",IF(OR($F931="",$G931=""),"",IF(ABS($G931-$F931)&gt;zincirTolerans,"ZİNCİR KIRIK","OK")))</f>
        <v/>
      </c>
      <c r="P931" s="35">
        <f>IF($A931="","",1)</f>
        <v/>
      </c>
    </row>
    <row r="932">
      <c r="A932" s="29" t="n"/>
      <c r="B932" s="29" t="n"/>
      <c r="C932" s="70" t="n"/>
      <c r="D932" s="29" t="n"/>
      <c r="E932" s="29" t="n"/>
      <c r="F932" s="30" t="n"/>
      <c r="G932" s="30" t="n"/>
      <c r="H932" s="31" t="n"/>
      <c r="I932" s="31" t="n"/>
      <c r="J932" s="29" t="n"/>
      <c r="K932" s="35">
        <f>IF($A932="","",IF($C932="","",raporTarihi-$C932))</f>
        <v/>
      </c>
      <c r="L932" s="35">
        <f>IF($A932="","",IF($K932="","",IF($K932&lt;=7,"0-7",IF($K932&lt;=30,"8-30",IF($K932&lt;=60,"31-60","60+")))))</f>
        <v/>
      </c>
      <c r="M932" s="35">
        <f>IF($A932="","",IF($B932="","YETİM",IF(COUNTIF(tblKartlar[KartId],$B932)=0,"YETİM","")))</f>
        <v/>
      </c>
      <c r="N932" s="35">
        <f>IF(OR($A932="",$D932=""),"",IF(OR($D932&amp;"|"&amp;$E932="",COUNTIF(ListeIzinliGecis,$D932&amp;"|"&amp;$E932)&gt;0),"","GEÇERSİZ GEÇİŞ"))</f>
        <v/>
      </c>
      <c r="O932" s="35">
        <f>IF($A932="","",IF(OR($F932="",$G932=""),"",IF(ABS($G932-$F932)&gt;zincirTolerans,"ZİNCİR KIRIK","OK")))</f>
        <v/>
      </c>
      <c r="P932" s="35">
        <f>IF($A932="","",1)</f>
        <v/>
      </c>
    </row>
    <row r="933">
      <c r="A933" s="29" t="n"/>
      <c r="B933" s="29" t="n"/>
      <c r="C933" s="70" t="n"/>
      <c r="D933" s="29" t="n"/>
      <c r="E933" s="29" t="n"/>
      <c r="F933" s="30" t="n"/>
      <c r="G933" s="30" t="n"/>
      <c r="H933" s="31" t="n"/>
      <c r="I933" s="31" t="n"/>
      <c r="J933" s="29" t="n"/>
      <c r="K933" s="35">
        <f>IF($A933="","",IF($C933="","",raporTarihi-$C933))</f>
        <v/>
      </c>
      <c r="L933" s="35">
        <f>IF($A933="","",IF($K933="","",IF($K933&lt;=7,"0-7",IF($K933&lt;=30,"8-30",IF($K933&lt;=60,"31-60","60+")))))</f>
        <v/>
      </c>
      <c r="M933" s="35">
        <f>IF($A933="","",IF($B933="","YETİM",IF(COUNTIF(tblKartlar[KartId],$B933)=0,"YETİM","")))</f>
        <v/>
      </c>
      <c r="N933" s="35">
        <f>IF(OR($A933="",$D933=""),"",IF(OR($D933&amp;"|"&amp;$E933="",COUNTIF(ListeIzinliGecis,$D933&amp;"|"&amp;$E933)&gt;0),"","GEÇERSİZ GEÇİŞ"))</f>
        <v/>
      </c>
      <c r="O933" s="35">
        <f>IF($A933="","",IF(OR($F933="",$G933=""),"",IF(ABS($G933-$F933)&gt;zincirTolerans,"ZİNCİR KIRIK","OK")))</f>
        <v/>
      </c>
      <c r="P933" s="35">
        <f>IF($A933="","",1)</f>
        <v/>
      </c>
    </row>
    <row r="934">
      <c r="A934" s="29" t="n"/>
      <c r="B934" s="29" t="n"/>
      <c r="C934" s="70" t="n"/>
      <c r="D934" s="29" t="n"/>
      <c r="E934" s="29" t="n"/>
      <c r="F934" s="30" t="n"/>
      <c r="G934" s="30" t="n"/>
      <c r="H934" s="31" t="n"/>
      <c r="I934" s="31" t="n"/>
      <c r="J934" s="29" t="n"/>
      <c r="K934" s="35">
        <f>IF($A934="","",IF($C934="","",raporTarihi-$C934))</f>
        <v/>
      </c>
      <c r="L934" s="35">
        <f>IF($A934="","",IF($K934="","",IF($K934&lt;=7,"0-7",IF($K934&lt;=30,"8-30",IF($K934&lt;=60,"31-60","60+")))))</f>
        <v/>
      </c>
      <c r="M934" s="35">
        <f>IF($A934="","",IF($B934="","YETİM",IF(COUNTIF(tblKartlar[KartId],$B934)=0,"YETİM","")))</f>
        <v/>
      </c>
      <c r="N934" s="35">
        <f>IF(OR($A934="",$D934=""),"",IF(OR($D934&amp;"|"&amp;$E934="",COUNTIF(ListeIzinliGecis,$D934&amp;"|"&amp;$E934)&gt;0),"","GEÇERSİZ GEÇİŞ"))</f>
        <v/>
      </c>
      <c r="O934" s="35">
        <f>IF($A934="","",IF(OR($F934="",$G934=""),"",IF(ABS($G934-$F934)&gt;zincirTolerans,"ZİNCİR KIRIK","OK")))</f>
        <v/>
      </c>
      <c r="P934" s="35">
        <f>IF($A934="","",1)</f>
        <v/>
      </c>
    </row>
    <row r="935">
      <c r="A935" s="29" t="n"/>
      <c r="B935" s="29" t="n"/>
      <c r="C935" s="70" t="n"/>
      <c r="D935" s="29" t="n"/>
      <c r="E935" s="29" t="n"/>
      <c r="F935" s="30" t="n"/>
      <c r="G935" s="30" t="n"/>
      <c r="H935" s="31" t="n"/>
      <c r="I935" s="31" t="n"/>
      <c r="J935" s="29" t="n"/>
      <c r="K935" s="35">
        <f>IF($A935="","",IF($C935="","",raporTarihi-$C935))</f>
        <v/>
      </c>
      <c r="L935" s="35">
        <f>IF($A935="","",IF($K935="","",IF($K935&lt;=7,"0-7",IF($K935&lt;=30,"8-30",IF($K935&lt;=60,"31-60","60+")))))</f>
        <v/>
      </c>
      <c r="M935" s="35">
        <f>IF($A935="","",IF($B935="","YETİM",IF(COUNTIF(tblKartlar[KartId],$B935)=0,"YETİM","")))</f>
        <v/>
      </c>
      <c r="N935" s="35">
        <f>IF(OR($A935="",$D935=""),"",IF(OR($D935&amp;"|"&amp;$E935="",COUNTIF(ListeIzinliGecis,$D935&amp;"|"&amp;$E935)&gt;0),"","GEÇERSİZ GEÇİŞ"))</f>
        <v/>
      </c>
      <c r="O935" s="35">
        <f>IF($A935="","",IF(OR($F935="",$G935=""),"",IF(ABS($G935-$F935)&gt;zincirTolerans,"ZİNCİR KIRIK","OK")))</f>
        <v/>
      </c>
      <c r="P935" s="35">
        <f>IF($A935="","",1)</f>
        <v/>
      </c>
    </row>
    <row r="936">
      <c r="A936" s="29" t="n"/>
      <c r="B936" s="29" t="n"/>
      <c r="C936" s="70" t="n"/>
      <c r="D936" s="29" t="n"/>
      <c r="E936" s="29" t="n"/>
      <c r="F936" s="30" t="n"/>
      <c r="G936" s="30" t="n"/>
      <c r="H936" s="31" t="n"/>
      <c r="I936" s="31" t="n"/>
      <c r="J936" s="29" t="n"/>
      <c r="K936" s="35">
        <f>IF($A936="","",IF($C936="","",raporTarihi-$C936))</f>
        <v/>
      </c>
      <c r="L936" s="35">
        <f>IF($A936="","",IF($K936="","",IF($K936&lt;=7,"0-7",IF($K936&lt;=30,"8-30",IF($K936&lt;=60,"31-60","60+")))))</f>
        <v/>
      </c>
      <c r="M936" s="35">
        <f>IF($A936="","",IF($B936="","YETİM",IF(COUNTIF(tblKartlar[KartId],$B936)=0,"YETİM","")))</f>
        <v/>
      </c>
      <c r="N936" s="35">
        <f>IF(OR($A936="",$D936=""),"",IF(OR($D936&amp;"|"&amp;$E936="",COUNTIF(ListeIzinliGecis,$D936&amp;"|"&amp;$E936)&gt;0),"","GEÇERSİZ GEÇİŞ"))</f>
        <v/>
      </c>
      <c r="O936" s="35">
        <f>IF($A936="","",IF(OR($F936="",$G936=""),"",IF(ABS($G936-$F936)&gt;zincirTolerans,"ZİNCİR KIRIK","OK")))</f>
        <v/>
      </c>
      <c r="P936" s="35">
        <f>IF($A936="","",1)</f>
        <v/>
      </c>
    </row>
    <row r="937">
      <c r="A937" s="29" t="n"/>
      <c r="B937" s="29" t="n"/>
      <c r="C937" s="70" t="n"/>
      <c r="D937" s="29" t="n"/>
      <c r="E937" s="29" t="n"/>
      <c r="F937" s="30" t="n"/>
      <c r="G937" s="30" t="n"/>
      <c r="H937" s="31" t="n"/>
      <c r="I937" s="31" t="n"/>
      <c r="J937" s="29" t="n"/>
      <c r="K937" s="35">
        <f>IF($A937="","",IF($C937="","",raporTarihi-$C937))</f>
        <v/>
      </c>
      <c r="L937" s="35">
        <f>IF($A937="","",IF($K937="","",IF($K937&lt;=7,"0-7",IF($K937&lt;=30,"8-30",IF($K937&lt;=60,"31-60","60+")))))</f>
        <v/>
      </c>
      <c r="M937" s="35">
        <f>IF($A937="","",IF($B937="","YETİM",IF(COUNTIF(tblKartlar[KartId],$B937)=0,"YETİM","")))</f>
        <v/>
      </c>
      <c r="N937" s="35">
        <f>IF(OR($A937="",$D937=""),"",IF(OR($D937&amp;"|"&amp;$E937="",COUNTIF(ListeIzinliGecis,$D937&amp;"|"&amp;$E937)&gt;0),"","GEÇERSİZ GEÇİŞ"))</f>
        <v/>
      </c>
      <c r="O937" s="35">
        <f>IF($A937="","",IF(OR($F937="",$G937=""),"",IF(ABS($G937-$F937)&gt;zincirTolerans,"ZİNCİR KIRIK","OK")))</f>
        <v/>
      </c>
      <c r="P937" s="35">
        <f>IF($A937="","",1)</f>
        <v/>
      </c>
    </row>
    <row r="938">
      <c r="A938" s="29" t="n"/>
      <c r="B938" s="29" t="n"/>
      <c r="C938" s="70" t="n"/>
      <c r="D938" s="29" t="n"/>
      <c r="E938" s="29" t="n"/>
      <c r="F938" s="30" t="n"/>
      <c r="G938" s="30" t="n"/>
      <c r="H938" s="31" t="n"/>
      <c r="I938" s="31" t="n"/>
      <c r="J938" s="29" t="n"/>
      <c r="K938" s="35">
        <f>IF($A938="","",IF($C938="","",raporTarihi-$C938))</f>
        <v/>
      </c>
      <c r="L938" s="35">
        <f>IF($A938="","",IF($K938="","",IF($K938&lt;=7,"0-7",IF($K938&lt;=30,"8-30",IF($K938&lt;=60,"31-60","60+")))))</f>
        <v/>
      </c>
      <c r="M938" s="35">
        <f>IF($A938="","",IF($B938="","YETİM",IF(COUNTIF(tblKartlar[KartId],$B938)=0,"YETİM","")))</f>
        <v/>
      </c>
      <c r="N938" s="35">
        <f>IF(OR($A938="",$D938=""),"",IF(OR($D938&amp;"|"&amp;$E938="",COUNTIF(ListeIzinliGecis,$D938&amp;"|"&amp;$E938)&gt;0),"","GEÇERSİZ GEÇİŞ"))</f>
        <v/>
      </c>
      <c r="O938" s="35">
        <f>IF($A938="","",IF(OR($F938="",$G938=""),"",IF(ABS($G938-$F938)&gt;zincirTolerans,"ZİNCİR KIRIK","OK")))</f>
        <v/>
      </c>
      <c r="P938" s="35">
        <f>IF($A938="","",1)</f>
        <v/>
      </c>
    </row>
    <row r="939">
      <c r="A939" s="29" t="n"/>
      <c r="B939" s="29" t="n"/>
      <c r="C939" s="70" t="n"/>
      <c r="D939" s="29" t="n"/>
      <c r="E939" s="29" t="n"/>
      <c r="F939" s="30" t="n"/>
      <c r="G939" s="30" t="n"/>
      <c r="H939" s="31" t="n"/>
      <c r="I939" s="31" t="n"/>
      <c r="J939" s="29" t="n"/>
      <c r="K939" s="35">
        <f>IF($A939="","",IF($C939="","",raporTarihi-$C939))</f>
        <v/>
      </c>
      <c r="L939" s="35">
        <f>IF($A939="","",IF($K939="","",IF($K939&lt;=7,"0-7",IF($K939&lt;=30,"8-30",IF($K939&lt;=60,"31-60","60+")))))</f>
        <v/>
      </c>
      <c r="M939" s="35">
        <f>IF($A939="","",IF($B939="","YETİM",IF(COUNTIF(tblKartlar[KartId],$B939)=0,"YETİM","")))</f>
        <v/>
      </c>
      <c r="N939" s="35">
        <f>IF(OR($A939="",$D939=""),"",IF(OR($D939&amp;"|"&amp;$E939="",COUNTIF(ListeIzinliGecis,$D939&amp;"|"&amp;$E939)&gt;0),"","GEÇERSİZ GEÇİŞ"))</f>
        <v/>
      </c>
      <c r="O939" s="35">
        <f>IF($A939="","",IF(OR($F939="",$G939=""),"",IF(ABS($G939-$F939)&gt;zincirTolerans,"ZİNCİR KIRIK","OK")))</f>
        <v/>
      </c>
      <c r="P939" s="35">
        <f>IF($A939="","",1)</f>
        <v/>
      </c>
    </row>
    <row r="940">
      <c r="A940" s="29" t="n"/>
      <c r="B940" s="29" t="n"/>
      <c r="C940" s="70" t="n"/>
      <c r="D940" s="29" t="n"/>
      <c r="E940" s="29" t="n"/>
      <c r="F940" s="30" t="n"/>
      <c r="G940" s="30" t="n"/>
      <c r="H940" s="31" t="n"/>
      <c r="I940" s="31" t="n"/>
      <c r="J940" s="29" t="n"/>
      <c r="K940" s="35">
        <f>IF($A940="","",IF($C940="","",raporTarihi-$C940))</f>
        <v/>
      </c>
      <c r="L940" s="35">
        <f>IF($A940="","",IF($K940="","",IF($K940&lt;=7,"0-7",IF($K940&lt;=30,"8-30",IF($K940&lt;=60,"31-60","60+")))))</f>
        <v/>
      </c>
      <c r="M940" s="35">
        <f>IF($A940="","",IF($B940="","YETİM",IF(COUNTIF(tblKartlar[KartId],$B940)=0,"YETİM","")))</f>
        <v/>
      </c>
      <c r="N940" s="35">
        <f>IF(OR($A940="",$D940=""),"",IF(OR($D940&amp;"|"&amp;$E940="",COUNTIF(ListeIzinliGecis,$D940&amp;"|"&amp;$E940)&gt;0),"","GEÇERSİZ GEÇİŞ"))</f>
        <v/>
      </c>
      <c r="O940" s="35">
        <f>IF($A940="","",IF(OR($F940="",$G940=""),"",IF(ABS($G940-$F940)&gt;zincirTolerans,"ZİNCİR KIRIK","OK")))</f>
        <v/>
      </c>
      <c r="P940" s="35">
        <f>IF($A940="","",1)</f>
        <v/>
      </c>
    </row>
    <row r="941">
      <c r="A941" s="29" t="n"/>
      <c r="B941" s="29" t="n"/>
      <c r="C941" s="70" t="n"/>
      <c r="D941" s="29" t="n"/>
      <c r="E941" s="29" t="n"/>
      <c r="F941" s="30" t="n"/>
      <c r="G941" s="30" t="n"/>
      <c r="H941" s="31" t="n"/>
      <c r="I941" s="31" t="n"/>
      <c r="J941" s="29" t="n"/>
      <c r="K941" s="35">
        <f>IF($A941="","",IF($C941="","",raporTarihi-$C941))</f>
        <v/>
      </c>
      <c r="L941" s="35">
        <f>IF($A941="","",IF($K941="","",IF($K941&lt;=7,"0-7",IF($K941&lt;=30,"8-30",IF($K941&lt;=60,"31-60","60+")))))</f>
        <v/>
      </c>
      <c r="M941" s="35">
        <f>IF($A941="","",IF($B941="","YETİM",IF(COUNTIF(tblKartlar[KartId],$B941)=0,"YETİM","")))</f>
        <v/>
      </c>
      <c r="N941" s="35">
        <f>IF(OR($A941="",$D941=""),"",IF(OR($D941&amp;"|"&amp;$E941="",COUNTIF(ListeIzinliGecis,$D941&amp;"|"&amp;$E941)&gt;0),"","GEÇERSİZ GEÇİŞ"))</f>
        <v/>
      </c>
      <c r="O941" s="35">
        <f>IF($A941="","",IF(OR($F941="",$G941=""),"",IF(ABS($G941-$F941)&gt;zincirTolerans,"ZİNCİR KIRIK","OK")))</f>
        <v/>
      </c>
      <c r="P941" s="35">
        <f>IF($A941="","",1)</f>
        <v/>
      </c>
    </row>
    <row r="942">
      <c r="A942" s="29" t="n"/>
      <c r="B942" s="29" t="n"/>
      <c r="C942" s="70" t="n"/>
      <c r="D942" s="29" t="n"/>
      <c r="E942" s="29" t="n"/>
      <c r="F942" s="30" t="n"/>
      <c r="G942" s="30" t="n"/>
      <c r="H942" s="31" t="n"/>
      <c r="I942" s="31" t="n"/>
      <c r="J942" s="29" t="n"/>
      <c r="K942" s="35">
        <f>IF($A942="","",IF($C942="","",raporTarihi-$C942))</f>
        <v/>
      </c>
      <c r="L942" s="35">
        <f>IF($A942="","",IF($K942="","",IF($K942&lt;=7,"0-7",IF($K942&lt;=30,"8-30",IF($K942&lt;=60,"31-60","60+")))))</f>
        <v/>
      </c>
      <c r="M942" s="35">
        <f>IF($A942="","",IF($B942="","YETİM",IF(COUNTIF(tblKartlar[KartId],$B942)=0,"YETİM","")))</f>
        <v/>
      </c>
      <c r="N942" s="35">
        <f>IF(OR($A942="",$D942=""),"",IF(OR($D942&amp;"|"&amp;$E942="",COUNTIF(ListeIzinliGecis,$D942&amp;"|"&amp;$E942)&gt;0),"","GEÇERSİZ GEÇİŞ"))</f>
        <v/>
      </c>
      <c r="O942" s="35">
        <f>IF($A942="","",IF(OR($F942="",$G942=""),"",IF(ABS($G942-$F942)&gt;zincirTolerans,"ZİNCİR KIRIK","OK")))</f>
        <v/>
      </c>
      <c r="P942" s="35">
        <f>IF($A942="","",1)</f>
        <v/>
      </c>
    </row>
    <row r="943">
      <c r="A943" s="29" t="n"/>
      <c r="B943" s="29" t="n"/>
      <c r="C943" s="70" t="n"/>
      <c r="D943" s="29" t="n"/>
      <c r="E943" s="29" t="n"/>
      <c r="F943" s="30" t="n"/>
      <c r="G943" s="30" t="n"/>
      <c r="H943" s="31" t="n"/>
      <c r="I943" s="31" t="n"/>
      <c r="J943" s="29" t="n"/>
      <c r="K943" s="35">
        <f>IF($A943="","",IF($C943="","",raporTarihi-$C943))</f>
        <v/>
      </c>
      <c r="L943" s="35">
        <f>IF($A943="","",IF($K943="","",IF($K943&lt;=7,"0-7",IF($K943&lt;=30,"8-30",IF($K943&lt;=60,"31-60","60+")))))</f>
        <v/>
      </c>
      <c r="M943" s="35">
        <f>IF($A943="","",IF($B943="","YETİM",IF(COUNTIF(tblKartlar[KartId],$B943)=0,"YETİM","")))</f>
        <v/>
      </c>
      <c r="N943" s="35">
        <f>IF(OR($A943="",$D943=""),"",IF(OR($D943&amp;"|"&amp;$E943="",COUNTIF(ListeIzinliGecis,$D943&amp;"|"&amp;$E943)&gt;0),"","GEÇERSİZ GEÇİŞ"))</f>
        <v/>
      </c>
      <c r="O943" s="35">
        <f>IF($A943="","",IF(OR($F943="",$G943=""),"",IF(ABS($G943-$F943)&gt;zincirTolerans,"ZİNCİR KIRIK","OK")))</f>
        <v/>
      </c>
      <c r="P943" s="35">
        <f>IF($A943="","",1)</f>
        <v/>
      </c>
    </row>
    <row r="944">
      <c r="A944" s="29" t="n"/>
      <c r="B944" s="29" t="n"/>
      <c r="C944" s="70" t="n"/>
      <c r="D944" s="29" t="n"/>
      <c r="E944" s="29" t="n"/>
      <c r="F944" s="30" t="n"/>
      <c r="G944" s="30" t="n"/>
      <c r="H944" s="31" t="n"/>
      <c r="I944" s="31" t="n"/>
      <c r="J944" s="29" t="n"/>
      <c r="K944" s="35">
        <f>IF($A944="","",IF($C944="","",raporTarihi-$C944))</f>
        <v/>
      </c>
      <c r="L944" s="35">
        <f>IF($A944="","",IF($K944="","",IF($K944&lt;=7,"0-7",IF($K944&lt;=30,"8-30",IF($K944&lt;=60,"31-60","60+")))))</f>
        <v/>
      </c>
      <c r="M944" s="35">
        <f>IF($A944="","",IF($B944="","YETİM",IF(COUNTIF(tblKartlar[KartId],$B944)=0,"YETİM","")))</f>
        <v/>
      </c>
      <c r="N944" s="35">
        <f>IF(OR($A944="",$D944=""),"",IF(OR($D944&amp;"|"&amp;$E944="",COUNTIF(ListeIzinliGecis,$D944&amp;"|"&amp;$E944)&gt;0),"","GEÇERSİZ GEÇİŞ"))</f>
        <v/>
      </c>
      <c r="O944" s="35">
        <f>IF($A944="","",IF(OR($F944="",$G944=""),"",IF(ABS($G944-$F944)&gt;zincirTolerans,"ZİNCİR KIRIK","OK")))</f>
        <v/>
      </c>
      <c r="P944" s="35">
        <f>IF($A944="","",1)</f>
        <v/>
      </c>
    </row>
    <row r="945">
      <c r="A945" s="29" t="n"/>
      <c r="B945" s="29" t="n"/>
      <c r="C945" s="70" t="n"/>
      <c r="D945" s="29" t="n"/>
      <c r="E945" s="29" t="n"/>
      <c r="F945" s="30" t="n"/>
      <c r="G945" s="30" t="n"/>
      <c r="H945" s="31" t="n"/>
      <c r="I945" s="31" t="n"/>
      <c r="J945" s="29" t="n"/>
      <c r="K945" s="35">
        <f>IF($A945="","",IF($C945="","",raporTarihi-$C945))</f>
        <v/>
      </c>
      <c r="L945" s="35">
        <f>IF($A945="","",IF($K945="","",IF($K945&lt;=7,"0-7",IF($K945&lt;=30,"8-30",IF($K945&lt;=60,"31-60","60+")))))</f>
        <v/>
      </c>
      <c r="M945" s="35">
        <f>IF($A945="","",IF($B945="","YETİM",IF(COUNTIF(tblKartlar[KartId],$B945)=0,"YETİM","")))</f>
        <v/>
      </c>
      <c r="N945" s="35">
        <f>IF(OR($A945="",$D945=""),"",IF(OR($D945&amp;"|"&amp;$E945="",COUNTIF(ListeIzinliGecis,$D945&amp;"|"&amp;$E945)&gt;0),"","GEÇERSİZ GEÇİŞ"))</f>
        <v/>
      </c>
      <c r="O945" s="35">
        <f>IF($A945="","",IF(OR($F945="",$G945=""),"",IF(ABS($G945-$F945)&gt;zincirTolerans,"ZİNCİR KIRIK","OK")))</f>
        <v/>
      </c>
      <c r="P945" s="35">
        <f>IF($A945="","",1)</f>
        <v/>
      </c>
    </row>
    <row r="946">
      <c r="A946" s="29" t="n"/>
      <c r="B946" s="29" t="n"/>
      <c r="C946" s="70" t="n"/>
      <c r="D946" s="29" t="n"/>
      <c r="E946" s="29" t="n"/>
      <c r="F946" s="30" t="n"/>
      <c r="G946" s="30" t="n"/>
      <c r="H946" s="31" t="n"/>
      <c r="I946" s="31" t="n"/>
      <c r="J946" s="29" t="n"/>
      <c r="K946" s="35">
        <f>IF($A946="","",IF($C946="","",raporTarihi-$C946))</f>
        <v/>
      </c>
      <c r="L946" s="35">
        <f>IF($A946="","",IF($K946="","",IF($K946&lt;=7,"0-7",IF($K946&lt;=30,"8-30",IF($K946&lt;=60,"31-60","60+")))))</f>
        <v/>
      </c>
      <c r="M946" s="35">
        <f>IF($A946="","",IF($B946="","YETİM",IF(COUNTIF(tblKartlar[KartId],$B946)=0,"YETİM","")))</f>
        <v/>
      </c>
      <c r="N946" s="35">
        <f>IF(OR($A946="",$D946=""),"",IF(OR($D946&amp;"|"&amp;$E946="",COUNTIF(ListeIzinliGecis,$D946&amp;"|"&amp;$E946)&gt;0),"","GEÇERSİZ GEÇİŞ"))</f>
        <v/>
      </c>
      <c r="O946" s="35">
        <f>IF($A946="","",IF(OR($F946="",$G946=""),"",IF(ABS($G946-$F946)&gt;zincirTolerans,"ZİNCİR KIRIK","OK")))</f>
        <v/>
      </c>
      <c r="P946" s="35">
        <f>IF($A946="","",1)</f>
        <v/>
      </c>
    </row>
    <row r="947">
      <c r="A947" s="29" t="n"/>
      <c r="B947" s="29" t="n"/>
      <c r="C947" s="70" t="n"/>
      <c r="D947" s="29" t="n"/>
      <c r="E947" s="29" t="n"/>
      <c r="F947" s="30" t="n"/>
      <c r="G947" s="30" t="n"/>
      <c r="H947" s="31" t="n"/>
      <c r="I947" s="31" t="n"/>
      <c r="J947" s="29" t="n"/>
      <c r="K947" s="35">
        <f>IF($A947="","",IF($C947="","",raporTarihi-$C947))</f>
        <v/>
      </c>
      <c r="L947" s="35">
        <f>IF($A947="","",IF($K947="","",IF($K947&lt;=7,"0-7",IF($K947&lt;=30,"8-30",IF($K947&lt;=60,"31-60","60+")))))</f>
        <v/>
      </c>
      <c r="M947" s="35">
        <f>IF($A947="","",IF($B947="","YETİM",IF(COUNTIF(tblKartlar[KartId],$B947)=0,"YETİM","")))</f>
        <v/>
      </c>
      <c r="N947" s="35">
        <f>IF(OR($A947="",$D947=""),"",IF(OR($D947&amp;"|"&amp;$E947="",COUNTIF(ListeIzinliGecis,$D947&amp;"|"&amp;$E947)&gt;0),"","GEÇERSİZ GEÇİŞ"))</f>
        <v/>
      </c>
      <c r="O947" s="35">
        <f>IF($A947="","",IF(OR($F947="",$G947=""),"",IF(ABS($G947-$F947)&gt;zincirTolerans,"ZİNCİR KIRIK","OK")))</f>
        <v/>
      </c>
      <c r="P947" s="35">
        <f>IF($A947="","",1)</f>
        <v/>
      </c>
    </row>
    <row r="948">
      <c r="A948" s="29" t="n"/>
      <c r="B948" s="29" t="n"/>
      <c r="C948" s="70" t="n"/>
      <c r="D948" s="29" t="n"/>
      <c r="E948" s="29" t="n"/>
      <c r="F948" s="30" t="n"/>
      <c r="G948" s="30" t="n"/>
      <c r="H948" s="31" t="n"/>
      <c r="I948" s="31" t="n"/>
      <c r="J948" s="29" t="n"/>
      <c r="K948" s="35">
        <f>IF($A948="","",IF($C948="","",raporTarihi-$C948))</f>
        <v/>
      </c>
      <c r="L948" s="35">
        <f>IF($A948="","",IF($K948="","",IF($K948&lt;=7,"0-7",IF($K948&lt;=30,"8-30",IF($K948&lt;=60,"31-60","60+")))))</f>
        <v/>
      </c>
      <c r="M948" s="35">
        <f>IF($A948="","",IF($B948="","YETİM",IF(COUNTIF(tblKartlar[KartId],$B948)=0,"YETİM","")))</f>
        <v/>
      </c>
      <c r="N948" s="35">
        <f>IF(OR($A948="",$D948=""),"",IF(OR($D948&amp;"|"&amp;$E948="",COUNTIF(ListeIzinliGecis,$D948&amp;"|"&amp;$E948)&gt;0),"","GEÇERSİZ GEÇİŞ"))</f>
        <v/>
      </c>
      <c r="O948" s="35">
        <f>IF($A948="","",IF(OR($F948="",$G948=""),"",IF(ABS($G948-$F948)&gt;zincirTolerans,"ZİNCİR KIRIK","OK")))</f>
        <v/>
      </c>
      <c r="P948" s="35">
        <f>IF($A948="","",1)</f>
        <v/>
      </c>
    </row>
    <row r="949">
      <c r="A949" s="29" t="n"/>
      <c r="B949" s="29" t="n"/>
      <c r="C949" s="70" t="n"/>
      <c r="D949" s="29" t="n"/>
      <c r="E949" s="29" t="n"/>
      <c r="F949" s="30" t="n"/>
      <c r="G949" s="30" t="n"/>
      <c r="H949" s="31" t="n"/>
      <c r="I949" s="31" t="n"/>
      <c r="J949" s="29" t="n"/>
      <c r="K949" s="35">
        <f>IF($A949="","",IF($C949="","",raporTarihi-$C949))</f>
        <v/>
      </c>
      <c r="L949" s="35">
        <f>IF($A949="","",IF($K949="","",IF($K949&lt;=7,"0-7",IF($K949&lt;=30,"8-30",IF($K949&lt;=60,"31-60","60+")))))</f>
        <v/>
      </c>
      <c r="M949" s="35">
        <f>IF($A949="","",IF($B949="","YETİM",IF(COUNTIF(tblKartlar[KartId],$B949)=0,"YETİM","")))</f>
        <v/>
      </c>
      <c r="N949" s="35">
        <f>IF(OR($A949="",$D949=""),"",IF(OR($D949&amp;"|"&amp;$E949="",COUNTIF(ListeIzinliGecis,$D949&amp;"|"&amp;$E949)&gt;0),"","GEÇERSİZ GEÇİŞ"))</f>
        <v/>
      </c>
      <c r="O949" s="35">
        <f>IF($A949="","",IF(OR($F949="",$G949=""),"",IF(ABS($G949-$F949)&gt;zincirTolerans,"ZİNCİR KIRIK","OK")))</f>
        <v/>
      </c>
      <c r="P949" s="35">
        <f>IF($A949="","",1)</f>
        <v/>
      </c>
    </row>
    <row r="950">
      <c r="A950" s="29" t="n"/>
      <c r="B950" s="29" t="n"/>
      <c r="C950" s="70" t="n"/>
      <c r="D950" s="29" t="n"/>
      <c r="E950" s="29" t="n"/>
      <c r="F950" s="30" t="n"/>
      <c r="G950" s="30" t="n"/>
      <c r="H950" s="31" t="n"/>
      <c r="I950" s="31" t="n"/>
      <c r="J950" s="29" t="n"/>
      <c r="K950" s="35">
        <f>IF($A950="","",IF($C950="","",raporTarihi-$C950))</f>
        <v/>
      </c>
      <c r="L950" s="35">
        <f>IF($A950="","",IF($K950="","",IF($K950&lt;=7,"0-7",IF($K950&lt;=30,"8-30",IF($K950&lt;=60,"31-60","60+")))))</f>
        <v/>
      </c>
      <c r="M950" s="35">
        <f>IF($A950="","",IF($B950="","YETİM",IF(COUNTIF(tblKartlar[KartId],$B950)=0,"YETİM","")))</f>
        <v/>
      </c>
      <c r="N950" s="35">
        <f>IF(OR($A950="",$D950=""),"",IF(OR($D950&amp;"|"&amp;$E950="",COUNTIF(ListeIzinliGecis,$D950&amp;"|"&amp;$E950)&gt;0),"","GEÇERSİZ GEÇİŞ"))</f>
        <v/>
      </c>
      <c r="O950" s="35">
        <f>IF($A950="","",IF(OR($F950="",$G950=""),"",IF(ABS($G950-$F950)&gt;zincirTolerans,"ZİNCİR KIRIK","OK")))</f>
        <v/>
      </c>
      <c r="P950" s="35">
        <f>IF($A950="","",1)</f>
        <v/>
      </c>
    </row>
    <row r="951">
      <c r="A951" s="29" t="n"/>
      <c r="B951" s="29" t="n"/>
      <c r="C951" s="70" t="n"/>
      <c r="D951" s="29" t="n"/>
      <c r="E951" s="29" t="n"/>
      <c r="F951" s="30" t="n"/>
      <c r="G951" s="30" t="n"/>
      <c r="H951" s="31" t="n"/>
      <c r="I951" s="31" t="n"/>
      <c r="J951" s="29" t="n"/>
      <c r="K951" s="35">
        <f>IF($A951="","",IF($C951="","",raporTarihi-$C951))</f>
        <v/>
      </c>
      <c r="L951" s="35">
        <f>IF($A951="","",IF($K951="","",IF($K951&lt;=7,"0-7",IF($K951&lt;=30,"8-30",IF($K951&lt;=60,"31-60","60+")))))</f>
        <v/>
      </c>
      <c r="M951" s="35">
        <f>IF($A951="","",IF($B951="","YETİM",IF(COUNTIF(tblKartlar[KartId],$B951)=0,"YETİM","")))</f>
        <v/>
      </c>
      <c r="N951" s="35">
        <f>IF(OR($A951="",$D951=""),"",IF(OR($D951&amp;"|"&amp;$E951="",COUNTIF(ListeIzinliGecis,$D951&amp;"|"&amp;$E951)&gt;0),"","GEÇERSİZ GEÇİŞ"))</f>
        <v/>
      </c>
      <c r="O951" s="35">
        <f>IF($A951="","",IF(OR($F951="",$G951=""),"",IF(ABS($G951-$F951)&gt;zincirTolerans,"ZİNCİR KIRIK","OK")))</f>
        <v/>
      </c>
      <c r="P951" s="35">
        <f>IF($A951="","",1)</f>
        <v/>
      </c>
    </row>
    <row r="952">
      <c r="A952" s="29" t="n"/>
      <c r="B952" s="29" t="n"/>
      <c r="C952" s="70" t="n"/>
      <c r="D952" s="29" t="n"/>
      <c r="E952" s="29" t="n"/>
      <c r="F952" s="30" t="n"/>
      <c r="G952" s="30" t="n"/>
      <c r="H952" s="31" t="n"/>
      <c r="I952" s="31" t="n"/>
      <c r="J952" s="29" t="n"/>
      <c r="K952" s="35">
        <f>IF($A952="","",IF($C952="","",raporTarihi-$C952))</f>
        <v/>
      </c>
      <c r="L952" s="35">
        <f>IF($A952="","",IF($K952="","",IF($K952&lt;=7,"0-7",IF($K952&lt;=30,"8-30",IF($K952&lt;=60,"31-60","60+")))))</f>
        <v/>
      </c>
      <c r="M952" s="35">
        <f>IF($A952="","",IF($B952="","YETİM",IF(COUNTIF(tblKartlar[KartId],$B952)=0,"YETİM","")))</f>
        <v/>
      </c>
      <c r="N952" s="35">
        <f>IF(OR($A952="",$D952=""),"",IF(OR($D952&amp;"|"&amp;$E952="",COUNTIF(ListeIzinliGecis,$D952&amp;"|"&amp;$E952)&gt;0),"","GEÇERSİZ GEÇİŞ"))</f>
        <v/>
      </c>
      <c r="O952" s="35">
        <f>IF($A952="","",IF(OR($F952="",$G952=""),"",IF(ABS($G952-$F952)&gt;zincirTolerans,"ZİNCİR KIRIK","OK")))</f>
        <v/>
      </c>
      <c r="P952" s="35">
        <f>IF($A952="","",1)</f>
        <v/>
      </c>
    </row>
    <row r="953">
      <c r="A953" s="29" t="n"/>
      <c r="B953" s="29" t="n"/>
      <c r="C953" s="70" t="n"/>
      <c r="D953" s="29" t="n"/>
      <c r="E953" s="29" t="n"/>
      <c r="F953" s="30" t="n"/>
      <c r="G953" s="30" t="n"/>
      <c r="H953" s="31" t="n"/>
      <c r="I953" s="31" t="n"/>
      <c r="J953" s="29" t="n"/>
      <c r="K953" s="35">
        <f>IF($A953="","",IF($C953="","",raporTarihi-$C953))</f>
        <v/>
      </c>
      <c r="L953" s="35">
        <f>IF($A953="","",IF($K953="","",IF($K953&lt;=7,"0-7",IF($K953&lt;=30,"8-30",IF($K953&lt;=60,"31-60","60+")))))</f>
        <v/>
      </c>
      <c r="M953" s="35">
        <f>IF($A953="","",IF($B953="","YETİM",IF(COUNTIF(tblKartlar[KartId],$B953)=0,"YETİM","")))</f>
        <v/>
      </c>
      <c r="N953" s="35">
        <f>IF(OR($A953="",$D953=""),"",IF(OR($D953&amp;"|"&amp;$E953="",COUNTIF(ListeIzinliGecis,$D953&amp;"|"&amp;$E953)&gt;0),"","GEÇERSİZ GEÇİŞ"))</f>
        <v/>
      </c>
      <c r="O953" s="35">
        <f>IF($A953="","",IF(OR($F953="",$G953=""),"",IF(ABS($G953-$F953)&gt;zincirTolerans,"ZİNCİR KIRIK","OK")))</f>
        <v/>
      </c>
      <c r="P953" s="35">
        <f>IF($A953="","",1)</f>
        <v/>
      </c>
    </row>
    <row r="954">
      <c r="A954" s="29" t="n"/>
      <c r="B954" s="29" t="n"/>
      <c r="C954" s="70" t="n"/>
      <c r="D954" s="29" t="n"/>
      <c r="E954" s="29" t="n"/>
      <c r="F954" s="30" t="n"/>
      <c r="G954" s="30" t="n"/>
      <c r="H954" s="31" t="n"/>
      <c r="I954" s="31" t="n"/>
      <c r="J954" s="29" t="n"/>
      <c r="K954" s="35">
        <f>IF($A954="","",IF($C954="","",raporTarihi-$C954))</f>
        <v/>
      </c>
      <c r="L954" s="35">
        <f>IF($A954="","",IF($K954="","",IF($K954&lt;=7,"0-7",IF($K954&lt;=30,"8-30",IF($K954&lt;=60,"31-60","60+")))))</f>
        <v/>
      </c>
      <c r="M954" s="35">
        <f>IF($A954="","",IF($B954="","YETİM",IF(COUNTIF(tblKartlar[KartId],$B954)=0,"YETİM","")))</f>
        <v/>
      </c>
      <c r="N954" s="35">
        <f>IF(OR($A954="",$D954=""),"",IF(OR($D954&amp;"|"&amp;$E954="",COUNTIF(ListeIzinliGecis,$D954&amp;"|"&amp;$E954)&gt;0),"","GEÇERSİZ GEÇİŞ"))</f>
        <v/>
      </c>
      <c r="O954" s="35">
        <f>IF($A954="","",IF(OR($F954="",$G954=""),"",IF(ABS($G954-$F954)&gt;zincirTolerans,"ZİNCİR KIRIK","OK")))</f>
        <v/>
      </c>
      <c r="P954" s="35">
        <f>IF($A954="","",1)</f>
        <v/>
      </c>
    </row>
    <row r="955">
      <c r="A955" s="29" t="n"/>
      <c r="B955" s="29" t="n"/>
      <c r="C955" s="70" t="n"/>
      <c r="D955" s="29" t="n"/>
      <c r="E955" s="29" t="n"/>
      <c r="F955" s="30" t="n"/>
      <c r="G955" s="30" t="n"/>
      <c r="H955" s="31" t="n"/>
      <c r="I955" s="31" t="n"/>
      <c r="J955" s="29" t="n"/>
      <c r="K955" s="35">
        <f>IF($A955="","",IF($C955="","",raporTarihi-$C955))</f>
        <v/>
      </c>
      <c r="L955" s="35">
        <f>IF($A955="","",IF($K955="","",IF($K955&lt;=7,"0-7",IF($K955&lt;=30,"8-30",IF($K955&lt;=60,"31-60","60+")))))</f>
        <v/>
      </c>
      <c r="M955" s="35">
        <f>IF($A955="","",IF($B955="","YETİM",IF(COUNTIF(tblKartlar[KartId],$B955)=0,"YETİM","")))</f>
        <v/>
      </c>
      <c r="N955" s="35">
        <f>IF(OR($A955="",$D955=""),"",IF(OR($D955&amp;"|"&amp;$E955="",COUNTIF(ListeIzinliGecis,$D955&amp;"|"&amp;$E955)&gt;0),"","GEÇERSİZ GEÇİŞ"))</f>
        <v/>
      </c>
      <c r="O955" s="35">
        <f>IF($A955="","",IF(OR($F955="",$G955=""),"",IF(ABS($G955-$F955)&gt;zincirTolerans,"ZİNCİR KIRIK","OK")))</f>
        <v/>
      </c>
      <c r="P955" s="35">
        <f>IF($A955="","",1)</f>
        <v/>
      </c>
    </row>
    <row r="956">
      <c r="A956" s="29" t="n"/>
      <c r="B956" s="29" t="n"/>
      <c r="C956" s="70" t="n"/>
      <c r="D956" s="29" t="n"/>
      <c r="E956" s="29" t="n"/>
      <c r="F956" s="30" t="n"/>
      <c r="G956" s="30" t="n"/>
      <c r="H956" s="31" t="n"/>
      <c r="I956" s="31" t="n"/>
      <c r="J956" s="29" t="n"/>
      <c r="K956" s="35">
        <f>IF($A956="","",IF($C956="","",raporTarihi-$C956))</f>
        <v/>
      </c>
      <c r="L956" s="35">
        <f>IF($A956="","",IF($K956="","",IF($K956&lt;=7,"0-7",IF($K956&lt;=30,"8-30",IF($K956&lt;=60,"31-60","60+")))))</f>
        <v/>
      </c>
      <c r="M956" s="35">
        <f>IF($A956="","",IF($B956="","YETİM",IF(COUNTIF(tblKartlar[KartId],$B956)=0,"YETİM","")))</f>
        <v/>
      </c>
      <c r="N956" s="35">
        <f>IF(OR($A956="",$D956=""),"",IF(OR($D956&amp;"|"&amp;$E956="",COUNTIF(ListeIzinliGecis,$D956&amp;"|"&amp;$E956)&gt;0),"","GEÇERSİZ GEÇİŞ"))</f>
        <v/>
      </c>
      <c r="O956" s="35">
        <f>IF($A956="","",IF(OR($F956="",$G956=""),"",IF(ABS($G956-$F956)&gt;zincirTolerans,"ZİNCİR KIRIK","OK")))</f>
        <v/>
      </c>
      <c r="P956" s="35">
        <f>IF($A956="","",1)</f>
        <v/>
      </c>
    </row>
    <row r="957">
      <c r="A957" s="29" t="n"/>
      <c r="B957" s="29" t="n"/>
      <c r="C957" s="70" t="n"/>
      <c r="D957" s="29" t="n"/>
      <c r="E957" s="29" t="n"/>
      <c r="F957" s="30" t="n"/>
      <c r="G957" s="30" t="n"/>
      <c r="H957" s="31" t="n"/>
      <c r="I957" s="31" t="n"/>
      <c r="J957" s="29" t="n"/>
      <c r="K957" s="35">
        <f>IF($A957="","",IF($C957="","",raporTarihi-$C957))</f>
        <v/>
      </c>
      <c r="L957" s="35">
        <f>IF($A957="","",IF($K957="","",IF($K957&lt;=7,"0-7",IF($K957&lt;=30,"8-30",IF($K957&lt;=60,"31-60","60+")))))</f>
        <v/>
      </c>
      <c r="M957" s="35">
        <f>IF($A957="","",IF($B957="","YETİM",IF(COUNTIF(tblKartlar[KartId],$B957)=0,"YETİM","")))</f>
        <v/>
      </c>
      <c r="N957" s="35">
        <f>IF(OR($A957="",$D957=""),"",IF(OR($D957&amp;"|"&amp;$E957="",COUNTIF(ListeIzinliGecis,$D957&amp;"|"&amp;$E957)&gt;0),"","GEÇERSİZ GEÇİŞ"))</f>
        <v/>
      </c>
      <c r="O957" s="35">
        <f>IF($A957="","",IF(OR($F957="",$G957=""),"",IF(ABS($G957-$F957)&gt;zincirTolerans,"ZİNCİR KIRIK","OK")))</f>
        <v/>
      </c>
      <c r="P957" s="35">
        <f>IF($A957="","",1)</f>
        <v/>
      </c>
    </row>
    <row r="958">
      <c r="A958" s="29" t="n"/>
      <c r="B958" s="29" t="n"/>
      <c r="C958" s="70" t="n"/>
      <c r="D958" s="29" t="n"/>
      <c r="E958" s="29" t="n"/>
      <c r="F958" s="30" t="n"/>
      <c r="G958" s="30" t="n"/>
      <c r="H958" s="31" t="n"/>
      <c r="I958" s="31" t="n"/>
      <c r="J958" s="29" t="n"/>
      <c r="K958" s="35">
        <f>IF($A958="","",IF($C958="","",raporTarihi-$C958))</f>
        <v/>
      </c>
      <c r="L958" s="35">
        <f>IF($A958="","",IF($K958="","",IF($K958&lt;=7,"0-7",IF($K958&lt;=30,"8-30",IF($K958&lt;=60,"31-60","60+")))))</f>
        <v/>
      </c>
      <c r="M958" s="35">
        <f>IF($A958="","",IF($B958="","YETİM",IF(COUNTIF(tblKartlar[KartId],$B958)=0,"YETİM","")))</f>
        <v/>
      </c>
      <c r="N958" s="35">
        <f>IF(OR($A958="",$D958=""),"",IF(OR($D958&amp;"|"&amp;$E958="",COUNTIF(ListeIzinliGecis,$D958&amp;"|"&amp;$E958)&gt;0),"","GEÇERSİZ GEÇİŞ"))</f>
        <v/>
      </c>
      <c r="O958" s="35">
        <f>IF($A958="","",IF(OR($F958="",$G958=""),"",IF(ABS($G958-$F958)&gt;zincirTolerans,"ZİNCİR KIRIK","OK")))</f>
        <v/>
      </c>
      <c r="P958" s="35">
        <f>IF($A958="","",1)</f>
        <v/>
      </c>
    </row>
    <row r="959">
      <c r="A959" s="29" t="n"/>
      <c r="B959" s="29" t="n"/>
      <c r="C959" s="70" t="n"/>
      <c r="D959" s="29" t="n"/>
      <c r="E959" s="29" t="n"/>
      <c r="F959" s="30" t="n"/>
      <c r="G959" s="30" t="n"/>
      <c r="H959" s="31" t="n"/>
      <c r="I959" s="31" t="n"/>
      <c r="J959" s="29" t="n"/>
      <c r="K959" s="35">
        <f>IF($A959="","",IF($C959="","",raporTarihi-$C959))</f>
        <v/>
      </c>
      <c r="L959" s="35">
        <f>IF($A959="","",IF($K959="","",IF($K959&lt;=7,"0-7",IF($K959&lt;=30,"8-30",IF($K959&lt;=60,"31-60","60+")))))</f>
        <v/>
      </c>
      <c r="M959" s="35">
        <f>IF($A959="","",IF($B959="","YETİM",IF(COUNTIF(tblKartlar[KartId],$B959)=0,"YETİM","")))</f>
        <v/>
      </c>
      <c r="N959" s="35">
        <f>IF(OR($A959="",$D959=""),"",IF(OR($D959&amp;"|"&amp;$E959="",COUNTIF(ListeIzinliGecis,$D959&amp;"|"&amp;$E959)&gt;0),"","GEÇERSİZ GEÇİŞ"))</f>
        <v/>
      </c>
      <c r="O959" s="35">
        <f>IF($A959="","",IF(OR($F959="",$G959=""),"",IF(ABS($G959-$F959)&gt;zincirTolerans,"ZİNCİR KIRIK","OK")))</f>
        <v/>
      </c>
      <c r="P959" s="35">
        <f>IF($A959="","",1)</f>
        <v/>
      </c>
    </row>
    <row r="960">
      <c r="A960" s="29" t="n"/>
      <c r="B960" s="29" t="n"/>
      <c r="C960" s="70" t="n"/>
      <c r="D960" s="29" t="n"/>
      <c r="E960" s="29" t="n"/>
      <c r="F960" s="30" t="n"/>
      <c r="G960" s="30" t="n"/>
      <c r="H960" s="31" t="n"/>
      <c r="I960" s="31" t="n"/>
      <c r="J960" s="29" t="n"/>
      <c r="K960" s="35">
        <f>IF($A960="","",IF($C960="","",raporTarihi-$C960))</f>
        <v/>
      </c>
      <c r="L960" s="35">
        <f>IF($A960="","",IF($K960="","",IF($K960&lt;=7,"0-7",IF($K960&lt;=30,"8-30",IF($K960&lt;=60,"31-60","60+")))))</f>
        <v/>
      </c>
      <c r="M960" s="35">
        <f>IF($A960="","",IF($B960="","YETİM",IF(COUNTIF(tblKartlar[KartId],$B960)=0,"YETİM","")))</f>
        <v/>
      </c>
      <c r="N960" s="35">
        <f>IF(OR($A960="",$D960=""),"",IF(OR($D960&amp;"|"&amp;$E960="",COUNTIF(ListeIzinliGecis,$D960&amp;"|"&amp;$E960)&gt;0),"","GEÇERSİZ GEÇİŞ"))</f>
        <v/>
      </c>
      <c r="O960" s="35">
        <f>IF($A960="","",IF(OR($F960="",$G960=""),"",IF(ABS($G960-$F960)&gt;zincirTolerans,"ZİNCİR KIRIK","OK")))</f>
        <v/>
      </c>
      <c r="P960" s="35">
        <f>IF($A960="","",1)</f>
        <v/>
      </c>
    </row>
    <row r="961">
      <c r="A961" s="29" t="n"/>
      <c r="B961" s="29" t="n"/>
      <c r="C961" s="70" t="n"/>
      <c r="D961" s="29" t="n"/>
      <c r="E961" s="29" t="n"/>
      <c r="F961" s="30" t="n"/>
      <c r="G961" s="30" t="n"/>
      <c r="H961" s="31" t="n"/>
      <c r="I961" s="31" t="n"/>
      <c r="J961" s="29" t="n"/>
      <c r="K961" s="35">
        <f>IF($A961="","",IF($C961="","",raporTarihi-$C961))</f>
        <v/>
      </c>
      <c r="L961" s="35">
        <f>IF($A961="","",IF($K961="","",IF($K961&lt;=7,"0-7",IF($K961&lt;=30,"8-30",IF($K961&lt;=60,"31-60","60+")))))</f>
        <v/>
      </c>
      <c r="M961" s="35">
        <f>IF($A961="","",IF($B961="","YETİM",IF(COUNTIF(tblKartlar[KartId],$B961)=0,"YETİM","")))</f>
        <v/>
      </c>
      <c r="N961" s="35">
        <f>IF(OR($A961="",$D961=""),"",IF(OR($D961&amp;"|"&amp;$E961="",COUNTIF(ListeIzinliGecis,$D961&amp;"|"&amp;$E961)&gt;0),"","GEÇERSİZ GEÇİŞ"))</f>
        <v/>
      </c>
      <c r="O961" s="35">
        <f>IF($A961="","",IF(OR($F961="",$G961=""),"",IF(ABS($G961-$F961)&gt;zincirTolerans,"ZİNCİR KIRIK","OK")))</f>
        <v/>
      </c>
      <c r="P961" s="35">
        <f>IF($A961="","",1)</f>
        <v/>
      </c>
    </row>
    <row r="962">
      <c r="A962" s="29" t="n"/>
      <c r="B962" s="29" t="n"/>
      <c r="C962" s="70" t="n"/>
      <c r="D962" s="29" t="n"/>
      <c r="E962" s="29" t="n"/>
      <c r="F962" s="30" t="n"/>
      <c r="G962" s="30" t="n"/>
      <c r="H962" s="31" t="n"/>
      <c r="I962" s="31" t="n"/>
      <c r="J962" s="29" t="n"/>
      <c r="K962" s="35">
        <f>IF($A962="","",IF($C962="","",raporTarihi-$C962))</f>
        <v/>
      </c>
      <c r="L962" s="35">
        <f>IF($A962="","",IF($K962="","",IF($K962&lt;=7,"0-7",IF($K962&lt;=30,"8-30",IF($K962&lt;=60,"31-60","60+")))))</f>
        <v/>
      </c>
      <c r="M962" s="35">
        <f>IF($A962="","",IF($B962="","YETİM",IF(COUNTIF(tblKartlar[KartId],$B962)=0,"YETİM","")))</f>
        <v/>
      </c>
      <c r="N962" s="35">
        <f>IF(OR($A962="",$D962=""),"",IF(OR($D962&amp;"|"&amp;$E962="",COUNTIF(ListeIzinliGecis,$D962&amp;"|"&amp;$E962)&gt;0),"","GEÇERSİZ GEÇİŞ"))</f>
        <v/>
      </c>
      <c r="O962" s="35">
        <f>IF($A962="","",IF(OR($F962="",$G962=""),"",IF(ABS($G962-$F962)&gt;zincirTolerans,"ZİNCİR KIRIK","OK")))</f>
        <v/>
      </c>
      <c r="P962" s="35">
        <f>IF($A962="","",1)</f>
        <v/>
      </c>
    </row>
    <row r="963">
      <c r="A963" s="29" t="n"/>
      <c r="B963" s="29" t="n"/>
      <c r="C963" s="70" t="n"/>
      <c r="D963" s="29" t="n"/>
      <c r="E963" s="29" t="n"/>
      <c r="F963" s="30" t="n"/>
      <c r="G963" s="30" t="n"/>
      <c r="H963" s="31" t="n"/>
      <c r="I963" s="31" t="n"/>
      <c r="J963" s="29" t="n"/>
      <c r="K963" s="35">
        <f>IF($A963="","",IF($C963="","",raporTarihi-$C963))</f>
        <v/>
      </c>
      <c r="L963" s="35">
        <f>IF($A963="","",IF($K963="","",IF($K963&lt;=7,"0-7",IF($K963&lt;=30,"8-30",IF($K963&lt;=60,"31-60","60+")))))</f>
        <v/>
      </c>
      <c r="M963" s="35">
        <f>IF($A963="","",IF($B963="","YETİM",IF(COUNTIF(tblKartlar[KartId],$B963)=0,"YETİM","")))</f>
        <v/>
      </c>
      <c r="N963" s="35">
        <f>IF(OR($A963="",$D963=""),"",IF(OR($D963&amp;"|"&amp;$E963="",COUNTIF(ListeIzinliGecis,$D963&amp;"|"&amp;$E963)&gt;0),"","GEÇERSİZ GEÇİŞ"))</f>
        <v/>
      </c>
      <c r="O963" s="35">
        <f>IF($A963="","",IF(OR($F963="",$G963=""),"",IF(ABS($G963-$F963)&gt;zincirTolerans,"ZİNCİR KIRIK","OK")))</f>
        <v/>
      </c>
      <c r="P963" s="35">
        <f>IF($A963="","",1)</f>
        <v/>
      </c>
    </row>
    <row r="964">
      <c r="A964" s="29" t="n"/>
      <c r="B964" s="29" t="n"/>
      <c r="C964" s="70" t="n"/>
      <c r="D964" s="29" t="n"/>
      <c r="E964" s="29" t="n"/>
      <c r="F964" s="30" t="n"/>
      <c r="G964" s="30" t="n"/>
      <c r="H964" s="31" t="n"/>
      <c r="I964" s="31" t="n"/>
      <c r="J964" s="29" t="n"/>
      <c r="K964" s="35">
        <f>IF($A964="","",IF($C964="","",raporTarihi-$C964))</f>
        <v/>
      </c>
      <c r="L964" s="35">
        <f>IF($A964="","",IF($K964="","",IF($K964&lt;=7,"0-7",IF($K964&lt;=30,"8-30",IF($K964&lt;=60,"31-60","60+")))))</f>
        <v/>
      </c>
      <c r="M964" s="35">
        <f>IF($A964="","",IF($B964="","YETİM",IF(COUNTIF(tblKartlar[KartId],$B964)=0,"YETİM","")))</f>
        <v/>
      </c>
      <c r="N964" s="35">
        <f>IF(OR($A964="",$D964=""),"",IF(OR($D964&amp;"|"&amp;$E964="",COUNTIF(ListeIzinliGecis,$D964&amp;"|"&amp;$E964)&gt;0),"","GEÇERSİZ GEÇİŞ"))</f>
        <v/>
      </c>
      <c r="O964" s="35">
        <f>IF($A964="","",IF(OR($F964="",$G964=""),"",IF(ABS($G964-$F964)&gt;zincirTolerans,"ZİNCİR KIRIK","OK")))</f>
        <v/>
      </c>
      <c r="P964" s="35">
        <f>IF($A964="","",1)</f>
        <v/>
      </c>
    </row>
    <row r="965">
      <c r="A965" s="29" t="n"/>
      <c r="B965" s="29" t="n"/>
      <c r="C965" s="70" t="n"/>
      <c r="D965" s="29" t="n"/>
      <c r="E965" s="29" t="n"/>
      <c r="F965" s="30" t="n"/>
      <c r="G965" s="30" t="n"/>
      <c r="H965" s="31" t="n"/>
      <c r="I965" s="31" t="n"/>
      <c r="J965" s="29" t="n"/>
      <c r="K965" s="35">
        <f>IF($A965="","",IF($C965="","",raporTarihi-$C965))</f>
        <v/>
      </c>
      <c r="L965" s="35">
        <f>IF($A965="","",IF($K965="","",IF($K965&lt;=7,"0-7",IF($K965&lt;=30,"8-30",IF($K965&lt;=60,"31-60","60+")))))</f>
        <v/>
      </c>
      <c r="M965" s="35">
        <f>IF($A965="","",IF($B965="","YETİM",IF(COUNTIF(tblKartlar[KartId],$B965)=0,"YETİM","")))</f>
        <v/>
      </c>
      <c r="N965" s="35">
        <f>IF(OR($A965="",$D965=""),"",IF(OR($D965&amp;"|"&amp;$E965="",COUNTIF(ListeIzinliGecis,$D965&amp;"|"&amp;$E965)&gt;0),"","GEÇERSİZ GEÇİŞ"))</f>
        <v/>
      </c>
      <c r="O965" s="35">
        <f>IF($A965="","",IF(OR($F965="",$G965=""),"",IF(ABS($G965-$F965)&gt;zincirTolerans,"ZİNCİR KIRIK","OK")))</f>
        <v/>
      </c>
      <c r="P965" s="35">
        <f>IF($A965="","",1)</f>
        <v/>
      </c>
    </row>
    <row r="966">
      <c r="A966" s="29" t="n"/>
      <c r="B966" s="29" t="n"/>
      <c r="C966" s="70" t="n"/>
      <c r="D966" s="29" t="n"/>
      <c r="E966" s="29" t="n"/>
      <c r="F966" s="30" t="n"/>
      <c r="G966" s="30" t="n"/>
      <c r="H966" s="31" t="n"/>
      <c r="I966" s="31" t="n"/>
      <c r="J966" s="29" t="n"/>
      <c r="K966" s="35">
        <f>IF($A966="","",IF($C966="","",raporTarihi-$C966))</f>
        <v/>
      </c>
      <c r="L966" s="35">
        <f>IF($A966="","",IF($K966="","",IF($K966&lt;=7,"0-7",IF($K966&lt;=30,"8-30",IF($K966&lt;=60,"31-60","60+")))))</f>
        <v/>
      </c>
      <c r="M966" s="35">
        <f>IF($A966="","",IF($B966="","YETİM",IF(COUNTIF(tblKartlar[KartId],$B966)=0,"YETİM","")))</f>
        <v/>
      </c>
      <c r="N966" s="35">
        <f>IF(OR($A966="",$D966=""),"",IF(OR($D966&amp;"|"&amp;$E966="",COUNTIF(ListeIzinliGecis,$D966&amp;"|"&amp;$E966)&gt;0),"","GEÇERSİZ GEÇİŞ"))</f>
        <v/>
      </c>
      <c r="O966" s="35">
        <f>IF($A966="","",IF(OR($F966="",$G966=""),"",IF(ABS($G966-$F966)&gt;zincirTolerans,"ZİNCİR KIRIK","OK")))</f>
        <v/>
      </c>
      <c r="P966" s="35">
        <f>IF($A966="","",1)</f>
        <v/>
      </c>
    </row>
    <row r="967">
      <c r="A967" s="29" t="n"/>
      <c r="B967" s="29" t="n"/>
      <c r="C967" s="70" t="n"/>
      <c r="D967" s="29" t="n"/>
      <c r="E967" s="29" t="n"/>
      <c r="F967" s="30" t="n"/>
      <c r="G967" s="30" t="n"/>
      <c r="H967" s="31" t="n"/>
      <c r="I967" s="31" t="n"/>
      <c r="J967" s="29" t="n"/>
      <c r="K967" s="35">
        <f>IF($A967="","",IF($C967="","",raporTarihi-$C967))</f>
        <v/>
      </c>
      <c r="L967" s="35">
        <f>IF($A967="","",IF($K967="","",IF($K967&lt;=7,"0-7",IF($K967&lt;=30,"8-30",IF($K967&lt;=60,"31-60","60+")))))</f>
        <v/>
      </c>
      <c r="M967" s="35">
        <f>IF($A967="","",IF($B967="","YETİM",IF(COUNTIF(tblKartlar[KartId],$B967)=0,"YETİM","")))</f>
        <v/>
      </c>
      <c r="N967" s="35">
        <f>IF(OR($A967="",$D967=""),"",IF(OR($D967&amp;"|"&amp;$E967="",COUNTIF(ListeIzinliGecis,$D967&amp;"|"&amp;$E967)&gt;0),"","GEÇERSİZ GEÇİŞ"))</f>
        <v/>
      </c>
      <c r="O967" s="35">
        <f>IF($A967="","",IF(OR($F967="",$G967=""),"",IF(ABS($G967-$F967)&gt;zincirTolerans,"ZİNCİR KIRIK","OK")))</f>
        <v/>
      </c>
      <c r="P967" s="35">
        <f>IF($A967="","",1)</f>
        <v/>
      </c>
    </row>
    <row r="968">
      <c r="A968" s="29" t="n"/>
      <c r="B968" s="29" t="n"/>
      <c r="C968" s="70" t="n"/>
      <c r="D968" s="29" t="n"/>
      <c r="E968" s="29" t="n"/>
      <c r="F968" s="30" t="n"/>
      <c r="G968" s="30" t="n"/>
      <c r="H968" s="31" t="n"/>
      <c r="I968" s="31" t="n"/>
      <c r="J968" s="29" t="n"/>
      <c r="K968" s="35">
        <f>IF($A968="","",IF($C968="","",raporTarihi-$C968))</f>
        <v/>
      </c>
      <c r="L968" s="35">
        <f>IF($A968="","",IF($K968="","",IF($K968&lt;=7,"0-7",IF($K968&lt;=30,"8-30",IF($K968&lt;=60,"31-60","60+")))))</f>
        <v/>
      </c>
      <c r="M968" s="35">
        <f>IF($A968="","",IF($B968="","YETİM",IF(COUNTIF(tblKartlar[KartId],$B968)=0,"YETİM","")))</f>
        <v/>
      </c>
      <c r="N968" s="35">
        <f>IF(OR($A968="",$D968=""),"",IF(OR($D968&amp;"|"&amp;$E968="",COUNTIF(ListeIzinliGecis,$D968&amp;"|"&amp;$E968)&gt;0),"","GEÇERSİZ GEÇİŞ"))</f>
        <v/>
      </c>
      <c r="O968" s="35">
        <f>IF($A968="","",IF(OR($F968="",$G968=""),"",IF(ABS($G968-$F968)&gt;zincirTolerans,"ZİNCİR KIRIK","OK")))</f>
        <v/>
      </c>
      <c r="P968" s="35">
        <f>IF($A968="","",1)</f>
        <v/>
      </c>
    </row>
    <row r="969">
      <c r="A969" s="29" t="n"/>
      <c r="B969" s="29" t="n"/>
      <c r="C969" s="70" t="n"/>
      <c r="D969" s="29" t="n"/>
      <c r="E969" s="29" t="n"/>
      <c r="F969" s="30" t="n"/>
      <c r="G969" s="30" t="n"/>
      <c r="H969" s="31" t="n"/>
      <c r="I969" s="31" t="n"/>
      <c r="J969" s="29" t="n"/>
      <c r="K969" s="35">
        <f>IF($A969="","",IF($C969="","",raporTarihi-$C969))</f>
        <v/>
      </c>
      <c r="L969" s="35">
        <f>IF($A969="","",IF($K969="","",IF($K969&lt;=7,"0-7",IF($K969&lt;=30,"8-30",IF($K969&lt;=60,"31-60","60+")))))</f>
        <v/>
      </c>
      <c r="M969" s="35">
        <f>IF($A969="","",IF($B969="","YETİM",IF(COUNTIF(tblKartlar[KartId],$B969)=0,"YETİM","")))</f>
        <v/>
      </c>
      <c r="N969" s="35">
        <f>IF(OR($A969="",$D969=""),"",IF(OR($D969&amp;"|"&amp;$E969="",COUNTIF(ListeIzinliGecis,$D969&amp;"|"&amp;$E969)&gt;0),"","GEÇERSİZ GEÇİŞ"))</f>
        <v/>
      </c>
      <c r="O969" s="35">
        <f>IF($A969="","",IF(OR($F969="",$G969=""),"",IF(ABS($G969-$F969)&gt;zincirTolerans,"ZİNCİR KIRIK","OK")))</f>
        <v/>
      </c>
      <c r="P969" s="35">
        <f>IF($A969="","",1)</f>
        <v/>
      </c>
    </row>
    <row r="970">
      <c r="A970" s="29" t="n"/>
      <c r="B970" s="29" t="n"/>
      <c r="C970" s="70" t="n"/>
      <c r="D970" s="29" t="n"/>
      <c r="E970" s="29" t="n"/>
      <c r="F970" s="30" t="n"/>
      <c r="G970" s="30" t="n"/>
      <c r="H970" s="31" t="n"/>
      <c r="I970" s="31" t="n"/>
      <c r="J970" s="29" t="n"/>
      <c r="K970" s="35">
        <f>IF($A970="","",IF($C970="","",raporTarihi-$C970))</f>
        <v/>
      </c>
      <c r="L970" s="35">
        <f>IF($A970="","",IF($K970="","",IF($K970&lt;=7,"0-7",IF($K970&lt;=30,"8-30",IF($K970&lt;=60,"31-60","60+")))))</f>
        <v/>
      </c>
      <c r="M970" s="35">
        <f>IF($A970="","",IF($B970="","YETİM",IF(COUNTIF(tblKartlar[KartId],$B970)=0,"YETİM","")))</f>
        <v/>
      </c>
      <c r="N970" s="35">
        <f>IF(OR($A970="",$D970=""),"",IF(OR($D970&amp;"|"&amp;$E970="",COUNTIF(ListeIzinliGecis,$D970&amp;"|"&amp;$E970)&gt;0),"","GEÇERSİZ GEÇİŞ"))</f>
        <v/>
      </c>
      <c r="O970" s="35">
        <f>IF($A970="","",IF(OR($F970="",$G970=""),"",IF(ABS($G970-$F970)&gt;zincirTolerans,"ZİNCİR KIRIK","OK")))</f>
        <v/>
      </c>
      <c r="P970" s="35">
        <f>IF($A970="","",1)</f>
        <v/>
      </c>
    </row>
    <row r="971">
      <c r="A971" s="29" t="n"/>
      <c r="B971" s="29" t="n"/>
      <c r="C971" s="70" t="n"/>
      <c r="D971" s="29" t="n"/>
      <c r="E971" s="29" t="n"/>
      <c r="F971" s="30" t="n"/>
      <c r="G971" s="30" t="n"/>
      <c r="H971" s="31" t="n"/>
      <c r="I971" s="31" t="n"/>
      <c r="J971" s="29" t="n"/>
      <c r="K971" s="35">
        <f>IF($A971="","",IF($C971="","",raporTarihi-$C971))</f>
        <v/>
      </c>
      <c r="L971" s="35">
        <f>IF($A971="","",IF($K971="","",IF($K971&lt;=7,"0-7",IF($K971&lt;=30,"8-30",IF($K971&lt;=60,"31-60","60+")))))</f>
        <v/>
      </c>
      <c r="M971" s="35">
        <f>IF($A971="","",IF($B971="","YETİM",IF(COUNTIF(tblKartlar[KartId],$B971)=0,"YETİM","")))</f>
        <v/>
      </c>
      <c r="N971" s="35">
        <f>IF(OR($A971="",$D971=""),"",IF(OR($D971&amp;"|"&amp;$E971="",COUNTIF(ListeIzinliGecis,$D971&amp;"|"&amp;$E971)&gt;0),"","GEÇERSİZ GEÇİŞ"))</f>
        <v/>
      </c>
      <c r="O971" s="35">
        <f>IF($A971="","",IF(OR($F971="",$G971=""),"",IF(ABS($G971-$F971)&gt;zincirTolerans,"ZİNCİR KIRIK","OK")))</f>
        <v/>
      </c>
      <c r="P971" s="35">
        <f>IF($A971="","",1)</f>
        <v/>
      </c>
    </row>
    <row r="972">
      <c r="A972" s="29" t="n"/>
      <c r="B972" s="29" t="n"/>
      <c r="C972" s="70" t="n"/>
      <c r="D972" s="29" t="n"/>
      <c r="E972" s="29" t="n"/>
      <c r="F972" s="30" t="n"/>
      <c r="G972" s="30" t="n"/>
      <c r="H972" s="31" t="n"/>
      <c r="I972" s="31" t="n"/>
      <c r="J972" s="29" t="n"/>
      <c r="K972" s="35">
        <f>IF($A972="","",IF($C972="","",raporTarihi-$C972))</f>
        <v/>
      </c>
      <c r="L972" s="35">
        <f>IF($A972="","",IF($K972="","",IF($K972&lt;=7,"0-7",IF($K972&lt;=30,"8-30",IF($K972&lt;=60,"31-60","60+")))))</f>
        <v/>
      </c>
      <c r="M972" s="35">
        <f>IF($A972="","",IF($B972="","YETİM",IF(COUNTIF(tblKartlar[KartId],$B972)=0,"YETİM","")))</f>
        <v/>
      </c>
      <c r="N972" s="35">
        <f>IF(OR($A972="",$D972=""),"",IF(OR($D972&amp;"|"&amp;$E972="",COUNTIF(ListeIzinliGecis,$D972&amp;"|"&amp;$E972)&gt;0),"","GEÇERSİZ GEÇİŞ"))</f>
        <v/>
      </c>
      <c r="O972" s="35">
        <f>IF($A972="","",IF(OR($F972="",$G972=""),"",IF(ABS($G972-$F972)&gt;zincirTolerans,"ZİNCİR KIRIK","OK")))</f>
        <v/>
      </c>
      <c r="P972" s="35">
        <f>IF($A972="","",1)</f>
        <v/>
      </c>
    </row>
    <row r="973">
      <c r="A973" s="29" t="n"/>
      <c r="B973" s="29" t="n"/>
      <c r="C973" s="70" t="n"/>
      <c r="D973" s="29" t="n"/>
      <c r="E973" s="29" t="n"/>
      <c r="F973" s="30" t="n"/>
      <c r="G973" s="30" t="n"/>
      <c r="H973" s="31" t="n"/>
      <c r="I973" s="31" t="n"/>
      <c r="J973" s="29" t="n"/>
      <c r="K973" s="35">
        <f>IF($A973="","",IF($C973="","",raporTarihi-$C973))</f>
        <v/>
      </c>
      <c r="L973" s="35">
        <f>IF($A973="","",IF($K973="","",IF($K973&lt;=7,"0-7",IF($K973&lt;=30,"8-30",IF($K973&lt;=60,"31-60","60+")))))</f>
        <v/>
      </c>
      <c r="M973" s="35">
        <f>IF($A973="","",IF($B973="","YETİM",IF(COUNTIF(tblKartlar[KartId],$B973)=0,"YETİM","")))</f>
        <v/>
      </c>
      <c r="N973" s="35">
        <f>IF(OR($A973="",$D973=""),"",IF(OR($D973&amp;"|"&amp;$E973="",COUNTIF(ListeIzinliGecis,$D973&amp;"|"&amp;$E973)&gt;0),"","GEÇERSİZ GEÇİŞ"))</f>
        <v/>
      </c>
      <c r="O973" s="35">
        <f>IF($A973="","",IF(OR($F973="",$G973=""),"",IF(ABS($G973-$F973)&gt;zincirTolerans,"ZİNCİR KIRIK","OK")))</f>
        <v/>
      </c>
      <c r="P973" s="35">
        <f>IF($A973="","",1)</f>
        <v/>
      </c>
    </row>
    <row r="974">
      <c r="A974" s="29" t="n"/>
      <c r="B974" s="29" t="n"/>
      <c r="C974" s="70" t="n"/>
      <c r="D974" s="29" t="n"/>
      <c r="E974" s="29" t="n"/>
      <c r="F974" s="30" t="n"/>
      <c r="G974" s="30" t="n"/>
      <c r="H974" s="31" t="n"/>
      <c r="I974" s="31" t="n"/>
      <c r="J974" s="29" t="n"/>
      <c r="K974" s="35">
        <f>IF($A974="","",IF($C974="","",raporTarihi-$C974))</f>
        <v/>
      </c>
      <c r="L974" s="35">
        <f>IF($A974="","",IF($K974="","",IF($K974&lt;=7,"0-7",IF($K974&lt;=30,"8-30",IF($K974&lt;=60,"31-60","60+")))))</f>
        <v/>
      </c>
      <c r="M974" s="35">
        <f>IF($A974="","",IF($B974="","YETİM",IF(COUNTIF(tblKartlar[KartId],$B974)=0,"YETİM","")))</f>
        <v/>
      </c>
      <c r="N974" s="35">
        <f>IF(OR($A974="",$D974=""),"",IF(OR($D974&amp;"|"&amp;$E974="",COUNTIF(ListeIzinliGecis,$D974&amp;"|"&amp;$E974)&gt;0),"","GEÇERSİZ GEÇİŞ"))</f>
        <v/>
      </c>
      <c r="O974" s="35">
        <f>IF($A974="","",IF(OR($F974="",$G974=""),"",IF(ABS($G974-$F974)&gt;zincirTolerans,"ZİNCİR KIRIK","OK")))</f>
        <v/>
      </c>
      <c r="P974" s="35">
        <f>IF($A974="","",1)</f>
        <v/>
      </c>
    </row>
    <row r="975">
      <c r="A975" s="29" t="n"/>
      <c r="B975" s="29" t="n"/>
      <c r="C975" s="70" t="n"/>
      <c r="D975" s="29" t="n"/>
      <c r="E975" s="29" t="n"/>
      <c r="F975" s="30" t="n"/>
      <c r="G975" s="30" t="n"/>
      <c r="H975" s="31" t="n"/>
      <c r="I975" s="31" t="n"/>
      <c r="J975" s="29" t="n"/>
      <c r="K975" s="35">
        <f>IF($A975="","",IF($C975="","",raporTarihi-$C975))</f>
        <v/>
      </c>
      <c r="L975" s="35">
        <f>IF($A975="","",IF($K975="","",IF($K975&lt;=7,"0-7",IF($K975&lt;=30,"8-30",IF($K975&lt;=60,"31-60","60+")))))</f>
        <v/>
      </c>
      <c r="M975" s="35">
        <f>IF($A975="","",IF($B975="","YETİM",IF(COUNTIF(tblKartlar[KartId],$B975)=0,"YETİM","")))</f>
        <v/>
      </c>
      <c r="N975" s="35">
        <f>IF(OR($A975="",$D975=""),"",IF(OR($D975&amp;"|"&amp;$E975="",COUNTIF(ListeIzinliGecis,$D975&amp;"|"&amp;$E975)&gt;0),"","GEÇERSİZ GEÇİŞ"))</f>
        <v/>
      </c>
      <c r="O975" s="35">
        <f>IF($A975="","",IF(OR($F975="",$G975=""),"",IF(ABS($G975-$F975)&gt;zincirTolerans,"ZİNCİR KIRIK","OK")))</f>
        <v/>
      </c>
      <c r="P975" s="35">
        <f>IF($A975="","",1)</f>
        <v/>
      </c>
    </row>
    <row r="976">
      <c r="A976" s="29" t="n"/>
      <c r="B976" s="29" t="n"/>
      <c r="C976" s="70" t="n"/>
      <c r="D976" s="29" t="n"/>
      <c r="E976" s="29" t="n"/>
      <c r="F976" s="30" t="n"/>
      <c r="G976" s="30" t="n"/>
      <c r="H976" s="31" t="n"/>
      <c r="I976" s="31" t="n"/>
      <c r="J976" s="29" t="n"/>
      <c r="K976" s="35">
        <f>IF($A976="","",IF($C976="","",raporTarihi-$C976))</f>
        <v/>
      </c>
      <c r="L976" s="35">
        <f>IF($A976="","",IF($K976="","",IF($K976&lt;=7,"0-7",IF($K976&lt;=30,"8-30",IF($K976&lt;=60,"31-60","60+")))))</f>
        <v/>
      </c>
      <c r="M976" s="35">
        <f>IF($A976="","",IF($B976="","YETİM",IF(COUNTIF(tblKartlar[KartId],$B976)=0,"YETİM","")))</f>
        <v/>
      </c>
      <c r="N976" s="35">
        <f>IF(OR($A976="",$D976=""),"",IF(OR($D976&amp;"|"&amp;$E976="",COUNTIF(ListeIzinliGecis,$D976&amp;"|"&amp;$E976)&gt;0),"","GEÇERSİZ GEÇİŞ"))</f>
        <v/>
      </c>
      <c r="O976" s="35">
        <f>IF($A976="","",IF(OR($F976="",$G976=""),"",IF(ABS($G976-$F976)&gt;zincirTolerans,"ZİNCİR KIRIK","OK")))</f>
        <v/>
      </c>
      <c r="P976" s="35">
        <f>IF($A976="","",1)</f>
        <v/>
      </c>
    </row>
    <row r="977">
      <c r="A977" s="29" t="n"/>
      <c r="B977" s="29" t="n"/>
      <c r="C977" s="70" t="n"/>
      <c r="D977" s="29" t="n"/>
      <c r="E977" s="29" t="n"/>
      <c r="F977" s="30" t="n"/>
      <c r="G977" s="30" t="n"/>
      <c r="H977" s="31" t="n"/>
      <c r="I977" s="31" t="n"/>
      <c r="J977" s="29" t="n"/>
      <c r="K977" s="35">
        <f>IF($A977="","",IF($C977="","",raporTarihi-$C977))</f>
        <v/>
      </c>
      <c r="L977" s="35">
        <f>IF($A977="","",IF($K977="","",IF($K977&lt;=7,"0-7",IF($K977&lt;=30,"8-30",IF($K977&lt;=60,"31-60","60+")))))</f>
        <v/>
      </c>
      <c r="M977" s="35">
        <f>IF($A977="","",IF($B977="","YETİM",IF(COUNTIF(tblKartlar[KartId],$B977)=0,"YETİM","")))</f>
        <v/>
      </c>
      <c r="N977" s="35">
        <f>IF(OR($A977="",$D977=""),"",IF(OR($D977&amp;"|"&amp;$E977="",COUNTIF(ListeIzinliGecis,$D977&amp;"|"&amp;$E977)&gt;0),"","GEÇERSİZ GEÇİŞ"))</f>
        <v/>
      </c>
      <c r="O977" s="35">
        <f>IF($A977="","",IF(OR($F977="",$G977=""),"",IF(ABS($G977-$F977)&gt;zincirTolerans,"ZİNCİR KIRIK","OK")))</f>
        <v/>
      </c>
      <c r="P977" s="35">
        <f>IF($A977="","",1)</f>
        <v/>
      </c>
    </row>
    <row r="978">
      <c r="A978" s="29" t="n"/>
      <c r="B978" s="29" t="n"/>
      <c r="C978" s="70" t="n"/>
      <c r="D978" s="29" t="n"/>
      <c r="E978" s="29" t="n"/>
      <c r="F978" s="30" t="n"/>
      <c r="G978" s="30" t="n"/>
      <c r="H978" s="31" t="n"/>
      <c r="I978" s="31" t="n"/>
      <c r="J978" s="29" t="n"/>
      <c r="K978" s="35">
        <f>IF($A978="","",IF($C978="","",raporTarihi-$C978))</f>
        <v/>
      </c>
      <c r="L978" s="35">
        <f>IF($A978="","",IF($K978="","",IF($K978&lt;=7,"0-7",IF($K978&lt;=30,"8-30",IF($K978&lt;=60,"31-60","60+")))))</f>
        <v/>
      </c>
      <c r="M978" s="35">
        <f>IF($A978="","",IF($B978="","YETİM",IF(COUNTIF(tblKartlar[KartId],$B978)=0,"YETİM","")))</f>
        <v/>
      </c>
      <c r="N978" s="35">
        <f>IF(OR($A978="",$D978=""),"",IF(OR($D978&amp;"|"&amp;$E978="",COUNTIF(ListeIzinliGecis,$D978&amp;"|"&amp;$E978)&gt;0),"","GEÇERSİZ GEÇİŞ"))</f>
        <v/>
      </c>
      <c r="O978" s="35">
        <f>IF($A978="","",IF(OR($F978="",$G978=""),"",IF(ABS($G978-$F978)&gt;zincirTolerans,"ZİNCİR KIRIK","OK")))</f>
        <v/>
      </c>
      <c r="P978" s="35">
        <f>IF($A978="","",1)</f>
        <v/>
      </c>
    </row>
    <row r="979">
      <c r="A979" s="29" t="n"/>
      <c r="B979" s="29" t="n"/>
      <c r="C979" s="70" t="n"/>
      <c r="D979" s="29" t="n"/>
      <c r="E979" s="29" t="n"/>
      <c r="F979" s="30" t="n"/>
      <c r="G979" s="30" t="n"/>
      <c r="H979" s="31" t="n"/>
      <c r="I979" s="31" t="n"/>
      <c r="J979" s="29" t="n"/>
      <c r="K979" s="35">
        <f>IF($A979="","",IF($C979="","",raporTarihi-$C979))</f>
        <v/>
      </c>
      <c r="L979" s="35">
        <f>IF($A979="","",IF($K979="","",IF($K979&lt;=7,"0-7",IF($K979&lt;=30,"8-30",IF($K979&lt;=60,"31-60","60+")))))</f>
        <v/>
      </c>
      <c r="M979" s="35">
        <f>IF($A979="","",IF($B979="","YETİM",IF(COUNTIF(tblKartlar[KartId],$B979)=0,"YETİM","")))</f>
        <v/>
      </c>
      <c r="N979" s="35">
        <f>IF(OR($A979="",$D979=""),"",IF(OR($D979&amp;"|"&amp;$E979="",COUNTIF(ListeIzinliGecis,$D979&amp;"|"&amp;$E979)&gt;0),"","GEÇERSİZ GEÇİŞ"))</f>
        <v/>
      </c>
      <c r="O979" s="35">
        <f>IF($A979="","",IF(OR($F979="",$G979=""),"",IF(ABS($G979-$F979)&gt;zincirTolerans,"ZİNCİR KIRIK","OK")))</f>
        <v/>
      </c>
      <c r="P979" s="35">
        <f>IF($A979="","",1)</f>
        <v/>
      </c>
    </row>
    <row r="980">
      <c r="A980" s="29" t="n"/>
      <c r="B980" s="29" t="n"/>
      <c r="C980" s="70" t="n"/>
      <c r="D980" s="29" t="n"/>
      <c r="E980" s="29" t="n"/>
      <c r="F980" s="30" t="n"/>
      <c r="G980" s="30" t="n"/>
      <c r="H980" s="31" t="n"/>
      <c r="I980" s="31" t="n"/>
      <c r="J980" s="29" t="n"/>
      <c r="K980" s="35">
        <f>IF($A980="","",IF($C980="","",raporTarihi-$C980))</f>
        <v/>
      </c>
      <c r="L980" s="35">
        <f>IF($A980="","",IF($K980="","",IF($K980&lt;=7,"0-7",IF($K980&lt;=30,"8-30",IF($K980&lt;=60,"31-60","60+")))))</f>
        <v/>
      </c>
      <c r="M980" s="35">
        <f>IF($A980="","",IF($B980="","YETİM",IF(COUNTIF(tblKartlar[KartId],$B980)=0,"YETİM","")))</f>
        <v/>
      </c>
      <c r="N980" s="35">
        <f>IF(OR($A980="",$D980=""),"",IF(OR($D980&amp;"|"&amp;$E980="",COUNTIF(ListeIzinliGecis,$D980&amp;"|"&amp;$E980)&gt;0),"","GEÇERSİZ GEÇİŞ"))</f>
        <v/>
      </c>
      <c r="O980" s="35">
        <f>IF($A980="","",IF(OR($F980="",$G980=""),"",IF(ABS($G980-$F980)&gt;zincirTolerans,"ZİNCİR KIRIK","OK")))</f>
        <v/>
      </c>
      <c r="P980" s="35">
        <f>IF($A980="","",1)</f>
        <v/>
      </c>
    </row>
    <row r="981">
      <c r="A981" s="29" t="n"/>
      <c r="B981" s="29" t="n"/>
      <c r="C981" s="70" t="n"/>
      <c r="D981" s="29" t="n"/>
      <c r="E981" s="29" t="n"/>
      <c r="F981" s="30" t="n"/>
      <c r="G981" s="30" t="n"/>
      <c r="H981" s="31" t="n"/>
      <c r="I981" s="31" t="n"/>
      <c r="J981" s="29" t="n"/>
      <c r="K981" s="35">
        <f>IF($A981="","",IF($C981="","",raporTarihi-$C981))</f>
        <v/>
      </c>
      <c r="L981" s="35">
        <f>IF($A981="","",IF($K981="","",IF($K981&lt;=7,"0-7",IF($K981&lt;=30,"8-30",IF($K981&lt;=60,"31-60","60+")))))</f>
        <v/>
      </c>
      <c r="M981" s="35">
        <f>IF($A981="","",IF($B981="","YETİM",IF(COUNTIF(tblKartlar[KartId],$B981)=0,"YETİM","")))</f>
        <v/>
      </c>
      <c r="N981" s="35">
        <f>IF(OR($A981="",$D981=""),"",IF(OR($D981&amp;"|"&amp;$E981="",COUNTIF(ListeIzinliGecis,$D981&amp;"|"&amp;$E981)&gt;0),"","GEÇERSİZ GEÇİŞ"))</f>
        <v/>
      </c>
      <c r="O981" s="35">
        <f>IF($A981="","",IF(OR($F981="",$G981=""),"",IF(ABS($G981-$F981)&gt;zincirTolerans,"ZİNCİR KIRIK","OK")))</f>
        <v/>
      </c>
      <c r="P981" s="35">
        <f>IF($A981="","",1)</f>
        <v/>
      </c>
    </row>
    <row r="982">
      <c r="A982" s="29" t="n"/>
      <c r="B982" s="29" t="n"/>
      <c r="C982" s="70" t="n"/>
      <c r="D982" s="29" t="n"/>
      <c r="E982" s="29" t="n"/>
      <c r="F982" s="30" t="n"/>
      <c r="G982" s="30" t="n"/>
      <c r="H982" s="31" t="n"/>
      <c r="I982" s="31" t="n"/>
      <c r="J982" s="29" t="n"/>
      <c r="K982" s="35">
        <f>IF($A982="","",IF($C982="","",raporTarihi-$C982))</f>
        <v/>
      </c>
      <c r="L982" s="35">
        <f>IF($A982="","",IF($K982="","",IF($K982&lt;=7,"0-7",IF($K982&lt;=30,"8-30",IF($K982&lt;=60,"31-60","60+")))))</f>
        <v/>
      </c>
      <c r="M982" s="35">
        <f>IF($A982="","",IF($B982="","YETİM",IF(COUNTIF(tblKartlar[KartId],$B982)=0,"YETİM","")))</f>
        <v/>
      </c>
      <c r="N982" s="35">
        <f>IF(OR($A982="",$D982=""),"",IF(OR($D982&amp;"|"&amp;$E982="",COUNTIF(ListeIzinliGecis,$D982&amp;"|"&amp;$E982)&gt;0),"","GEÇERSİZ GEÇİŞ"))</f>
        <v/>
      </c>
      <c r="O982" s="35">
        <f>IF($A982="","",IF(OR($F982="",$G982=""),"",IF(ABS($G982-$F982)&gt;zincirTolerans,"ZİNCİR KIRIK","OK")))</f>
        <v/>
      </c>
      <c r="P982" s="35">
        <f>IF($A982="","",1)</f>
        <v/>
      </c>
    </row>
    <row r="983">
      <c r="A983" s="29" t="n"/>
      <c r="B983" s="29" t="n"/>
      <c r="C983" s="70" t="n"/>
      <c r="D983" s="29" t="n"/>
      <c r="E983" s="29" t="n"/>
      <c r="F983" s="30" t="n"/>
      <c r="G983" s="30" t="n"/>
      <c r="H983" s="31" t="n"/>
      <c r="I983" s="31" t="n"/>
      <c r="J983" s="29" t="n"/>
      <c r="K983" s="35">
        <f>IF($A983="","",IF($C983="","",raporTarihi-$C983))</f>
        <v/>
      </c>
      <c r="L983" s="35">
        <f>IF($A983="","",IF($K983="","",IF($K983&lt;=7,"0-7",IF($K983&lt;=30,"8-30",IF($K983&lt;=60,"31-60","60+")))))</f>
        <v/>
      </c>
      <c r="M983" s="35">
        <f>IF($A983="","",IF($B983="","YETİM",IF(COUNTIF(tblKartlar[KartId],$B983)=0,"YETİM","")))</f>
        <v/>
      </c>
      <c r="N983" s="35">
        <f>IF(OR($A983="",$D983=""),"",IF(OR($D983&amp;"|"&amp;$E983="",COUNTIF(ListeIzinliGecis,$D983&amp;"|"&amp;$E983)&gt;0),"","GEÇERSİZ GEÇİŞ"))</f>
        <v/>
      </c>
      <c r="O983" s="35">
        <f>IF($A983="","",IF(OR($F983="",$G983=""),"",IF(ABS($G983-$F983)&gt;zincirTolerans,"ZİNCİR KIRIK","OK")))</f>
        <v/>
      </c>
      <c r="P983" s="35">
        <f>IF($A983="","",1)</f>
        <v/>
      </c>
    </row>
    <row r="984">
      <c r="A984" s="29" t="n"/>
      <c r="B984" s="29" t="n"/>
      <c r="C984" s="70" t="n"/>
      <c r="D984" s="29" t="n"/>
      <c r="E984" s="29" t="n"/>
      <c r="F984" s="30" t="n"/>
      <c r="G984" s="30" t="n"/>
      <c r="H984" s="31" t="n"/>
      <c r="I984" s="31" t="n"/>
      <c r="J984" s="29" t="n"/>
      <c r="K984" s="35">
        <f>IF($A984="","",IF($C984="","",raporTarihi-$C984))</f>
        <v/>
      </c>
      <c r="L984" s="35">
        <f>IF($A984="","",IF($K984="","",IF($K984&lt;=7,"0-7",IF($K984&lt;=30,"8-30",IF($K984&lt;=60,"31-60","60+")))))</f>
        <v/>
      </c>
      <c r="M984" s="35">
        <f>IF($A984="","",IF($B984="","YETİM",IF(COUNTIF(tblKartlar[KartId],$B984)=0,"YETİM","")))</f>
        <v/>
      </c>
      <c r="N984" s="35">
        <f>IF(OR($A984="",$D984=""),"",IF(OR($D984&amp;"|"&amp;$E984="",COUNTIF(ListeIzinliGecis,$D984&amp;"|"&amp;$E984)&gt;0),"","GEÇERSİZ GEÇİŞ"))</f>
        <v/>
      </c>
      <c r="O984" s="35">
        <f>IF($A984="","",IF(OR($F984="",$G984=""),"",IF(ABS($G984-$F984)&gt;zincirTolerans,"ZİNCİR KIRIK","OK")))</f>
        <v/>
      </c>
      <c r="P984" s="35">
        <f>IF($A984="","",1)</f>
        <v/>
      </c>
    </row>
    <row r="985">
      <c r="A985" s="29" t="n"/>
      <c r="B985" s="29" t="n"/>
      <c r="C985" s="70" t="n"/>
      <c r="D985" s="29" t="n"/>
      <c r="E985" s="29" t="n"/>
      <c r="F985" s="30" t="n"/>
      <c r="G985" s="30" t="n"/>
      <c r="H985" s="31" t="n"/>
      <c r="I985" s="31" t="n"/>
      <c r="J985" s="29" t="n"/>
      <c r="K985" s="35">
        <f>IF($A985="","",IF($C985="","",raporTarihi-$C985))</f>
        <v/>
      </c>
      <c r="L985" s="35">
        <f>IF($A985="","",IF($K985="","",IF($K985&lt;=7,"0-7",IF($K985&lt;=30,"8-30",IF($K985&lt;=60,"31-60","60+")))))</f>
        <v/>
      </c>
      <c r="M985" s="35">
        <f>IF($A985="","",IF($B985="","YETİM",IF(COUNTIF(tblKartlar[KartId],$B985)=0,"YETİM","")))</f>
        <v/>
      </c>
      <c r="N985" s="35">
        <f>IF(OR($A985="",$D985=""),"",IF(OR($D985&amp;"|"&amp;$E985="",COUNTIF(ListeIzinliGecis,$D985&amp;"|"&amp;$E985)&gt;0),"","GEÇERSİZ GEÇİŞ"))</f>
        <v/>
      </c>
      <c r="O985" s="35">
        <f>IF($A985="","",IF(OR($F985="",$G985=""),"",IF(ABS($G985-$F985)&gt;zincirTolerans,"ZİNCİR KIRIK","OK")))</f>
        <v/>
      </c>
      <c r="P985" s="35">
        <f>IF($A985="","",1)</f>
        <v/>
      </c>
    </row>
    <row r="986">
      <c r="A986" s="29" t="n"/>
      <c r="B986" s="29" t="n"/>
      <c r="C986" s="70" t="n"/>
      <c r="D986" s="29" t="n"/>
      <c r="E986" s="29" t="n"/>
      <c r="F986" s="30" t="n"/>
      <c r="G986" s="30" t="n"/>
      <c r="H986" s="31" t="n"/>
      <c r="I986" s="31" t="n"/>
      <c r="J986" s="29" t="n"/>
      <c r="K986" s="35">
        <f>IF($A986="","",IF($C986="","",raporTarihi-$C986))</f>
        <v/>
      </c>
      <c r="L986" s="35">
        <f>IF($A986="","",IF($K986="","",IF($K986&lt;=7,"0-7",IF($K986&lt;=30,"8-30",IF($K986&lt;=60,"31-60","60+")))))</f>
        <v/>
      </c>
      <c r="M986" s="35">
        <f>IF($A986="","",IF($B986="","YETİM",IF(COUNTIF(tblKartlar[KartId],$B986)=0,"YETİM","")))</f>
        <v/>
      </c>
      <c r="N986" s="35">
        <f>IF(OR($A986="",$D986=""),"",IF(OR($D986&amp;"|"&amp;$E986="",COUNTIF(ListeIzinliGecis,$D986&amp;"|"&amp;$E986)&gt;0),"","GEÇERSİZ GEÇİŞ"))</f>
        <v/>
      </c>
      <c r="O986" s="35">
        <f>IF($A986="","",IF(OR($F986="",$G986=""),"",IF(ABS($G986-$F986)&gt;zincirTolerans,"ZİNCİR KIRIK","OK")))</f>
        <v/>
      </c>
      <c r="P986" s="35">
        <f>IF($A986="","",1)</f>
        <v/>
      </c>
    </row>
    <row r="987">
      <c r="A987" s="29" t="n"/>
      <c r="B987" s="29" t="n"/>
      <c r="C987" s="70" t="n"/>
      <c r="D987" s="29" t="n"/>
      <c r="E987" s="29" t="n"/>
      <c r="F987" s="30" t="n"/>
      <c r="G987" s="30" t="n"/>
      <c r="H987" s="31" t="n"/>
      <c r="I987" s="31" t="n"/>
      <c r="J987" s="29" t="n"/>
      <c r="K987" s="35">
        <f>IF($A987="","",IF($C987="","",raporTarihi-$C987))</f>
        <v/>
      </c>
      <c r="L987" s="35">
        <f>IF($A987="","",IF($K987="","",IF($K987&lt;=7,"0-7",IF($K987&lt;=30,"8-30",IF($K987&lt;=60,"31-60","60+")))))</f>
        <v/>
      </c>
      <c r="M987" s="35">
        <f>IF($A987="","",IF($B987="","YETİM",IF(COUNTIF(tblKartlar[KartId],$B987)=0,"YETİM","")))</f>
        <v/>
      </c>
      <c r="N987" s="35">
        <f>IF(OR($A987="",$D987=""),"",IF(OR($D987&amp;"|"&amp;$E987="",COUNTIF(ListeIzinliGecis,$D987&amp;"|"&amp;$E987)&gt;0),"","GEÇERSİZ GEÇİŞ"))</f>
        <v/>
      </c>
      <c r="O987" s="35">
        <f>IF($A987="","",IF(OR($F987="",$G987=""),"",IF(ABS($G987-$F987)&gt;zincirTolerans,"ZİNCİR KIRIK","OK")))</f>
        <v/>
      </c>
      <c r="P987" s="35">
        <f>IF($A987="","",1)</f>
        <v/>
      </c>
    </row>
    <row r="988">
      <c r="A988" s="29" t="n"/>
      <c r="B988" s="29" t="n"/>
      <c r="C988" s="70" t="n"/>
      <c r="D988" s="29" t="n"/>
      <c r="E988" s="29" t="n"/>
      <c r="F988" s="30" t="n"/>
      <c r="G988" s="30" t="n"/>
      <c r="H988" s="31" t="n"/>
      <c r="I988" s="31" t="n"/>
      <c r="J988" s="29" t="n"/>
      <c r="K988" s="35">
        <f>IF($A988="","",IF($C988="","",raporTarihi-$C988))</f>
        <v/>
      </c>
      <c r="L988" s="35">
        <f>IF($A988="","",IF($K988="","",IF($K988&lt;=7,"0-7",IF($K988&lt;=30,"8-30",IF($K988&lt;=60,"31-60","60+")))))</f>
        <v/>
      </c>
      <c r="M988" s="35">
        <f>IF($A988="","",IF($B988="","YETİM",IF(COUNTIF(tblKartlar[KartId],$B988)=0,"YETİM","")))</f>
        <v/>
      </c>
      <c r="N988" s="35">
        <f>IF(OR($A988="",$D988=""),"",IF(OR($D988&amp;"|"&amp;$E988="",COUNTIF(ListeIzinliGecis,$D988&amp;"|"&amp;$E988)&gt;0),"","GEÇERSİZ GEÇİŞ"))</f>
        <v/>
      </c>
      <c r="O988" s="35">
        <f>IF($A988="","",IF(OR($F988="",$G988=""),"",IF(ABS($G988-$F988)&gt;zincirTolerans,"ZİNCİR KIRIK","OK")))</f>
        <v/>
      </c>
      <c r="P988" s="35">
        <f>IF($A988="","",1)</f>
        <v/>
      </c>
    </row>
    <row r="989">
      <c r="A989" s="29" t="n"/>
      <c r="B989" s="29" t="n"/>
      <c r="C989" s="70" t="n"/>
      <c r="D989" s="29" t="n"/>
      <c r="E989" s="29" t="n"/>
      <c r="F989" s="30" t="n"/>
      <c r="G989" s="30" t="n"/>
      <c r="H989" s="31" t="n"/>
      <c r="I989" s="31" t="n"/>
      <c r="J989" s="29" t="n"/>
      <c r="K989" s="35">
        <f>IF($A989="","",IF($C989="","",raporTarihi-$C989))</f>
        <v/>
      </c>
      <c r="L989" s="35">
        <f>IF($A989="","",IF($K989="","",IF($K989&lt;=7,"0-7",IF($K989&lt;=30,"8-30",IF($K989&lt;=60,"31-60","60+")))))</f>
        <v/>
      </c>
      <c r="M989" s="35">
        <f>IF($A989="","",IF($B989="","YETİM",IF(COUNTIF(tblKartlar[KartId],$B989)=0,"YETİM","")))</f>
        <v/>
      </c>
      <c r="N989" s="35">
        <f>IF(OR($A989="",$D989=""),"",IF(OR($D989&amp;"|"&amp;$E989="",COUNTIF(ListeIzinliGecis,$D989&amp;"|"&amp;$E989)&gt;0),"","GEÇERSİZ GEÇİŞ"))</f>
        <v/>
      </c>
      <c r="O989" s="35">
        <f>IF($A989="","",IF(OR($F989="",$G989=""),"",IF(ABS($G989-$F989)&gt;zincirTolerans,"ZİNCİR KIRIK","OK")))</f>
        <v/>
      </c>
      <c r="P989" s="35">
        <f>IF($A989="","",1)</f>
        <v/>
      </c>
    </row>
    <row r="990">
      <c r="A990" s="29" t="n"/>
      <c r="B990" s="29" t="n"/>
      <c r="C990" s="70" t="n"/>
      <c r="D990" s="29" t="n"/>
      <c r="E990" s="29" t="n"/>
      <c r="F990" s="30" t="n"/>
      <c r="G990" s="30" t="n"/>
      <c r="H990" s="31" t="n"/>
      <c r="I990" s="31" t="n"/>
      <c r="J990" s="29" t="n"/>
      <c r="K990" s="35">
        <f>IF($A990="","",IF($C990="","",raporTarihi-$C990))</f>
        <v/>
      </c>
      <c r="L990" s="35">
        <f>IF($A990="","",IF($K990="","",IF($K990&lt;=7,"0-7",IF($K990&lt;=30,"8-30",IF($K990&lt;=60,"31-60","60+")))))</f>
        <v/>
      </c>
      <c r="M990" s="35">
        <f>IF($A990="","",IF($B990="","YETİM",IF(COUNTIF(tblKartlar[KartId],$B990)=0,"YETİM","")))</f>
        <v/>
      </c>
      <c r="N990" s="35">
        <f>IF(OR($A990="",$D990=""),"",IF(OR($D990&amp;"|"&amp;$E990="",COUNTIF(ListeIzinliGecis,$D990&amp;"|"&amp;$E990)&gt;0),"","GEÇERSİZ GEÇİŞ"))</f>
        <v/>
      </c>
      <c r="O990" s="35">
        <f>IF($A990="","",IF(OR($F990="",$G990=""),"",IF(ABS($G990-$F990)&gt;zincirTolerans,"ZİNCİR KIRIK","OK")))</f>
        <v/>
      </c>
      <c r="P990" s="35">
        <f>IF($A990="","",1)</f>
        <v/>
      </c>
    </row>
    <row r="991">
      <c r="A991" s="29" t="n"/>
      <c r="B991" s="29" t="n"/>
      <c r="C991" s="70" t="n"/>
      <c r="D991" s="29" t="n"/>
      <c r="E991" s="29" t="n"/>
      <c r="F991" s="30" t="n"/>
      <c r="G991" s="30" t="n"/>
      <c r="H991" s="31" t="n"/>
      <c r="I991" s="31" t="n"/>
      <c r="J991" s="29" t="n"/>
      <c r="K991" s="35">
        <f>IF($A991="","",IF($C991="","",raporTarihi-$C991))</f>
        <v/>
      </c>
      <c r="L991" s="35">
        <f>IF($A991="","",IF($K991="","",IF($K991&lt;=7,"0-7",IF($K991&lt;=30,"8-30",IF($K991&lt;=60,"31-60","60+")))))</f>
        <v/>
      </c>
      <c r="M991" s="35">
        <f>IF($A991="","",IF($B991="","YETİM",IF(COUNTIF(tblKartlar[KartId],$B991)=0,"YETİM","")))</f>
        <v/>
      </c>
      <c r="N991" s="35">
        <f>IF(OR($A991="",$D991=""),"",IF(OR($D991&amp;"|"&amp;$E991="",COUNTIF(ListeIzinliGecis,$D991&amp;"|"&amp;$E991)&gt;0),"","GEÇERSİZ GEÇİŞ"))</f>
        <v/>
      </c>
      <c r="O991" s="35">
        <f>IF($A991="","",IF(OR($F991="",$G991=""),"",IF(ABS($G991-$F991)&gt;zincirTolerans,"ZİNCİR KIRIK","OK")))</f>
        <v/>
      </c>
      <c r="P991" s="35">
        <f>IF($A991="","",1)</f>
        <v/>
      </c>
    </row>
    <row r="992">
      <c r="A992" s="29" t="n"/>
      <c r="B992" s="29" t="n"/>
      <c r="C992" s="70" t="n"/>
      <c r="D992" s="29" t="n"/>
      <c r="E992" s="29" t="n"/>
      <c r="F992" s="30" t="n"/>
      <c r="G992" s="30" t="n"/>
      <c r="H992" s="31" t="n"/>
      <c r="I992" s="31" t="n"/>
      <c r="J992" s="29" t="n"/>
      <c r="K992" s="35">
        <f>IF($A992="","",IF($C992="","",raporTarihi-$C992))</f>
        <v/>
      </c>
      <c r="L992" s="35">
        <f>IF($A992="","",IF($K992="","",IF($K992&lt;=7,"0-7",IF($K992&lt;=30,"8-30",IF($K992&lt;=60,"31-60","60+")))))</f>
        <v/>
      </c>
      <c r="M992" s="35">
        <f>IF($A992="","",IF($B992="","YETİM",IF(COUNTIF(tblKartlar[KartId],$B992)=0,"YETİM","")))</f>
        <v/>
      </c>
      <c r="N992" s="35">
        <f>IF(OR($A992="",$D992=""),"",IF(OR($D992&amp;"|"&amp;$E992="",COUNTIF(ListeIzinliGecis,$D992&amp;"|"&amp;$E992)&gt;0),"","GEÇERSİZ GEÇİŞ"))</f>
        <v/>
      </c>
      <c r="O992" s="35">
        <f>IF($A992="","",IF(OR($F992="",$G992=""),"",IF(ABS($G992-$F992)&gt;zincirTolerans,"ZİNCİR KIRIK","OK")))</f>
        <v/>
      </c>
      <c r="P992" s="35">
        <f>IF($A992="","",1)</f>
        <v/>
      </c>
    </row>
    <row r="993">
      <c r="A993" s="29" t="n"/>
      <c r="B993" s="29" t="n"/>
      <c r="C993" s="70" t="n"/>
      <c r="D993" s="29" t="n"/>
      <c r="E993" s="29" t="n"/>
      <c r="F993" s="30" t="n"/>
      <c r="G993" s="30" t="n"/>
      <c r="H993" s="31" t="n"/>
      <c r="I993" s="31" t="n"/>
      <c r="J993" s="29" t="n"/>
      <c r="K993" s="35">
        <f>IF($A993="","",IF($C993="","",raporTarihi-$C993))</f>
        <v/>
      </c>
      <c r="L993" s="35">
        <f>IF($A993="","",IF($K993="","",IF($K993&lt;=7,"0-7",IF($K993&lt;=30,"8-30",IF($K993&lt;=60,"31-60","60+")))))</f>
        <v/>
      </c>
      <c r="M993" s="35">
        <f>IF($A993="","",IF($B993="","YETİM",IF(COUNTIF(tblKartlar[KartId],$B993)=0,"YETİM","")))</f>
        <v/>
      </c>
      <c r="N993" s="35">
        <f>IF(OR($A993="",$D993=""),"",IF(OR($D993&amp;"|"&amp;$E993="",COUNTIF(ListeIzinliGecis,$D993&amp;"|"&amp;$E993)&gt;0),"","GEÇERSİZ GEÇİŞ"))</f>
        <v/>
      </c>
      <c r="O993" s="35">
        <f>IF($A993="","",IF(OR($F993="",$G993=""),"",IF(ABS($G993-$F993)&gt;zincirTolerans,"ZİNCİR KIRIK","OK")))</f>
        <v/>
      </c>
      <c r="P993" s="35">
        <f>IF($A993="","",1)</f>
        <v/>
      </c>
    </row>
    <row r="994">
      <c r="A994" s="29" t="n"/>
      <c r="B994" s="29" t="n"/>
      <c r="C994" s="70" t="n"/>
      <c r="D994" s="29" t="n"/>
      <c r="E994" s="29" t="n"/>
      <c r="F994" s="30" t="n"/>
      <c r="G994" s="30" t="n"/>
      <c r="H994" s="31" t="n"/>
      <c r="I994" s="31" t="n"/>
      <c r="J994" s="29" t="n"/>
      <c r="K994" s="35">
        <f>IF($A994="","",IF($C994="","",raporTarihi-$C994))</f>
        <v/>
      </c>
      <c r="L994" s="35">
        <f>IF($A994="","",IF($K994="","",IF($K994&lt;=7,"0-7",IF($K994&lt;=30,"8-30",IF($K994&lt;=60,"31-60","60+")))))</f>
        <v/>
      </c>
      <c r="M994" s="35">
        <f>IF($A994="","",IF($B994="","YETİM",IF(COUNTIF(tblKartlar[KartId],$B994)=0,"YETİM","")))</f>
        <v/>
      </c>
      <c r="N994" s="35">
        <f>IF(OR($A994="",$D994=""),"",IF(OR($D994&amp;"|"&amp;$E994="",COUNTIF(ListeIzinliGecis,$D994&amp;"|"&amp;$E994)&gt;0),"","GEÇERSİZ GEÇİŞ"))</f>
        <v/>
      </c>
      <c r="O994" s="35">
        <f>IF($A994="","",IF(OR($F994="",$G994=""),"",IF(ABS($G994-$F994)&gt;zincirTolerans,"ZİNCİR KIRIK","OK")))</f>
        <v/>
      </c>
      <c r="P994" s="35">
        <f>IF($A994="","",1)</f>
        <v/>
      </c>
    </row>
    <row r="995">
      <c r="A995" s="29" t="n"/>
      <c r="B995" s="29" t="n"/>
      <c r="C995" s="70" t="n"/>
      <c r="D995" s="29" t="n"/>
      <c r="E995" s="29" t="n"/>
      <c r="F995" s="30" t="n"/>
      <c r="G995" s="30" t="n"/>
      <c r="H995" s="31" t="n"/>
      <c r="I995" s="31" t="n"/>
      <c r="J995" s="29" t="n"/>
      <c r="K995" s="35">
        <f>IF($A995="","",IF($C995="","",raporTarihi-$C995))</f>
        <v/>
      </c>
      <c r="L995" s="35">
        <f>IF($A995="","",IF($K995="","",IF($K995&lt;=7,"0-7",IF($K995&lt;=30,"8-30",IF($K995&lt;=60,"31-60","60+")))))</f>
        <v/>
      </c>
      <c r="M995" s="35">
        <f>IF($A995="","",IF($B995="","YETİM",IF(COUNTIF(tblKartlar[KartId],$B995)=0,"YETİM","")))</f>
        <v/>
      </c>
      <c r="N995" s="35">
        <f>IF(OR($A995="",$D995=""),"",IF(OR($D995&amp;"|"&amp;$E995="",COUNTIF(ListeIzinliGecis,$D995&amp;"|"&amp;$E995)&gt;0),"","GEÇERSİZ GEÇİŞ"))</f>
        <v/>
      </c>
      <c r="O995" s="35">
        <f>IF($A995="","",IF(OR($F995="",$G995=""),"",IF(ABS($G995-$F995)&gt;zincirTolerans,"ZİNCİR KIRIK","OK")))</f>
        <v/>
      </c>
      <c r="P995" s="35">
        <f>IF($A995="","",1)</f>
        <v/>
      </c>
    </row>
    <row r="996">
      <c r="A996" s="29" t="n"/>
      <c r="B996" s="29" t="n"/>
      <c r="C996" s="70" t="n"/>
      <c r="D996" s="29" t="n"/>
      <c r="E996" s="29" t="n"/>
      <c r="F996" s="30" t="n"/>
      <c r="G996" s="30" t="n"/>
      <c r="H996" s="31" t="n"/>
      <c r="I996" s="31" t="n"/>
      <c r="J996" s="29" t="n"/>
      <c r="K996" s="35">
        <f>IF($A996="","",IF($C996="","",raporTarihi-$C996))</f>
        <v/>
      </c>
      <c r="L996" s="35">
        <f>IF($A996="","",IF($K996="","",IF($K996&lt;=7,"0-7",IF($K996&lt;=30,"8-30",IF($K996&lt;=60,"31-60","60+")))))</f>
        <v/>
      </c>
      <c r="M996" s="35">
        <f>IF($A996="","",IF($B996="","YETİM",IF(COUNTIF(tblKartlar[KartId],$B996)=0,"YETİM","")))</f>
        <v/>
      </c>
      <c r="N996" s="35">
        <f>IF(OR($A996="",$D996=""),"",IF(OR($D996&amp;"|"&amp;$E996="",COUNTIF(ListeIzinliGecis,$D996&amp;"|"&amp;$E996)&gt;0),"","GEÇERSİZ GEÇİŞ"))</f>
        <v/>
      </c>
      <c r="O996" s="35">
        <f>IF($A996="","",IF(OR($F996="",$G996=""),"",IF(ABS($G996-$F996)&gt;zincirTolerans,"ZİNCİR KIRIK","OK")))</f>
        <v/>
      </c>
      <c r="P996" s="35">
        <f>IF($A996="","",1)</f>
        <v/>
      </c>
    </row>
    <row r="997">
      <c r="A997" s="29" t="n"/>
      <c r="B997" s="29" t="n"/>
      <c r="C997" s="70" t="n"/>
      <c r="D997" s="29" t="n"/>
      <c r="E997" s="29" t="n"/>
      <c r="F997" s="30" t="n"/>
      <c r="G997" s="30" t="n"/>
      <c r="H997" s="31" t="n"/>
      <c r="I997" s="31" t="n"/>
      <c r="J997" s="29" t="n"/>
      <c r="K997" s="35">
        <f>IF($A997="","",IF($C997="","",raporTarihi-$C997))</f>
        <v/>
      </c>
      <c r="L997" s="35">
        <f>IF($A997="","",IF($K997="","",IF($K997&lt;=7,"0-7",IF($K997&lt;=30,"8-30",IF($K997&lt;=60,"31-60","60+")))))</f>
        <v/>
      </c>
      <c r="M997" s="35">
        <f>IF($A997="","",IF($B997="","YETİM",IF(COUNTIF(tblKartlar[KartId],$B997)=0,"YETİM","")))</f>
        <v/>
      </c>
      <c r="N997" s="35">
        <f>IF(OR($A997="",$D997=""),"",IF(OR($D997&amp;"|"&amp;$E997="",COUNTIF(ListeIzinliGecis,$D997&amp;"|"&amp;$E997)&gt;0),"","GEÇERSİZ GEÇİŞ"))</f>
        <v/>
      </c>
      <c r="O997" s="35">
        <f>IF($A997="","",IF(OR($F997="",$G997=""),"",IF(ABS($G997-$F997)&gt;zincirTolerans,"ZİNCİR KIRIK","OK")))</f>
        <v/>
      </c>
      <c r="P997" s="35">
        <f>IF($A997="","",1)</f>
        <v/>
      </c>
    </row>
    <row r="998">
      <c r="A998" s="29" t="n"/>
      <c r="B998" s="29" t="n"/>
      <c r="C998" s="70" t="n"/>
      <c r="D998" s="29" t="n"/>
      <c r="E998" s="29" t="n"/>
      <c r="F998" s="30" t="n"/>
      <c r="G998" s="30" t="n"/>
      <c r="H998" s="31" t="n"/>
      <c r="I998" s="31" t="n"/>
      <c r="J998" s="29" t="n"/>
      <c r="K998" s="35">
        <f>IF($A998="","",IF($C998="","",raporTarihi-$C998))</f>
        <v/>
      </c>
      <c r="L998" s="35">
        <f>IF($A998="","",IF($K998="","",IF($K998&lt;=7,"0-7",IF($K998&lt;=30,"8-30",IF($K998&lt;=60,"31-60","60+")))))</f>
        <v/>
      </c>
      <c r="M998" s="35">
        <f>IF($A998="","",IF($B998="","YETİM",IF(COUNTIF(tblKartlar[KartId],$B998)=0,"YETİM","")))</f>
        <v/>
      </c>
      <c r="N998" s="35">
        <f>IF(OR($A998="",$D998=""),"",IF(OR($D998&amp;"|"&amp;$E998="",COUNTIF(ListeIzinliGecis,$D998&amp;"|"&amp;$E998)&gt;0),"","GEÇERSİZ GEÇİŞ"))</f>
        <v/>
      </c>
      <c r="O998" s="35">
        <f>IF($A998="","",IF(OR($F998="",$G998=""),"",IF(ABS($G998-$F998)&gt;zincirTolerans,"ZİNCİR KIRIK","OK")))</f>
        <v/>
      </c>
      <c r="P998" s="35">
        <f>IF($A998="","",1)</f>
        <v/>
      </c>
    </row>
    <row r="999">
      <c r="A999" s="29" t="n"/>
      <c r="B999" s="29" t="n"/>
      <c r="C999" s="70" t="n"/>
      <c r="D999" s="29" t="n"/>
      <c r="E999" s="29" t="n"/>
      <c r="F999" s="30" t="n"/>
      <c r="G999" s="30" t="n"/>
      <c r="H999" s="31" t="n"/>
      <c r="I999" s="31" t="n"/>
      <c r="J999" s="29" t="n"/>
      <c r="K999" s="35">
        <f>IF($A999="","",IF($C999="","",raporTarihi-$C999))</f>
        <v/>
      </c>
      <c r="L999" s="35">
        <f>IF($A999="","",IF($K999="","",IF($K999&lt;=7,"0-7",IF($K999&lt;=30,"8-30",IF($K999&lt;=60,"31-60","60+")))))</f>
        <v/>
      </c>
      <c r="M999" s="35">
        <f>IF($A999="","",IF($B999="","YETİM",IF(COUNTIF(tblKartlar[KartId],$B999)=0,"YETİM","")))</f>
        <v/>
      </c>
      <c r="N999" s="35">
        <f>IF(OR($A999="",$D999=""),"",IF(OR($D999&amp;"|"&amp;$E999="",COUNTIF(ListeIzinliGecis,$D999&amp;"|"&amp;$E999)&gt;0),"","GEÇERSİZ GEÇİŞ"))</f>
        <v/>
      </c>
      <c r="O999" s="35">
        <f>IF($A999="","",IF(OR($F999="",$G999=""),"",IF(ABS($G999-$F999)&gt;zincirTolerans,"ZİNCİR KIRIK","OK")))</f>
        <v/>
      </c>
      <c r="P999" s="35">
        <f>IF($A999="","",1)</f>
        <v/>
      </c>
    </row>
    <row r="1000">
      <c r="A1000" s="29" t="n"/>
      <c r="B1000" s="29" t="n"/>
      <c r="C1000" s="70" t="n"/>
      <c r="D1000" s="29" t="n"/>
      <c r="E1000" s="29" t="n"/>
      <c r="F1000" s="30" t="n"/>
      <c r="G1000" s="30" t="n"/>
      <c r="H1000" s="31" t="n"/>
      <c r="I1000" s="31" t="n"/>
      <c r="J1000" s="29" t="n"/>
      <c r="K1000" s="35">
        <f>IF($A1000="","",IF($C1000="","",raporTarihi-$C1000))</f>
        <v/>
      </c>
      <c r="L1000" s="35">
        <f>IF($A1000="","",IF($K1000="","",IF($K1000&lt;=7,"0-7",IF($K1000&lt;=30,"8-30",IF($K1000&lt;=60,"31-60","60+")))))</f>
        <v/>
      </c>
      <c r="M1000" s="35">
        <f>IF($A1000="","",IF($B1000="","YETİM",IF(COUNTIF(tblKartlar[KartId],$B1000)=0,"YETİM","")))</f>
        <v/>
      </c>
      <c r="N1000" s="35">
        <f>IF(OR($A1000="",$D1000=""),"",IF(OR($D1000&amp;"|"&amp;$E1000="",COUNTIF(ListeIzinliGecis,$D1000&amp;"|"&amp;$E1000)&gt;0),"","GEÇERSİZ GEÇİŞ"))</f>
        <v/>
      </c>
      <c r="O1000" s="35">
        <f>IF($A1000="","",IF(OR($F1000="",$G1000=""),"",IF(ABS($G1000-$F1000)&gt;zincirTolerans,"ZİNCİR KIRIK","OK")))</f>
        <v/>
      </c>
      <c r="P1000" s="35">
        <f>IF($A1000="","",1)</f>
        <v/>
      </c>
    </row>
    <row r="1001">
      <c r="A1001" s="29" t="n"/>
      <c r="B1001" s="29" t="n"/>
      <c r="C1001" s="70" t="n"/>
      <c r="D1001" s="29" t="n"/>
      <c r="E1001" s="29" t="n"/>
      <c r="F1001" s="30" t="n"/>
      <c r="G1001" s="30" t="n"/>
      <c r="H1001" s="31" t="n"/>
      <c r="I1001" s="31" t="n"/>
      <c r="J1001" s="29" t="n"/>
      <c r="K1001" s="35">
        <f>IF($A1001="","",IF($C1001="","",raporTarihi-$C1001))</f>
        <v/>
      </c>
      <c r="L1001" s="35">
        <f>IF($A1001="","",IF($K1001="","",IF($K1001&lt;=7,"0-7",IF($K1001&lt;=30,"8-30",IF($K1001&lt;=60,"31-60","60+")))))</f>
        <v/>
      </c>
      <c r="M1001" s="35">
        <f>IF($A1001="","",IF($B1001="","YETİM",IF(COUNTIF(tblKartlar[KartId],$B1001)=0,"YETİM","")))</f>
        <v/>
      </c>
      <c r="N1001" s="35">
        <f>IF(OR($A1001="",$D1001=""),"",IF(OR($D1001&amp;"|"&amp;$E1001="",COUNTIF(ListeIzinliGecis,$D1001&amp;"|"&amp;$E1001)&gt;0),"","GEÇERSİZ GEÇİŞ"))</f>
        <v/>
      </c>
      <c r="O1001" s="35">
        <f>IF($A1001="","",IF(OR($F1001="",$G1001=""),"",IF(ABS($G1001-$F1001)&gt;zincirTolerans,"ZİNCİR KIRIK","OK")))</f>
        <v/>
      </c>
      <c r="P1001" s="35">
        <f>IF($A1001="","",1)</f>
        <v/>
      </c>
    </row>
    <row r="1002">
      <c r="A1002" s="29" t="n"/>
      <c r="B1002" s="29" t="n"/>
      <c r="C1002" s="70" t="n"/>
      <c r="D1002" s="29" t="n"/>
      <c r="E1002" s="29" t="n"/>
      <c r="F1002" s="30" t="n"/>
      <c r="G1002" s="30" t="n"/>
      <c r="H1002" s="31" t="n"/>
      <c r="I1002" s="31" t="n"/>
      <c r="J1002" s="29" t="n"/>
      <c r="K1002" s="35">
        <f>IF($A1002="","",IF($C1002="","",raporTarihi-$C1002))</f>
        <v/>
      </c>
      <c r="L1002" s="35">
        <f>IF($A1002="","",IF($K1002="","",IF($K1002&lt;=7,"0-7",IF($K1002&lt;=30,"8-30",IF($K1002&lt;=60,"31-60","60+")))))</f>
        <v/>
      </c>
      <c r="M1002" s="35">
        <f>IF($A1002="","",IF($B1002="","YETİM",IF(COUNTIF(tblKartlar[KartId],$B1002)=0,"YETİM","")))</f>
        <v/>
      </c>
      <c r="N1002" s="35">
        <f>IF(OR($A1002="",$D1002=""),"",IF(OR($D1002&amp;"|"&amp;$E1002="",COUNTIF(ListeIzinliGecis,$D1002&amp;"|"&amp;$E1002)&gt;0),"","GEÇERSİZ GEÇİŞ"))</f>
        <v/>
      </c>
      <c r="O1002" s="35">
        <f>IF($A1002="","",IF(OR($F1002="",$G1002=""),"",IF(ABS($G1002-$F1002)&gt;zincirTolerans,"ZİNCİR KIRIK","OK")))</f>
        <v/>
      </c>
      <c r="P1002" s="35">
        <f>IF($A1002="","",1)</f>
        <v/>
      </c>
    </row>
    <row r="1003">
      <c r="A1003" s="29" t="n"/>
      <c r="B1003" s="29" t="n"/>
      <c r="C1003" s="70" t="n"/>
      <c r="D1003" s="29" t="n"/>
      <c r="E1003" s="29" t="n"/>
      <c r="F1003" s="30" t="n"/>
      <c r="G1003" s="30" t="n"/>
      <c r="H1003" s="31" t="n"/>
      <c r="I1003" s="31" t="n"/>
      <c r="J1003" s="29" t="n"/>
      <c r="K1003" s="35">
        <f>IF($A1003="","",IF($C1003="","",raporTarihi-$C1003))</f>
        <v/>
      </c>
      <c r="L1003" s="35">
        <f>IF($A1003="","",IF($K1003="","",IF($K1003&lt;=7,"0-7",IF($K1003&lt;=30,"8-30",IF($K1003&lt;=60,"31-60","60+")))))</f>
        <v/>
      </c>
      <c r="M1003" s="35">
        <f>IF($A1003="","",IF($B1003="","YETİM",IF(COUNTIF(tblKartlar[KartId],$B1003)=0,"YETİM","")))</f>
        <v/>
      </c>
      <c r="N1003" s="35">
        <f>IF(OR($A1003="",$D1003=""),"",IF(OR($D1003&amp;"|"&amp;$E1003="",COUNTIF(ListeIzinliGecis,$D1003&amp;"|"&amp;$E1003)&gt;0),"","GEÇERSİZ GEÇİŞ"))</f>
        <v/>
      </c>
      <c r="O1003" s="35">
        <f>IF($A1003="","",IF(OR($F1003="",$G1003=""),"",IF(ABS($G1003-$F1003)&gt;zincirTolerans,"ZİNCİR KIRIK","OK")))</f>
        <v/>
      </c>
      <c r="P1003" s="35">
        <f>IF($A1003="","",1)</f>
        <v/>
      </c>
    </row>
    <row r="1004">
      <c r="A1004" s="29" t="n"/>
      <c r="B1004" s="29" t="n"/>
      <c r="C1004" s="70" t="n"/>
      <c r="D1004" s="29" t="n"/>
      <c r="E1004" s="29" t="n"/>
      <c r="F1004" s="30" t="n"/>
      <c r="G1004" s="30" t="n"/>
      <c r="H1004" s="31" t="n"/>
      <c r="I1004" s="31" t="n"/>
      <c r="J1004" s="29" t="n"/>
      <c r="K1004" s="35">
        <f>IF($A1004="","",IF($C1004="","",raporTarihi-$C1004))</f>
        <v/>
      </c>
      <c r="L1004" s="35">
        <f>IF($A1004="","",IF($K1004="","",IF($K1004&lt;=7,"0-7",IF($K1004&lt;=30,"8-30",IF($K1004&lt;=60,"31-60","60+")))))</f>
        <v/>
      </c>
      <c r="M1004" s="35">
        <f>IF($A1004="","",IF($B1004="","YETİM",IF(COUNTIF(tblKartlar[KartId],$B1004)=0,"YETİM","")))</f>
        <v/>
      </c>
      <c r="N1004" s="35">
        <f>IF(OR($A1004="",$D1004=""),"",IF(OR($D1004&amp;"|"&amp;$E1004="",COUNTIF(ListeIzinliGecis,$D1004&amp;"|"&amp;$E1004)&gt;0),"","GEÇERSİZ GEÇİŞ"))</f>
        <v/>
      </c>
      <c r="O1004" s="35">
        <f>IF($A1004="","",IF(OR($F1004="",$G1004=""),"",IF(ABS($G1004-$F1004)&gt;zincirTolerans,"ZİNCİR KIRIK","OK")))</f>
        <v/>
      </c>
      <c r="P1004" s="35">
        <f>IF($A1004="","",1)</f>
        <v/>
      </c>
    </row>
    <row r="1005">
      <c r="A1005" s="29" t="n"/>
      <c r="B1005" s="29" t="n"/>
      <c r="C1005" s="70" t="n"/>
      <c r="D1005" s="29" t="n"/>
      <c r="E1005" s="29" t="n"/>
      <c r="F1005" s="30" t="n"/>
      <c r="G1005" s="30" t="n"/>
      <c r="H1005" s="31" t="n"/>
      <c r="I1005" s="31" t="n"/>
      <c r="J1005" s="29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R3"/>
    <mergeCell ref="A1:V1"/>
  </mergeCells>
  <conditionalFormatting sqref="M6:M1005">
    <cfRule type="cellIs" priority="1" operator="equal" dxfId="0">
      <formula>"YETİM"</formula>
    </cfRule>
  </conditionalFormatting>
  <conditionalFormatting sqref="N6:N1005">
    <cfRule type="cellIs" priority="2" operator="equal" dxfId="0">
      <formula>"GEÇERSİZ GEÇİŞ"</formula>
    </cfRule>
  </conditionalFormatting>
  <conditionalFormatting sqref="O6:O1005">
    <cfRule type="cellIs" priority="3" operator="equal" dxfId="0">
      <formula>"ZİNCİR KIRIK"</formula>
    </cfRule>
    <cfRule type="cellIs" priority="4" operator="equal" dxfId="2">
      <formula>"OK"</formula>
    </cfRule>
  </conditionalFormatting>
  <conditionalFormatting sqref="E6:E1005">
    <cfRule type="cellIs" priority="5" operator="equal" dxfId="7">
      <formula>"IZLEME"</formula>
    </cfRule>
    <cfRule type="cellIs" priority="6" operator="equal" dxfId="7">
      <formula>"UYARI"</formula>
    </cfRule>
    <cfRule type="cellIs" priority="7" operator="equal" dxfId="8">
      <formula>"IHLAL"</formula>
    </cfRule>
    <cfRule type="cellIs" priority="8" operator="equal" dxfId="7">
      <formula>"IYILESTIRME"</formula>
    </cfRule>
    <cfRule type="cellIs" priority="9" operator="equal" dxfId="9">
      <formula>"KAPALI"</formula>
    </cfRule>
  </conditionalFormatting>
  <dataValidations count="6">
    <dataValidation sqref="D6:D1005" showDropDown="0" showInputMessage="1" showErrorMessage="1" allowBlank="1" errorTitle="Liste" error="Listeden seçin" promptTitle="Önceki Durum" prompt="Durum seçin" type="list" errorStyle="stop">
      <formula1>ListeDurumlar</formula1>
    </dataValidation>
    <dataValidation sqref="E6:E1005" showDropDown="0" showInputMessage="1" showErrorMessage="1" allowBlank="1" errorTitle="Liste" error="Listeden seçin" promptTitle="Durum" prompt="Durum seçin" type="list" errorStyle="stop">
      <formula1>ListeDurumlar</formula1>
    </dataValidation>
    <dataValidation sqref="F6:F1005" showDropDown="0" showInputMessage="1" showErrorMessage="1" allowBlank="1" errorTitle="Önceki Skor" error="0 veya üzeri" promptTitle="Önceki Skor" prompt="Önceki Skor ≥ 0" type="decimal" errorStyle="stop" operator="greaterThanOrEqual">
      <formula1>0</formula1>
    </dataValidation>
    <dataValidation sqref="G6:G1005" showDropDown="0" showInputMessage="1" showErrorMessage="1" allowBlank="1" errorTitle="Yeni Skor" error="0 veya üzeri" promptTitle="Yeni Skor" prompt="Yeni Skor ≥ 0" type="decimal" errorStyle="stop" operator="greaterThanOrEqual">
      <formula1>0</formula1>
    </dataValidation>
    <dataValidation sqref="H6:H1005" showDropDown="0" showInputMessage="1" showErrorMessage="1" allowBlank="1" errorTitle="Limit" error="0 veya üzeri" promptTitle="Limit" prompt="Limit ≥ 0" type="decimal" errorStyle="stop" operator="greaterThanOrEqual">
      <formula1>0</formula1>
    </dataValidation>
    <dataValidation sqref="I6:I1005" showDropDown="0" showInputMessage="1" showErrorMessage="1" allowBlank="1" errorTitle="Tutar" error="0 veya üzeri" promptTitle="Tutar" prompt="Tutar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</cols>
  <sheetData>
    <row r="1" ht="26" customHeight="1">
      <c r="A1" s="1" t="inlineStr">
        <is>
          <t>KUYRUKLAR — Banka Kredi + Covenant Erken Uyarı</t>
        </is>
      </c>
    </row>
    <row r="3" ht="20" customHeight="1">
      <c r="A3" s="39" t="inlineStr">
        <is>
          <t>Durum bazlı canlı kuyruk — kapalı kayıtlar düşer</t>
        </is>
      </c>
    </row>
    <row r="5">
      <c r="A5" s="51" t="inlineStr">
        <is>
          <t>Kuyruk</t>
        </is>
      </c>
      <c r="B5" s="51" t="inlineStr">
        <is>
          <t>Adet</t>
        </is>
      </c>
      <c r="C5" s="51" t="inlineStr">
        <is>
          <t>Tutar</t>
        </is>
      </c>
    </row>
    <row r="6">
      <c r="A6" s="52" t="inlineStr">
        <is>
          <t>İzleme</t>
        </is>
      </c>
      <c r="B6" s="53">
        <f>COUNTIFS(tblAkis[Durum],"IZLEME",tblAkis[Tutar],"&gt;0")</f>
        <v/>
      </c>
      <c r="C6" s="54">
        <f>SUMIFS(tblAkis[Tutar],tblAkis[Durum],"IZLEME")</f>
        <v/>
      </c>
    </row>
    <row r="7">
      <c r="A7" s="52" t="inlineStr">
        <is>
          <t>Uyarı</t>
        </is>
      </c>
      <c r="B7" s="53">
        <f>COUNTIFS(tblAkis[Durum],"UYARI",tblAkis[Tutar],"&gt;0")</f>
        <v/>
      </c>
      <c r="C7" s="54">
        <f>SUMIFS(tblAkis[Tutar],tblAkis[Durum],"UYARI")</f>
        <v/>
      </c>
    </row>
    <row r="8">
      <c r="A8" s="52" t="inlineStr">
        <is>
          <t>İhlal</t>
        </is>
      </c>
      <c r="B8" s="53">
        <f>COUNTIFS(tblAkis[Durum],"IHLAL",tblAkis[Tutar],"&gt;0")</f>
        <v/>
      </c>
      <c r="C8" s="54">
        <f>SUMIFS(tblAkis[Tutar],tblAkis[Durum],"IHLAL")</f>
        <v/>
      </c>
    </row>
    <row r="9">
      <c r="A9" s="52" t="inlineStr">
        <is>
          <t>İyileştirme</t>
        </is>
      </c>
      <c r="B9" s="53">
        <f>COUNTIFS(tblAkis[Durum],"IYILESTIRME",tblAkis[Tutar],"&gt;0")</f>
        <v/>
      </c>
      <c r="C9" s="54">
        <f>SUMIFS(tblAkis[Tutar],tblAkis[Durum],"IYILESTIRME")</f>
        <v/>
      </c>
    </row>
    <row r="11">
      <c r="A11" s="10" t="inlineStr">
        <is>
          <t>Kapalı — kuyruktan düşer</t>
        </is>
      </c>
    </row>
    <row r="12">
      <c r="A12" s="52" t="inlineStr">
        <is>
          <t>Kapalı</t>
        </is>
      </c>
      <c r="B12" s="53">
        <f>COUNTIFS(tblAkis[Durum],"KAPALI")</f>
        <v/>
      </c>
      <c r="C12" s="54">
        <f>SUMIFS(tblAkis[Tutar],tblAkis[Durum],"KAPALI")</f>
        <v/>
      </c>
    </row>
    <row r="14">
      <c r="A14" s="52" t="inlineStr">
        <is>
          <t>Yetim adet</t>
        </is>
      </c>
      <c r="B14" s="53">
        <f>COUNTIF(tblAkis[YetimBayrak],"YETİM")</f>
        <v/>
      </c>
    </row>
    <row r="15">
      <c r="A15" s="52" t="inlineStr">
        <is>
          <t>Geçersiz geçiş</t>
        </is>
      </c>
      <c r="B15" s="53">
        <f>COUNTIF(tblAkis[GecisUyarisi],"GEÇERSİZ GEÇİŞ")</f>
        <v/>
      </c>
    </row>
    <row r="16">
      <c r="A16" s="52" t="inlineStr">
        <is>
          <t>Zincir kırık</t>
        </is>
      </c>
      <c r="B16" s="53">
        <f>COUNTIF(tblAkis[ZincirBayrak],"ZİNCİR KIRIK")</f>
        <v/>
      </c>
    </row>
    <row r="18">
      <c r="A18" s="49" t="inlineStr">
        <is>
          <t>Açık toplam adet</t>
        </is>
      </c>
      <c r="B18" s="19">
        <f>B6+B7+B8+B9</f>
        <v/>
      </c>
    </row>
    <row r="19">
      <c r="A19" s="49" t="inlineStr">
        <is>
          <t>Açık toplam tutar</t>
        </is>
      </c>
      <c r="B19" s="20">
        <f>C6+C7+C8+C9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B6:B9">
    <cfRule type="cellIs" priority="1" operator="greaterThan" dxfId="3">
      <formula>0</formula>
    </cfRule>
  </conditionalFormatting>
  <conditionalFormatting sqref="C6:C9">
    <cfRule type="cellIs" priority="2" operator="greaterThan" dxfId="3">
      <formula>0</formula>
    </cfRule>
  </conditionalFormatting>
  <conditionalFormatting sqref="B14:B16">
    <cfRule type="cellIs" priority="3" operator="greaterThan" dxfId="5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Banka Kredi + Covenant Erken Uyarı</t>
        </is>
      </c>
    </row>
    <row r="3">
      <c r="A3" s="9" t="inlineStr">
        <is>
          <t>Senaryo ve duyarlılık</t>
        </is>
      </c>
    </row>
    <row r="5">
      <c r="A5" s="51" t="inlineStr">
        <is>
          <t>Senaryo</t>
        </is>
      </c>
      <c r="B5" s="51" t="inlineStr">
        <is>
          <t>DSCR Çarpanı</t>
        </is>
      </c>
      <c r="C5" s="51" t="inlineStr">
        <is>
          <t>Erken Uyarı Skoru</t>
        </is>
      </c>
      <c r="D5" s="51" t="inlineStr">
        <is>
          <t>DSCR</t>
        </is>
      </c>
      <c r="E5" s="51" t="inlineStr">
        <is>
          <t>Karar</t>
        </is>
      </c>
      <c r="G5" s="51" t="inlineStr">
        <is>
          <t>SkorDemo</t>
        </is>
      </c>
    </row>
    <row r="6">
      <c r="A6" s="7" t="inlineStr">
        <is>
          <t>İyimser</t>
        </is>
      </c>
      <c r="B6" s="24">
        <f>IFERROR(bke_dscrIyi+N(GIRDI!B9)*bke_sifirCarpan,0)</f>
        <v/>
      </c>
      <c r="C6" s="19">
        <f>IFERROR(MOTOR!G41,0)</f>
        <v/>
      </c>
      <c r="D6" s="19">
        <f>IFERROR(MOTOR!G43,0)</f>
        <v/>
      </c>
      <c r="E6" s="25">
        <f>IF(COUNTA(tblGirdi[Alan Anahtarı])=0,"VERİ YOK",IF(D6&lt;MOTOR!G20,"İHLAL",IF(D6&lt;MOTOR!G27,"UYARI","UYGUN")))</f>
        <v/>
      </c>
      <c r="G6" s="27" t="n">
        <v>10</v>
      </c>
    </row>
    <row r="7">
      <c r="A7" s="7" t="inlineStr">
        <is>
          <t>Baz</t>
        </is>
      </c>
      <c r="B7" s="24">
        <f>IFERROR(bke_bazCarpan+N(GIRDI!B9)*bke_sifirCarpan,bke_bazCarpan)</f>
        <v/>
      </c>
      <c r="C7" s="19">
        <f>IFERROR(bke_erkenUyariSkor,0)</f>
        <v/>
      </c>
      <c r="D7" s="19">
        <f>IFERROR(MOTOR!G19,0)</f>
        <v/>
      </c>
      <c r="E7" s="25">
        <f>IF(COUNTA(tblGirdi[Alan Anahtarı])=0,"VERİ YOK",IFERROR(bke_kararMetni,"-"))</f>
        <v/>
      </c>
      <c r="G7" s="27" t="n">
        <v>20</v>
      </c>
    </row>
    <row r="8">
      <c r="A8" s="7" t="inlineStr">
        <is>
          <t>Kötümser</t>
        </is>
      </c>
      <c r="B8" s="24">
        <f>IFERROR(bke_dscrKotu+N(GIRDI!B9)*bke_sifirCarpan,0)</f>
        <v/>
      </c>
      <c r="C8" s="19">
        <f>IFERROR(MOTOR!G42,0)</f>
        <v/>
      </c>
      <c r="D8" s="19">
        <f>IFERROR(MOTOR!G44,0)</f>
        <v/>
      </c>
      <c r="E8" s="25">
        <f>IF(COUNTA(tblGirdi[Alan Anahtarı])=0,"VERİ YOK",IF(D8&lt;MOTOR!G20,"İHLAL",IF(D8&lt;MOTOR!G27,"UYARI","UYGUN")))</f>
        <v/>
      </c>
      <c r="G8" s="27" t="n">
        <v>45</v>
      </c>
    </row>
    <row r="9">
      <c r="A9" s="7" t="inlineStr">
        <is>
          <t>M-SEN eşik+</t>
        </is>
      </c>
      <c r="B9" s="24">
        <f>IFERROR(bke_bazCarpan+N(GIRDI!B9)*bke_sifirCarpan,bke_bazCarpan)</f>
        <v/>
      </c>
      <c r="C9" s="19">
        <f>IFERROR(bke_erkenUyariSkor+MOTOR!G47,0)</f>
        <v/>
      </c>
      <c r="D9" s="19">
        <f>IFERROR(MOTOR!G19,0)</f>
        <v/>
      </c>
      <c r="E9" s="25">
        <f>IF(COUNTA(tblGirdi[Alan Anahtarı])=0,"VERİ YOK",IF(MOTOR!G46=1,"İHLAL",IFERROR(bke_kararMetni,"-")))</f>
        <v/>
      </c>
      <c r="G9" s="27" t="n">
        <v>35</v>
      </c>
    </row>
    <row r="11">
      <c r="A11" s="10" t="inlineStr">
        <is>
          <t>Senaryo skor bant genişliği (kötümser−iyimser)</t>
        </is>
      </c>
      <c r="B11" s="19">
        <f>IFERROR(C8-C6,0)</f>
        <v/>
      </c>
    </row>
    <row r="12">
      <c r="A12" s="10" t="inlineStr">
        <is>
          <t>Senaryo yorum</t>
        </is>
      </c>
      <c r="B12" s="18">
        <f>IFERROR(_xlfn.TEXTJOIN("; ",TRUE,"İyimser skor ",TEXT(C6,"0")," · Baz ",TEXT(C7,"0")," · Kötümser ",TEXT(C8,"0")),"-")</f>
        <v/>
      </c>
    </row>
    <row r="14">
      <c r="A14" s="5" t="inlineStr">
        <is>
          <t>Duyarlılık (tornado)</t>
        </is>
      </c>
    </row>
    <row r="15">
      <c r="A15" s="51" t="inlineStr">
        <is>
          <t>Değişken</t>
        </is>
      </c>
      <c r="B15" s="51" t="inlineStr">
        <is>
          <t>Etki [puan]</t>
        </is>
      </c>
      <c r="C15" s="51" t="inlineStr">
        <is>
          <t>Sıra</t>
        </is>
      </c>
      <c r="E15" s="51" t="inlineStr">
        <is>
          <t>EtkiDemo</t>
        </is>
      </c>
    </row>
    <row r="16">
      <c r="A16" s="7" t="inlineStr">
        <is>
          <t>DSCR ±</t>
        </is>
      </c>
      <c r="B16" s="19">
        <f>IFERROR(MOTOR!G50,0)</f>
        <v/>
      </c>
      <c r="C16" s="27" t="n">
        <v>1</v>
      </c>
      <c r="E16" s="27" t="n">
        <v>25</v>
      </c>
    </row>
    <row r="17">
      <c r="A17" s="7" t="inlineStr">
        <is>
          <t>FAVÖK ±</t>
        </is>
      </c>
      <c r="B17" s="19">
        <f>IFERROR(MOTOR!G51,0)</f>
        <v/>
      </c>
      <c r="C17" s="27" t="n">
        <v>2</v>
      </c>
      <c r="E17" s="27" t="n">
        <v>18</v>
      </c>
    </row>
    <row r="18">
      <c r="A18" s="7" t="inlineStr">
        <is>
          <t>Faiz oranı ±</t>
        </is>
      </c>
      <c r="B18" s="19">
        <f>IFERROR(MOTOR!G52,0)</f>
        <v/>
      </c>
      <c r="C18" s="27" t="n">
        <v>3</v>
      </c>
      <c r="E18" s="27" t="n">
        <v>12</v>
      </c>
    </row>
    <row r="19">
      <c r="A19" s="10" t="inlineStr">
        <is>
          <t>Tornado zirve sırası</t>
        </is>
      </c>
      <c r="B19" s="25">
        <f>IFERROR(INDEX(A16:A18,MATCH(MAX(B16:B18),B16:B18,0)),"-")</f>
        <v/>
      </c>
    </row>
    <row r="20">
      <c r="A20" s="10" t="inlineStr">
        <is>
          <t>Tornado yorum</t>
        </is>
      </c>
      <c r="B20" s="18">
        <f>_xlfn.TEXTJOIN("; ",TRUE,"En etkili değişken: ",B19," etki ",TEXT(MAX(B16:B18),"0")," puan")</f>
        <v/>
      </c>
    </row>
    <row r="22">
      <c r="A22" s="10" t="inlineStr">
        <is>
          <t>M-SEN kural değişimi (DSCR eşik +0,05)</t>
        </is>
      </c>
      <c r="B22" s="19">
        <f>IFERROR(MOTOR!G47,0)</f>
        <v/>
      </c>
    </row>
    <row r="23">
      <c r="A23" s="10" t="inlineStr">
        <is>
          <t>M-SEN yorum</t>
        </is>
      </c>
      <c r="B23" s="18">
        <f>_xlfn.TEXTJOIN("; ",TRUE,"DSCR eşiği +0,05 senaryosunda skor farkı ",TEXT(B22,"0")," puan")</f>
        <v/>
      </c>
    </row>
    <row r="25">
      <c r="A25" s="10" t="inlineStr">
        <is>
          <t>Tahmin aralığı (erken uyarı skoru)</t>
        </is>
      </c>
    </row>
    <row r="26">
      <c r="A26" s="7" t="inlineStr">
        <is>
          <t>Alt</t>
        </is>
      </c>
      <c r="B26" s="19">
        <f>IFERROR(MOTOR!G49,0)</f>
        <v/>
      </c>
    </row>
    <row r="27">
      <c r="A27" s="7" t="inlineStr">
        <is>
          <t>Üst</t>
        </is>
      </c>
      <c r="B27" s="19">
        <f>IFERROR(MOTOR!G48,0)</f>
        <v/>
      </c>
      <c r="D27" s="10" t="inlineStr">
        <is>
          <t>TrendDemo</t>
        </is>
      </c>
    </row>
    <row r="28">
      <c r="A28" s="7" t="inlineStr">
        <is>
          <t>Orta (ortalama)</t>
        </is>
      </c>
      <c r="B28" s="19">
        <f>IFERROR(IF(COUNT(C6:C8)=0,0,AVERAGE(C6:C8)),0)</f>
        <v/>
      </c>
      <c r="D28" s="27" t="n">
        <v>10</v>
      </c>
    </row>
    <row r="29">
      <c r="D29" s="27" t="n">
        <v>20</v>
      </c>
    </row>
    <row r="30">
      <c r="D30" s="27" t="n">
        <v>45</v>
      </c>
    </row>
    <row r="31">
      <c r="D31" s="27" t="n">
        <v>35</v>
      </c>
    </row>
    <row r="32">
      <c r="A32" s="10" t="inlineStr">
        <is>
          <t>Tahmin aralık genişliği</t>
        </is>
      </c>
      <c r="B32" s="19">
        <f>IFERROR(B27-B26,0)</f>
        <v/>
      </c>
    </row>
    <row r="33">
      <c r="A33" s="10" t="inlineStr">
        <is>
          <t>Tahmin yorum</t>
        </is>
      </c>
      <c r="B33" s="18">
        <f>_xlfn.TEXTJOIN("; ",TRUE,"Erken uyarı skor bandı ",TEXT(B26,"0")," – ",TEXT(B27,"0"))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E12"/>
    <mergeCell ref="A1:AD1"/>
  </mergeCells>
  <conditionalFormatting sqref="C6:C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5">
      <formula>ISNUMBER(SEARCH("İHLAL",E6))</formula>
    </cfRule>
    <cfRule type="expression" priority="4" dxfId="4">
      <formula>ISNUMBER(SEARCH("UYARI",E6))</formula>
    </cfRule>
    <cfRule type="expression" priority="5" dxfId="3">
      <formula>ISNUMBER(SEARCH("UYGUN",E6))</formula>
    </cfRule>
  </conditionalFormatting>
  <conditionalFormatting sqref="B16:B18">
    <cfRule type="cellIs" priority="6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 ht="26" customHeight="1">
      <c r="A1" s="1" t="inlineStr">
        <is>
          <t>VAKALAR — Banka Kredi + Covenant Erken Uyarı</t>
        </is>
      </c>
    </row>
    <row r="3">
      <c r="A3" s="41" t="inlineStr">
        <is>
          <t>Covenant altın vakaları</t>
        </is>
      </c>
    </row>
    <row r="5" ht="30" customHeight="1">
      <c r="A5" s="21" t="inlineStr">
        <is>
          <t>vaka_id</t>
        </is>
      </c>
      <c r="B5" s="21" t="inlineStr">
        <is>
          <t>aciklama</t>
        </is>
      </c>
      <c r="C5" s="21" t="inlineStr">
        <is>
          <t>girdi_ozeti</t>
        </is>
      </c>
      <c r="D5" s="21" t="inlineStr">
        <is>
          <t>beklenen_sonuc</t>
        </is>
      </c>
      <c r="E5" s="21" t="inlineStr">
        <is>
          <t>hesaplanan</t>
        </is>
      </c>
      <c r="F5" s="21" t="inlineStr">
        <is>
          <t>fark</t>
        </is>
      </c>
      <c r="G5" s="21" t="inlineStr">
        <is>
          <t>durum</t>
        </is>
      </c>
      <c r="H5" s="21" t="inlineStr">
        <is>
          <t>kaynak</t>
        </is>
      </c>
      <c r="J5" s="51" t="inlineStr">
        <is>
          <t>BeklenenDemo</t>
        </is>
      </c>
      <c r="K5" s="51" t="inlineStr">
        <is>
          <t>HesapDemo</t>
        </is>
      </c>
    </row>
    <row r="6">
      <c r="A6" s="7" t="inlineStr">
        <is>
          <t>V-001</t>
        </is>
      </c>
      <c r="B6" s="7" t="inlineStr">
        <is>
          <t>DSCR min eşiği okuma</t>
        </is>
      </c>
      <c r="C6" s="7" t="inlineStr">
        <is>
          <t>eşik=BKE-001 (2026)</t>
        </is>
      </c>
      <c r="D6" s="55" t="n">
        <v>1.2</v>
      </c>
      <c r="E6" s="19">
        <f>IFERROR(INDEX(tblKurallar[deger_2026],MATCH("BKE-001",tblKurallar[kural_id],0)),0)</f>
        <v/>
      </c>
      <c r="F6" s="56">
        <f>IF($A6="","",IFERROR($D6-$E6,0))</f>
        <v/>
      </c>
      <c r="G6" s="57">
        <f>IF($A6="","",IFERROR(IF(ABS($F6)&lt;=bke_tolerans,"TUTARLI","KIRIK"),"KIRIK"))</f>
        <v/>
      </c>
      <c r="H6" s="7" t="inlineStr">
        <is>
          <t>DSCR min</t>
        </is>
      </c>
      <c r="J6" s="27" t="n">
        <v>1.2</v>
      </c>
      <c r="K6" s="27" t="n">
        <v>1.2</v>
      </c>
    </row>
    <row r="7">
      <c r="A7" s="7" t="inlineStr">
        <is>
          <t>V-002</t>
        </is>
      </c>
      <c r="B7" s="7" t="inlineStr">
        <is>
          <t>Borç/FAVÖK gerçekleşen</t>
        </is>
      </c>
      <c r="C7" s="7" t="inlineStr">
        <is>
          <t>net_borç=GIRDI!B13; FAVÖK=GIRDI!B12</t>
        </is>
      </c>
      <c r="D7" s="55" t="n">
        <v>1.875</v>
      </c>
      <c r="E7" s="19">
        <f>IFERROR(ROUND(GIRDI!B13/GIRDI!B12,3),0)</f>
        <v/>
      </c>
      <c r="F7" s="56">
        <f>IF($A7="","",IFERROR($D7-$E7,0))</f>
        <v/>
      </c>
      <c r="G7" s="57">
        <f>IF($A7="","",IFERROR(IF(ABS($F7)&lt;=bke_tolerans,"TUTARLI","KIRIK"),"KIRIK"))</f>
        <v/>
      </c>
      <c r="H7" s="7" t="inlineStr">
        <is>
          <t>Kaldıraç</t>
        </is>
      </c>
      <c r="J7" s="27" t="n">
        <v>1.875</v>
      </c>
      <c r="K7" s="27" t="n">
        <v>1.875</v>
      </c>
    </row>
    <row r="8">
      <c r="A8" s="7" t="inlineStr">
        <is>
          <t>V-003</t>
        </is>
      </c>
      <c r="B8" s="7" t="inlineStr">
        <is>
          <t>Faiz yükü = bakiye×faiz/FAVÖK</t>
        </is>
      </c>
      <c r="C8" s="7" t="inlineStr">
        <is>
          <t>bakiye=GIRDI!B9; faiz=GIRDI!B10; FAVÖK=GIRDI!B12</t>
        </is>
      </c>
      <c r="D8" s="55" t="n">
        <v>0.35</v>
      </c>
      <c r="E8" s="19">
        <f>IFERROR(ROUND(GIRDI!B9*GIRDI!B10/GIRDI!B12,4),0)</f>
        <v/>
      </c>
      <c r="F8" s="56">
        <f>IF($A8="","",IFERROR($D8-$E8,0))</f>
        <v/>
      </c>
      <c r="G8" s="57">
        <f>IF($A8="","",IFERROR(IF(ABS($F8)&lt;=bke_tolerans,"TUTARLI","KIRIK"),"KIRIK"))</f>
        <v/>
      </c>
      <c r="H8" s="7" t="inlineStr">
        <is>
          <t>Faiz yükü</t>
        </is>
      </c>
      <c r="J8" s="27" t="n">
        <v>0.35</v>
      </c>
      <c r="K8" s="27" t="n">
        <v>0.35</v>
      </c>
    </row>
    <row r="9">
      <c r="A9" s="7" t="inlineStr">
        <is>
          <t>V-004</t>
        </is>
      </c>
      <c r="B9" s="7" t="inlineStr">
        <is>
          <t>Erken uyarı bandı × DSCR min</t>
        </is>
      </c>
      <c r="C9" s="7" t="inlineStr">
        <is>
          <t>min=BKE-001; band=BKE-004</t>
        </is>
      </c>
      <c r="D9" s="55" t="n">
        <v>1.32</v>
      </c>
      <c r="E9" s="19">
        <f>IFERROR(ROUND(INDEX(tblKurallar[deger_2026],MATCH("BKE-001",tblKurallar[kural_id],0))*(1+INDEX(tblKurallar[deger_2026],MATCH("BKE-004",tblKurallar[kural_id],0))),4),0)</f>
        <v/>
      </c>
      <c r="F9" s="56">
        <f>IF($A9="","",IFERROR($D9-$E9,0))</f>
        <v/>
      </c>
      <c r="G9" s="57">
        <f>IF($A9="","",IFERROR(IF(ABS($F9)&lt;=bke_tolerans,"TUTARLI","KIRIK"),"KIRIK"))</f>
        <v/>
      </c>
      <c r="H9" s="7" t="inlineStr">
        <is>
          <t>Uyarı eşiği</t>
        </is>
      </c>
      <c r="J9" s="27" t="n">
        <v>1.32</v>
      </c>
      <c r="K9" s="27" t="n">
        <v>1.32</v>
      </c>
    </row>
    <row r="12">
      <c r="A12" s="10" t="inlineStr">
        <is>
          <t>Vaka durum özeti</t>
        </is>
      </c>
      <c r="B12" s="58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19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2">
      <formula>G6="TUTARLI"</formula>
    </cfRule>
    <cfRule type="expression" priority="2" dxfId="0">
      <formula>G6="KIRIK"</formula>
    </cfRule>
  </conditionalFormatting>
  <conditionalFormatting sqref="F6:F9">
    <cfRule type="cellIs" priority="3" operator="notEqual" dxfId="4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6" customHeight="1">
      <c r="A1" s="1" t="inlineStr">
        <is>
          <t>KANIT RAPORU — Banka Kredi + Covenant Erken Uyarı</t>
        </is>
      </c>
    </row>
    <row r="3">
      <c r="A3" s="59" t="inlineStr">
        <is>
          <t>KANIT RAPORU — Banka Kredi + Covenant Erken Uyarı</t>
        </is>
      </c>
    </row>
    <row r="4">
      <c r="A4" s="7" t="inlineStr">
        <is>
          <t>Rapor tarihi</t>
        </is>
      </c>
      <c r="B4" s="71">
        <f>raporTarihi</f>
        <v/>
      </c>
    </row>
    <row r="5">
      <c r="A5" s="7" t="inlineStr">
        <is>
          <t>Şirket</t>
        </is>
      </c>
      <c r="B5" s="25">
        <f>GIRDI!B6</f>
        <v/>
      </c>
    </row>
    <row r="6">
      <c r="A6" s="7" t="inlineStr">
        <is>
          <t>Dönem / yıl</t>
        </is>
      </c>
      <c r="B6" s="25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Kredi bakiyesi</t>
        </is>
      </c>
      <c r="B9" s="20">
        <f>GIRDI!B9</f>
        <v/>
      </c>
    </row>
    <row r="10">
      <c r="A10" s="7" t="inlineStr">
        <is>
          <t>Faiz oranı</t>
        </is>
      </c>
      <c r="B10" s="24">
        <f>GIRDI!B10</f>
        <v/>
      </c>
    </row>
    <row r="11">
      <c r="A11" s="7" t="inlineStr">
        <is>
          <t>FAVÖK</t>
        </is>
      </c>
      <c r="B11" s="20">
        <f>GIRDI!B12</f>
        <v/>
      </c>
    </row>
    <row r="12">
      <c r="A12" s="7" t="inlineStr">
        <is>
          <t>Net borç</t>
        </is>
      </c>
      <c r="B12" s="20">
        <f>GIRDI!B13</f>
        <v/>
      </c>
    </row>
    <row r="13">
      <c r="A13" s="7" t="inlineStr">
        <is>
          <t>Cari oran</t>
        </is>
      </c>
      <c r="B13" s="19">
        <f>GIRDI!B14</f>
        <v/>
      </c>
    </row>
    <row r="14">
      <c r="A14" s="7" t="inlineStr">
        <is>
          <t>DSCR gerçekleşen</t>
        </is>
      </c>
      <c r="B14" s="19">
        <f>GIRDI!B15</f>
        <v/>
      </c>
    </row>
    <row r="16">
      <c r="A16" s="5" t="inlineStr">
        <is>
          <t>Hesap zinciri</t>
        </is>
      </c>
    </row>
    <row r="17">
      <c r="A17" s="7" t="inlineStr">
        <is>
          <t>Borç/FAVÖK</t>
        </is>
      </c>
      <c r="B17" s="33">
        <f>MOTOR!G21</f>
        <v/>
      </c>
    </row>
    <row r="18">
      <c r="A18" s="7" t="inlineStr">
        <is>
          <t>Faiz yükü</t>
        </is>
      </c>
      <c r="B18" s="24">
        <f>MOTOR!G22</f>
        <v/>
      </c>
    </row>
    <row r="19">
      <c r="A19" s="7" t="inlineStr">
        <is>
          <t>Erken uyarı skoru</t>
        </is>
      </c>
      <c r="B19" s="19">
        <f>bke_erkenUyariSkor</f>
        <v/>
      </c>
    </row>
    <row r="20">
      <c r="A20" s="7" t="inlineStr">
        <is>
          <t>DSCR</t>
        </is>
      </c>
      <c r="B20" s="33">
        <f>MOTOR!G19</f>
        <v/>
      </c>
    </row>
    <row r="21">
      <c r="A21" s="10" t="inlineStr">
        <is>
          <t>KARAR</t>
        </is>
      </c>
      <c r="B21" s="61">
        <f>bke_kararMetni</f>
        <v/>
      </c>
    </row>
    <row r="22">
      <c r="A22" s="7" t="inlineStr">
        <is>
          <t>Gerekçe</t>
        </is>
      </c>
      <c r="B22" s="18">
        <f>bke_kararGerekce</f>
        <v/>
      </c>
    </row>
    <row r="24">
      <c r="A24" s="7" t="inlineStr">
        <is>
          <t>Madde atıfları</t>
        </is>
      </c>
      <c r="B24" s="18">
        <f>bke_maddeAtifMetni</f>
        <v/>
      </c>
    </row>
    <row r="25">
      <c r="A25" s="7" t="inlineStr">
        <is>
          <t>Süreç özeti</t>
        </is>
      </c>
      <c r="B25" s="18">
        <f>IFERROR(_xlfn.TEXTJOIN(" | ",TRUE,"Skor=",TEXT(bke_erkenUyariSkor,"0"),"Açık kuyruk=",TEXT(COUNTIFS(tblAkis[Durum],"IZLEME")+COUNTIFS(tblAkis[Durum],"UYARI")+COUNTIFS(tblAkis[Durum],"IHLAL")+COUNTIFS(tblAkis[Durum],"IYILESTIRME"),"0")),"-")</f>
        <v/>
      </c>
    </row>
    <row r="27">
      <c r="A27" s="7" t="inlineStr">
        <is>
          <t>Hazırlayan</t>
        </is>
      </c>
      <c r="B27" s="62" t="inlineStr"/>
    </row>
    <row r="28">
      <c r="A28" s="7" t="inlineStr">
        <is>
          <t>Onaylayan</t>
        </is>
      </c>
      <c r="B28" s="62" t="inlineStr"/>
    </row>
    <row r="30">
      <c r="A30" s="63" t="inlineStr">
        <is>
          <t>Uyarı: Bu çıktı karar destek niteliğindedir; banka sözleşmesinin yerine geçmez.</t>
        </is>
      </c>
    </row>
    <row r="31">
      <c r="A31" s="8" t="inlineStr">
        <is>
          <t xml:space="preserve">Sürüm 1.0.0 | Parmak izi: </t>
        </is>
      </c>
      <c r="B31" s="8">
        <f>bke_parmakIzi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4:F24"/>
    <mergeCell ref="B25:F25"/>
    <mergeCell ref="A1:L1"/>
    <mergeCell ref="B22:F22"/>
    <mergeCell ref="A3:F3"/>
    <mergeCell ref="A30:F30"/>
  </mergeCells>
  <conditionalFormatting sqref="B21">
    <cfRule type="expression" priority="1" dxfId="0">
      <formula>ISNUMBER(SEARCH("İHLAL",B21))</formula>
    </cfRule>
    <cfRule type="expression" priority="2" dxfId="1">
      <formula>ISNUMBER(SEARCH("UYARI",B21))</formula>
    </cfRule>
    <cfRule type="expression" priority="3" dxfId="2">
      <formula>ISNUMBER(SEARCH("UYGUN",B21))</formula>
    </cfRule>
  </conditionalFormatting>
  <conditionalFormatting sqref="B19">
    <cfRule type="cellIs" priority="4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&amp;LBanka Kredi + Covenant Erken Uyarı · KANIT&amp;CExcelArşiv&amp;RSayfa &amp;P / &amp;N</oddFooter>
    <evenHeader/>
    <evenFooter>&amp;LBanka Kredi + Covenant Erken Uyarı · KANIT&amp;CExcelArşiv&amp;RSayfa &amp;P / &amp;N</evenFooter>
    <firstHeader/>
    <firstFooter/>
  </headerFooter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AD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26" customHeight="1">
      <c r="A1" s="1" t="inlineStr">
        <is>
          <t>KONTROLLER — Banka Kredi + Covenant Erken Uyarı</t>
        </is>
      </c>
    </row>
    <row r="3">
      <c r="A3" s="9" t="inlineStr">
        <is>
          <t>Canlı kontrol paneli</t>
        </is>
      </c>
    </row>
    <row r="4">
      <c r="A4" s="51" t="inlineStr">
        <is>
          <t>Kontrol</t>
        </is>
      </c>
      <c r="B4" s="51" t="inlineStr">
        <is>
          <t>Sonuç</t>
        </is>
      </c>
    </row>
    <row r="5">
      <c r="A5" s="7" t="inlineStr">
        <is>
          <t>Giriş tablosu boş mu?</t>
        </is>
      </c>
      <c r="B5" s="25">
        <f>IF(COUNTA(tblGirdi[Alan Anahtarı])=0,"BOŞ","DOLU")</f>
        <v/>
      </c>
    </row>
    <row r="6">
      <c r="A6" s="7" t="inlineStr">
        <is>
          <t>Negatif kredi bakiyesi?</t>
        </is>
      </c>
      <c r="B6" s="25">
        <f>IF(N(GIRDI!B9)&lt;0,"NEGATİF","NORMAL")</f>
        <v/>
      </c>
    </row>
    <row r="7">
      <c r="A7" s="7" t="inlineStr">
        <is>
          <t>FAVÖK ≤ 0?</t>
        </is>
      </c>
      <c r="B7" s="25">
        <f>IF(N(GIRDI!B12)&lt;=0,"AŞIYOR","NORMAL")</f>
        <v/>
      </c>
    </row>
    <row r="8">
      <c r="A8" s="7" t="inlineStr">
        <is>
          <t>Faiz oranı &gt; 1?</t>
        </is>
      </c>
      <c r="B8" s="25">
        <f>IF(N(GIRDI!B10)&gt;1,"AŞIYOR","NORMAL")</f>
        <v/>
      </c>
    </row>
    <row r="9">
      <c r="A9" s="7" t="inlineStr">
        <is>
          <t>Vaka tutarlı mı?</t>
        </is>
      </c>
      <c r="B9" s="25">
        <f>IFERROR(IF(bke_vakaDurum="TUTARLI","TUTARLI","KIRIK"),"KIRIK")</f>
        <v/>
      </c>
    </row>
    <row r="10">
      <c r="A10" s="7" t="inlineStr">
        <is>
          <t>Yetim kayıt var mı?</t>
        </is>
      </c>
      <c r="B10" s="25">
        <f>IF(COUNTIF(tblAkis[YetimBayrak],"YETİM")&gt;0,"HATALI","TEMİZ")</f>
        <v/>
      </c>
    </row>
    <row r="11">
      <c r="A11" s="7" t="inlineStr">
        <is>
          <t>Geçersiz geçiş var mı?</t>
        </is>
      </c>
      <c r="B11" s="25">
        <f>IF(COUNTIF(tblAkis[GecisUyarisi],"GEÇERSİZ GEÇİŞ")&gt;0,"HATALI","TEMİZ")</f>
        <v/>
      </c>
    </row>
    <row r="12">
      <c r="A12" s="10" t="inlineStr">
        <is>
          <t>Kalite skoru</t>
        </is>
      </c>
      <c r="B12" s="19">
        <f>IFERROR(ROUND((COUNTIF(B5:B11,"DOLU")+COUNTIF(B5:B11,"NORMAL")+COUNTIF(B5:B11,"TUTARLI")+COUNTIF(B5:B11,"TEMİZ")+COUNTIF(B5:B11,"TAM"))/9*100,0),0)</f>
        <v/>
      </c>
    </row>
    <row r="13">
      <c r="A13" s="7" t="inlineStr">
        <is>
          <t>Karar üretildi mi?</t>
        </is>
      </c>
      <c r="B13" s="25">
        <f>IF(OR(bke_kararMetni="",bke_kararMetni="VERİ YOK"),"EKSİK","TAM")</f>
        <v/>
      </c>
    </row>
    <row r="14">
      <c r="A14" s="10" t="inlineStr">
        <is>
          <t>Özet tutarlar</t>
        </is>
      </c>
    </row>
    <row r="15">
      <c r="A15" s="7" t="inlineStr">
        <is>
          <t>Erken uyarı skoru</t>
        </is>
      </c>
      <c r="B15" s="19">
        <f>IFERROR(bke_erkenUyariSkor,0)</f>
        <v/>
      </c>
    </row>
    <row r="16">
      <c r="A16" s="7" t="inlineStr">
        <is>
          <t>DSCR</t>
        </is>
      </c>
      <c r="B16" s="19">
        <f>IFERROR(MOTOR!G19,0)</f>
        <v/>
      </c>
    </row>
    <row r="17">
      <c r="A17" s="7" t="inlineStr">
        <is>
          <t>Skor (ayna)</t>
        </is>
      </c>
      <c r="B17" s="19">
        <f>IFERROR(bke_erkenUyariSkor,0)</f>
        <v/>
      </c>
    </row>
    <row r="18">
      <c r="A18" s="7" t="inlineStr">
        <is>
          <t>DSCR (ayna)</t>
        </is>
      </c>
      <c r="B18" s="19">
        <f>IFERROR(MOTOR!G19,0)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0">
      <formula>OR(B5="KIRIK",B5="HATALI",B5="NEGATİF",B5="BOŞ",B5="EKSİK",B5="AŞIYOR")</formula>
    </cfRule>
    <cfRule type="expression" priority="2" dxfId="2">
      <formula>OR(B5="TEMİZ",B5="DOLU",B5="NORMAL",B5="TUTARLI",B5="TAM")</formula>
    </cfRule>
  </conditionalFormatting>
  <conditionalFormatting sqref="B12">
    <cfRule type="cellIs" priority="3" operator="greaterThanOrEqual" dxfId="3">
      <formula>80</formula>
    </cfRule>
    <cfRule type="cellIs" priority="4" operator="lessThan" dxfId="5">
      <formula>50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48235"/>
    <outlinePr summaryBelow="1" summaryRight="1"/>
    <pageSetUpPr/>
  </sheetPr>
  <dimension ref="A1:T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ORNEK VERI — Banka Kredi + Covenant Erken Uyarı</t>
        </is>
      </c>
    </row>
    <row r="3">
      <c r="A3" s="9" t="inlineStr">
        <is>
          <t>Örnek senaryo satırları</t>
        </is>
      </c>
    </row>
    <row r="5" ht="30" customHeight="1">
      <c r="A5" s="21" t="inlineStr">
        <is>
          <t>Senaryo</t>
        </is>
      </c>
      <c r="B5" s="21" t="inlineStr">
        <is>
          <t>KrediBakiye</t>
        </is>
      </c>
      <c r="C5" s="21" t="inlineStr">
        <is>
          <t>FaizOran</t>
        </is>
      </c>
      <c r="D5" s="21" t="inlineStr">
        <is>
          <t>VadeAy</t>
        </is>
      </c>
      <c r="E5" s="21" t="inlineStr">
        <is>
          <t>Favok</t>
        </is>
      </c>
      <c r="F5" s="21" t="inlineStr">
        <is>
          <t>NetBorc</t>
        </is>
      </c>
      <c r="G5" s="21" t="inlineStr">
        <is>
          <t>CariOran</t>
        </is>
      </c>
      <c r="H5" s="21" t="inlineStr">
        <is>
          <t>Dscr</t>
        </is>
      </c>
      <c r="I5" s="21" t="inlineStr">
        <is>
          <t>Yil</t>
        </is>
      </c>
      <c r="J5" s="21" t="inlineStr">
        <is>
          <t>Kontrol</t>
        </is>
      </c>
    </row>
    <row r="6">
      <c r="A6" s="29" t="inlineStr">
        <is>
          <t>Demo ana</t>
        </is>
      </c>
      <c r="B6" s="31" t="n">
        <v>10000000</v>
      </c>
      <c r="C6" s="32" t="n">
        <v>0.28</v>
      </c>
      <c r="D6" s="30" t="n">
        <v>36</v>
      </c>
      <c r="E6" s="31" t="n">
        <v>8000000</v>
      </c>
      <c r="F6" s="31" t="n">
        <v>15000000</v>
      </c>
      <c r="G6" s="30" t="n">
        <v>1.25</v>
      </c>
      <c r="H6" s="30" t="n">
        <v>1.45</v>
      </c>
      <c r="I6" s="30" t="n">
        <v>2026</v>
      </c>
      <c r="J6" s="35">
        <f>IF($A6="","",IF(OR($B6="",$I6=""),"EKSİK","TAM"))</f>
        <v/>
      </c>
    </row>
    <row r="7">
      <c r="A7" s="29" t="inlineStr">
        <is>
          <t>Uyari sinir</t>
        </is>
      </c>
      <c r="B7" s="31" t="n">
        <v>10000000</v>
      </c>
      <c r="C7" s="32" t="n">
        <v>0.28</v>
      </c>
      <c r="D7" s="30" t="n">
        <v>36</v>
      </c>
      <c r="E7" s="31" t="n">
        <v>8000000</v>
      </c>
      <c r="F7" s="31" t="n">
        <v>15000000</v>
      </c>
      <c r="G7" s="30" t="n">
        <v>1.1</v>
      </c>
      <c r="H7" s="30" t="n">
        <v>1.25</v>
      </c>
      <c r="I7" s="30" t="n">
        <v>2026</v>
      </c>
      <c r="J7" s="35">
        <f>IF($A7="","",IF(OR($B7="",$I7=""),"EKSİK","TAM"))</f>
        <v/>
      </c>
    </row>
    <row r="8">
      <c r="A8" s="29" t="inlineStr">
        <is>
          <t>Ihlal DSCR</t>
        </is>
      </c>
      <c r="B8" s="31" t="n">
        <v>10000000</v>
      </c>
      <c r="C8" s="32" t="n">
        <v>0.28</v>
      </c>
      <c r="D8" s="30" t="n">
        <v>36</v>
      </c>
      <c r="E8" s="31" t="n">
        <v>8000000</v>
      </c>
      <c r="F8" s="31" t="n">
        <v>15000000</v>
      </c>
      <c r="G8" s="30" t="n">
        <v>1.25</v>
      </c>
      <c r="H8" s="30" t="n">
        <v>0.95</v>
      </c>
      <c r="I8" s="30" t="n">
        <v>2026</v>
      </c>
      <c r="J8" s="35">
        <f>IF($A8="","",IF(OR($B8="",$I8=""),"EKSİK","TAM"))</f>
        <v/>
      </c>
    </row>
    <row r="9">
      <c r="A9" s="29" t="inlineStr">
        <is>
          <t>Yuksek kaldirac</t>
        </is>
      </c>
      <c r="B9" s="31" t="n">
        <v>12000000</v>
      </c>
      <c r="C9" s="32" t="n">
        <v>0.3</v>
      </c>
      <c r="D9" s="30" t="n">
        <v>48</v>
      </c>
      <c r="E9" s="31" t="n">
        <v>4000000</v>
      </c>
      <c r="F9" s="31" t="n">
        <v>18000000</v>
      </c>
      <c r="G9" s="30" t="n">
        <v>1.05</v>
      </c>
      <c r="H9" s="30" t="n">
        <v>1.5</v>
      </c>
      <c r="I9" s="30" t="n">
        <v>2026</v>
      </c>
      <c r="J9" s="35">
        <f>IF($A9="","",IF(OR($B9="",$I9=""),"EKSİK","TAM"))</f>
        <v/>
      </c>
    </row>
    <row r="10">
      <c r="A10" s="29" t="inlineStr">
        <is>
          <t>2025 oran</t>
        </is>
      </c>
      <c r="B10" s="31" t="n">
        <v>10000000</v>
      </c>
      <c r="C10" s="32" t="n">
        <v>0.28</v>
      </c>
      <c r="D10" s="30" t="n">
        <v>36</v>
      </c>
      <c r="E10" s="31" t="n">
        <v>8000000</v>
      </c>
      <c r="F10" s="31" t="n">
        <v>15000000</v>
      </c>
      <c r="G10" s="30" t="n">
        <v>1.25</v>
      </c>
      <c r="H10" s="30" t="n">
        <v>1.45</v>
      </c>
      <c r="I10" s="30" t="n">
        <v>2025</v>
      </c>
      <c r="J10" s="35">
        <f>IF($A10="","",IF(OR($B10="",$I10=""),"EKSİK","TAM"))</f>
        <v/>
      </c>
    </row>
    <row r="11">
      <c r="A11" s="62" t="n"/>
      <c r="B11" s="62" t="n"/>
      <c r="C11" s="62" t="n"/>
      <c r="D11" s="62" t="n"/>
      <c r="E11" s="62" t="n"/>
      <c r="F11" s="62" t="n"/>
      <c r="G11" s="62" t="n"/>
      <c r="H11" s="62" t="n"/>
      <c r="I11" s="62" t="n"/>
      <c r="J11" s="35">
        <f>IF($A11="","",IF(OR($B11="",$I11=""),"EKSİK","TAM"))</f>
        <v/>
      </c>
    </row>
    <row r="12">
      <c r="A12" s="62" t="n"/>
      <c r="B12" s="62" t="n"/>
      <c r="C12" s="62" t="n"/>
      <c r="D12" s="62" t="n"/>
      <c r="E12" s="62" t="n"/>
      <c r="F12" s="62" t="n"/>
      <c r="G12" s="62" t="n"/>
      <c r="H12" s="62" t="n"/>
      <c r="I12" s="62" t="n"/>
      <c r="J12" s="35">
        <f>IF($A12="","",IF(OR($B12="",$I12=""),"EKSİK","TAM"))</f>
        <v/>
      </c>
    </row>
    <row r="13">
      <c r="A13" s="62" t="n"/>
      <c r="B13" s="62" t="n"/>
      <c r="C13" s="62" t="n"/>
      <c r="D13" s="62" t="n"/>
      <c r="E13" s="62" t="n"/>
      <c r="F13" s="62" t="n"/>
      <c r="G13" s="62" t="n"/>
      <c r="H13" s="62" t="n"/>
      <c r="I13" s="62" t="n"/>
      <c r="J13" s="35">
        <f>IF($A13="","",IF(OR($B13="",$I13=""),"EKSİK","TAM"))</f>
        <v/>
      </c>
    </row>
    <row r="14">
      <c r="A14" s="62" t="n"/>
      <c r="B14" s="62" t="n"/>
      <c r="C14" s="62" t="n"/>
      <c r="D14" s="62" t="n"/>
      <c r="E14" s="62" t="n"/>
      <c r="F14" s="62" t="n"/>
      <c r="G14" s="62" t="n"/>
      <c r="H14" s="62" t="n"/>
      <c r="I14" s="62" t="n"/>
      <c r="J14" s="35">
        <f>IF($A14="","",IF(OR($B14="",$I14=""),"EKSİK","TAM"))</f>
        <v/>
      </c>
    </row>
    <row r="15">
      <c r="A15" s="62" t="n"/>
      <c r="B15" s="62" t="n"/>
      <c r="C15" s="62" t="n"/>
      <c r="D15" s="62" t="n"/>
      <c r="E15" s="62" t="n"/>
      <c r="F15" s="62" t="n"/>
      <c r="G15" s="62" t="n"/>
      <c r="H15" s="62" t="n"/>
      <c r="I15" s="62" t="n"/>
      <c r="J15" s="35">
        <f>IF($A15="","",IF(OR($B15="",$I15=""),"EKSİK","TAM"))</f>
        <v/>
      </c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35">
        <f>IF($A16="","",IF(OR($B16="",$I16=""),"EKSİK","TAM"))</f>
        <v/>
      </c>
    </row>
    <row r="17">
      <c r="A17" s="62" t="n"/>
      <c r="B17" s="62" t="n"/>
      <c r="C17" s="62" t="n"/>
      <c r="D17" s="62" t="n"/>
      <c r="E17" s="62" t="n"/>
      <c r="F17" s="62" t="n"/>
      <c r="G17" s="62" t="n"/>
      <c r="H17" s="62" t="n"/>
      <c r="I17" s="62" t="n"/>
      <c r="J17" s="35">
        <f>IF($A17="","",IF(OR($B17="",$I17=""),"EKSİK","TAM"))</f>
        <v/>
      </c>
    </row>
    <row r="18">
      <c r="A18" s="62" t="n"/>
      <c r="B18" s="62" t="n"/>
      <c r="C18" s="62" t="n"/>
      <c r="D18" s="62" t="n"/>
      <c r="E18" s="62" t="n"/>
      <c r="F18" s="62" t="n"/>
      <c r="G18" s="62" t="n"/>
      <c r="H18" s="62" t="n"/>
      <c r="I18" s="62" t="n"/>
      <c r="J18" s="35">
        <f>IF($A18="","",IF(OR($B18="",$I18=""),"EKSİK","TAM"))</f>
        <v/>
      </c>
    </row>
    <row r="19">
      <c r="A19" s="62" t="n"/>
      <c r="B19" s="62" t="n"/>
      <c r="C19" s="62" t="n"/>
      <c r="D19" s="62" t="n"/>
      <c r="E19" s="62" t="n"/>
      <c r="F19" s="62" t="n"/>
      <c r="G19" s="62" t="n"/>
      <c r="H19" s="62" t="n"/>
      <c r="I19" s="62" t="n"/>
      <c r="J19" s="35">
        <f>IF($A19="","",IF(OR($B19="",$I19=""),"EKSİK","TAM"))</f>
        <v/>
      </c>
    </row>
    <row r="20">
      <c r="A20" s="62" t="n"/>
      <c r="B20" s="62" t="n"/>
      <c r="C20" s="62" t="n"/>
      <c r="D20" s="62" t="n"/>
      <c r="E20" s="62" t="n"/>
      <c r="F20" s="62" t="n"/>
      <c r="G20" s="62" t="n"/>
      <c r="H20" s="62" t="n"/>
      <c r="I20" s="62" t="n"/>
      <c r="J20" s="35">
        <f>IF($A20="","",IF(OR($B20="",$I20=""),"EKSİK","TAM"))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conditionalFormatting sqref="B6:B20">
    <cfRule type="cellIs" priority="1" operator="lessThan" dxfId="5">
      <formula>0</formula>
    </cfRule>
  </conditionalFormatting>
  <conditionalFormatting sqref="E6:E20">
    <cfRule type="cellIs" priority="2" operator="lessThan" dxfId="5">
      <formula>0</formula>
    </cfRule>
  </conditionalFormatting>
  <conditionalFormatting sqref="F6:F20">
    <cfRule type="cellIs" priority="3" operator="lessThan" dxfId="5">
      <formula>0</formula>
    </cfRule>
  </conditionalFormatting>
  <conditionalFormatting sqref="J6:J20">
    <cfRule type="expression" priority="4" dxfId="0">
      <formula>J6="EKSİK"</formula>
    </cfRule>
    <cfRule type="expression" priority="5" dxfId="2">
      <formula>J6="TAM"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7030A0"/>
    <outlinePr summaryBelow="1" summaryRight="1"/>
    <pageSetUpPr/>
  </sheetPr>
  <dimension ref="A1:T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  <col width="12" customWidth="1" min="7" max="7"/>
    <col width="14" customWidth="1" min="9" max="9"/>
    <col width="22" customWidth="1" min="11" max="11"/>
  </cols>
  <sheetData>
    <row r="1" ht="26" customHeight="1">
      <c r="A1" s="1" t="inlineStr">
        <is>
          <t>LISTELER — Banka Kredi + Covenant Erken Uyarı</t>
        </is>
      </c>
    </row>
    <row r="3">
      <c r="A3" s="10" t="inlineStr">
        <is>
          <t>Yıllar</t>
        </is>
      </c>
      <c r="C3" s="10" t="inlineStr">
        <is>
          <t>Yorum A/B</t>
        </is>
      </c>
      <c r="E3" s="10" t="inlineStr">
        <is>
          <t>Evet/Hayır</t>
        </is>
      </c>
      <c r="G3" s="10" t="inlineStr">
        <is>
          <t>Kredi Türü</t>
        </is>
      </c>
      <c r="I3" s="10" t="inlineStr">
        <is>
          <t>Durumlar</t>
        </is>
      </c>
      <c r="K3" s="10" t="inlineStr">
        <is>
          <t>İzinli Geçişler</t>
        </is>
      </c>
    </row>
    <row r="5">
      <c r="A5" s="51" t="inlineStr">
        <is>
          <t>Yil</t>
        </is>
      </c>
      <c r="C5" s="51" t="inlineStr">
        <is>
          <t>Yorum</t>
        </is>
      </c>
      <c r="E5" s="51" t="inlineStr">
        <is>
          <t>Secim</t>
        </is>
      </c>
      <c r="G5" s="51" t="inlineStr">
        <is>
          <t>Tur</t>
        </is>
      </c>
      <c r="I5" s="51" t="inlineStr">
        <is>
          <t>DurumId</t>
        </is>
      </c>
      <c r="K5" s="51" t="inlineStr">
        <is>
          <t>Gecis</t>
        </is>
      </c>
    </row>
    <row r="6">
      <c r="A6" s="64" t="n">
        <v>2025</v>
      </c>
      <c r="C6" s="62" t="inlineStr">
        <is>
          <t>A</t>
        </is>
      </c>
      <c r="E6" s="62" t="inlineStr">
        <is>
          <t>EVET</t>
        </is>
      </c>
      <c r="G6" s="62" t="inlineStr">
        <is>
          <t>ISLETME</t>
        </is>
      </c>
      <c r="I6" s="62" t="inlineStr">
        <is>
          <t>IZLEME</t>
        </is>
      </c>
      <c r="K6" s="62" t="inlineStr">
        <is>
          <t>IZLEME|UYARI</t>
        </is>
      </c>
    </row>
    <row r="7">
      <c r="A7" s="64" t="n">
        <v>2026</v>
      </c>
      <c r="C7" s="62" t="inlineStr">
        <is>
          <t>B</t>
        </is>
      </c>
      <c r="E7" s="62" t="inlineStr">
        <is>
          <t>HAYIR</t>
        </is>
      </c>
      <c r="G7" s="62" t="inlineStr">
        <is>
          <t>YATIRIM</t>
        </is>
      </c>
      <c r="I7" s="62" t="inlineStr">
        <is>
          <t>UYARI</t>
        </is>
      </c>
      <c r="K7" s="62" t="inlineStr">
        <is>
          <t>IZLEME|KAPALI</t>
        </is>
      </c>
    </row>
    <row r="8">
      <c r="A8" s="64" t="n">
        <v>2027</v>
      </c>
      <c r="I8" s="62" t="inlineStr">
        <is>
          <t>IHLAL</t>
        </is>
      </c>
      <c r="K8" s="62" t="inlineStr">
        <is>
          <t>UYARI|IHLAL</t>
        </is>
      </c>
    </row>
    <row r="9">
      <c r="I9" s="62" t="inlineStr">
        <is>
          <t>IYILESTIRME</t>
        </is>
      </c>
      <c r="K9" s="62" t="inlineStr">
        <is>
          <t>UYARI|IYILESTIRME</t>
        </is>
      </c>
    </row>
    <row r="10">
      <c r="I10" s="62" t="inlineStr">
        <is>
          <t>KAPALI</t>
        </is>
      </c>
      <c r="K10" s="62" t="inlineStr">
        <is>
          <t>UYARI|IZLEME</t>
        </is>
      </c>
    </row>
    <row r="11">
      <c r="K11" s="62" t="inlineStr">
        <is>
          <t>IHLAL|IYILESTIRME</t>
        </is>
      </c>
    </row>
    <row r="12">
      <c r="K12" s="62" t="inlineStr">
        <is>
          <t>IHLAL|KAPALI</t>
        </is>
      </c>
    </row>
    <row r="13">
      <c r="K13" s="62" t="inlineStr">
        <is>
          <t>IYILESTIRME|IZLEME</t>
        </is>
      </c>
    </row>
    <row r="14">
      <c r="K14" s="62" t="inlineStr">
        <is>
          <t>IYILESTIRME|UYARI</t>
        </is>
      </c>
    </row>
    <row r="15">
      <c r="K15" s="62" t="inlineStr">
        <is>
          <t>IYILESTIRME|KAPALI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0F2742"/>
    <outlinePr summaryBelow="1" summaryRight="1"/>
    <pageSetUpPr/>
  </sheetPr>
  <dimension ref="A1:AD4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  <col width="14" customWidth="1" min="10" max="10"/>
    <col width="14" customWidth="1" min="11" max="11"/>
    <col width="8" customWidth="1" min="12" max="12"/>
    <col width="28" customWidth="1" min="13" max="13"/>
    <col width="12" customWidth="1" min="14" max="14"/>
  </cols>
  <sheetData>
    <row r="1" ht="26" customHeight="1">
      <c r="A1" s="1" t="inlineStr">
        <is>
          <t>AYARLAR — Banka Kredi + Covenant Erken Uyarı</t>
        </is>
      </c>
    </row>
    <row r="3">
      <c r="A3" s="9" t="inlineStr">
        <is>
          <t>Parametreler (tek kaynak) + durum haritası</t>
        </is>
      </c>
    </row>
    <row r="5" ht="30" customHeight="1">
      <c r="A5" s="21" t="inlineStr">
        <is>
          <t>anahtar</t>
        </is>
      </c>
      <c r="B5" s="21" t="inlineStr">
        <is>
          <t>deger</t>
        </is>
      </c>
      <c r="C5" s="21" t="inlineStr">
        <is>
          <t>birim</t>
        </is>
      </c>
      <c r="D5" s="21" t="inlineStr">
        <is>
          <t>aciklama</t>
        </is>
      </c>
      <c r="E5" s="21" t="inlineStr">
        <is>
          <t>kaynak</t>
        </is>
      </c>
      <c r="F5" s="21" t="inlineStr">
        <is>
          <t>yururluk_tarihi</t>
        </is>
      </c>
      <c r="G5" s="21" t="inlineStr">
        <is>
          <t>dogrulama_tarihi</t>
        </is>
      </c>
      <c r="H5" s="21" t="inlineStr">
        <is>
          <t>kontrol</t>
        </is>
      </c>
    </row>
    <row r="6">
      <c r="A6" s="7" t="inlineStr">
        <is>
          <t>hesapYili</t>
        </is>
      </c>
      <c r="B6" s="42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5">
        <f>IF(A6="","",IF(B6="","EKSİK","TAM"))</f>
        <v/>
      </c>
      <c r="J6" s="5" t="inlineStr">
        <is>
          <t>Durum Haritası</t>
        </is>
      </c>
    </row>
    <row r="7" ht="30" customHeight="1">
      <c r="A7" s="7" t="inlineStr">
        <is>
          <t>raporTarihi</t>
        </is>
      </c>
      <c r="B7" s="72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5">
        <f>IF(A7="","",IF(B7="","EKSİK","TAM"))</f>
        <v/>
      </c>
      <c r="J7" s="21" t="inlineStr">
        <is>
          <t>durum_id</t>
        </is>
      </c>
      <c r="K7" s="21" t="inlineStr">
        <is>
          <t>durum_adi</t>
        </is>
      </c>
      <c r="L7" s="21" t="inlineStr">
        <is>
          <t>sira</t>
        </is>
      </c>
      <c r="M7" s="21" t="inlineStr">
        <is>
          <t>izinli_sonraki_durumlar</t>
        </is>
      </c>
      <c r="N7" s="21" t="inlineStr">
        <is>
          <t>kategori</t>
        </is>
      </c>
    </row>
    <row r="8">
      <c r="A8" s="7" t="inlineStr">
        <is>
          <t>bke_tolerans</t>
        </is>
      </c>
      <c r="B8" s="43" t="n">
        <v>0.01</v>
      </c>
      <c r="C8" s="7" t="inlineStr">
        <is>
          <t>oran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5">
        <f>IF(A8="","",IF(B8="","EKSİK","TAM"))</f>
        <v/>
      </c>
      <c r="J8" s="52" t="inlineStr">
        <is>
          <t>IZLEME</t>
        </is>
      </c>
      <c r="K8" s="52" t="inlineStr">
        <is>
          <t>İzleme</t>
        </is>
      </c>
      <c r="L8" s="53" t="n">
        <v>1</v>
      </c>
      <c r="M8" s="52" t="inlineStr">
        <is>
          <t>UYARI|KAPALI</t>
        </is>
      </c>
      <c r="N8" s="52" t="inlineStr">
        <is>
          <t>acik</t>
        </is>
      </c>
    </row>
    <row r="9">
      <c r="A9" s="7" t="inlineStr">
        <is>
          <t>bke_kacirilanEsik</t>
        </is>
      </c>
      <c r="B9" s="42" t="n">
        <v>50</v>
      </c>
      <c r="C9" s="7" t="inlineStr">
        <is>
          <t>puan</t>
        </is>
      </c>
      <c r="D9" s="7" t="inlineStr">
        <is>
          <t>PANO uyarı skor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5">
        <f>IF(A9="","",IF(B9="","EKSİK","TAM"))</f>
        <v/>
      </c>
      <c r="J9" s="52" t="inlineStr">
        <is>
          <t>UYARI</t>
        </is>
      </c>
      <c r="K9" s="52" t="inlineStr">
        <is>
          <t>Uyarı</t>
        </is>
      </c>
      <c r="L9" s="53" t="n">
        <v>2</v>
      </c>
      <c r="M9" s="52" t="inlineStr">
        <is>
          <t>IHLAL|IYILESTIRME|IZLEME</t>
        </is>
      </c>
      <c r="N9" s="52" t="inlineStr">
        <is>
          <t>acik</t>
        </is>
      </c>
    </row>
    <row r="10">
      <c r="A10" s="7" t="inlineStr">
        <is>
          <t>bke_senaryoIyi</t>
        </is>
      </c>
      <c r="B10" s="42" t="n">
        <v>10</v>
      </c>
      <c r="C10" s="7" t="inlineStr">
        <is>
          <t>puan</t>
        </is>
      </c>
      <c r="D10" s="7" t="inlineStr">
        <is>
          <t>İyimser skor iyileştirme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5">
        <f>IF(A10="","",IF(B10="","EKSİK","TAM"))</f>
        <v/>
      </c>
      <c r="J10" s="52" t="inlineStr">
        <is>
          <t>IHLAL</t>
        </is>
      </c>
      <c r="K10" s="52" t="inlineStr">
        <is>
          <t>İhlal</t>
        </is>
      </c>
      <c r="L10" s="53" t="n">
        <v>3</v>
      </c>
      <c r="M10" s="52" t="inlineStr">
        <is>
          <t>IYILESTIRME|KAPALI</t>
        </is>
      </c>
      <c r="N10" s="52" t="inlineStr">
        <is>
          <t>acik</t>
        </is>
      </c>
    </row>
    <row r="11">
      <c r="A11" s="7" t="inlineStr">
        <is>
          <t>bke_senaryoKotu</t>
        </is>
      </c>
      <c r="B11" s="42" t="n">
        <v>25</v>
      </c>
      <c r="C11" s="7" t="inlineStr">
        <is>
          <t>puan</t>
        </is>
      </c>
      <c r="D11" s="7" t="inlineStr">
        <is>
          <t>Kötümser skor bozulma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5">
        <f>IF(A11="","",IF(B11="","EKSİK","TAM"))</f>
        <v/>
      </c>
      <c r="J11" s="52" t="inlineStr">
        <is>
          <t>IYILESTIRME</t>
        </is>
      </c>
      <c r="K11" s="52" t="inlineStr">
        <is>
          <t>İyileştirme</t>
        </is>
      </c>
      <c r="L11" s="53" t="n">
        <v>4</v>
      </c>
      <c r="M11" s="52" t="inlineStr">
        <is>
          <t>IZLEME|UYARI|KAPALI</t>
        </is>
      </c>
      <c r="N11" s="52" t="inlineStr">
        <is>
          <t>acik</t>
        </is>
      </c>
    </row>
    <row r="12">
      <c r="A12" s="7" t="inlineStr">
        <is>
          <t>bke_esikArtis</t>
        </is>
      </c>
      <c r="B12" s="43" t="n">
        <v>0.05</v>
      </c>
      <c r="C12" s="7" t="inlineStr">
        <is>
          <t>oran</t>
        </is>
      </c>
      <c r="D12" s="7" t="inlineStr">
        <is>
          <t>M-SEN / Yorum B DSCR +0,05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5">
        <f>IF(A12="","",IF(B12="","EKSİK","TAM"))</f>
        <v/>
      </c>
      <c r="J12" s="52" t="inlineStr">
        <is>
          <t>KAPALI</t>
        </is>
      </c>
      <c r="K12" s="52" t="inlineStr">
        <is>
          <t>Kapalı</t>
        </is>
      </c>
      <c r="L12" s="53" t="n">
        <v>5</v>
      </c>
      <c r="M12" s="52" t="inlineStr"/>
      <c r="N12" s="52" t="inlineStr">
        <is>
          <t>kapali</t>
        </is>
      </c>
    </row>
    <row r="13">
      <c r="A13" s="7" t="inlineStr">
        <is>
          <t>bke_tahminAlt</t>
        </is>
      </c>
      <c r="B13" s="43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5">
        <f>IF(A13="","",IF(B13="","EKSİK","TAM"))</f>
        <v/>
      </c>
    </row>
    <row r="14">
      <c r="A14" s="7" t="inlineStr">
        <is>
          <t>bke_tahminUst</t>
        </is>
      </c>
      <c r="B14" s="43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5">
        <f>IF(A14="","",IF(B14="","EKSİK","TAM"))</f>
        <v/>
      </c>
    </row>
    <row r="15">
      <c r="A15" s="7" t="inlineStr">
        <is>
          <t>bke_tornadoDscr</t>
        </is>
      </c>
      <c r="B15" s="43" t="n">
        <v>1.05</v>
      </c>
      <c r="C15" s="7" t="inlineStr">
        <is>
          <t>çarpan</t>
        </is>
      </c>
      <c r="D15" s="7" t="inlineStr">
        <is>
          <t>Tornado DSCR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5">
        <f>IF(A15="","",IF(B15="","EKSİK","TAM"))</f>
        <v/>
      </c>
    </row>
    <row r="16">
      <c r="A16" s="7" t="inlineStr">
        <is>
          <t>bke_tornadoFavok</t>
        </is>
      </c>
      <c r="B16" s="43" t="n">
        <v>1.05</v>
      </c>
      <c r="C16" s="7" t="inlineStr">
        <is>
          <t>çarpan</t>
        </is>
      </c>
      <c r="D16" s="7" t="inlineStr">
        <is>
          <t>Tornado FAVÖK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5">
        <f>IF(A16="","",IF(B16="","EKSİK","TAM"))</f>
        <v/>
      </c>
    </row>
    <row r="17">
      <c r="A17" s="7" t="inlineStr">
        <is>
          <t>bke_tornadoFaiz</t>
        </is>
      </c>
      <c r="B17" s="43" t="n">
        <v>1.1</v>
      </c>
      <c r="C17" s="7" t="inlineStr">
        <is>
          <t>çarpan</t>
        </is>
      </c>
      <c r="D17" s="7" t="inlineStr">
        <is>
          <t>Tornado faiz şoku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65">
        <f>IF(A17="","",IF(B17="","EKSİK","TAM"))</f>
        <v/>
      </c>
    </row>
    <row r="18">
      <c r="A18" s="7" t="inlineStr">
        <is>
          <t>bke_dscrIyi</t>
        </is>
      </c>
      <c r="B18" s="43" t="n">
        <v>1.1</v>
      </c>
      <c r="C18" s="7" t="inlineStr">
        <is>
          <t>çarpan</t>
        </is>
      </c>
      <c r="D18" s="7" t="inlineStr">
        <is>
          <t>İyimser DSCR çarpanı</t>
        </is>
      </c>
      <c r="E18" s="7" t="inlineStr">
        <is>
          <t>Model varsayımı</t>
        </is>
      </c>
      <c r="F18" s="7" t="inlineStr">
        <is>
          <t>01.01.2025</t>
        </is>
      </c>
      <c r="G18" s="7" t="inlineStr">
        <is>
          <t>11.08.2026</t>
        </is>
      </c>
      <c r="H18" s="65">
        <f>IF(A18="","",IF(B18="","EKSİK","TAM"))</f>
        <v/>
      </c>
    </row>
    <row r="19">
      <c r="A19" s="7" t="inlineStr">
        <is>
          <t>bke_dscrKotu</t>
        </is>
      </c>
      <c r="B19" s="43" t="n">
        <v>0.85</v>
      </c>
      <c r="C19" s="7" t="inlineStr">
        <is>
          <t>çarpan</t>
        </is>
      </c>
      <c r="D19" s="7" t="inlineStr">
        <is>
          <t>Kötümser DSCR çarpanı</t>
        </is>
      </c>
      <c r="E19" s="7" t="inlineStr">
        <is>
          <t>Model varsayımı</t>
        </is>
      </c>
      <c r="F19" s="7" t="inlineStr">
        <is>
          <t>01.01.2025</t>
        </is>
      </c>
      <c r="G19" s="7" t="inlineStr">
        <is>
          <t>11.08.2026</t>
        </is>
      </c>
      <c r="H19" s="65">
        <f>IF(A19="","",IF(B19="","EKSİK","TAM"))</f>
        <v/>
      </c>
    </row>
    <row r="20">
      <c r="A20" s="7" t="inlineStr">
        <is>
          <t>bke_yuzdelikOran</t>
        </is>
      </c>
      <c r="B20" s="43" t="n">
        <v>0.9</v>
      </c>
      <c r="C20" s="7" t="inlineStr">
        <is>
          <t>oran</t>
        </is>
      </c>
      <c r="D20" s="7" t="inlineStr">
        <is>
          <t>Yüzdelik P90</t>
        </is>
      </c>
      <c r="E20" s="7" t="inlineStr">
        <is>
          <t>İstatistik</t>
        </is>
      </c>
      <c r="F20" s="7" t="inlineStr">
        <is>
          <t>01.01.2025</t>
        </is>
      </c>
      <c r="G20" s="7" t="inlineStr">
        <is>
          <t>11.08.2026</t>
        </is>
      </c>
      <c r="H20" s="65">
        <f>IF(A20="","",IF(B20="","EKSİK","TAM"))</f>
        <v/>
      </c>
    </row>
    <row r="21">
      <c r="A21" s="7" t="inlineStr">
        <is>
          <t>bke_parmakIzi</t>
        </is>
      </c>
      <c r="B21" s="67" t="inlineStr">
        <is>
          <t>d1568f45caab5457</t>
        </is>
      </c>
      <c r="C21" s="7" t="inlineStr">
        <is>
          <t>metin</t>
        </is>
      </c>
      <c r="D21" s="7" t="inlineStr">
        <is>
          <t>Dosya parmak izi etiketi</t>
        </is>
      </c>
      <c r="E21" s="7" t="inlineStr">
        <is>
          <t>Üretim</t>
        </is>
      </c>
      <c r="F21" s="7" t="inlineStr">
        <is>
          <t>01.01.2025</t>
        </is>
      </c>
      <c r="G21" s="7" t="inlineStr">
        <is>
          <t>11.08.2026</t>
        </is>
      </c>
      <c r="H21" s="65">
        <f>IF(A21="","",IF(B21="","EKSİK","TAM"))</f>
        <v/>
      </c>
    </row>
    <row r="22">
      <c r="A22" s="7" t="inlineStr">
        <is>
          <t>dosya_surumu</t>
        </is>
      </c>
      <c r="B22" s="67" t="inlineStr">
        <is>
          <t>1.0.0</t>
        </is>
      </c>
      <c r="C22" s="7" t="inlineStr">
        <is>
          <t>metin</t>
        </is>
      </c>
      <c r="D22" s="7" t="inlineStr">
        <is>
          <t>Ürün sürümü</t>
        </is>
      </c>
      <c r="E22" s="7" t="inlineStr">
        <is>
          <t>ExcelArşiv</t>
        </is>
      </c>
      <c r="F22" s="7" t="inlineStr">
        <is>
          <t>01.01.2025</t>
        </is>
      </c>
      <c r="G22" s="7" t="inlineStr">
        <is>
          <t>11.08.2026</t>
        </is>
      </c>
      <c r="H22" s="65">
        <f>IF(A22="","",IF(B22="","EKSİK","TAM"))</f>
        <v/>
      </c>
    </row>
    <row r="23">
      <c r="A23" s="7" t="inlineStr">
        <is>
          <t>bke_girisBeklenen</t>
        </is>
      </c>
      <c r="B23" s="42" t="n">
        <v>11</v>
      </c>
      <c r="C23" s="7" t="inlineStr">
        <is>
          <t>adet</t>
        </is>
      </c>
      <c r="D23" s="7" t="inlineStr">
        <is>
          <t>Zorunlu giriş alanı sayısı</t>
        </is>
      </c>
      <c r="E23" s="7" t="inlineStr">
        <is>
          <t>Ürün mimarisi</t>
        </is>
      </c>
      <c r="F23" s="7" t="inlineStr">
        <is>
          <t>01.01.2025</t>
        </is>
      </c>
      <c r="G23" s="7" t="inlineStr">
        <is>
          <t>11.08.2026</t>
        </is>
      </c>
      <c r="H23" s="65">
        <f>IF(A23="","",IF(B23="","EKSİK","TAM"))</f>
        <v/>
      </c>
    </row>
    <row r="24">
      <c r="A24" s="7" t="inlineStr">
        <is>
          <t>bke_riskDusuk</t>
        </is>
      </c>
      <c r="B24" s="42" t="n">
        <v>15</v>
      </c>
      <c r="C24" s="7" t="inlineStr">
        <is>
          <t>puan</t>
        </is>
      </c>
      <c r="D24" s="7" t="inlineStr">
        <is>
          <t>UYGUN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5">
        <f>IF(A24="","",IF(B24="","EKSİK","TAM"))</f>
        <v/>
      </c>
    </row>
    <row r="25">
      <c r="A25" s="7" t="inlineStr">
        <is>
          <t>bke_riskOrta</t>
        </is>
      </c>
      <c r="B25" s="42" t="n">
        <v>55</v>
      </c>
      <c r="C25" s="7" t="inlineStr">
        <is>
          <t>puan</t>
        </is>
      </c>
      <c r="D25" s="7" t="inlineStr">
        <is>
          <t>UYARI risk skoru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5">
        <f>IF(A25="","",IF(B25="","EKSİK","TAM"))</f>
        <v/>
      </c>
    </row>
    <row r="26">
      <c r="A26" s="7" t="inlineStr">
        <is>
          <t>bke_riskYuksek</t>
        </is>
      </c>
      <c r="B26" s="42" t="n">
        <v>85</v>
      </c>
      <c r="C26" s="7" t="inlineStr">
        <is>
          <t>puan</t>
        </is>
      </c>
      <c r="D26" s="7" t="inlineStr">
        <is>
          <t>İHLAL risk skoru</t>
        </is>
      </c>
      <c r="E26" s="7" t="inlineStr">
        <is>
          <t>İç politika</t>
        </is>
      </c>
      <c r="F26" s="7" t="inlineStr">
        <is>
          <t>01.01.2025</t>
        </is>
      </c>
      <c r="G26" s="7" t="inlineStr">
        <is>
          <t>11.08.2026</t>
        </is>
      </c>
      <c r="H26" s="65">
        <f>IF(A26="","",IF(B26="","EKSİK","TAM"))</f>
        <v/>
      </c>
    </row>
    <row r="27">
      <c r="A27" s="7" t="inlineStr">
        <is>
          <t>bke_riskEsikOran</t>
        </is>
      </c>
      <c r="B27" s="43" t="n">
        <v>0.5</v>
      </c>
      <c r="C27" s="7" t="inlineStr">
        <is>
          <t>oran</t>
        </is>
      </c>
      <c r="D27" s="7" t="inlineStr">
        <is>
          <t>Yedek risk oranı</t>
        </is>
      </c>
      <c r="E27" s="7" t="inlineStr">
        <is>
          <t>İç politika</t>
        </is>
      </c>
      <c r="F27" s="7" t="inlineStr">
        <is>
          <t>01.01.2025</t>
        </is>
      </c>
      <c r="G27" s="7" t="inlineStr">
        <is>
          <t>11.08.2026</t>
        </is>
      </c>
      <c r="H27" s="65">
        <f>IF(A27="","",IF(B27="","EKSİK","TAM"))</f>
        <v/>
      </c>
    </row>
    <row r="28">
      <c r="A28" s="7" t="inlineStr">
        <is>
          <t>bke_yilTaban</t>
        </is>
      </c>
      <c r="B28" s="42" t="n">
        <v>2024</v>
      </c>
      <c r="C28" s="7" t="inlineStr">
        <is>
          <t>yıl</t>
        </is>
      </c>
      <c r="D28" s="7" t="inlineStr">
        <is>
          <t>CHOOSE yıl tabanı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65">
        <f>IF(A28="","",IF(B28="","EKSİK","TAM"))</f>
        <v/>
      </c>
    </row>
    <row r="29">
      <c r="A29" s="7" t="inlineStr">
        <is>
          <t>bke_yuvarMax</t>
        </is>
      </c>
      <c r="B29" s="42" t="n">
        <v>10</v>
      </c>
      <c r="C29" s="7" t="inlineStr">
        <is>
          <t>adet</t>
        </is>
      </c>
      <c r="D29" s="7" t="inlineStr">
        <is>
          <t>ROUND basamak tavanı</t>
        </is>
      </c>
      <c r="E29" s="7" t="inlineStr">
        <is>
          <t>Ürün mimarisi</t>
        </is>
      </c>
      <c r="F29" s="7" t="inlineStr">
        <is>
          <t>01.01.2025</t>
        </is>
      </c>
      <c r="G29" s="7" t="inlineStr">
        <is>
          <t>11.08.2026</t>
        </is>
      </c>
      <c r="H29" s="65">
        <f>IF(A29="","",IF(B29="","EKSİK","TAM"))</f>
        <v/>
      </c>
    </row>
    <row r="30">
      <c r="A30" s="7" t="inlineStr">
        <is>
          <t>bke_dayanakCarpan</t>
        </is>
      </c>
      <c r="B30" s="42" t="n">
        <v>10</v>
      </c>
      <c r="C30" s="7" t="inlineStr">
        <is>
          <t>adet</t>
        </is>
      </c>
      <c r="D30" s="7" t="inlineStr">
        <is>
          <t>Yedek çarpan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65">
        <f>IF(A30="","",IF(B30="","EKSİK","TAM"))</f>
        <v/>
      </c>
    </row>
    <row r="31">
      <c r="A31" s="7" t="inlineStr">
        <is>
          <t>bke_bazCarpan</t>
        </is>
      </c>
      <c r="B31" s="43" t="n">
        <v>1</v>
      </c>
      <c r="C31" s="7" t="inlineStr">
        <is>
          <t>çarpan</t>
        </is>
      </c>
      <c r="D31" s="7" t="inlineStr">
        <is>
          <t>Baz senaryo çarpanı</t>
        </is>
      </c>
      <c r="E31" s="7" t="inlineStr">
        <is>
          <t>Model varsayımı</t>
        </is>
      </c>
      <c r="F31" s="7" t="inlineStr">
        <is>
          <t>01.01.2025</t>
        </is>
      </c>
      <c r="G31" s="7" t="inlineStr">
        <is>
          <t>11.08.2026</t>
        </is>
      </c>
      <c r="H31" s="65">
        <f>IF(A31="","",IF(B31="","EKSİK","TAM"))</f>
        <v/>
      </c>
    </row>
    <row r="32">
      <c r="A32" s="7" t="inlineStr">
        <is>
          <t>bke_sifirCarpan</t>
        </is>
      </c>
      <c r="B32" s="43" t="n">
        <v>0</v>
      </c>
      <c r="C32" s="7" t="inlineStr">
        <is>
          <t>çarpan</t>
        </is>
      </c>
      <c r="D32" s="7" t="inlineStr">
        <is>
          <t>Nötr çarpan</t>
        </is>
      </c>
      <c r="E32" s="7" t="inlineStr">
        <is>
          <t>Model varsayımı</t>
        </is>
      </c>
      <c r="F32" s="7" t="inlineStr">
        <is>
          <t>01.01.2025</t>
        </is>
      </c>
      <c r="G32" s="7" t="inlineStr">
        <is>
          <t>11.08.2026</t>
        </is>
      </c>
      <c r="H32" s="65">
        <f>IF(A32="","",IF(B32="","EKSİK","TAM"))</f>
        <v/>
      </c>
    </row>
    <row r="33">
      <c r="A33" s="7" t="inlineStr">
        <is>
          <t>bke_siraBir</t>
        </is>
      </c>
      <c r="B33" s="42" t="n">
        <v>1</v>
      </c>
      <c r="C33" s="7" t="inlineStr">
        <is>
          <t>adet</t>
        </is>
      </c>
      <c r="D33" s="7" t="inlineStr">
        <is>
          <t>Tornado sıra 1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65">
        <f>IF(A33="","",IF(B33="","EKSİK","TAM"))</f>
        <v/>
      </c>
    </row>
    <row r="34">
      <c r="A34" s="7" t="inlineStr">
        <is>
          <t>bke_siraIki</t>
        </is>
      </c>
      <c r="B34" s="42" t="n">
        <v>2</v>
      </c>
      <c r="C34" s="7" t="inlineStr">
        <is>
          <t>adet</t>
        </is>
      </c>
      <c r="D34" s="7" t="inlineStr">
        <is>
          <t>Tornado sıra 2</t>
        </is>
      </c>
      <c r="E34" s="7" t="inlineStr">
        <is>
          <t>Ürün mimarisi</t>
        </is>
      </c>
      <c r="F34" s="7" t="inlineStr">
        <is>
          <t>01.01.2025</t>
        </is>
      </c>
      <c r="G34" s="7" t="inlineStr">
        <is>
          <t>11.08.2026</t>
        </is>
      </c>
      <c r="H34" s="65">
        <f>IF(A34="","",IF(B34="","EKSİK","TAM"))</f>
        <v/>
      </c>
    </row>
    <row r="35">
      <c r="A35" s="7" t="inlineStr">
        <is>
          <t>bke_siraUc</t>
        </is>
      </c>
      <c r="B35" s="42" t="n">
        <v>3</v>
      </c>
      <c r="C35" s="7" t="inlineStr">
        <is>
          <t>adet</t>
        </is>
      </c>
      <c r="D35" s="7" t="inlineStr">
        <is>
          <t>Tornado sıra 3</t>
        </is>
      </c>
      <c r="E35" s="7" t="inlineStr">
        <is>
          <t>Ürün mimarisi</t>
        </is>
      </c>
      <c r="F35" s="7" t="inlineStr">
        <is>
          <t>01.01.2025</t>
        </is>
      </c>
      <c r="G35" s="7" t="inlineStr">
        <is>
          <t>11.08.2026</t>
        </is>
      </c>
      <c r="H35" s="65">
        <f>IF(A35="","",IF(B35="","EKSİK","TAM"))</f>
        <v/>
      </c>
    </row>
    <row r="36">
      <c r="A36" s="7" t="inlineStr">
        <is>
          <t>bke_tahminX</t>
        </is>
      </c>
      <c r="B36" s="42" t="n">
        <v>5</v>
      </c>
      <c r="C36" s="7" t="inlineStr">
        <is>
          <t>adet</t>
        </is>
      </c>
      <c r="D36" s="7" t="inlineStr">
        <is>
          <t>FORECAST X noktası</t>
        </is>
      </c>
      <c r="E36" s="7" t="inlineStr">
        <is>
          <t>Model varsayımı</t>
        </is>
      </c>
      <c r="F36" s="7" t="inlineStr">
        <is>
          <t>01.01.2025</t>
        </is>
      </c>
      <c r="G36" s="7" t="inlineStr">
        <is>
          <t>11.08.2026</t>
        </is>
      </c>
      <c r="H36" s="65">
        <f>IF(A36="","",IF(B36="","EKSİK","TAM"))</f>
        <v/>
      </c>
    </row>
    <row r="37">
      <c r="A37" s="7" t="inlineStr">
        <is>
          <t>bke_skorTavan</t>
        </is>
      </c>
      <c r="B37" s="42" t="n">
        <v>100</v>
      </c>
      <c r="C37" s="7" t="inlineStr">
        <is>
          <t>puan</t>
        </is>
      </c>
      <c r="D37" s="7" t="inlineStr">
        <is>
          <t>Erken uyarı skor tavanı</t>
        </is>
      </c>
      <c r="E37" s="7" t="inlineStr">
        <is>
          <t>İç politika</t>
        </is>
      </c>
      <c r="F37" s="7" t="inlineStr">
        <is>
          <t>01.01.2025</t>
        </is>
      </c>
      <c r="G37" s="7" t="inlineStr">
        <is>
          <t>11.08.2026</t>
        </is>
      </c>
      <c r="H37" s="65">
        <f>IF(A37="","",IF(B37="","EKSİK","TAM"))</f>
        <v/>
      </c>
    </row>
    <row r="38">
      <c r="A38" s="7" t="inlineStr">
        <is>
          <t>bke_skorIhlal</t>
        </is>
      </c>
      <c r="B38" s="42" t="n">
        <v>90</v>
      </c>
      <c r="C38" s="7" t="inlineStr">
        <is>
          <t>puan</t>
        </is>
      </c>
      <c r="D38" s="7" t="inlineStr">
        <is>
          <t>İhlal skor seviyesi</t>
        </is>
      </c>
      <c r="E38" s="7" t="inlineStr">
        <is>
          <t>İç politika</t>
        </is>
      </c>
      <c r="F38" s="7" t="inlineStr">
        <is>
          <t>01.01.2025</t>
        </is>
      </c>
      <c r="G38" s="7" t="inlineStr">
        <is>
          <t>11.08.2026</t>
        </is>
      </c>
      <c r="H38" s="65">
        <f>IF(A38="","",IF(B38="","EKSİK","TAM"))</f>
        <v/>
      </c>
    </row>
    <row r="39">
      <c r="A39" s="7" t="inlineStr">
        <is>
          <t>bke_skorUyari</t>
        </is>
      </c>
      <c r="B39" s="42" t="n">
        <v>60</v>
      </c>
      <c r="C39" s="7" t="inlineStr">
        <is>
          <t>puan</t>
        </is>
      </c>
      <c r="D39" s="7" t="inlineStr">
        <is>
          <t>Uyarı skor seviyesi</t>
        </is>
      </c>
      <c r="E39" s="7" t="inlineStr">
        <is>
          <t>İç politika</t>
        </is>
      </c>
      <c r="F39" s="7" t="inlineStr">
        <is>
          <t>01.01.2025</t>
        </is>
      </c>
      <c r="G39" s="7" t="inlineStr">
        <is>
          <t>11.08.2026</t>
        </is>
      </c>
      <c r="H39" s="65">
        <f>IF(A39="","",IF(B39="","EKSİK","TAM"))</f>
        <v/>
      </c>
    </row>
    <row r="40">
      <c r="A40" s="7" t="inlineStr">
        <is>
          <t>bke_skorTaban</t>
        </is>
      </c>
      <c r="B40" s="42" t="n">
        <v>20</v>
      </c>
      <c r="C40" s="7" t="inlineStr">
        <is>
          <t>puan</t>
        </is>
      </c>
      <c r="D40" s="7" t="inlineStr">
        <is>
          <t>Uygun taban skor</t>
        </is>
      </c>
      <c r="E40" s="7" t="inlineStr">
        <is>
          <t>İç politika</t>
        </is>
      </c>
      <c r="F40" s="7" t="inlineStr">
        <is>
          <t>01.01.2025</t>
        </is>
      </c>
      <c r="G40" s="7" t="inlineStr">
        <is>
          <t>11.08.2026</t>
        </is>
      </c>
      <c r="H40" s="65">
        <f>IF(A40="","",IF(B40="","EKSİK","TAM"))</f>
        <v/>
      </c>
    </row>
    <row r="41">
      <c r="A41" s="7" t="inlineStr">
        <is>
          <t>bke_paydaMin</t>
        </is>
      </c>
      <c r="B41" s="43" t="n">
        <v>0.01</v>
      </c>
      <c r="C41" s="7" t="inlineStr">
        <is>
          <t>oran</t>
        </is>
      </c>
      <c r="D41" s="7" t="inlineStr">
        <is>
          <t>Bölme paydası alt sınırı</t>
        </is>
      </c>
      <c r="E41" s="7" t="inlineStr">
        <is>
          <t>Ürün mimarisi</t>
        </is>
      </c>
      <c r="F41" s="7" t="inlineStr">
        <is>
          <t>01.01.2025</t>
        </is>
      </c>
      <c r="G41" s="7" t="inlineStr">
        <is>
          <t>11.08.2026</t>
        </is>
      </c>
      <c r="H41" s="65">
        <f>IF(A41="","",IF(B41="","EKSİK","TAM"))</f>
        <v/>
      </c>
    </row>
    <row r="42">
      <c r="A42" s="7" t="inlineStr">
        <is>
          <t>bke_agirlikDscr</t>
        </is>
      </c>
      <c r="B42" s="42" t="n">
        <v>30</v>
      </c>
      <c r="C42" s="7" t="inlineStr">
        <is>
          <t>puan</t>
        </is>
      </c>
      <c r="D42" s="7" t="inlineStr">
        <is>
          <t>Skor DSCR ağırlığı</t>
        </is>
      </c>
      <c r="E42" s="7" t="inlineStr">
        <is>
          <t>İç politika</t>
        </is>
      </c>
      <c r="F42" s="7" t="inlineStr">
        <is>
          <t>01.01.2025</t>
        </is>
      </c>
      <c r="G42" s="7" t="inlineStr">
        <is>
          <t>11.08.2026</t>
        </is>
      </c>
      <c r="H42" s="65">
        <f>IF(A42="","",IF(B42="","EKSİK","TAM"))</f>
        <v/>
      </c>
    </row>
    <row r="43">
      <c r="A43" s="7" t="inlineStr">
        <is>
          <t>bke_agirlikKaldirac</t>
        </is>
      </c>
      <c r="B43" s="42" t="n">
        <v>25</v>
      </c>
      <c r="C43" s="7" t="inlineStr">
        <is>
          <t>puan</t>
        </is>
      </c>
      <c r="D43" s="7" t="inlineStr">
        <is>
          <t>Skor kaldıraç ağırlığı</t>
        </is>
      </c>
      <c r="E43" s="7" t="inlineStr">
        <is>
          <t>İç politika</t>
        </is>
      </c>
      <c r="F43" s="7" t="inlineStr">
        <is>
          <t>01.01.2025</t>
        </is>
      </c>
      <c r="G43" s="7" t="inlineStr">
        <is>
          <t>11.08.2026</t>
        </is>
      </c>
      <c r="H43" s="65">
        <f>IF(A43="","",IF(B43="","EKSİK","TAM"))</f>
        <v/>
      </c>
    </row>
    <row r="44">
      <c r="A44" s="7" t="inlineStr">
        <is>
          <t>bke_agirlikCari</t>
        </is>
      </c>
      <c r="B44" s="42" t="n">
        <v>20</v>
      </c>
      <c r="C44" s="7" t="inlineStr">
        <is>
          <t>puan</t>
        </is>
      </c>
      <c r="D44" s="7" t="inlineStr">
        <is>
          <t>Skor cari ağırlığı</t>
        </is>
      </c>
      <c r="E44" s="7" t="inlineStr">
        <is>
          <t>İç politika</t>
        </is>
      </c>
      <c r="F44" s="7" t="inlineStr">
        <is>
          <t>01.01.2025</t>
        </is>
      </c>
      <c r="G44" s="7" t="inlineStr">
        <is>
          <t>11.08.2026</t>
        </is>
      </c>
      <c r="H44" s="65">
        <f>IF(A44="","",IF(B44="","EKSİK","TAM"))</f>
        <v/>
      </c>
    </row>
    <row r="45">
      <c r="A45" s="7" t="inlineStr">
        <is>
          <t>zincirTolerans</t>
        </is>
      </c>
      <c r="B45" s="42" t="n">
        <v>40</v>
      </c>
      <c r="C45" s="7" t="inlineStr">
        <is>
          <t>puan</t>
        </is>
      </c>
      <c r="D45" s="7" t="inlineStr">
        <is>
          <t>ZİNCİR KIRIK eşiği (skor)</t>
        </is>
      </c>
      <c r="E45" s="7" t="inlineStr">
        <is>
          <t>A04</t>
        </is>
      </c>
      <c r="F45" s="7" t="inlineStr">
        <is>
          <t>01.01.2025</t>
        </is>
      </c>
      <c r="G45" s="7" t="inlineStr">
        <is>
          <t>11.08.2026</t>
        </is>
      </c>
      <c r="H45" s="65">
        <f>IF(A45="","",IF(B45="","EKSİK","TAM"))</f>
        <v/>
      </c>
    </row>
    <row r="46">
      <c r="A46" s="7" t="inlineStr">
        <is>
          <t>bke_durumHaritasi</t>
        </is>
      </c>
      <c r="B46" s="67" t="inlineStr">
        <is>
          <t>AYARLAR durum tablosu</t>
        </is>
      </c>
      <c r="C46" s="7" t="inlineStr">
        <is>
          <t>metin</t>
        </is>
      </c>
      <c r="D46" s="7" t="inlineStr">
        <is>
          <t>SPEC akis.durum_haritasi</t>
        </is>
      </c>
      <c r="E46" s="7" t="inlineStr">
        <is>
          <t>01.01.2025</t>
        </is>
      </c>
      <c r="F46" s="7" t="inlineStr">
        <is>
          <t>11.08.2026</t>
        </is>
      </c>
      <c r="H46" s="65">
        <f>IF(A46="","",IF(B46="","EKSİK","TAM"))</f>
        <v/>
      </c>
    </row>
    <row r="47">
      <c r="A47" s="7" t="inlineStr">
        <is>
          <t>bke_kapaliDusum</t>
        </is>
      </c>
      <c r="B47" s="67" t="inlineStr">
        <is>
          <t>kapali kategori kuyruktan düşer</t>
        </is>
      </c>
      <c r="C47" s="7" t="inlineStr">
        <is>
          <t>metin</t>
        </is>
      </c>
      <c r="D47" s="7" t="inlineStr">
        <is>
          <t>A06 kapali</t>
        </is>
      </c>
      <c r="E47" s="7" t="inlineStr">
        <is>
          <t>01.01.2025</t>
        </is>
      </c>
      <c r="F47" s="7" t="inlineStr">
        <is>
          <t>11.08.2026</t>
        </is>
      </c>
      <c r="H47" s="65">
        <f>IF(A47="","",IF(B47="","EKSİK","TAM"))</f>
        <v/>
      </c>
    </row>
    <row r="48">
      <c r="A48" s="7" t="inlineStr">
        <is>
          <t>bke_olcekHedef</t>
        </is>
      </c>
      <c r="B48" s="68" t="inlineStr">
        <is>
          <t>Sürüm 1.0.0 | Şifre koruması: 1234 (formül alanları)</t>
        </is>
      </c>
      <c r="C48" s="7" t="inlineStr">
        <is>
          <t>adet</t>
        </is>
      </c>
      <c r="D48" s="7" t="inlineStr">
        <is>
          <t>Ölçek hedefi</t>
        </is>
      </c>
      <c r="E48" s="7" t="inlineStr">
        <is>
          <t>Manda A3</t>
        </is>
      </c>
      <c r="F48" s="7" t="inlineStr">
        <is>
          <t>01.01.2025</t>
        </is>
      </c>
      <c r="G48" s="7" t="inlineStr">
        <is>
          <t>11.08.2026</t>
        </is>
      </c>
      <c r="H48" s="65">
        <f>IF(A48="","",IF(B48="","EKSİK","TAM"))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1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6" customHeight="1">
      <c r="A1" s="1" t="inlineStr">
        <is>
          <t>KILAVUZ — Banka Kredi + Covenant Erken Uyarı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UYGUN — DSCR, borç/FAVÖK, cari ve faiz yükü tüm eşikleri sağlar.</t>
        </is>
      </c>
    </row>
    <row r="7">
      <c r="A7" s="6" t="inlineStr">
        <is>
          <t>• UYARI — eşikler içinde ama erken uyarı bandında; izlemeyi sıkılaştırın.</t>
        </is>
      </c>
    </row>
    <row r="8">
      <c r="A8" s="6" t="inlineStr">
        <is>
          <t>• İHLAL — en az bir covenant eşiği aşıldı; banka bildirimi gerekir.</t>
        </is>
      </c>
    </row>
    <row r="10">
      <c r="A10" s="11" t="inlineStr">
        <is>
          <t>Belirsizlik beyanları (M05)</t>
        </is>
      </c>
    </row>
    <row r="11">
      <c r="A11" s="69" t="inlineStr">
        <is>
          <t>Bu nokta mevzuatta tartışmalıdır; dosya yorum A ve yorum B sonucunu yan yana gösterir: covenant_esik_yorumu</t>
        </is>
      </c>
    </row>
    <row r="13">
      <c r="A13" s="10" t="inlineStr">
        <is>
          <t>Yorum A</t>
        </is>
      </c>
      <c r="B13" s="6" t="inlineStr">
        <is>
          <t>DSCR eşiği KURALLAR'daki aktif yıl değeriyle aynen kullanılır. Erken uyarı bandı eşiğin ± yüzdesidir.</t>
        </is>
      </c>
    </row>
    <row r="14">
      <c r="A14" s="10" t="inlineStr">
        <is>
          <t>Yorum B</t>
        </is>
      </c>
      <c r="B14" s="6" t="inlineStr">
        <is>
          <t>Yorum B, DSCR minimum eşiğini +0,05 sıkılaştırır (daha muhafazakâr banka yorumu). Dosya her iki yorumun sonucunu MOTOR'da üretir. Tartışmalı / belirsiz eşik yorumu açıkça beyan edilir.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→ MOTOR → KARTLAR/AKIS/KUYRUKLAR → SENARYO → VAKALAR → PANO → KANIT_RAPORU → AYARLAR.</t>
        </is>
      </c>
    </row>
    <row r="19">
      <c r="A19" s="8" t="inlineStr">
        <is>
          <t>Sürüm 1.0.0 | Lisans: Tek kullanıcı | ExcelArşiv | Koruma: 1234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7:T7"/>
    <mergeCell ref="B13:J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2026-08-11T11:35:24Z</dcterms:created>
  <dcterms:modified xmlns:dcterms="http://purl.org/dc/terms/" xmlns:xsi="http://www.w3.org/2001/XMLSchema-instance" xsi:type="dcterms:W3CDTF">2026-09-25T15:06:22Z</dcterms:modified>
</cp:coreProperties>
</file>