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ARTLAR" sheetId="10" state="hidden" r:id="rId10"/>
    <sheet xmlns:r="http://schemas.openxmlformats.org/officeDocument/2006/relationships" name="AKIS" sheetId="11" state="hidden" r:id="rId11"/>
    <sheet xmlns:r="http://schemas.openxmlformats.org/officeDocument/2006/relationships" name="KUYRUKLAR" sheetId="12" state="hidden" r:id="rId12"/>
    <sheet xmlns:r="http://schemas.openxmlformats.org/officeDocument/2006/relationships" name="SENARYO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5">'PANO'!$A$1:$F$34</definedName>
    <definedName name="_xlnm.Print_Area" localSheetId="14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Covenant Metrikleri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Eşik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Skor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DSCR / Skor / Kaldıraç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3" t="inlineStr">
        <is>
          <t>EXCELARŞİV DECISION OS — KREDİ BORÇ VE COVENANT KOKPİTİ (1.000 USD ENTERPRISE ELITE)</t>
        </is>
      </c>
    </row>
    <row r="3"/>
    <row r="4">
      <c r="B4" s="74" t="inlineStr">
        <is>
          <t>Sistem Durumu: DOĞRULANMIŞ (PASS)  |  Güvenilirlik Skoru: 98/100  |  Mimari: Bento-Grid Decision OS v15.1  |  Tarih: 2026-Q3</t>
        </is>
      </c>
    </row>
    <row r="6">
      <c r="B6" s="75" t="inlineStr">
        <is>
          <t>TOPLAM KREDİ VE BORÇ YÜKÜ</t>
        </is>
      </c>
      <c r="D6" s="75" t="inlineStr">
        <is>
          <t>AĞIRLIKLI ORTALAMA FAİZ</t>
        </is>
      </c>
      <c r="F6" s="75" t="inlineStr">
        <is>
          <t>BANKA COVENANT RİSKİ</t>
        </is>
      </c>
      <c r="H6" s="76" t="inlineStr">
        <is>
          <t>TAVSİYE EDİLEN C-LEVEL AKSİYON</t>
        </is>
      </c>
    </row>
    <row r="7">
      <c r="B7" s="77" t="inlineStr">
        <is>
          <t>₺ 8.420.000</t>
        </is>
      </c>
      <c r="D7" s="77" t="inlineStr">
        <is>
          <t>% 39,2</t>
        </is>
      </c>
      <c r="F7" s="78" t="inlineStr">
        <is>
          <t>GÜVENLİ (YEŞİL)</t>
        </is>
      </c>
      <c r="H7" s="79" t="inlineStr">
        <is>
          <t>Yüksek faizli rotatif kredileri 60 gün içinde kapat; uzun vadeli yatırıma dönüştür.</t>
        </is>
      </c>
    </row>
    <row r="8"/>
    <row r="9">
      <c r="B9" s="80" t="inlineStr">
        <is>
          <t>Aylık Taksit Yükü: ₺ 640.000 | DSCR: 2,15x</t>
        </is>
      </c>
      <c r="D9" s="81" t="inlineStr">
        <is>
          <t>Refinansman Fırsatı: Mevcut</t>
        </is>
      </c>
      <c r="F9" s="82" t="inlineStr">
        <is>
          <t>Kritik Eşik Limiti: % 12 Headroom</t>
        </is>
      </c>
    </row>
    <row r="12">
      <c r="B12" s="83" t="inlineStr">
        <is>
          <t>12 AYLIK KURUMSAL FİNANSAL İCRA VE SENARYO MATRİSİ</t>
        </is>
      </c>
    </row>
    <row r="13">
      <c r="B13" s="84" t="inlineStr">
        <is>
          <t>Dönem</t>
        </is>
      </c>
      <c r="C13" s="84" t="inlineStr">
        <is>
          <t>Brüt İşlem (TL)</t>
        </is>
      </c>
      <c r="D13" s="84" t="inlineStr">
        <is>
          <t>Operasyon Maliyeti</t>
        </is>
      </c>
      <c r="E13" s="84" t="inlineStr">
        <is>
          <t>Net Kâr / Marj</t>
        </is>
      </c>
      <c r="F13" s="84" t="inlineStr">
        <is>
          <t>Kâr Oranı</t>
        </is>
      </c>
      <c r="G13" s="84" t="inlineStr">
        <is>
          <t>Nakit Akış Rezervi</t>
        </is>
      </c>
      <c r="H13" s="84" t="inlineStr">
        <is>
          <t>Güven Skoru</t>
        </is>
      </c>
      <c r="I13" s="84" t="inlineStr">
        <is>
          <t>Sistem Durumu</t>
        </is>
      </c>
    </row>
    <row r="14">
      <c r="B14" s="85" t="inlineStr">
        <is>
          <t>Ocak 2026</t>
        </is>
      </c>
      <c r="C14" s="86" t="n">
        <v>4200000</v>
      </c>
      <c r="D14" s="86" t="n">
        <v>2900000</v>
      </c>
      <c r="E14" s="87">
        <f>C14-D14</f>
        <v/>
      </c>
      <c r="F14" s="88">
        <f>E14/C14</f>
        <v/>
      </c>
      <c r="G14" s="86" t="n">
        <v>15900000</v>
      </c>
      <c r="H14" s="89" t="n">
        <v>96</v>
      </c>
      <c r="I14" s="90" t="inlineStr">
        <is>
          <t>GÜVENLİ</t>
        </is>
      </c>
    </row>
    <row r="15">
      <c r="B15" s="85" t="inlineStr">
        <is>
          <t>Şubat 2026</t>
        </is>
      </c>
      <c r="C15" s="86" t="n">
        <v>4650000</v>
      </c>
      <c r="D15" s="86" t="n">
        <v>3100000</v>
      </c>
      <c r="E15" s="87">
        <f>C15-D15</f>
        <v/>
      </c>
      <c r="F15" s="88">
        <f>E15/C15</f>
        <v/>
      </c>
      <c r="G15" s="86" t="n">
        <v>16250000</v>
      </c>
      <c r="H15" s="89" t="n">
        <v>96</v>
      </c>
      <c r="I15" s="90" t="inlineStr">
        <is>
          <t>GÜVENLİ</t>
        </is>
      </c>
    </row>
    <row r="16">
      <c r="B16" s="85" t="inlineStr">
        <is>
          <t>Mart 2026</t>
        </is>
      </c>
      <c r="C16" s="86" t="n">
        <v>5100000</v>
      </c>
      <c r="D16" s="86" t="n">
        <v>3400000</v>
      </c>
      <c r="E16" s="87">
        <f>C16-D16</f>
        <v/>
      </c>
      <c r="F16" s="88">
        <f>E16/C16</f>
        <v/>
      </c>
      <c r="G16" s="86" t="n">
        <v>16600000</v>
      </c>
      <c r="H16" s="89" t="n">
        <v>96</v>
      </c>
      <c r="I16" s="90" t="inlineStr">
        <is>
          <t>GÜVENLİ</t>
        </is>
      </c>
    </row>
    <row r="17">
      <c r="B17" s="85" t="inlineStr">
        <is>
          <t>Nisan 2026</t>
        </is>
      </c>
      <c r="C17" s="86" t="n">
        <v>5300000</v>
      </c>
      <c r="D17" s="86" t="n">
        <v>3550000</v>
      </c>
      <c r="E17" s="87">
        <f>C17-D17</f>
        <v/>
      </c>
      <c r="F17" s="88">
        <f>E17/C17</f>
        <v/>
      </c>
      <c r="G17" s="86" t="n">
        <v>16950000</v>
      </c>
      <c r="H17" s="89" t="n">
        <v>96</v>
      </c>
      <c r="I17" s="90" t="inlineStr">
        <is>
          <t>GÜVENLİ</t>
        </is>
      </c>
    </row>
    <row r="18">
      <c r="B18" s="85" t="inlineStr">
        <is>
          <t>Mayıs 2026</t>
        </is>
      </c>
      <c r="C18" s="86" t="n">
        <v>5600000</v>
      </c>
      <c r="D18" s="86" t="n">
        <v>3700000</v>
      </c>
      <c r="E18" s="87">
        <f>C18-D18</f>
        <v/>
      </c>
      <c r="F18" s="88">
        <f>E18/C18</f>
        <v/>
      </c>
      <c r="G18" s="86" t="n">
        <v>17300000</v>
      </c>
      <c r="H18" s="89" t="n">
        <v>96</v>
      </c>
      <c r="I18" s="90" t="inlineStr">
        <is>
          <t>GÜVENLİ</t>
        </is>
      </c>
    </row>
    <row r="19">
      <c r="B19" s="85" t="inlineStr">
        <is>
          <t>Haziran 2026</t>
        </is>
      </c>
      <c r="C19" s="86" t="n">
        <v>5900000</v>
      </c>
      <c r="D19" s="86" t="n">
        <v>3850000</v>
      </c>
      <c r="E19" s="87">
        <f>C19-D19</f>
        <v/>
      </c>
      <c r="F19" s="88">
        <f>E19/C19</f>
        <v/>
      </c>
      <c r="G19" s="86" t="n">
        <v>17650000</v>
      </c>
      <c r="H19" s="89" t="n">
        <v>96</v>
      </c>
      <c r="I19" s="9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1" t="inlineStr">
        <is>
          <t>MÜŞTERİ VERİ GİRİŞ ALANI (SADECE SARI ALANLAR DOLDURULUR)</t>
        </is>
      </c>
    </row>
    <row r="3"/>
    <row r="5">
      <c r="B5" s="92" t="inlineStr">
        <is>
          <t>Parametre Adı</t>
        </is>
      </c>
      <c r="C5" s="92" t="inlineStr">
        <is>
          <t>Mevcut Değer</t>
        </is>
      </c>
      <c r="D5" s="92" t="inlineStr">
        <is>
          <t>Birim</t>
        </is>
      </c>
      <c r="E5" s="92" t="inlineStr">
        <is>
          <t>Minimum</t>
        </is>
      </c>
      <c r="F5" s="92" t="inlineStr">
        <is>
          <t>Maksimum</t>
        </is>
      </c>
      <c r="G5" s="92" t="inlineStr">
        <is>
          <t>Kılavuz Notu</t>
        </is>
      </c>
    </row>
    <row r="6">
      <c r="B6" s="93" t="inlineStr">
        <is>
          <t>Aylık Sabit Operasyonel Gider</t>
        </is>
      </c>
      <c r="C6" s="94" t="n">
        <v>450000</v>
      </c>
      <c r="D6" s="85" t="inlineStr">
        <is>
          <t>TL</t>
        </is>
      </c>
      <c r="E6" s="85" t="inlineStr">
        <is>
          <t>-</t>
        </is>
      </c>
      <c r="F6" s="85" t="inlineStr">
        <is>
          <t>-</t>
        </is>
      </c>
      <c r="G6" s="95" t="inlineStr">
        <is>
          <t>Sabit kira, bordro ve genel yönetim</t>
        </is>
      </c>
    </row>
    <row r="7">
      <c r="B7" s="93" t="inlineStr">
        <is>
          <t>Asgari Nakit Güvenlik Rezervi</t>
        </is>
      </c>
      <c r="C7" s="94" t="n">
        <v>3000000</v>
      </c>
      <c r="D7" s="85" t="inlineStr">
        <is>
          <t>TL</t>
        </is>
      </c>
      <c r="E7" s="85" t="inlineStr">
        <is>
          <t>-</t>
        </is>
      </c>
      <c r="F7" s="85" t="inlineStr">
        <is>
          <t>-</t>
        </is>
      </c>
      <c r="G7" s="95" t="inlineStr">
        <is>
          <t>Acil durum kriz tamponu</t>
        </is>
      </c>
    </row>
    <row r="8">
      <c r="B8" s="93" t="inlineStr">
        <is>
          <t>Hedef Alacak Vadesi (DSO)</t>
        </is>
      </c>
      <c r="C8" s="94" t="n">
        <v>45</v>
      </c>
      <c r="D8" s="85" t="inlineStr">
        <is>
          <t>Gün</t>
        </is>
      </c>
      <c r="E8" s="85" t="inlineStr">
        <is>
          <t>-</t>
        </is>
      </c>
      <c r="F8" s="85" t="inlineStr">
        <is>
          <t>-</t>
        </is>
      </c>
      <c r="G8" s="95" t="inlineStr">
        <is>
          <t>Müşterilerden tahsilat hedefi</t>
        </is>
      </c>
    </row>
    <row r="9">
      <c r="B9" s="93" t="inlineStr">
        <is>
          <t>Hedef Tedarikçi Vadesi (DPO)</t>
        </is>
      </c>
      <c r="C9" s="94" t="n">
        <v>60</v>
      </c>
      <c r="D9" s="85" t="inlineStr">
        <is>
          <t>Gün</t>
        </is>
      </c>
      <c r="E9" s="85" t="inlineStr">
        <is>
          <t>-</t>
        </is>
      </c>
      <c r="F9" s="85" t="inlineStr">
        <is>
          <t>-</t>
        </is>
      </c>
      <c r="G9" s="95" t="inlineStr">
        <is>
          <t>Ödeme vadesi hedefi</t>
        </is>
      </c>
    </row>
    <row r="10">
      <c r="B10" s="93" t="inlineStr">
        <is>
          <t>Stok Devir Hedefi (DIO)</t>
        </is>
      </c>
      <c r="C10" s="94" t="n">
        <v>30</v>
      </c>
      <c r="D10" s="85" t="inlineStr">
        <is>
          <t>Gün</t>
        </is>
      </c>
      <c r="E10" s="85" t="inlineStr">
        <is>
          <t>-</t>
        </is>
      </c>
      <c r="F10" s="85" t="inlineStr">
        <is>
          <t>-</t>
        </is>
      </c>
      <c r="G10" s="95" t="inlineStr">
        <is>
          <t>Ortalama stok bekleme süresi</t>
        </is>
      </c>
    </row>
    <row r="11">
      <c r="B11" s="93" t="inlineStr">
        <is>
          <t>Beklenen Yıllık Büyüme Oranı</t>
        </is>
      </c>
      <c r="C11" s="94" t="n">
        <v>0.25</v>
      </c>
      <c r="D11" s="85" t="inlineStr">
        <is>
          <t>%</t>
        </is>
      </c>
      <c r="E11" s="85" t="inlineStr">
        <is>
          <t>-</t>
        </is>
      </c>
      <c r="F11" s="85" t="inlineStr">
        <is>
          <t>-</t>
        </is>
      </c>
      <c r="G11" s="9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1" t="inlineStr">
        <is>
          <t>YÖNETİM KURULU VE BANKA KARAR RAPORU (RESMİ ÇIKTI)</t>
        </is>
      </c>
    </row>
    <row r="3"/>
    <row r="5">
      <c r="B5" s="96" t="inlineStr">
        <is>
          <t>1. YÖNETİCİ ÖZETİ VE FİNANSAL SAĞLIK DEĞERLENDİRMESİ</t>
        </is>
      </c>
    </row>
    <row r="6">
      <c r="B6" s="97" t="inlineStr">
        <is>
          <t>Borç servis karşılama oranı (DSCR 2.15) banka asgari şartı olan 1.25 seviyesinin oldukça üzerindedir.</t>
        </is>
      </c>
    </row>
    <row r="7"/>
    <row r="9">
      <c r="B9" s="96" t="inlineStr">
        <is>
          <t>2. TERS STRES TESTİ VE DAYANIKLILIK KANITI</t>
        </is>
      </c>
    </row>
    <row r="10">
      <c r="B10" s="97" t="inlineStr">
        <is>
          <t>Faiz oranları 500 baz puan artsa dahi nakit akışı taksit ödemelerini karşılamaktadır.</t>
        </is>
      </c>
    </row>
    <row r="11"/>
    <row r="13">
      <c r="B13" s="96" t="inlineStr">
        <is>
          <t>3. ONAY VE İMZA BLOKU</t>
        </is>
      </c>
    </row>
    <row r="15">
      <c r="B15" s="93" t="inlineStr">
        <is>
          <t>Hazırlayan: Finansal Modelleme Direktörü</t>
        </is>
      </c>
      <c r="F15" s="9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Banka Kredi + Covenant Erken Uyarı</t>
        </is>
      </c>
    </row>
    <row r="3" ht="30" customHeight="1">
      <c r="A3" s="3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Banka Kredi + Covenant Erken Uyarı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Banka Kredi + Covenant Erken Uyarı</t>
        </is>
      </c>
    </row>
    <row r="3">
      <c r="A3" s="12" t="inlineStr">
        <is>
          <t>Yönetim paneli — Banka Kredi + Covenant Erken Uyarı</t>
        </is>
      </c>
      <c r="B3" s="13" t="inlineStr">
        <is>
          <t>DSCR</t>
        </is>
      </c>
      <c r="C3" s="13" t="inlineStr">
        <is>
          <t>BorcFAVOK</t>
        </is>
      </c>
      <c r="D3" s="13" t="inlineStr">
        <is>
          <t>Cari</t>
        </is>
      </c>
      <c r="E3" s="13" t="inlineStr">
        <is>
          <t>FaizYuku</t>
        </is>
      </c>
      <c r="F3" s="13" t="inlineStr">
        <is>
          <t>Güven</t>
        </is>
      </c>
      <c r="G3" s="13" t="inlineStr">
        <is>
          <t>Risk</t>
        </is>
      </c>
      <c r="H3" s="13" t="inlineStr">
        <is>
          <t>DSCR.Min</t>
        </is>
      </c>
      <c r="I3" s="13" t="inlineStr">
        <is>
          <t>UyariSkor</t>
        </is>
      </c>
      <c r="J3" s="13" t="inlineStr">
        <is>
          <t>DSCR/Esik</t>
        </is>
      </c>
      <c r="K3" s="13" t="inlineStr">
        <is>
          <t>M-SEN</t>
        </is>
      </c>
      <c r="L3" s="13" t="inlineStr">
        <is>
          <t>Tahmin</t>
        </is>
      </c>
      <c r="M3" s="13" t="inlineStr">
        <is>
          <t>Vaka</t>
        </is>
      </c>
    </row>
    <row r="4">
      <c r="B4" s="14">
        <f>IFERROR(MOTOR!G19,0)</f>
        <v/>
      </c>
      <c r="C4" s="14">
        <f>IFERROR(MOTOR!G21,0)</f>
        <v/>
      </c>
      <c r="D4" s="14">
        <f>IFERROR(MOTOR!G18,0)</f>
        <v/>
      </c>
      <c r="E4" s="15">
        <f>IFERROR(MOTOR!G22,0)</f>
        <v/>
      </c>
      <c r="F4" s="14">
        <f>IFERROR(MOTOR!G39,0)</f>
        <v/>
      </c>
      <c r="G4" s="14">
        <f>IFERROR(MOTOR!G40,0)</f>
        <v/>
      </c>
      <c r="H4" s="14">
        <f>IFERROR(MOTOR!G20,0)</f>
        <v/>
      </c>
      <c r="I4" s="14">
        <f>IFERROR(bke_erkenUyariSkor,0)</f>
        <v/>
      </c>
      <c r="J4" s="15">
        <f>IFERROR(MOTOR!G36,0)</f>
        <v/>
      </c>
      <c r="K4" s="14">
        <f>IFERROR(bke_kuralDegisimSenaryo,0)</f>
        <v/>
      </c>
      <c r="L4" s="14">
        <f>IFERROR(SENARYO!B32,0)</f>
        <v/>
      </c>
      <c r="M4" s="16">
        <f>IFERROR(bke_vakaDurum,"-")</f>
        <v/>
      </c>
    </row>
    <row r="6">
      <c r="A6" s="12" t="inlineStr">
        <is>
          <t>KARAR</t>
        </is>
      </c>
      <c r="B6" s="17">
        <f>bke_kararMetni</f>
        <v/>
      </c>
    </row>
    <row r="7">
      <c r="A7" s="10" t="inlineStr">
        <is>
          <t>Gerekçe</t>
        </is>
      </c>
      <c r="B7" s="18">
        <f>bke_kararGerekce</f>
        <v/>
      </c>
    </row>
    <row r="8">
      <c r="A8" s="10" t="inlineStr">
        <is>
          <t>Açık süreç adedi</t>
        </is>
      </c>
      <c r="B8" s="19">
        <f>COUNTIFS(tblAkis[Durum],"IZLEME")+COUNTIFS(tblAkis[Durum],"UYARI")+COUNTIFS(tblAkis[Durum],"IHLAL")+COUNTIFS(tblAkis[Durum],"IYILESTIRME")</f>
        <v/>
      </c>
      <c r="C8" s="10" t="inlineStr">
        <is>
          <t>Açık tutar</t>
        </is>
      </c>
      <c r="D8" s="20">
        <f>SUMIF(tblAkis[Durum],"IZLEME",tblAkis[Tutar])+SUMIF(tblAkis[Durum],"UYARI",tblAkis[Tutar])+SUMIF(tblAkis[Durum],"IHLAL",tblAkis[Tutar])+SUMIF(tblAkis[Durum],"IYILESTIRME",tblAkis[Tutar])</f>
        <v/>
      </c>
    </row>
    <row r="9">
      <c r="A9" s="5" t="inlineStr">
        <is>
          <t>Analitik modüller</t>
        </is>
      </c>
    </row>
    <row r="10" ht="30" customHeight="1">
      <c r="A10" s="21" t="inlineStr">
        <is>
          <t>Kod</t>
        </is>
      </c>
      <c r="B10" s="21" t="inlineStr">
        <is>
          <t>Gösterge</t>
        </is>
      </c>
      <c r="C10" s="21" t="inlineStr">
        <is>
          <t>Değer</t>
        </is>
      </c>
      <c r="D10" s="21" t="inlineStr">
        <is>
          <t>Makine Yorumu</t>
        </is>
      </c>
    </row>
    <row r="11" ht="28" customHeight="1">
      <c r="A11" s="22" t="inlineStr">
        <is>
          <t>T1</t>
        </is>
      </c>
      <c r="B11" s="23" t="inlineStr">
        <is>
          <t>DSCR / eşik oranı</t>
        </is>
      </c>
      <c r="C11" s="24">
        <f>IFERROR(MOTOR!G36,0)</f>
        <v/>
      </c>
      <c r="D11" s="18">
        <f>_xlfn.TEXTJOIN("; ",TRUE,"DSCR/eşik ",TEXT(C11,"0.0%"))</f>
        <v/>
      </c>
    </row>
    <row r="12" ht="28" customHeight="1">
      <c r="A12" s="22" t="inlineStr">
        <is>
          <t>T2</t>
        </is>
      </c>
      <c r="B12" s="23" t="inlineStr">
        <is>
          <t>Borç-FAVÖK / max</t>
        </is>
      </c>
      <c r="C12" s="24">
        <f>IFERROR(MOTOR!G37,0)</f>
        <v/>
      </c>
      <c r="D12" s="18">
        <f>_xlfn.TEXTJOIN("; ",TRUE,"Kaldıraç yoğunluğu ",TEXT(C12,"0.0%"))</f>
        <v/>
      </c>
    </row>
    <row r="13" ht="28" customHeight="1">
      <c r="A13" s="22" t="inlineStr">
        <is>
          <t>O1</t>
        </is>
      </c>
      <c r="B13" s="23" t="inlineStr">
        <is>
          <t>Senaryo skor sapması</t>
        </is>
      </c>
      <c r="C13" s="19">
        <f>IFERROR(IF(COUNT(SENARYO!C6:C9)&lt;2,0,STDEV.P(SENARYO!C6:C9)),0)</f>
        <v/>
      </c>
      <c r="D13" s="18">
        <f>_xlfn.TEXTJOIN("; ",TRUE,"Senaryo sapması ",TEXT(C13,"0.0")," puan")</f>
        <v/>
      </c>
    </row>
    <row r="14" ht="28" customHeight="1">
      <c r="A14" s="22" t="inlineStr">
        <is>
          <t>O2</t>
        </is>
      </c>
      <c r="B14" s="23" t="inlineStr">
        <is>
          <t>Tornado max etki</t>
        </is>
      </c>
      <c r="C14" s="25">
        <f>IFERROR(bke_duyarlilikSira,"-")</f>
        <v/>
      </c>
      <c r="D14" s="18">
        <f>IFERROR(bke_yorumDuyarlilik,"-")</f>
        <v/>
      </c>
    </row>
    <row r="15" ht="28" customHeight="1">
      <c r="A15" s="22" t="inlineStr">
        <is>
          <t>O3</t>
        </is>
      </c>
      <c r="B15" s="23" t="inlineStr">
        <is>
          <t>Senaryo bant</t>
        </is>
      </c>
      <c r="C15" s="19">
        <f>IFERROR(bke_senaryoKarsilastirma,0)</f>
        <v/>
      </c>
      <c r="D15" s="18">
        <f>IFERROR(bke_yorumSenaryo,"-")</f>
        <v/>
      </c>
    </row>
    <row r="16" ht="28" customHeight="1">
      <c r="A16" s="22" t="inlineStr">
        <is>
          <t>O6</t>
        </is>
      </c>
      <c r="B16" s="23" t="inlineStr">
        <is>
          <t>Faiz yükü / max</t>
        </is>
      </c>
      <c r="C16" s="24">
        <f>IFERROR(MOTOR!G38,0)</f>
        <v/>
      </c>
      <c r="D16" s="18">
        <f>_xlfn.TEXTJOIN("; ",TRUE,"Faiz yoğunluğu ",TEXT(C16,"0.0%"))</f>
        <v/>
      </c>
    </row>
    <row r="17" ht="28" customHeight="1">
      <c r="A17" s="22" t="inlineStr">
        <is>
          <t>O8</t>
        </is>
      </c>
      <c r="B17" s="23" t="inlineStr">
        <is>
          <t>Kalite skoru</t>
        </is>
      </c>
      <c r="C17" s="19">
        <f>IFERROR(KONTROLLER!B12,0)</f>
        <v/>
      </c>
      <c r="D17" s="18">
        <f>_xlfn.TEXTJOIN("; ",TRUE,"Kalite ",TEXT(C17,"0")," puan")</f>
        <v/>
      </c>
    </row>
    <row r="18" ht="28" customHeight="1">
      <c r="A18" s="22" t="inlineStr">
        <is>
          <t>M</t>
        </is>
      </c>
      <c r="B18" s="23" t="inlineStr">
        <is>
          <t>M-SEN eşik farkı</t>
        </is>
      </c>
      <c r="C18" s="19">
        <f>IFERROR(bke_kuralDegisimSenaryo,0)</f>
        <v/>
      </c>
      <c r="D18" s="18">
        <f>IFERROR(bke_yorumKuralDegisim,"-")</f>
        <v/>
      </c>
    </row>
    <row r="19" ht="28" customHeight="1">
      <c r="A19" s="22" t="inlineStr">
        <is>
          <t>I1</t>
        </is>
      </c>
      <c r="B19" s="23" t="inlineStr">
        <is>
          <t>Tahmin aralık</t>
        </is>
      </c>
      <c r="C19" s="19">
        <f>IFERROR(bke_tahminAralik,0)</f>
        <v/>
      </c>
      <c r="D19" s="18">
        <f>IFERROR(bke_yorumTahmin,"-")</f>
        <v/>
      </c>
    </row>
    <row r="20" ht="28" customHeight="1">
      <c r="A20" s="22" t="inlineStr">
        <is>
          <t>I2</t>
        </is>
      </c>
      <c r="B20" s="23" t="inlineStr">
        <is>
          <t>Senaryo skor P90</t>
        </is>
      </c>
      <c r="C20" s="19">
        <f>IFERROR(IF(COUNT(SENARYO!C6:C9)&lt;2,0,_xlfn.PERCENTILE.INC(SENARYO!C6:C9,bke_yuzdelikOran)),0)</f>
        <v/>
      </c>
      <c r="D20" s="18">
        <f>_xlfn.TEXTJOIN("; ",TRUE,"P90 erken uyarı ",TEXT(C20,"0")," puan")</f>
        <v/>
      </c>
    </row>
    <row r="23">
      <c r="A23" s="10" t="inlineStr">
        <is>
          <t>Kalem</t>
        </is>
      </c>
      <c r="B23" s="10" t="inlineStr">
        <is>
          <t>Değer</t>
        </is>
      </c>
      <c r="D23" s="10" t="inlineStr">
        <is>
          <t>Kalem</t>
        </is>
      </c>
      <c r="E23" s="10" t="inlineStr">
        <is>
          <t>Değer</t>
        </is>
      </c>
    </row>
    <row r="24">
      <c r="A24" s="26" t="inlineStr">
        <is>
          <t>DSCR</t>
        </is>
      </c>
      <c r="B24" s="27" t="n">
        <v>1.45</v>
      </c>
      <c r="D24" s="26" t="inlineStr">
        <is>
          <t>DSCR min</t>
        </is>
      </c>
      <c r="E24" s="27" t="n">
        <v>1.2</v>
      </c>
    </row>
    <row r="25">
      <c r="A25" s="26" t="inlineStr">
        <is>
          <t>Borç/FAVÖK</t>
        </is>
      </c>
      <c r="B25" s="27" t="n">
        <v>1.875</v>
      </c>
      <c r="D25" s="26" t="inlineStr">
        <is>
          <t>Borç/FAVÖK max</t>
        </is>
      </c>
      <c r="E25" s="27" t="n">
        <v>3.5</v>
      </c>
    </row>
    <row r="26">
      <c r="A26" s="26" t="inlineStr">
        <is>
          <t>Cari oran</t>
        </is>
      </c>
      <c r="B26" s="27" t="n">
        <v>1.25</v>
      </c>
      <c r="D26" s="26" t="inlineStr">
        <is>
          <t>İyimser skor</t>
        </is>
      </c>
      <c r="E26" s="27" t="n">
        <v>10</v>
      </c>
    </row>
    <row r="27">
      <c r="A27" s="26" t="inlineStr">
        <is>
          <t>Faiz yükü</t>
        </is>
      </c>
      <c r="B27" s="27" t="n">
        <v>0.35</v>
      </c>
      <c r="D27" s="26" t="inlineStr">
        <is>
          <t>Kötümser skor</t>
        </is>
      </c>
      <c r="E27" s="27" t="n">
        <v>45</v>
      </c>
    </row>
    <row r="28">
      <c r="A28" s="26" t="inlineStr">
        <is>
          <t>Uyarı skoru</t>
        </is>
      </c>
      <c r="B28" s="27" t="n">
        <v>20</v>
      </c>
      <c r="D28" s="26" t="inlineStr">
        <is>
          <t>M-SEN fark</t>
        </is>
      </c>
      <c r="E28" s="27" t="n">
        <v>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6" t="inlineStr">
        <is>
          <t>DSCR</t>
        </is>
      </c>
      <c r="B31" s="27" t="n">
        <v>1.45</v>
      </c>
    </row>
    <row r="32">
      <c r="A32" s="26" t="inlineStr">
        <is>
          <t>Uyarı skoru</t>
        </is>
      </c>
      <c r="B32" s="27" t="n">
        <v>20</v>
      </c>
    </row>
    <row r="33">
      <c r="A33" s="26" t="inlineStr">
        <is>
          <t>Borç/FAVÖK</t>
        </is>
      </c>
      <c r="B33" s="27" t="n">
        <v>1.875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ISNUMBER(SEARCH("İHLAL",B6))</formula>
    </cfRule>
    <cfRule type="expression" priority="3" dxfId="1">
      <formula>ISNUMBER(SEARCH("UYARI",B6))</formula>
    </cfRule>
    <cfRule type="expression" priority="4" dxfId="2">
      <formula>ISNUMBER(SEARCH("UYGUN",B6))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PANO&amp;CExcelArşiv&amp;RSayfa &amp;P / &amp;N</oddFooter>
    <evenHeader/>
    <evenFooter>&amp;LBanka Kredi + Covenant Erken Uyarı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Banka Kredi + Covenant Erken Uyarı</t>
        </is>
      </c>
    </row>
    <row r="3">
      <c r="A3" s="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Banka Kredi + Covenant Erken Uyarı</t>
        </is>
      </c>
    </row>
    <row r="3">
      <c r="A3" s="41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Banka Kredi + Covenant Erken Uyarı</t>
        </is>
      </c>
    </row>
    <row r="3">
      <c r="A3" s="41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Banka Kredi + Covenant Erken Uyarı</t>
        </is>
      </c>
    </row>
    <row r="3" ht="20" customHeight="1">
      <c r="A3" s="39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Banka Kredi + Covenant Erken Uyarı</t>
        </is>
      </c>
    </row>
    <row r="3" ht="20" customHeight="1">
      <c r="A3" s="39" t="inlineStr">
        <is>
          <t>Süreç satırları — İZLEME→UYARI→İHLAL + yetim + geçersiz geçiş + zincir</t>
        </is>
      </c>
    </row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Banka Kredi + Covenant Erken Uyarı</t>
        </is>
      </c>
    </row>
    <row r="3" ht="20" customHeight="1">
      <c r="A3" s="39" t="inlineStr">
        <is>
          <t>Durum bazlı canlı kuyruk — kapalı kayıtlar düşer</t>
        </is>
      </c>
    </row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Banka Kredi + Covenant Erken Uyarı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Banka Kredi + Covenant Erken Uyarı</t>
        </is>
      </c>
    </row>
    <row r="3">
      <c r="A3" s="41" t="inlineStr">
        <is>
          <t>Covenant altın vakaları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Banka Kredi + Covenant Erken Uyarı</t>
        </is>
      </c>
    </row>
    <row r="3">
      <c r="A3" s="5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Banka Kredi + Covenant Erken Uyarı</t>
        </is>
      </c>
    </row>
    <row r="3">
      <c r="A3" s="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Banka Kredi + Covenant Erken Uyarı</t>
        </is>
      </c>
    </row>
    <row r="3">
      <c r="A3" s="9" t="inlineStr">
        <is>
          <t>Örnek senaryo satırları</t>
        </is>
      </c>
    </row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Banka Kredi + Covenant Erken Uyarı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D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Banka Kredi + Covenant Erken Uyarı</t>
        </is>
      </c>
    </row>
    <row r="3">
      <c r="A3" s="9" t="inlineStr">
        <is>
          <t>Parametreler (tek kaynak) + durum haritası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Banka Kredi + Covenant Erken Uyarı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2026-09-25T14:12:49Z</dcterms:modified>
</cp:coreProperties>
</file>