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6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3.xml" ContentType="application/vnd.openxmlformats-officedocument.spreadsheetml.table+xml"/>
  <Override PartName="/xl/tables/table2.xml" ContentType="application/vnd.openxmlformats-officedocument.spreadsheetml.table+xml"/>
  <Override PartName="/xl/tables/table7.xml" ContentType="application/vnd.openxmlformats-officedocument.spreadsheetml.table+xml"/>
  <Override PartName="/xl/tables/table5.xml" ContentType="application/vnd.openxmlformats-officedocument.spreadsheetml.table+xml"/>
  <Override PartName="/xl/tables/table4.xml" ContentType="application/vnd.openxmlformats-officedocument.spreadsheetml.table+xml"/>
  <Override PartName="/xl/theme/theme1.xml" ContentType="application/vnd.openxmlformats-officedocument.theme+xml"/>
  <Override PartName="/xl/drawings/vmlDrawing2.vml" ContentType="application/vnd.openxmlformats-officedocument.vmlDrawing"/>
  <Override PartName="/xl/drawings/drawing1.xml" ContentType="application/vnd.openxmlformats-officedocument.drawing+xml"/>
  <Override PartName="/xl/drawings/vmlDrawing4.vml" ContentType="application/vnd.openxmlformats-officedocument.vmlDrawing"/>
  <Override PartName="/xl/drawings/vmlDrawing3.vml" ContentType="application/vnd.openxmlformats-officedocument.vmlDrawing"/>
  <Override PartName="/xl/drawings/vmlDrawing5.vml" ContentType="application/vnd.openxmlformats-officedocument.vmlDrawing"/>
  <Override PartName="/xl/drawings/vmlDrawing7.vml" ContentType="application/vnd.openxmlformats-officedocument.vmlDrawing"/>
  <Override PartName="/xl/drawings/vmlDrawing9.vml" ContentType="application/vnd.openxmlformats-officedocument.vmlDrawing"/>
  <Override PartName="/xl/drawings/vmlDrawing8.vml" ContentType="application/vnd.openxmlformats-officedocument.vmlDrawing"/>
  <Override PartName="/xl/drawings/vmlDrawing6.vml" ContentType="application/vnd.openxmlformats-officedocument.vmlDrawing"/>
  <Override PartName="/xl/drawings/drawing2.xml" ContentType="application/vnd.openxmlformats-officedocument.drawing+xml"/>
  <Override PartName="/xl/drawings/vmlDrawing1.vml" ContentType="application/vnd.openxmlformats-officedocument.vmlDrawing"/>
  <Override PartName="/xl/drawings/vmlDrawing10.vml" ContentType="application/vnd.openxmlformats-officedocument.vmlDrawing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.xml" ContentType="application/vnd.openxmlformats-officedocument.spreadsheetml.worksheet+xml"/>
  <Override PartName="/xl/worksheets/sheet4.xml" ContentType="application/vnd.openxmlformats-officedocument.spreadsheetml.worksheet+xml"/>
  <Override PartName="/xl/worksheets/sheet19.xml" ContentType="application/vnd.openxmlformats-officedocument.spreadsheetml.worksheet+xml"/>
  <Override PartName="/xl/worksheets/sheet5.xml" ContentType="application/vnd.openxmlformats-officedocument.spreadsheetml.worksheet+xml"/>
  <Override PartName="/xl/worksheets/sheet11.xml" ContentType="application/vnd.openxmlformats-officedocument.spreadsheetml.worksheet+xml"/>
  <Override PartName="/xl/worksheets/sheet24.xml" ContentType="application/vnd.openxmlformats-officedocument.spreadsheetml.worksheet+xml"/>
  <Override PartName="/xl/worksheets/sheet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2.xml" ContentType="application/vnd.openxmlformats-officedocument.spreadsheetml.worksheet+xml"/>
  <Override PartName="/xl/worksheets/sheet21.xml" ContentType="application/vnd.openxmlformats-officedocument.spreadsheetml.worksheet+xml"/>
  <Override PartName="/xl/worksheets/sheet20.xml" ContentType="application/vnd.openxmlformats-officedocument.spreadsheetml.worksheet+xml"/>
  <Override PartName="/xl/worksheets/sheet10.xml" ContentType="application/vnd.openxmlformats-officedocument.spreadsheetml.worksheet+xml"/>
  <Override PartName="/xl/worksheets/sheet8.xml" ContentType="application/vnd.openxmlformats-officedocument.spreadsheetml.worksheet+xml"/>
  <Override PartName="/xl/worksheets/sheet16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3.xml" ContentType="application/vnd.openxmlformats-officedocument.spreadsheetml.worksheet+xml"/>
  <Override PartName="/xl/worksheets/sheet22.xml" ContentType="application/vnd.openxmlformats-officedocument.spreadsheetml.worksheet+xml"/>
  <Override PartName="/xl/worksheets/sheet9.xml" ContentType="application/vnd.openxmlformats-officedocument.spreadsheetml.worksheet+xml"/>
  <Override PartName="/xl/worksheets/sheet2.xml" ContentType="application/vnd.openxmlformats-officedocument.spreadsheetml.worksheet+xml"/>
  <Override PartName="/xl/worksheets/sheet23.xml" ContentType="application/vnd.openxmlformats-officedocument.spreadsheetml.worksheet+xml"/>
  <Override PartName="/xl/comments8.xml" ContentType="application/vnd.openxmlformats-officedocument.spreadsheetml.comments+xml"/>
  <Override PartName="/xl/comments3.xml" ContentType="application/vnd.openxmlformats-officedocument.spreadsheetml.comments+xml"/>
  <Override PartName="/xl/comments9.xml" ContentType="application/vnd.openxmlformats-officedocument.spreadsheetml.comments+xml"/>
  <Override PartName="/xl/comments4.xml" ContentType="application/vnd.openxmlformats-officedocument.spreadsheetml.comments+xml"/>
  <Override PartName="/xl/comments16.xml" ContentType="application/vnd.openxmlformats-officedocument.spreadsheetml.comments+xml"/>
  <Override PartName="/xl/comments23.xml" ContentType="application/vnd.openxmlformats-officedocument.spreadsheetml.comments+xml"/>
  <Override PartName="/xl/comments13.xml" ContentType="application/vnd.openxmlformats-officedocument.spreadsheetml.comments+xml"/>
  <Override PartName="/xl/charts/style1.xml" ContentType="application/vnd.ms-office.chartstyle+xml"/>
  <Override PartName="/xl/charts/style2.xml" ContentType="application/vnd.ms-office.chartstyle+xml"/>
  <Override PartName="/xl/charts/colors1.xml" ContentType="application/vnd.ms-office.chartcolorstyle+xml"/>
  <Override PartName="/xl/charts/chart1.xml" ContentType="application/vnd.openxmlformats-officedocument.drawingml.chart+xml"/>
  <Override PartName="/xl/charts/chart7.xml" ContentType="application/vnd.openxmlformats-officedocument.drawingml.chart+xml"/>
  <Override PartName="/xl/charts/colors3.xml" ContentType="application/vnd.ms-office.chartcolorstyle+xml"/>
  <Override PartName="/xl/charts/chart2.xml" ContentType="application/vnd.openxmlformats-officedocument.drawingml.chart+xml"/>
  <Override PartName="/xl/charts/colors2.xml" ContentType="application/vnd.ms-office.chartcolorstyle+xml"/>
  <Override PartName="/xl/charts/chart8.xml" ContentType="application/vnd.openxmlformats-officedocument.drawingml.chart+xml"/>
  <Override PartName="/xl/charts/style4.xml" ContentType="application/vnd.ms-office.chartstyle+xml"/>
  <Override PartName="/xl/charts/colors8.xml" ContentType="application/vnd.ms-office.chartcolorstyle+xml"/>
  <Override PartName="/xl/charts/chart3.xml" ContentType="application/vnd.openxmlformats-officedocument.drawingml.chart+xml"/>
  <Override PartName="/xl/charts/colors5.xml" ContentType="application/vnd.ms-office.chartcolorstyle+xml"/>
  <Override PartName="/xl/charts/style6.xml" ContentType="application/vnd.ms-office.chartstyle+xml"/>
  <Override PartName="/xl/charts/colors6.xml" ContentType="application/vnd.ms-office.chartcolorstyle+xml"/>
  <Override PartName="/xl/charts/style5.xml" ContentType="application/vnd.ms-office.chartstyle+xml"/>
  <Override PartName="/xl/charts/chart4.xml" ContentType="application/vnd.openxmlformats-officedocument.drawingml.chart+xml"/>
  <Override PartName="/xl/charts/style3.xml" ContentType="application/vnd.ms-office.chartstyle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style7.xml" ContentType="application/vnd.ms-office.chartstyle+xml"/>
  <Override PartName="/xl/charts/colors4.xml" ContentType="application/vnd.ms-office.chartcolorstyle+xml"/>
  <Override PartName="/xl/charts/colors7.xml" ContentType="application/vnd.ms-office.chartcolorstyle+xml"/>
  <Override PartName="/xl/charts/style8.xml" ContentType="application/vnd.ms-office.chartstyle+xml"/>
  <Override PartName="/xl/comments5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KAPAK" sheetId="1" state="visible" r:id="rId3"/>
    <sheet name="HIZLI_BASLANGIC" sheetId="2" state="visible" r:id="rId4"/>
    <sheet name="BANKALAR" sheetId="3" state="visible" r:id="rId5"/>
    <sheet name="LIMITLER" sheetId="4" state="visible" r:id="rId6"/>
    <sheet name="KREDILER" sheetId="5" state="visible" r:id="rId7"/>
    <sheet name="TAKSIT_PLANI" sheetId="6" state="visible" r:id="rId8"/>
    <sheet name="MASRAF_KOMISYON" sheetId="7" state="visible" r:id="rId9"/>
    <sheet name="TEMINATLAR" sheetId="8" state="visible" r:id="rId10"/>
    <sheet name="YENI_TEKLIFLER" sheetId="9" state="visible" r:id="rId11"/>
    <sheet name="ODEME_TAKVIMI" sheetId="10" state="visible" r:id="rId12"/>
    <sheet name="REFINANSMAN" sheetId="11" state="visible" r:id="rId13"/>
    <sheet name="KONTROLLER" sheetId="12" state="visible" r:id="rId14"/>
    <sheet name="MOTOR" sheetId="13" state="visible" r:id="rId15"/>
    <sheet name="KARAR_MOTORU" sheetId="14" state="visible" r:id="rId16"/>
    <sheet name="PANO" sheetId="15" state="visible" r:id="rId17"/>
    <sheet name="SENARYO_DUYARLILIK" sheetId="16" state="visible" r:id="rId18"/>
    <sheet name="RAPOR" sheetId="17" state="visible" r:id="rId19"/>
    <sheet name="ORNEK_VERI" sheetId="18" state="visible" r:id="rId20"/>
    <sheet name="TESTLER" sheetId="19" state="visible" r:id="rId21"/>
    <sheet name="AKIS" sheetId="20" state="visible" r:id="rId22"/>
    <sheet name="DEGISIKLIK_KAYDI" sheetId="21" state="visible" r:id="rId23"/>
    <sheet name="LISTELER" sheetId="22" state="visible" r:id="rId24"/>
    <sheet name="AYARLAR" sheetId="23" state="visible" r:id="rId25"/>
    <sheet name="KILAVUZ" sheetId="24" state="visible" r:id="rId26"/>
  </sheets>
  <definedNames>
    <definedName function="false" hidden="false" localSheetId="14" name="_xlnm.Print_Area" vbProcedure="false">PANO!$A$1:$Z$40</definedName>
    <definedName function="false" hidden="false" localSheetId="16" name="_xlnm.Print_Area" vbProcedure="false">RAPOR!$A$1:$H$30</definedName>
    <definedName function="false" hidden="false" name="AylikBorcServisi" vbProcedure="false">KARAR_MOTORU!$B$6</definedName>
    <definedName function="false" hidden="false" name="AylikFaaliyetNakdi" vbProcedure="false">AYARLAR!$B$15</definedName>
    <definedName function="false" hidden="false" name="AySayisi" vbProcedure="false">AYARLAR!$B$25</definedName>
    <definedName function="false" hidden="false" name="DosyaSurumu" vbProcedure="false">AYARLAR!$B$8</definedName>
    <definedName function="false" hidden="false" name="DovizGeliriEsigi" vbProcedure="false">AYARLAR!$B$19</definedName>
    <definedName function="false" hidden="false" name="DuyarliOran" vbProcedure="false">AYARLAR!$B$24</definedName>
    <definedName function="false" hidden="false" name="FirmaUnvan" vbProcedure="false">AYARLAR!$B$5</definedName>
    <definedName function="false" hidden="false" name="KaldiracEsigi" vbProcedure="false">AYARLAR!$B$20</definedName>
    <definedName function="false" hidden="false" name="KararBildirimi" vbProcedure="false">KARAR_MOTORU!$B$15</definedName>
    <definedName function="false" hidden="false" name="LikiditeEsigi" vbProcedure="false">AYARLAR!$B$18</definedName>
    <definedName function="false" hidden="false" name="ListeBankaDurum" vbProcedure="false">LISTELER!$A$6:$A$8</definedName>
    <definedName function="false" hidden="false" name="ListeKrediId" vbProcedure="false">LISTELER!$M$6:$M$9</definedName>
    <definedName function="false" hidden="false" name="ListeMasrafTuru" vbProcedure="false">LISTELER!$I$6:$I$9</definedName>
    <definedName function="false" hidden="false" name="ListeOdemeDurumu" vbProcedure="false">LISTELER!$G$6:$G$8</definedName>
    <definedName function="false" hidden="false" name="ListeParaBirimi" vbProcedure="false">LISTELER!$E$6:$E$8</definedName>
    <definedName function="false" hidden="false" name="ListeTeminatTuru" vbProcedure="false">LISTELER!$K$6:$K$9</definedName>
    <definedName function="false" hidden="false" name="ListeUrunTuru" vbProcedure="false">LISTELER!$C$6:$C$11</definedName>
    <definedName function="false" hidden="false" name="modulI1OdemeTahmini" vbProcedure="false">MOTOR!$B$45</definedName>
    <definedName function="false" hidden="false" name="modulI1OdemeTahminiYorum" vbProcedure="false">MOTOR!$C$45</definedName>
    <definedName function="false" hidden="false" name="modulI2OdemeP90" vbProcedure="false">MOTOR!$B$46</definedName>
    <definedName function="false" hidden="false" name="modulI2OdemeP90Yorum" vbProcedure="false">MOTOR!$C$46</definedName>
    <definedName function="false" hidden="false" name="modulI3XirrRefinansman" vbProcedure="false">MOTOR!$B$47</definedName>
    <definedName function="false" hidden="false" name="modulI3XirrRefinansmanYorum" vbProcedure="false">MOTOR!$C$47</definedName>
    <definedName function="false" hidden="false" name="modulI7NakitAcigi" vbProcedure="false">MOTOR!$B$48</definedName>
    <definedName function="false" hidden="false" name="modulI7NakitAcigiYorum" vbProcedure="false">MOTOR!$C$48</definedName>
    <definedName function="false" hidden="false" name="modulO1AnomaliOdeme" vbProcedure="false">MOTOR!$B$39</definedName>
    <definedName function="false" hidden="false" name="modulO1AnomaliOdemeYorum" vbProcedure="false">MOTOR!$C$39</definedName>
    <definedName function="false" hidden="false" name="modulO2TornadoZirve" vbProcedure="false">MOTOR!$B$40</definedName>
    <definedName function="false" hidden="false" name="modulO2TornadoZirveYorum" vbProcedure="false">MOTOR!$C$40</definedName>
    <definedName function="false" hidden="false" name="modulO3SenaryoFark" vbProcedure="false">MOTOR!$B$41</definedName>
    <definedName function="false" hidden="false" name="modulO3SenaryoFarkYorum" vbProcedure="false">MOTOR!$C$41</definedName>
    <definedName function="false" hidden="false" name="modulO4Dscr" vbProcedure="false">MOTOR!$B$42</definedName>
    <definedName function="false" hidden="false" name="modulO4DscrYorum" vbProcedure="false">MOTOR!$C$42</definedName>
    <definedName function="false" hidden="false" name="modulO6BankaHhi" vbProcedure="false">MOTOR!$B$43</definedName>
    <definedName function="false" hidden="false" name="modulO6BankaHhiYorum" vbProcedure="false">MOTOR!$C$43</definedName>
    <definedName function="false" hidden="false" name="modulO8KaliteSkor" vbProcedure="false">MOTOR!$B$44</definedName>
    <definedName function="false" hidden="false" name="modulO8KaliteSkorYorum" vbProcedure="false">MOTOR!$C$44</definedName>
    <definedName function="false" hidden="false" name="modulT1VadeGecmis" vbProcedure="false">MOTOR!$B$33</definedName>
    <definedName function="false" hidden="false" name="modulT1VadeGecmisYorum" vbProcedure="false">MOTOR!$C$33</definedName>
    <definedName function="false" hidden="false" name="modulT2OdemeEgimi" vbProcedure="false">MOTOR!$B$34</definedName>
    <definedName function="false" hidden="false" name="modulT2OdemeEgimiYorum" vbProcedure="false">MOTOR!$C$34</definedName>
    <definedName function="false" hidden="false" name="modulT3BorctaPareto" vbProcedure="false">MOTOR!$B$35</definedName>
    <definedName function="false" hidden="false" name="modulT3BorctaParetoYorum" vbProcedure="false">MOTOR!$C$35</definedName>
    <definedName function="false" hidden="false" name="modulT4AyFarki" vbProcedure="false">MOTOR!$B$36</definedName>
    <definedName function="false" hidden="false" name="modulT4AyFarkiYorum" vbProcedure="false">MOTOR!$C$36</definedName>
    <definedName function="false" hidden="false" name="modulT5MutabakatFark" vbProcedure="false">MOTOR!$B$37</definedName>
    <definedName function="false" hidden="false" name="modulT5MutabakatFarkYorum" vbProcedure="false">MOTOR!$C$37</definedName>
    <definedName function="false" hidden="false" name="modulT6KaldiracOran" vbProcedure="false">MOTOR!$B$38</definedName>
    <definedName function="false" hidden="false" name="modulT6KaldiracOranYorum" vbProcedure="false">MOTOR!$C$38</definedName>
    <definedName function="false" hidden="false" name="RaporHazirlayan" vbProcedure="false">AYARLAR!$B$7</definedName>
    <definedName function="false" hidden="false" name="RaporTarihi" vbProcedure="false">AYARLAR!$B$6</definedName>
    <definedName function="false" hidden="false" name="RiskSeviyesi" vbProcedure="false">KARAR_MOTORU!$B$16</definedName>
    <definedName function="false" hidden="false" name="SerbestNakit" vbProcedure="false">AYARLAR!$B$14</definedName>
    <definedName function="false" hidden="false" name="ToplamFinansalBorc" vbProcedure="false">KARAR_MOTORU!$B$5</definedName>
    <definedName function="false" hidden="false" name="UyariPuanKesintisi" vbProcedure="false">AYARLAR!$B$23</definedName>
    <definedName function="false" hidden="false" name="VeriKaliteOrta" vbProcedure="false">AYARLAR!$B$22</definedName>
    <definedName function="false" hidden="false" name="VeriKaliteSkor" vbProcedure="false">KONTROLLER!$B$6</definedName>
    <definedName function="false" hidden="false" name="VeriKaliteYuksek" vbProcedure="false">AYARLAR!$B$21</definedName>
    <definedName function="false" hidden="false" name="YillikDovizGeliri" vbProcedure="false">AYARLAR!$B$17</definedName>
    <definedName function="false" hidden="false" name="YillikFaaliyetKari" vbProcedure="false">AYARLAR!$B$16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A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</commentList>
</comments>
</file>

<file path=xl/comments4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A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</commentList>
</comments>
</file>

<file path=xl/comments5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A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A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B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C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D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E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F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G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H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I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J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M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M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M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M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M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M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M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M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M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M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M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M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M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M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M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M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M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M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M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M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M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M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M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M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M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M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M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M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M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  <comment ref="M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27</xdr:rowOff>
              </xdr:to>
            </anchor>
          </commentPr>
        </mc:Choice>
        <mc:Fallback/>
      </mc:AlternateContent>
    </comment>
  </commentList>
</comments>
</file>

<file path=xl/comments6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A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A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A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A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A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A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A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A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A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A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A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A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A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A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A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A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A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A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A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A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A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A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A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A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A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A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A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A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A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A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B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B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B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B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B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B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B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B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B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B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B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B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B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B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B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B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B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B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B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B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B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B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B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B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B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B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B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B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B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B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C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C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C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C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C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C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C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C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C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C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C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C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C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C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C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C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C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C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C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C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C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C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C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C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C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C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C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C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C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C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D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D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D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D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D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D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D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D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D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D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D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D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D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D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D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D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D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D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D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D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D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D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D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D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D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D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D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D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D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D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E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E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E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E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E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E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E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E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E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E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E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E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E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E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E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E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E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E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E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E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E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E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E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E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E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E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E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E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E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E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F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F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F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F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F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F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F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F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F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F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F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F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F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F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F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F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F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F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F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F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F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F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F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F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F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F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F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F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F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F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G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G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G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G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G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G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G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G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G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G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G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G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G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G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G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G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G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G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G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G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G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G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G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G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G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G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G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G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G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G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H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H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H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H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H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H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H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H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H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H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H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H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H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H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H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H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H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H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H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H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H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H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H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H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H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H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H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H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H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H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J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J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J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J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J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J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J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J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J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J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J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J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J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J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J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J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J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J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J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J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J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J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J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J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J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J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J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J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J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J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</commentList>
</comments>
</file>

<file path=xl/comments7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A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A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A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A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A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A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A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A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A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A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A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A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A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A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A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A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A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A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A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A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A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A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A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A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A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A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A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A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A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A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B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B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B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B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B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B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B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B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B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B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B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B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B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B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B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B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B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B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B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B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B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B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B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B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B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B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B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B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B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B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C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C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C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C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C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C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C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C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C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C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C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C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C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C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C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C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C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C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C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C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C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C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C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C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C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C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C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C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C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C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D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D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D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D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D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D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D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D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D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D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D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D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D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D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D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D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D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D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D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D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D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D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D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D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D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D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D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D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D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D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E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E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E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E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E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E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E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E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E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E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E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E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E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E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E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E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E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E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E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E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E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E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E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E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E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E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E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E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E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E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F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F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F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F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F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F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F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F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F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F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F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F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F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F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F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F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F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F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F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F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F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F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F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F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F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F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F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F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F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F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G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G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G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G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G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G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G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G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G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G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G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G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G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G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G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G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G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G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G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G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G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G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G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G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G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G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G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G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G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G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H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H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H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H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H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H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H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H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H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H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H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H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H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H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H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H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H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H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H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H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H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H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H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H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H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H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H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H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H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  <comment ref="H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60</xdr:colOff>
                <xdr:row>2</xdr:row>
                <xdr:rowOff>27</xdr:rowOff>
              </xdr:to>
            </anchor>
          </commentPr>
        </mc:Choice>
        <mc:Fallback/>
      </mc:AlternateContent>
    </comment>
  </commentList>
</comments>
</file>

<file path=xl/comments8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A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A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A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A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A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A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A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A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A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A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A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A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A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A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A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A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A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A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A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A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A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A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A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A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A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A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A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A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A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A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B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B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B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B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B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B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B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B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B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B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B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B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B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B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B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B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B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B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B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B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B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B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B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B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B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B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B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B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B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B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C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C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C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C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C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C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C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C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C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C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C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C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C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C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C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C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C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C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C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C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C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C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C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C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C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C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C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C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C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C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D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D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D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D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D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D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D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D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D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D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D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D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D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D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D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D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D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D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D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D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D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D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D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D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D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D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D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D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D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D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E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E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E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E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E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E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E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E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E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E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E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E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E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E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E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E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E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E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E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E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E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E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E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E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E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E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E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E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E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E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F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F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F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F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F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F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F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F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F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F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F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F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F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F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F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F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F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F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F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F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F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F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F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F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F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F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F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F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F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F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G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G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G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G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G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G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G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G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G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G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G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G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G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G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G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G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G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G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G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G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G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G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G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G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G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G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G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G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G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G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H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H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H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H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H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H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H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H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H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H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H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H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H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H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H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H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H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H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H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H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H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H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H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H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H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H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H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H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H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H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I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I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I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I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I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I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I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I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I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I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I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I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I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I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I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I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I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I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I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I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I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I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I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I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I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I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I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I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I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  <comment ref="I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53</xdr:colOff>
                <xdr:row>2</xdr:row>
                <xdr:rowOff>27</xdr:rowOff>
              </xdr:to>
            </anchor>
          </commentPr>
        </mc:Choice>
        <mc:Fallback/>
      </mc:AlternateContent>
    </comment>
  </commentList>
</comments>
</file>

<file path=xl/comments9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A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2</xdr:row>
                <xdr:rowOff>27</xdr:rowOff>
              </xdr:to>
            </anchor>
          </commentPr>
        </mc:Choice>
        <mc:Fallback/>
      </mc:AlternateContent>
    </comment>
    <comment ref="A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2</xdr:row>
                <xdr:rowOff>27</xdr:rowOff>
              </xdr:to>
            </anchor>
          </commentPr>
        </mc:Choice>
        <mc:Fallback/>
      </mc:AlternateContent>
    </comment>
    <comment ref="A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2</xdr:row>
                <xdr:rowOff>27</xdr:rowOff>
              </xdr:to>
            </anchor>
          </commentPr>
        </mc:Choice>
        <mc:Fallback/>
      </mc:AlternateContent>
    </comment>
    <comment ref="A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2</xdr:row>
                <xdr:rowOff>27</xdr:rowOff>
              </xdr:to>
            </anchor>
          </commentPr>
        </mc:Choice>
        <mc:Fallback/>
      </mc:AlternateContent>
    </comment>
    <comment ref="A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2</xdr:row>
                <xdr:rowOff>27</xdr:rowOff>
              </xdr:to>
            </anchor>
          </commentPr>
        </mc:Choice>
        <mc:Fallback/>
      </mc:AlternateContent>
    </comment>
    <comment ref="A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2</xdr:row>
                <xdr:rowOff>27</xdr:rowOff>
              </xdr:to>
            </anchor>
          </commentPr>
        </mc:Choice>
        <mc:Fallback/>
      </mc:AlternateContent>
    </comment>
    <comment ref="A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2</xdr:row>
                <xdr:rowOff>27</xdr:rowOff>
              </xdr:to>
            </anchor>
          </commentPr>
        </mc:Choice>
        <mc:Fallback/>
      </mc:AlternateContent>
    </comment>
    <comment ref="A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2</xdr:row>
                <xdr:rowOff>27</xdr:rowOff>
              </xdr:to>
            </anchor>
          </commentPr>
        </mc:Choice>
        <mc:Fallback/>
      </mc:AlternateContent>
    </comment>
    <comment ref="A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2</xdr:row>
                <xdr:rowOff>27</xdr:rowOff>
              </xdr:to>
            </anchor>
          </commentPr>
        </mc:Choice>
        <mc:Fallback/>
      </mc:AlternateContent>
    </comment>
    <comment ref="A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2</xdr:row>
                <xdr:rowOff>27</xdr:rowOff>
              </xdr:to>
            </anchor>
          </commentPr>
        </mc:Choice>
        <mc:Fallback/>
      </mc:AlternateContent>
    </comment>
    <comment ref="A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2</xdr:row>
                <xdr:rowOff>27</xdr:rowOff>
              </xdr:to>
            </anchor>
          </commentPr>
        </mc:Choice>
        <mc:Fallback/>
      </mc:AlternateContent>
    </comment>
    <comment ref="A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2</xdr:row>
                <xdr:rowOff>27</xdr:rowOff>
              </xdr:to>
            </anchor>
          </commentPr>
        </mc:Choice>
        <mc:Fallback/>
      </mc:AlternateContent>
    </comment>
    <comment ref="A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2</xdr:row>
                <xdr:rowOff>27</xdr:rowOff>
              </xdr:to>
            </anchor>
          </commentPr>
        </mc:Choice>
        <mc:Fallback/>
      </mc:AlternateContent>
    </comment>
    <comment ref="A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2</xdr:row>
                <xdr:rowOff>27</xdr:rowOff>
              </xdr:to>
            </anchor>
          </commentPr>
        </mc:Choice>
        <mc:Fallback/>
      </mc:AlternateContent>
    </comment>
    <comment ref="A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2</xdr:row>
                <xdr:rowOff>27</xdr:rowOff>
              </xdr:to>
            </anchor>
          </commentPr>
        </mc:Choice>
        <mc:Fallback/>
      </mc:AlternateContent>
    </comment>
    <comment ref="A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2</xdr:row>
                <xdr:rowOff>27</xdr:rowOff>
              </xdr:to>
            </anchor>
          </commentPr>
        </mc:Choice>
        <mc:Fallback/>
      </mc:AlternateContent>
    </comment>
    <comment ref="A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2</xdr:row>
                <xdr:rowOff>27</xdr:rowOff>
              </xdr:to>
            </anchor>
          </commentPr>
        </mc:Choice>
        <mc:Fallback/>
      </mc:AlternateContent>
    </comment>
    <comment ref="A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2</xdr:row>
                <xdr:rowOff>27</xdr:rowOff>
              </xdr:to>
            </anchor>
          </commentPr>
        </mc:Choice>
        <mc:Fallback/>
      </mc:AlternateContent>
    </comment>
    <comment ref="A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2</xdr:row>
                <xdr:rowOff>27</xdr:rowOff>
              </xdr:to>
            </anchor>
          </commentPr>
        </mc:Choice>
        <mc:Fallback/>
      </mc:AlternateContent>
    </comment>
    <comment ref="A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2</xdr:row>
                <xdr:rowOff>27</xdr:rowOff>
              </xdr:to>
            </anchor>
          </commentPr>
        </mc:Choice>
        <mc:Fallback/>
      </mc:AlternateContent>
    </comment>
    <comment ref="A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2</xdr:row>
                <xdr:rowOff>27</xdr:rowOff>
              </xdr:to>
            </anchor>
          </commentPr>
        </mc:Choice>
        <mc:Fallback/>
      </mc:AlternateContent>
    </comment>
    <comment ref="A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2</xdr:row>
                <xdr:rowOff>27</xdr:rowOff>
              </xdr:to>
            </anchor>
          </commentPr>
        </mc:Choice>
        <mc:Fallback/>
      </mc:AlternateContent>
    </comment>
    <comment ref="A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2</xdr:row>
                <xdr:rowOff>27</xdr:rowOff>
              </xdr:to>
            </anchor>
          </commentPr>
        </mc:Choice>
        <mc:Fallback/>
      </mc:AlternateContent>
    </comment>
    <comment ref="A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2</xdr:row>
                <xdr:rowOff>27</xdr:rowOff>
              </xdr:to>
            </anchor>
          </commentPr>
        </mc:Choice>
        <mc:Fallback/>
      </mc:AlternateContent>
    </comment>
    <comment ref="A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2</xdr:row>
                <xdr:rowOff>27</xdr:rowOff>
              </xdr:to>
            </anchor>
          </commentPr>
        </mc:Choice>
        <mc:Fallback/>
      </mc:AlternateContent>
    </comment>
    <comment ref="A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2</xdr:row>
                <xdr:rowOff>27</xdr:rowOff>
              </xdr:to>
            </anchor>
          </commentPr>
        </mc:Choice>
        <mc:Fallback/>
      </mc:AlternateContent>
    </comment>
    <comment ref="A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2</xdr:row>
                <xdr:rowOff>27</xdr:rowOff>
              </xdr:to>
            </anchor>
          </commentPr>
        </mc:Choice>
        <mc:Fallback/>
      </mc:AlternateContent>
    </comment>
    <comment ref="A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2</xdr:row>
                <xdr:rowOff>27</xdr:rowOff>
              </xdr:to>
            </anchor>
          </commentPr>
        </mc:Choice>
        <mc:Fallback/>
      </mc:AlternateContent>
    </comment>
    <comment ref="A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2</xdr:row>
                <xdr:rowOff>27</xdr:rowOff>
              </xdr:to>
            </anchor>
          </commentPr>
        </mc:Choice>
        <mc:Fallback/>
      </mc:AlternateContent>
    </comment>
    <comment ref="A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2</xdr:row>
                <xdr:rowOff>27</xdr:rowOff>
              </xdr:to>
            </anchor>
          </commentPr>
        </mc:Choice>
        <mc:Fallback/>
      </mc:AlternateContent>
    </comment>
    <comment ref="B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2</xdr:row>
                <xdr:rowOff>27</xdr:rowOff>
              </xdr:to>
            </anchor>
          </commentPr>
        </mc:Choice>
        <mc:Fallback/>
      </mc:AlternateContent>
    </comment>
    <comment ref="B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2</xdr:row>
                <xdr:rowOff>27</xdr:rowOff>
              </xdr:to>
            </anchor>
          </commentPr>
        </mc:Choice>
        <mc:Fallback/>
      </mc:AlternateContent>
    </comment>
    <comment ref="B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2</xdr:row>
                <xdr:rowOff>27</xdr:rowOff>
              </xdr:to>
            </anchor>
          </commentPr>
        </mc:Choice>
        <mc:Fallback/>
      </mc:AlternateContent>
    </comment>
    <comment ref="B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2</xdr:row>
                <xdr:rowOff>27</xdr:rowOff>
              </xdr:to>
            </anchor>
          </commentPr>
        </mc:Choice>
        <mc:Fallback/>
      </mc:AlternateContent>
    </comment>
    <comment ref="B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2</xdr:row>
                <xdr:rowOff>27</xdr:rowOff>
              </xdr:to>
            </anchor>
          </commentPr>
        </mc:Choice>
        <mc:Fallback/>
      </mc:AlternateContent>
    </comment>
    <comment ref="B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2</xdr:row>
                <xdr:rowOff>27</xdr:rowOff>
              </xdr:to>
            </anchor>
          </commentPr>
        </mc:Choice>
        <mc:Fallback/>
      </mc:AlternateContent>
    </comment>
    <comment ref="B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2</xdr:row>
                <xdr:rowOff>27</xdr:rowOff>
              </xdr:to>
            </anchor>
          </commentPr>
        </mc:Choice>
        <mc:Fallback/>
      </mc:AlternateContent>
    </comment>
    <comment ref="B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2</xdr:row>
                <xdr:rowOff>27</xdr:rowOff>
              </xdr:to>
            </anchor>
          </commentPr>
        </mc:Choice>
        <mc:Fallback/>
      </mc:AlternateContent>
    </comment>
    <comment ref="B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2</xdr:row>
                <xdr:rowOff>27</xdr:rowOff>
              </xdr:to>
            </anchor>
          </commentPr>
        </mc:Choice>
        <mc:Fallback/>
      </mc:AlternateContent>
    </comment>
    <comment ref="B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2</xdr:row>
                <xdr:rowOff>27</xdr:rowOff>
              </xdr:to>
            </anchor>
          </commentPr>
        </mc:Choice>
        <mc:Fallback/>
      </mc:AlternateContent>
    </comment>
    <comment ref="B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2</xdr:row>
                <xdr:rowOff>27</xdr:rowOff>
              </xdr:to>
            </anchor>
          </commentPr>
        </mc:Choice>
        <mc:Fallback/>
      </mc:AlternateContent>
    </comment>
    <comment ref="B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2</xdr:row>
                <xdr:rowOff>27</xdr:rowOff>
              </xdr:to>
            </anchor>
          </commentPr>
        </mc:Choice>
        <mc:Fallback/>
      </mc:AlternateContent>
    </comment>
    <comment ref="B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2</xdr:row>
                <xdr:rowOff>27</xdr:rowOff>
              </xdr:to>
            </anchor>
          </commentPr>
        </mc:Choice>
        <mc:Fallback/>
      </mc:AlternateContent>
    </comment>
    <comment ref="B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2</xdr:row>
                <xdr:rowOff>27</xdr:rowOff>
              </xdr:to>
            </anchor>
          </commentPr>
        </mc:Choice>
        <mc:Fallback/>
      </mc:AlternateContent>
    </comment>
    <comment ref="B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2</xdr:row>
                <xdr:rowOff>27</xdr:rowOff>
              </xdr:to>
            </anchor>
          </commentPr>
        </mc:Choice>
        <mc:Fallback/>
      </mc:AlternateContent>
    </comment>
    <comment ref="B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2</xdr:row>
                <xdr:rowOff>27</xdr:rowOff>
              </xdr:to>
            </anchor>
          </commentPr>
        </mc:Choice>
        <mc:Fallback/>
      </mc:AlternateContent>
    </comment>
    <comment ref="B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2</xdr:row>
                <xdr:rowOff>27</xdr:rowOff>
              </xdr:to>
            </anchor>
          </commentPr>
        </mc:Choice>
        <mc:Fallback/>
      </mc:AlternateContent>
    </comment>
    <comment ref="B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2</xdr:row>
                <xdr:rowOff>27</xdr:rowOff>
              </xdr:to>
            </anchor>
          </commentPr>
        </mc:Choice>
        <mc:Fallback/>
      </mc:AlternateContent>
    </comment>
    <comment ref="B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2</xdr:row>
                <xdr:rowOff>27</xdr:rowOff>
              </xdr:to>
            </anchor>
          </commentPr>
        </mc:Choice>
        <mc:Fallback/>
      </mc:AlternateContent>
    </comment>
    <comment ref="B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2</xdr:row>
                <xdr:rowOff>27</xdr:rowOff>
              </xdr:to>
            </anchor>
          </commentPr>
        </mc:Choice>
        <mc:Fallback/>
      </mc:AlternateContent>
    </comment>
    <comment ref="B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2</xdr:row>
                <xdr:rowOff>27</xdr:rowOff>
              </xdr:to>
            </anchor>
          </commentPr>
        </mc:Choice>
        <mc:Fallback/>
      </mc:AlternateContent>
    </comment>
    <comment ref="B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2</xdr:row>
                <xdr:rowOff>27</xdr:rowOff>
              </xdr:to>
            </anchor>
          </commentPr>
        </mc:Choice>
        <mc:Fallback/>
      </mc:AlternateContent>
    </comment>
    <comment ref="B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2</xdr:row>
                <xdr:rowOff>27</xdr:rowOff>
              </xdr:to>
            </anchor>
          </commentPr>
        </mc:Choice>
        <mc:Fallback/>
      </mc:AlternateContent>
    </comment>
    <comment ref="B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2</xdr:row>
                <xdr:rowOff>27</xdr:rowOff>
              </xdr:to>
            </anchor>
          </commentPr>
        </mc:Choice>
        <mc:Fallback/>
      </mc:AlternateContent>
    </comment>
    <comment ref="B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2</xdr:row>
                <xdr:rowOff>27</xdr:rowOff>
              </xdr:to>
            </anchor>
          </commentPr>
        </mc:Choice>
        <mc:Fallback/>
      </mc:AlternateContent>
    </comment>
    <comment ref="B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2</xdr:row>
                <xdr:rowOff>27</xdr:rowOff>
              </xdr:to>
            </anchor>
          </commentPr>
        </mc:Choice>
        <mc:Fallback/>
      </mc:AlternateContent>
    </comment>
    <comment ref="B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2</xdr:row>
                <xdr:rowOff>27</xdr:rowOff>
              </xdr:to>
            </anchor>
          </commentPr>
        </mc:Choice>
        <mc:Fallback/>
      </mc:AlternateContent>
    </comment>
    <comment ref="B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2</xdr:row>
                <xdr:rowOff>27</xdr:rowOff>
              </xdr:to>
            </anchor>
          </commentPr>
        </mc:Choice>
        <mc:Fallback/>
      </mc:AlternateContent>
    </comment>
    <comment ref="B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2</xdr:row>
                <xdr:rowOff>27</xdr:rowOff>
              </xdr:to>
            </anchor>
          </commentPr>
        </mc:Choice>
        <mc:Fallback/>
      </mc:AlternateContent>
    </comment>
    <comment ref="B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2</xdr:row>
                <xdr:rowOff>27</xdr:rowOff>
              </xdr:to>
            </anchor>
          </commentPr>
        </mc:Choice>
        <mc:Fallback/>
      </mc:AlternateContent>
    </comment>
    <comment ref="C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2</xdr:row>
                <xdr:rowOff>27</xdr:rowOff>
              </xdr:to>
            </anchor>
          </commentPr>
        </mc:Choice>
        <mc:Fallback/>
      </mc:AlternateContent>
    </comment>
    <comment ref="C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2</xdr:row>
                <xdr:rowOff>27</xdr:rowOff>
              </xdr:to>
            </anchor>
          </commentPr>
        </mc:Choice>
        <mc:Fallback/>
      </mc:AlternateContent>
    </comment>
    <comment ref="C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2</xdr:row>
                <xdr:rowOff>27</xdr:rowOff>
              </xdr:to>
            </anchor>
          </commentPr>
        </mc:Choice>
        <mc:Fallback/>
      </mc:AlternateContent>
    </comment>
    <comment ref="C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2</xdr:row>
                <xdr:rowOff>27</xdr:rowOff>
              </xdr:to>
            </anchor>
          </commentPr>
        </mc:Choice>
        <mc:Fallback/>
      </mc:AlternateContent>
    </comment>
    <comment ref="C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2</xdr:row>
                <xdr:rowOff>27</xdr:rowOff>
              </xdr:to>
            </anchor>
          </commentPr>
        </mc:Choice>
        <mc:Fallback/>
      </mc:AlternateContent>
    </comment>
    <comment ref="C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2</xdr:row>
                <xdr:rowOff>27</xdr:rowOff>
              </xdr:to>
            </anchor>
          </commentPr>
        </mc:Choice>
        <mc:Fallback/>
      </mc:AlternateContent>
    </comment>
    <comment ref="C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2</xdr:row>
                <xdr:rowOff>27</xdr:rowOff>
              </xdr:to>
            </anchor>
          </commentPr>
        </mc:Choice>
        <mc:Fallback/>
      </mc:AlternateContent>
    </comment>
    <comment ref="C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2</xdr:row>
                <xdr:rowOff>27</xdr:rowOff>
              </xdr:to>
            </anchor>
          </commentPr>
        </mc:Choice>
        <mc:Fallback/>
      </mc:AlternateContent>
    </comment>
    <comment ref="C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2</xdr:row>
                <xdr:rowOff>27</xdr:rowOff>
              </xdr:to>
            </anchor>
          </commentPr>
        </mc:Choice>
        <mc:Fallback/>
      </mc:AlternateContent>
    </comment>
    <comment ref="C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2</xdr:row>
                <xdr:rowOff>27</xdr:rowOff>
              </xdr:to>
            </anchor>
          </commentPr>
        </mc:Choice>
        <mc:Fallback/>
      </mc:AlternateContent>
    </comment>
    <comment ref="C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2</xdr:row>
                <xdr:rowOff>27</xdr:rowOff>
              </xdr:to>
            </anchor>
          </commentPr>
        </mc:Choice>
        <mc:Fallback/>
      </mc:AlternateContent>
    </comment>
    <comment ref="C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2</xdr:row>
                <xdr:rowOff>27</xdr:rowOff>
              </xdr:to>
            </anchor>
          </commentPr>
        </mc:Choice>
        <mc:Fallback/>
      </mc:AlternateContent>
    </comment>
    <comment ref="C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2</xdr:row>
                <xdr:rowOff>27</xdr:rowOff>
              </xdr:to>
            </anchor>
          </commentPr>
        </mc:Choice>
        <mc:Fallback/>
      </mc:AlternateContent>
    </comment>
    <comment ref="C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2</xdr:row>
                <xdr:rowOff>27</xdr:rowOff>
              </xdr:to>
            </anchor>
          </commentPr>
        </mc:Choice>
        <mc:Fallback/>
      </mc:AlternateContent>
    </comment>
    <comment ref="C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2</xdr:row>
                <xdr:rowOff>27</xdr:rowOff>
              </xdr:to>
            </anchor>
          </commentPr>
        </mc:Choice>
        <mc:Fallback/>
      </mc:AlternateContent>
    </comment>
    <comment ref="C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2</xdr:row>
                <xdr:rowOff>27</xdr:rowOff>
              </xdr:to>
            </anchor>
          </commentPr>
        </mc:Choice>
        <mc:Fallback/>
      </mc:AlternateContent>
    </comment>
    <comment ref="C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2</xdr:row>
                <xdr:rowOff>27</xdr:rowOff>
              </xdr:to>
            </anchor>
          </commentPr>
        </mc:Choice>
        <mc:Fallback/>
      </mc:AlternateContent>
    </comment>
    <comment ref="C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2</xdr:row>
                <xdr:rowOff>27</xdr:rowOff>
              </xdr:to>
            </anchor>
          </commentPr>
        </mc:Choice>
        <mc:Fallback/>
      </mc:AlternateContent>
    </comment>
    <comment ref="C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2</xdr:row>
                <xdr:rowOff>27</xdr:rowOff>
              </xdr:to>
            </anchor>
          </commentPr>
        </mc:Choice>
        <mc:Fallback/>
      </mc:AlternateContent>
    </comment>
    <comment ref="C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2</xdr:row>
                <xdr:rowOff>27</xdr:rowOff>
              </xdr:to>
            </anchor>
          </commentPr>
        </mc:Choice>
        <mc:Fallback/>
      </mc:AlternateContent>
    </comment>
    <comment ref="C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2</xdr:row>
                <xdr:rowOff>27</xdr:rowOff>
              </xdr:to>
            </anchor>
          </commentPr>
        </mc:Choice>
        <mc:Fallback/>
      </mc:AlternateContent>
    </comment>
    <comment ref="C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2</xdr:row>
                <xdr:rowOff>27</xdr:rowOff>
              </xdr:to>
            </anchor>
          </commentPr>
        </mc:Choice>
        <mc:Fallback/>
      </mc:AlternateContent>
    </comment>
    <comment ref="C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2</xdr:row>
                <xdr:rowOff>27</xdr:rowOff>
              </xdr:to>
            </anchor>
          </commentPr>
        </mc:Choice>
        <mc:Fallback/>
      </mc:AlternateContent>
    </comment>
    <comment ref="C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2</xdr:row>
                <xdr:rowOff>27</xdr:rowOff>
              </xdr:to>
            </anchor>
          </commentPr>
        </mc:Choice>
        <mc:Fallback/>
      </mc:AlternateContent>
    </comment>
    <comment ref="C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2</xdr:row>
                <xdr:rowOff>27</xdr:rowOff>
              </xdr:to>
            </anchor>
          </commentPr>
        </mc:Choice>
        <mc:Fallback/>
      </mc:AlternateContent>
    </comment>
    <comment ref="C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2</xdr:row>
                <xdr:rowOff>27</xdr:rowOff>
              </xdr:to>
            </anchor>
          </commentPr>
        </mc:Choice>
        <mc:Fallback/>
      </mc:AlternateContent>
    </comment>
    <comment ref="C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2</xdr:row>
                <xdr:rowOff>27</xdr:rowOff>
              </xdr:to>
            </anchor>
          </commentPr>
        </mc:Choice>
        <mc:Fallback/>
      </mc:AlternateContent>
    </comment>
    <comment ref="C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2</xdr:row>
                <xdr:rowOff>27</xdr:rowOff>
              </xdr:to>
            </anchor>
          </commentPr>
        </mc:Choice>
        <mc:Fallback/>
      </mc:AlternateContent>
    </comment>
    <comment ref="C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2</xdr:row>
                <xdr:rowOff>27</xdr:rowOff>
              </xdr:to>
            </anchor>
          </commentPr>
        </mc:Choice>
        <mc:Fallback/>
      </mc:AlternateContent>
    </comment>
    <comment ref="C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2</xdr:row>
                <xdr:rowOff>27</xdr:rowOff>
              </xdr:to>
            </anchor>
          </commentPr>
        </mc:Choice>
        <mc:Fallback/>
      </mc:AlternateContent>
    </comment>
    <comment ref="D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2</xdr:row>
                <xdr:rowOff>27</xdr:rowOff>
              </xdr:to>
            </anchor>
          </commentPr>
        </mc:Choice>
        <mc:Fallback/>
      </mc:AlternateContent>
    </comment>
    <comment ref="D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2</xdr:row>
                <xdr:rowOff>27</xdr:rowOff>
              </xdr:to>
            </anchor>
          </commentPr>
        </mc:Choice>
        <mc:Fallback/>
      </mc:AlternateContent>
    </comment>
    <comment ref="D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2</xdr:row>
                <xdr:rowOff>27</xdr:rowOff>
              </xdr:to>
            </anchor>
          </commentPr>
        </mc:Choice>
        <mc:Fallback/>
      </mc:AlternateContent>
    </comment>
    <comment ref="D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2</xdr:row>
                <xdr:rowOff>27</xdr:rowOff>
              </xdr:to>
            </anchor>
          </commentPr>
        </mc:Choice>
        <mc:Fallback/>
      </mc:AlternateContent>
    </comment>
    <comment ref="D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2</xdr:row>
                <xdr:rowOff>27</xdr:rowOff>
              </xdr:to>
            </anchor>
          </commentPr>
        </mc:Choice>
        <mc:Fallback/>
      </mc:AlternateContent>
    </comment>
    <comment ref="D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2</xdr:row>
                <xdr:rowOff>27</xdr:rowOff>
              </xdr:to>
            </anchor>
          </commentPr>
        </mc:Choice>
        <mc:Fallback/>
      </mc:AlternateContent>
    </comment>
    <comment ref="D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2</xdr:row>
                <xdr:rowOff>27</xdr:rowOff>
              </xdr:to>
            </anchor>
          </commentPr>
        </mc:Choice>
        <mc:Fallback/>
      </mc:AlternateContent>
    </comment>
    <comment ref="D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2</xdr:row>
                <xdr:rowOff>27</xdr:rowOff>
              </xdr:to>
            </anchor>
          </commentPr>
        </mc:Choice>
        <mc:Fallback/>
      </mc:AlternateContent>
    </comment>
    <comment ref="D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2</xdr:row>
                <xdr:rowOff>27</xdr:rowOff>
              </xdr:to>
            </anchor>
          </commentPr>
        </mc:Choice>
        <mc:Fallback/>
      </mc:AlternateContent>
    </comment>
    <comment ref="D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2</xdr:row>
                <xdr:rowOff>27</xdr:rowOff>
              </xdr:to>
            </anchor>
          </commentPr>
        </mc:Choice>
        <mc:Fallback/>
      </mc:AlternateContent>
    </comment>
    <comment ref="D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2</xdr:row>
                <xdr:rowOff>27</xdr:rowOff>
              </xdr:to>
            </anchor>
          </commentPr>
        </mc:Choice>
        <mc:Fallback/>
      </mc:AlternateContent>
    </comment>
    <comment ref="D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2</xdr:row>
                <xdr:rowOff>27</xdr:rowOff>
              </xdr:to>
            </anchor>
          </commentPr>
        </mc:Choice>
        <mc:Fallback/>
      </mc:AlternateContent>
    </comment>
    <comment ref="D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2</xdr:row>
                <xdr:rowOff>27</xdr:rowOff>
              </xdr:to>
            </anchor>
          </commentPr>
        </mc:Choice>
        <mc:Fallback/>
      </mc:AlternateContent>
    </comment>
    <comment ref="D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2</xdr:row>
                <xdr:rowOff>27</xdr:rowOff>
              </xdr:to>
            </anchor>
          </commentPr>
        </mc:Choice>
        <mc:Fallback/>
      </mc:AlternateContent>
    </comment>
    <comment ref="D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2</xdr:row>
                <xdr:rowOff>27</xdr:rowOff>
              </xdr:to>
            </anchor>
          </commentPr>
        </mc:Choice>
        <mc:Fallback/>
      </mc:AlternateContent>
    </comment>
    <comment ref="D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2</xdr:row>
                <xdr:rowOff>27</xdr:rowOff>
              </xdr:to>
            </anchor>
          </commentPr>
        </mc:Choice>
        <mc:Fallback/>
      </mc:AlternateContent>
    </comment>
    <comment ref="D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2</xdr:row>
                <xdr:rowOff>27</xdr:rowOff>
              </xdr:to>
            </anchor>
          </commentPr>
        </mc:Choice>
        <mc:Fallback/>
      </mc:AlternateContent>
    </comment>
    <comment ref="D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2</xdr:row>
                <xdr:rowOff>27</xdr:rowOff>
              </xdr:to>
            </anchor>
          </commentPr>
        </mc:Choice>
        <mc:Fallback/>
      </mc:AlternateContent>
    </comment>
    <comment ref="D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2</xdr:row>
                <xdr:rowOff>27</xdr:rowOff>
              </xdr:to>
            </anchor>
          </commentPr>
        </mc:Choice>
        <mc:Fallback/>
      </mc:AlternateContent>
    </comment>
    <comment ref="D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2</xdr:row>
                <xdr:rowOff>27</xdr:rowOff>
              </xdr:to>
            </anchor>
          </commentPr>
        </mc:Choice>
        <mc:Fallback/>
      </mc:AlternateContent>
    </comment>
    <comment ref="D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2</xdr:row>
                <xdr:rowOff>27</xdr:rowOff>
              </xdr:to>
            </anchor>
          </commentPr>
        </mc:Choice>
        <mc:Fallback/>
      </mc:AlternateContent>
    </comment>
    <comment ref="D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2</xdr:row>
                <xdr:rowOff>27</xdr:rowOff>
              </xdr:to>
            </anchor>
          </commentPr>
        </mc:Choice>
        <mc:Fallback/>
      </mc:AlternateContent>
    </comment>
    <comment ref="D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2</xdr:row>
                <xdr:rowOff>27</xdr:rowOff>
              </xdr:to>
            </anchor>
          </commentPr>
        </mc:Choice>
        <mc:Fallback/>
      </mc:AlternateContent>
    </comment>
    <comment ref="D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2</xdr:row>
                <xdr:rowOff>27</xdr:rowOff>
              </xdr:to>
            </anchor>
          </commentPr>
        </mc:Choice>
        <mc:Fallback/>
      </mc:AlternateContent>
    </comment>
    <comment ref="D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2</xdr:row>
                <xdr:rowOff>27</xdr:rowOff>
              </xdr:to>
            </anchor>
          </commentPr>
        </mc:Choice>
        <mc:Fallback/>
      </mc:AlternateContent>
    </comment>
    <comment ref="D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2</xdr:row>
                <xdr:rowOff>27</xdr:rowOff>
              </xdr:to>
            </anchor>
          </commentPr>
        </mc:Choice>
        <mc:Fallback/>
      </mc:AlternateContent>
    </comment>
    <comment ref="D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2</xdr:row>
                <xdr:rowOff>27</xdr:rowOff>
              </xdr:to>
            </anchor>
          </commentPr>
        </mc:Choice>
        <mc:Fallback/>
      </mc:AlternateContent>
    </comment>
    <comment ref="D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2</xdr:row>
                <xdr:rowOff>27</xdr:rowOff>
              </xdr:to>
            </anchor>
          </commentPr>
        </mc:Choice>
        <mc:Fallback/>
      </mc:AlternateContent>
    </comment>
    <comment ref="D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2</xdr:row>
                <xdr:rowOff>27</xdr:rowOff>
              </xdr:to>
            </anchor>
          </commentPr>
        </mc:Choice>
        <mc:Fallback/>
      </mc:AlternateContent>
    </comment>
    <comment ref="D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2</xdr:row>
                <xdr:rowOff>27</xdr:rowOff>
              </xdr:to>
            </anchor>
          </commentPr>
        </mc:Choice>
        <mc:Fallback/>
      </mc:AlternateContent>
    </comment>
    <comment ref="E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2</xdr:row>
                <xdr:rowOff>27</xdr:rowOff>
              </xdr:to>
            </anchor>
          </commentPr>
        </mc:Choice>
        <mc:Fallback/>
      </mc:AlternateContent>
    </comment>
    <comment ref="E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2</xdr:row>
                <xdr:rowOff>27</xdr:rowOff>
              </xdr:to>
            </anchor>
          </commentPr>
        </mc:Choice>
        <mc:Fallback/>
      </mc:AlternateContent>
    </comment>
    <comment ref="E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2</xdr:row>
                <xdr:rowOff>27</xdr:rowOff>
              </xdr:to>
            </anchor>
          </commentPr>
        </mc:Choice>
        <mc:Fallback/>
      </mc:AlternateContent>
    </comment>
    <comment ref="E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2</xdr:row>
                <xdr:rowOff>27</xdr:rowOff>
              </xdr:to>
            </anchor>
          </commentPr>
        </mc:Choice>
        <mc:Fallback/>
      </mc:AlternateContent>
    </comment>
    <comment ref="E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2</xdr:row>
                <xdr:rowOff>27</xdr:rowOff>
              </xdr:to>
            </anchor>
          </commentPr>
        </mc:Choice>
        <mc:Fallback/>
      </mc:AlternateContent>
    </comment>
    <comment ref="E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2</xdr:row>
                <xdr:rowOff>27</xdr:rowOff>
              </xdr:to>
            </anchor>
          </commentPr>
        </mc:Choice>
        <mc:Fallback/>
      </mc:AlternateContent>
    </comment>
    <comment ref="E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2</xdr:row>
                <xdr:rowOff>27</xdr:rowOff>
              </xdr:to>
            </anchor>
          </commentPr>
        </mc:Choice>
        <mc:Fallback/>
      </mc:AlternateContent>
    </comment>
    <comment ref="E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2</xdr:row>
                <xdr:rowOff>27</xdr:rowOff>
              </xdr:to>
            </anchor>
          </commentPr>
        </mc:Choice>
        <mc:Fallback/>
      </mc:AlternateContent>
    </comment>
    <comment ref="E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2</xdr:row>
                <xdr:rowOff>27</xdr:rowOff>
              </xdr:to>
            </anchor>
          </commentPr>
        </mc:Choice>
        <mc:Fallback/>
      </mc:AlternateContent>
    </comment>
    <comment ref="E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2</xdr:row>
                <xdr:rowOff>27</xdr:rowOff>
              </xdr:to>
            </anchor>
          </commentPr>
        </mc:Choice>
        <mc:Fallback/>
      </mc:AlternateContent>
    </comment>
    <comment ref="E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2</xdr:row>
                <xdr:rowOff>27</xdr:rowOff>
              </xdr:to>
            </anchor>
          </commentPr>
        </mc:Choice>
        <mc:Fallback/>
      </mc:AlternateContent>
    </comment>
    <comment ref="E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2</xdr:row>
                <xdr:rowOff>27</xdr:rowOff>
              </xdr:to>
            </anchor>
          </commentPr>
        </mc:Choice>
        <mc:Fallback/>
      </mc:AlternateContent>
    </comment>
    <comment ref="E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2</xdr:row>
                <xdr:rowOff>27</xdr:rowOff>
              </xdr:to>
            </anchor>
          </commentPr>
        </mc:Choice>
        <mc:Fallback/>
      </mc:AlternateContent>
    </comment>
    <comment ref="E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2</xdr:row>
                <xdr:rowOff>27</xdr:rowOff>
              </xdr:to>
            </anchor>
          </commentPr>
        </mc:Choice>
        <mc:Fallback/>
      </mc:AlternateContent>
    </comment>
    <comment ref="E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2</xdr:row>
                <xdr:rowOff>27</xdr:rowOff>
              </xdr:to>
            </anchor>
          </commentPr>
        </mc:Choice>
        <mc:Fallback/>
      </mc:AlternateContent>
    </comment>
    <comment ref="E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2</xdr:row>
                <xdr:rowOff>27</xdr:rowOff>
              </xdr:to>
            </anchor>
          </commentPr>
        </mc:Choice>
        <mc:Fallback/>
      </mc:AlternateContent>
    </comment>
    <comment ref="E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2</xdr:row>
                <xdr:rowOff>27</xdr:rowOff>
              </xdr:to>
            </anchor>
          </commentPr>
        </mc:Choice>
        <mc:Fallback/>
      </mc:AlternateContent>
    </comment>
    <comment ref="E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2</xdr:row>
                <xdr:rowOff>27</xdr:rowOff>
              </xdr:to>
            </anchor>
          </commentPr>
        </mc:Choice>
        <mc:Fallback/>
      </mc:AlternateContent>
    </comment>
    <comment ref="E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2</xdr:row>
                <xdr:rowOff>27</xdr:rowOff>
              </xdr:to>
            </anchor>
          </commentPr>
        </mc:Choice>
        <mc:Fallback/>
      </mc:AlternateContent>
    </comment>
    <comment ref="E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2</xdr:row>
                <xdr:rowOff>27</xdr:rowOff>
              </xdr:to>
            </anchor>
          </commentPr>
        </mc:Choice>
        <mc:Fallback/>
      </mc:AlternateContent>
    </comment>
    <comment ref="E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2</xdr:row>
                <xdr:rowOff>27</xdr:rowOff>
              </xdr:to>
            </anchor>
          </commentPr>
        </mc:Choice>
        <mc:Fallback/>
      </mc:AlternateContent>
    </comment>
    <comment ref="E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2</xdr:row>
                <xdr:rowOff>27</xdr:rowOff>
              </xdr:to>
            </anchor>
          </commentPr>
        </mc:Choice>
        <mc:Fallback/>
      </mc:AlternateContent>
    </comment>
    <comment ref="E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2</xdr:row>
                <xdr:rowOff>27</xdr:rowOff>
              </xdr:to>
            </anchor>
          </commentPr>
        </mc:Choice>
        <mc:Fallback/>
      </mc:AlternateContent>
    </comment>
    <comment ref="E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2</xdr:row>
                <xdr:rowOff>27</xdr:rowOff>
              </xdr:to>
            </anchor>
          </commentPr>
        </mc:Choice>
        <mc:Fallback/>
      </mc:AlternateContent>
    </comment>
    <comment ref="E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2</xdr:row>
                <xdr:rowOff>27</xdr:rowOff>
              </xdr:to>
            </anchor>
          </commentPr>
        </mc:Choice>
        <mc:Fallback/>
      </mc:AlternateContent>
    </comment>
    <comment ref="E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2</xdr:row>
                <xdr:rowOff>27</xdr:rowOff>
              </xdr:to>
            </anchor>
          </commentPr>
        </mc:Choice>
        <mc:Fallback/>
      </mc:AlternateContent>
    </comment>
    <comment ref="E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2</xdr:row>
                <xdr:rowOff>27</xdr:rowOff>
              </xdr:to>
            </anchor>
          </commentPr>
        </mc:Choice>
        <mc:Fallback/>
      </mc:AlternateContent>
    </comment>
    <comment ref="E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2</xdr:row>
                <xdr:rowOff>27</xdr:rowOff>
              </xdr:to>
            </anchor>
          </commentPr>
        </mc:Choice>
        <mc:Fallback/>
      </mc:AlternateContent>
    </comment>
    <comment ref="E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2</xdr:row>
                <xdr:rowOff>27</xdr:rowOff>
              </xdr:to>
            </anchor>
          </commentPr>
        </mc:Choice>
        <mc:Fallback/>
      </mc:AlternateContent>
    </comment>
    <comment ref="E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2</xdr:row>
                <xdr:rowOff>27</xdr:rowOff>
              </xdr:to>
            </anchor>
          </commentPr>
        </mc:Choice>
        <mc:Fallback/>
      </mc:AlternateContent>
    </comment>
    <comment ref="F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2</xdr:row>
                <xdr:rowOff>27</xdr:rowOff>
              </xdr:to>
            </anchor>
          </commentPr>
        </mc:Choice>
        <mc:Fallback/>
      </mc:AlternateContent>
    </comment>
    <comment ref="F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2</xdr:row>
                <xdr:rowOff>27</xdr:rowOff>
              </xdr:to>
            </anchor>
          </commentPr>
        </mc:Choice>
        <mc:Fallback/>
      </mc:AlternateContent>
    </comment>
    <comment ref="F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2</xdr:row>
                <xdr:rowOff>27</xdr:rowOff>
              </xdr:to>
            </anchor>
          </commentPr>
        </mc:Choice>
        <mc:Fallback/>
      </mc:AlternateContent>
    </comment>
    <comment ref="F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2</xdr:row>
                <xdr:rowOff>27</xdr:rowOff>
              </xdr:to>
            </anchor>
          </commentPr>
        </mc:Choice>
        <mc:Fallback/>
      </mc:AlternateContent>
    </comment>
    <comment ref="F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2</xdr:row>
                <xdr:rowOff>27</xdr:rowOff>
              </xdr:to>
            </anchor>
          </commentPr>
        </mc:Choice>
        <mc:Fallback/>
      </mc:AlternateContent>
    </comment>
    <comment ref="F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2</xdr:row>
                <xdr:rowOff>27</xdr:rowOff>
              </xdr:to>
            </anchor>
          </commentPr>
        </mc:Choice>
        <mc:Fallback/>
      </mc:AlternateContent>
    </comment>
    <comment ref="F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2</xdr:row>
                <xdr:rowOff>27</xdr:rowOff>
              </xdr:to>
            </anchor>
          </commentPr>
        </mc:Choice>
        <mc:Fallback/>
      </mc:AlternateContent>
    </comment>
    <comment ref="F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2</xdr:row>
                <xdr:rowOff>27</xdr:rowOff>
              </xdr:to>
            </anchor>
          </commentPr>
        </mc:Choice>
        <mc:Fallback/>
      </mc:AlternateContent>
    </comment>
    <comment ref="F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2</xdr:row>
                <xdr:rowOff>27</xdr:rowOff>
              </xdr:to>
            </anchor>
          </commentPr>
        </mc:Choice>
        <mc:Fallback/>
      </mc:AlternateContent>
    </comment>
    <comment ref="F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2</xdr:row>
                <xdr:rowOff>27</xdr:rowOff>
              </xdr:to>
            </anchor>
          </commentPr>
        </mc:Choice>
        <mc:Fallback/>
      </mc:AlternateContent>
    </comment>
    <comment ref="F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2</xdr:row>
                <xdr:rowOff>27</xdr:rowOff>
              </xdr:to>
            </anchor>
          </commentPr>
        </mc:Choice>
        <mc:Fallback/>
      </mc:AlternateContent>
    </comment>
    <comment ref="F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2</xdr:row>
                <xdr:rowOff>27</xdr:rowOff>
              </xdr:to>
            </anchor>
          </commentPr>
        </mc:Choice>
        <mc:Fallback/>
      </mc:AlternateContent>
    </comment>
    <comment ref="F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2</xdr:row>
                <xdr:rowOff>27</xdr:rowOff>
              </xdr:to>
            </anchor>
          </commentPr>
        </mc:Choice>
        <mc:Fallback/>
      </mc:AlternateContent>
    </comment>
    <comment ref="F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2</xdr:row>
                <xdr:rowOff>27</xdr:rowOff>
              </xdr:to>
            </anchor>
          </commentPr>
        </mc:Choice>
        <mc:Fallback/>
      </mc:AlternateContent>
    </comment>
    <comment ref="F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2</xdr:row>
                <xdr:rowOff>27</xdr:rowOff>
              </xdr:to>
            </anchor>
          </commentPr>
        </mc:Choice>
        <mc:Fallback/>
      </mc:AlternateContent>
    </comment>
    <comment ref="F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2</xdr:row>
                <xdr:rowOff>27</xdr:rowOff>
              </xdr:to>
            </anchor>
          </commentPr>
        </mc:Choice>
        <mc:Fallback/>
      </mc:AlternateContent>
    </comment>
    <comment ref="F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2</xdr:row>
                <xdr:rowOff>27</xdr:rowOff>
              </xdr:to>
            </anchor>
          </commentPr>
        </mc:Choice>
        <mc:Fallback/>
      </mc:AlternateContent>
    </comment>
    <comment ref="F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2</xdr:row>
                <xdr:rowOff>27</xdr:rowOff>
              </xdr:to>
            </anchor>
          </commentPr>
        </mc:Choice>
        <mc:Fallback/>
      </mc:AlternateContent>
    </comment>
    <comment ref="F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2</xdr:row>
                <xdr:rowOff>27</xdr:rowOff>
              </xdr:to>
            </anchor>
          </commentPr>
        </mc:Choice>
        <mc:Fallback/>
      </mc:AlternateContent>
    </comment>
    <comment ref="F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2</xdr:row>
                <xdr:rowOff>27</xdr:rowOff>
              </xdr:to>
            </anchor>
          </commentPr>
        </mc:Choice>
        <mc:Fallback/>
      </mc:AlternateContent>
    </comment>
    <comment ref="F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2</xdr:row>
                <xdr:rowOff>27</xdr:rowOff>
              </xdr:to>
            </anchor>
          </commentPr>
        </mc:Choice>
        <mc:Fallback/>
      </mc:AlternateContent>
    </comment>
    <comment ref="F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2</xdr:row>
                <xdr:rowOff>27</xdr:rowOff>
              </xdr:to>
            </anchor>
          </commentPr>
        </mc:Choice>
        <mc:Fallback/>
      </mc:AlternateContent>
    </comment>
    <comment ref="F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2</xdr:row>
                <xdr:rowOff>27</xdr:rowOff>
              </xdr:to>
            </anchor>
          </commentPr>
        </mc:Choice>
        <mc:Fallback/>
      </mc:AlternateContent>
    </comment>
    <comment ref="F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2</xdr:row>
                <xdr:rowOff>27</xdr:rowOff>
              </xdr:to>
            </anchor>
          </commentPr>
        </mc:Choice>
        <mc:Fallback/>
      </mc:AlternateContent>
    </comment>
    <comment ref="F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2</xdr:row>
                <xdr:rowOff>27</xdr:rowOff>
              </xdr:to>
            </anchor>
          </commentPr>
        </mc:Choice>
        <mc:Fallback/>
      </mc:AlternateContent>
    </comment>
    <comment ref="F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2</xdr:row>
                <xdr:rowOff>27</xdr:rowOff>
              </xdr:to>
            </anchor>
          </commentPr>
        </mc:Choice>
        <mc:Fallback/>
      </mc:AlternateContent>
    </comment>
    <comment ref="F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2</xdr:row>
                <xdr:rowOff>27</xdr:rowOff>
              </xdr:to>
            </anchor>
          </commentPr>
        </mc:Choice>
        <mc:Fallback/>
      </mc:AlternateContent>
    </comment>
    <comment ref="F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2</xdr:row>
                <xdr:rowOff>27</xdr:rowOff>
              </xdr:to>
            </anchor>
          </commentPr>
        </mc:Choice>
        <mc:Fallback/>
      </mc:AlternateContent>
    </comment>
    <comment ref="F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2</xdr:row>
                <xdr:rowOff>27</xdr:rowOff>
              </xdr:to>
            </anchor>
          </commentPr>
        </mc:Choice>
        <mc:Fallback/>
      </mc:AlternateContent>
    </comment>
    <comment ref="F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2</xdr:row>
                <xdr:rowOff>27</xdr:rowOff>
              </xdr:to>
            </anchor>
          </commentPr>
        </mc:Choice>
        <mc:Fallback/>
      </mc:AlternateContent>
    </comment>
    <comment ref="G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2</xdr:row>
                <xdr:rowOff>27</xdr:rowOff>
              </xdr:to>
            </anchor>
          </commentPr>
        </mc:Choice>
        <mc:Fallback/>
      </mc:AlternateContent>
    </comment>
    <comment ref="G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2</xdr:row>
                <xdr:rowOff>27</xdr:rowOff>
              </xdr:to>
            </anchor>
          </commentPr>
        </mc:Choice>
        <mc:Fallback/>
      </mc:AlternateContent>
    </comment>
    <comment ref="G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2</xdr:row>
                <xdr:rowOff>27</xdr:rowOff>
              </xdr:to>
            </anchor>
          </commentPr>
        </mc:Choice>
        <mc:Fallback/>
      </mc:AlternateContent>
    </comment>
    <comment ref="G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2</xdr:row>
                <xdr:rowOff>27</xdr:rowOff>
              </xdr:to>
            </anchor>
          </commentPr>
        </mc:Choice>
        <mc:Fallback/>
      </mc:AlternateContent>
    </comment>
    <comment ref="G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2</xdr:row>
                <xdr:rowOff>27</xdr:rowOff>
              </xdr:to>
            </anchor>
          </commentPr>
        </mc:Choice>
        <mc:Fallback/>
      </mc:AlternateContent>
    </comment>
    <comment ref="G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2</xdr:row>
                <xdr:rowOff>27</xdr:rowOff>
              </xdr:to>
            </anchor>
          </commentPr>
        </mc:Choice>
        <mc:Fallback/>
      </mc:AlternateContent>
    </comment>
    <comment ref="G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2</xdr:row>
                <xdr:rowOff>27</xdr:rowOff>
              </xdr:to>
            </anchor>
          </commentPr>
        </mc:Choice>
        <mc:Fallback/>
      </mc:AlternateContent>
    </comment>
    <comment ref="G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2</xdr:row>
                <xdr:rowOff>27</xdr:rowOff>
              </xdr:to>
            </anchor>
          </commentPr>
        </mc:Choice>
        <mc:Fallback/>
      </mc:AlternateContent>
    </comment>
    <comment ref="G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2</xdr:row>
                <xdr:rowOff>27</xdr:rowOff>
              </xdr:to>
            </anchor>
          </commentPr>
        </mc:Choice>
        <mc:Fallback/>
      </mc:AlternateContent>
    </comment>
    <comment ref="G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2</xdr:row>
                <xdr:rowOff>27</xdr:rowOff>
              </xdr:to>
            </anchor>
          </commentPr>
        </mc:Choice>
        <mc:Fallback/>
      </mc:AlternateContent>
    </comment>
    <comment ref="G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2</xdr:row>
                <xdr:rowOff>27</xdr:rowOff>
              </xdr:to>
            </anchor>
          </commentPr>
        </mc:Choice>
        <mc:Fallback/>
      </mc:AlternateContent>
    </comment>
    <comment ref="G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2</xdr:row>
                <xdr:rowOff>27</xdr:rowOff>
              </xdr:to>
            </anchor>
          </commentPr>
        </mc:Choice>
        <mc:Fallback/>
      </mc:AlternateContent>
    </comment>
    <comment ref="G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2</xdr:row>
                <xdr:rowOff>27</xdr:rowOff>
              </xdr:to>
            </anchor>
          </commentPr>
        </mc:Choice>
        <mc:Fallback/>
      </mc:AlternateContent>
    </comment>
    <comment ref="G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2</xdr:row>
                <xdr:rowOff>27</xdr:rowOff>
              </xdr:to>
            </anchor>
          </commentPr>
        </mc:Choice>
        <mc:Fallback/>
      </mc:AlternateContent>
    </comment>
    <comment ref="G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2</xdr:row>
                <xdr:rowOff>27</xdr:rowOff>
              </xdr:to>
            </anchor>
          </commentPr>
        </mc:Choice>
        <mc:Fallback/>
      </mc:AlternateContent>
    </comment>
    <comment ref="G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2</xdr:row>
                <xdr:rowOff>27</xdr:rowOff>
              </xdr:to>
            </anchor>
          </commentPr>
        </mc:Choice>
        <mc:Fallback/>
      </mc:AlternateContent>
    </comment>
    <comment ref="G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2</xdr:row>
                <xdr:rowOff>27</xdr:rowOff>
              </xdr:to>
            </anchor>
          </commentPr>
        </mc:Choice>
        <mc:Fallback/>
      </mc:AlternateContent>
    </comment>
    <comment ref="G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2</xdr:row>
                <xdr:rowOff>27</xdr:rowOff>
              </xdr:to>
            </anchor>
          </commentPr>
        </mc:Choice>
        <mc:Fallback/>
      </mc:AlternateContent>
    </comment>
    <comment ref="G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2</xdr:row>
                <xdr:rowOff>27</xdr:rowOff>
              </xdr:to>
            </anchor>
          </commentPr>
        </mc:Choice>
        <mc:Fallback/>
      </mc:AlternateContent>
    </comment>
    <comment ref="G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2</xdr:row>
                <xdr:rowOff>27</xdr:rowOff>
              </xdr:to>
            </anchor>
          </commentPr>
        </mc:Choice>
        <mc:Fallback/>
      </mc:AlternateContent>
    </comment>
    <comment ref="G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2</xdr:row>
                <xdr:rowOff>27</xdr:rowOff>
              </xdr:to>
            </anchor>
          </commentPr>
        </mc:Choice>
        <mc:Fallback/>
      </mc:AlternateContent>
    </comment>
    <comment ref="G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2</xdr:row>
                <xdr:rowOff>27</xdr:rowOff>
              </xdr:to>
            </anchor>
          </commentPr>
        </mc:Choice>
        <mc:Fallback/>
      </mc:AlternateContent>
    </comment>
    <comment ref="G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2</xdr:row>
                <xdr:rowOff>27</xdr:rowOff>
              </xdr:to>
            </anchor>
          </commentPr>
        </mc:Choice>
        <mc:Fallback/>
      </mc:AlternateContent>
    </comment>
    <comment ref="G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2</xdr:row>
                <xdr:rowOff>27</xdr:rowOff>
              </xdr:to>
            </anchor>
          </commentPr>
        </mc:Choice>
        <mc:Fallback/>
      </mc:AlternateContent>
    </comment>
    <comment ref="G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2</xdr:row>
                <xdr:rowOff>27</xdr:rowOff>
              </xdr:to>
            </anchor>
          </commentPr>
        </mc:Choice>
        <mc:Fallback/>
      </mc:AlternateContent>
    </comment>
    <comment ref="G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2</xdr:row>
                <xdr:rowOff>27</xdr:rowOff>
              </xdr:to>
            </anchor>
          </commentPr>
        </mc:Choice>
        <mc:Fallback/>
      </mc:AlternateContent>
    </comment>
    <comment ref="G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2</xdr:row>
                <xdr:rowOff>27</xdr:rowOff>
              </xdr:to>
            </anchor>
          </commentPr>
        </mc:Choice>
        <mc:Fallback/>
      </mc:AlternateContent>
    </comment>
    <comment ref="G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2</xdr:row>
                <xdr:rowOff>27</xdr:rowOff>
              </xdr:to>
            </anchor>
          </commentPr>
        </mc:Choice>
        <mc:Fallback/>
      </mc:AlternateContent>
    </comment>
    <comment ref="G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2</xdr:row>
                <xdr:rowOff>27</xdr:rowOff>
              </xdr:to>
            </anchor>
          </commentPr>
        </mc:Choice>
        <mc:Fallback/>
      </mc:AlternateContent>
    </comment>
    <comment ref="G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2</xdr:row>
                <xdr:rowOff>27</xdr:rowOff>
              </xdr:to>
            </anchor>
          </commentPr>
        </mc:Choice>
        <mc:Fallback/>
      </mc:AlternateContent>
    </comment>
    <comment ref="H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2</xdr:row>
                <xdr:rowOff>27</xdr:rowOff>
              </xdr:to>
            </anchor>
          </commentPr>
        </mc:Choice>
        <mc:Fallback/>
      </mc:AlternateContent>
    </comment>
    <comment ref="H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2</xdr:row>
                <xdr:rowOff>27</xdr:rowOff>
              </xdr:to>
            </anchor>
          </commentPr>
        </mc:Choice>
        <mc:Fallback/>
      </mc:AlternateContent>
    </comment>
    <comment ref="H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2</xdr:row>
                <xdr:rowOff>27</xdr:rowOff>
              </xdr:to>
            </anchor>
          </commentPr>
        </mc:Choice>
        <mc:Fallback/>
      </mc:AlternateContent>
    </comment>
    <comment ref="H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2</xdr:row>
                <xdr:rowOff>27</xdr:rowOff>
              </xdr:to>
            </anchor>
          </commentPr>
        </mc:Choice>
        <mc:Fallback/>
      </mc:AlternateContent>
    </comment>
    <comment ref="H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2</xdr:row>
                <xdr:rowOff>27</xdr:rowOff>
              </xdr:to>
            </anchor>
          </commentPr>
        </mc:Choice>
        <mc:Fallback/>
      </mc:AlternateContent>
    </comment>
    <comment ref="H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2</xdr:row>
                <xdr:rowOff>27</xdr:rowOff>
              </xdr:to>
            </anchor>
          </commentPr>
        </mc:Choice>
        <mc:Fallback/>
      </mc:AlternateContent>
    </comment>
    <comment ref="H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2</xdr:row>
                <xdr:rowOff>27</xdr:rowOff>
              </xdr:to>
            </anchor>
          </commentPr>
        </mc:Choice>
        <mc:Fallback/>
      </mc:AlternateContent>
    </comment>
    <comment ref="H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2</xdr:row>
                <xdr:rowOff>27</xdr:rowOff>
              </xdr:to>
            </anchor>
          </commentPr>
        </mc:Choice>
        <mc:Fallback/>
      </mc:AlternateContent>
    </comment>
    <comment ref="H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2</xdr:row>
                <xdr:rowOff>27</xdr:rowOff>
              </xdr:to>
            </anchor>
          </commentPr>
        </mc:Choice>
        <mc:Fallback/>
      </mc:AlternateContent>
    </comment>
    <comment ref="H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2</xdr:row>
                <xdr:rowOff>27</xdr:rowOff>
              </xdr:to>
            </anchor>
          </commentPr>
        </mc:Choice>
        <mc:Fallback/>
      </mc:AlternateContent>
    </comment>
    <comment ref="H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2</xdr:row>
                <xdr:rowOff>27</xdr:rowOff>
              </xdr:to>
            </anchor>
          </commentPr>
        </mc:Choice>
        <mc:Fallback/>
      </mc:AlternateContent>
    </comment>
    <comment ref="H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2</xdr:row>
                <xdr:rowOff>27</xdr:rowOff>
              </xdr:to>
            </anchor>
          </commentPr>
        </mc:Choice>
        <mc:Fallback/>
      </mc:AlternateContent>
    </comment>
    <comment ref="H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2</xdr:row>
                <xdr:rowOff>27</xdr:rowOff>
              </xdr:to>
            </anchor>
          </commentPr>
        </mc:Choice>
        <mc:Fallback/>
      </mc:AlternateContent>
    </comment>
    <comment ref="H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2</xdr:row>
                <xdr:rowOff>27</xdr:rowOff>
              </xdr:to>
            </anchor>
          </commentPr>
        </mc:Choice>
        <mc:Fallback/>
      </mc:AlternateContent>
    </comment>
    <comment ref="H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2</xdr:row>
                <xdr:rowOff>27</xdr:rowOff>
              </xdr:to>
            </anchor>
          </commentPr>
        </mc:Choice>
        <mc:Fallback/>
      </mc:AlternateContent>
    </comment>
    <comment ref="H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2</xdr:row>
                <xdr:rowOff>27</xdr:rowOff>
              </xdr:to>
            </anchor>
          </commentPr>
        </mc:Choice>
        <mc:Fallback/>
      </mc:AlternateContent>
    </comment>
    <comment ref="H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2</xdr:row>
                <xdr:rowOff>27</xdr:rowOff>
              </xdr:to>
            </anchor>
          </commentPr>
        </mc:Choice>
        <mc:Fallback/>
      </mc:AlternateContent>
    </comment>
    <comment ref="H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2</xdr:row>
                <xdr:rowOff>27</xdr:rowOff>
              </xdr:to>
            </anchor>
          </commentPr>
        </mc:Choice>
        <mc:Fallback/>
      </mc:AlternateContent>
    </comment>
    <comment ref="H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2</xdr:row>
                <xdr:rowOff>27</xdr:rowOff>
              </xdr:to>
            </anchor>
          </commentPr>
        </mc:Choice>
        <mc:Fallback/>
      </mc:AlternateContent>
    </comment>
    <comment ref="H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2</xdr:row>
                <xdr:rowOff>27</xdr:rowOff>
              </xdr:to>
            </anchor>
          </commentPr>
        </mc:Choice>
        <mc:Fallback/>
      </mc:AlternateContent>
    </comment>
    <comment ref="H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2</xdr:row>
                <xdr:rowOff>27</xdr:rowOff>
              </xdr:to>
            </anchor>
          </commentPr>
        </mc:Choice>
        <mc:Fallback/>
      </mc:AlternateContent>
    </comment>
    <comment ref="H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2</xdr:row>
                <xdr:rowOff>27</xdr:rowOff>
              </xdr:to>
            </anchor>
          </commentPr>
        </mc:Choice>
        <mc:Fallback/>
      </mc:AlternateContent>
    </comment>
    <comment ref="H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2</xdr:row>
                <xdr:rowOff>27</xdr:rowOff>
              </xdr:to>
            </anchor>
          </commentPr>
        </mc:Choice>
        <mc:Fallback/>
      </mc:AlternateContent>
    </comment>
    <comment ref="H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2</xdr:row>
                <xdr:rowOff>27</xdr:rowOff>
              </xdr:to>
            </anchor>
          </commentPr>
        </mc:Choice>
        <mc:Fallback/>
      </mc:AlternateContent>
    </comment>
    <comment ref="H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2</xdr:row>
                <xdr:rowOff>27</xdr:rowOff>
              </xdr:to>
            </anchor>
          </commentPr>
        </mc:Choice>
        <mc:Fallback/>
      </mc:AlternateContent>
    </comment>
    <comment ref="H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2</xdr:row>
                <xdr:rowOff>27</xdr:rowOff>
              </xdr:to>
            </anchor>
          </commentPr>
        </mc:Choice>
        <mc:Fallback/>
      </mc:AlternateContent>
    </comment>
    <comment ref="H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2</xdr:row>
                <xdr:rowOff>27</xdr:rowOff>
              </xdr:to>
            </anchor>
          </commentPr>
        </mc:Choice>
        <mc:Fallback/>
      </mc:AlternateContent>
    </comment>
    <comment ref="H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2</xdr:row>
                <xdr:rowOff>27</xdr:rowOff>
              </xdr:to>
            </anchor>
          </commentPr>
        </mc:Choice>
        <mc:Fallback/>
      </mc:AlternateContent>
    </comment>
    <comment ref="H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2</xdr:row>
                <xdr:rowOff>27</xdr:rowOff>
              </xdr:to>
            </anchor>
          </commentPr>
        </mc:Choice>
        <mc:Fallback/>
      </mc:AlternateContent>
    </comment>
    <comment ref="H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2</xdr:row>
                <xdr:rowOff>27</xdr:rowOff>
              </xdr:to>
            </anchor>
          </commentPr>
        </mc:Choice>
        <mc:Fallback/>
      </mc:AlternateContent>
    </comment>
  </commentList>
</comments>
</file>

<file path=xl/comments13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B5" authorId="0">
      <text>
        <r>
          <rPr>
            <sz val="10"/>
            <rFont val="Arial"/>
            <family val="2"/>
          </rPr>
          <t xml:space="preserve">Tanım: Kredi Sayısı | Neden önemli: Karar motoru girdisi | Doğru giriş: Formül | Örnek: - | Yanlışsa: - | Not: KREDILER tablosundaki dolu kredi sayısı.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-117</xdr:colOff>
                <xdr:row>3</xdr:row>
                <xdr:rowOff>1</xdr:rowOff>
              </xdr:to>
            </anchor>
          </commentPr>
        </mc:Choice>
        <mc:Fallback/>
      </mc:AlternateContent>
    </comment>
    <comment ref="B6" authorId="0">
      <text>
        <r>
          <rPr>
            <sz val="10"/>
            <rFont val="Arial"/>
            <family val="2"/>
          </rPr>
          <t xml:space="preserve">Tanım: Banka Sayısı | Neden önemli: Karar motoru girdisi | Doğru giriş: Formül | Örnek: - | Yanlışsa: - | Not: BANKALAR tablosundaki banka kartı sayısı.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-117</xdr:colOff>
                <xdr:row>3</xdr:row>
                <xdr:rowOff>1</xdr:rowOff>
              </xdr:to>
            </anchor>
          </commentPr>
        </mc:Choice>
        <mc:Fallback/>
      </mc:AlternateContent>
    </comment>
    <comment ref="B7" authorId="0">
      <text>
        <r>
          <rPr>
            <sz val="10"/>
            <rFont val="Arial"/>
            <family val="2"/>
          </rPr>
          <t xml:space="preserve">Tanım: Toplam Anapara | Neden önemli: Karar motoru girdisi | Doğru giriş: Formül | Örnek: - | Yanlışsa: - | Not: Kullanıma verilen toplam anapara.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-117</xdr:colOff>
                <xdr:row>3</xdr:row>
                <xdr:rowOff>1</xdr:rowOff>
              </xdr:to>
            </anchor>
          </commentPr>
        </mc:Choice>
        <mc:Fallback/>
      </mc:AlternateContent>
    </comment>
    <comment ref="B8" authorId="0">
      <text>
        <r>
          <rPr>
            <sz val="10"/>
            <rFont val="Arial"/>
            <family val="2"/>
          </rPr>
          <t xml:space="preserve">Tanım: Güncel Bakiye Toplamı | Neden önemli: Karar motoru girdisi | Doğru giriş: Formül | Örnek: - | Yanlışsa: - | Not: Kredilerin bugünkü kalan anapara toplamı.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-117</xdr:colOff>
                <xdr:row>3</xdr:row>
                <xdr:rowOff>1</xdr:rowOff>
              </xdr:to>
            </anchor>
          </commentPr>
        </mc:Choice>
        <mc:Fallback/>
      </mc:AlternateContent>
    </comment>
    <comment ref="B9" authorId="0">
      <text>
        <r>
          <rPr>
            <sz val="10"/>
            <rFont val="Arial"/>
            <family val="2"/>
          </rPr>
          <t xml:space="preserve">Tanım: TRY Bakiye | Neden önemli: Karar motoru girdisi | Doğru giriş: Formül | Örnek: - | Yanlışsa: - | Not: TRY cinsi kalan bakiye.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-117</xdr:colOff>
                <xdr:row>3</xdr:row>
                <xdr:rowOff>1</xdr:rowOff>
              </xdr:to>
            </anchor>
          </commentPr>
        </mc:Choice>
        <mc:Fallback/>
      </mc:AlternateContent>
    </comment>
    <comment ref="B10" authorId="0">
      <text>
        <r>
          <rPr>
            <sz val="10"/>
            <rFont val="Arial"/>
            <family val="2"/>
          </rPr>
          <t xml:space="preserve">Tanım: USD Bakiye | Neden önemli: Karar motoru girdisi | Doğru giriş: Formül | Örnek: - | Yanlışsa: - | Not: USD cinsi kalan bakiye.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-117</xdr:colOff>
                <xdr:row>3</xdr:row>
                <xdr:rowOff>1</xdr:rowOff>
              </xdr:to>
            </anchor>
          </commentPr>
        </mc:Choice>
        <mc:Fallback/>
      </mc:AlternateContent>
    </comment>
    <comment ref="B11" authorId="0">
      <text>
        <r>
          <rPr>
            <sz val="10"/>
            <rFont val="Arial"/>
            <family val="2"/>
          </rPr>
          <t xml:space="preserve">Tanım: EUR Bakiye | Neden önemli: Karar motoru girdisi | Doğru giriş: Formül | Örnek: - | Yanlışsa: - | Not: EUR cinsi kalan bakiye.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-117</xdr:colOff>
                <xdr:row>3</xdr:row>
                <xdr:rowOff>1</xdr:rowOff>
              </xdr:to>
            </anchor>
          </commentPr>
        </mc:Choice>
        <mc:Fallback/>
      </mc:AlternateContent>
    </comment>
    <comment ref="B12" authorId="0">
      <text>
        <r>
          <rPr>
            <sz val="10"/>
            <rFont val="Arial"/>
            <family val="2"/>
          </rPr>
          <t xml:space="preserve">Tanım: Döviz Bakiye | Neden önemli: Karar motoru girdisi | Doğru giriş: Formül | Örnek: - | Yanlışsa: - | Not: TRY dışı toplam bakiye (kur riski).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-117</xdr:colOff>
                <xdr:row>3</xdr:row>
                <xdr:rowOff>1</xdr:rowOff>
              </xdr:to>
            </anchor>
          </commentPr>
        </mc:Choice>
        <mc:Fallback/>
      </mc:AlternateContent>
    </comment>
    <comment ref="B13" authorId="0">
      <text>
        <r>
          <rPr>
            <sz val="10"/>
            <rFont val="Arial"/>
            <family val="2"/>
          </rPr>
          <t xml:space="preserve">Tanım: Toplam Aylık Taksit | Neden önemli: Karar motoru girdisi | Doğru giriş: Formül | Örnek: - | Yanlışsa: - | Not: TAKSIT_PLANI toplam ödeme tutarı.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-117</xdr:colOff>
                <xdr:row>3</xdr:row>
                <xdr:rowOff>1</xdr:rowOff>
              </xdr:to>
            </anchor>
          </commentPr>
        </mc:Choice>
        <mc:Fallback/>
      </mc:AlternateContent>
    </comment>
    <comment ref="B14" authorId="0">
      <text>
        <r>
          <rPr>
            <sz val="10"/>
            <rFont val="Arial"/>
            <family val="2"/>
          </rPr>
          <t xml:space="preserve">Tanım: Ödenmemiş Taksit Toplamı | Neden önemli: Karar motoru girdisi | Doğru giriş: Formül | Örnek: - | Yanlışsa: - | Not: Henüz ödenmemiş taksitlerin toplamı.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-117</xdr:colOff>
                <xdr:row>3</xdr:row>
                <xdr:rowOff>1</xdr:rowOff>
              </xdr:to>
            </anchor>
          </commentPr>
        </mc:Choice>
        <mc:Fallback/>
      </mc:AlternateContent>
    </comment>
    <comment ref="B15" authorId="0">
      <text>
        <r>
          <rPr>
            <sz val="10"/>
            <rFont val="Arial"/>
            <family val="2"/>
          </rPr>
          <t xml:space="preserve">Tanım: 30 Günlük Ödeme Yükü | Neden önemli: Karar motoru girdisi | Doğru giriş: Formül | Örnek: - | Yanlışsa: - | Not: Önümüzdeki 30 günde ödenecek taksit toplamı.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-117</xdr:colOff>
                <xdr:row>3</xdr:row>
                <xdr:rowOff>1</xdr:rowOff>
              </xdr:to>
            </anchor>
          </commentPr>
        </mc:Choice>
        <mc:Fallback/>
      </mc:AlternateContent>
    </comment>
    <comment ref="B16" authorId="0">
      <text>
        <r>
          <rPr>
            <sz val="10"/>
            <rFont val="Arial"/>
            <family val="2"/>
          </rPr>
          <t xml:space="preserve">Tanım: Vadesi Geçen Taksit Sayısı | Neden önemli: Karar motoru girdisi | Doğru giriş: Formül | Örnek: - | Yanlışsa: - | Not: Kalan günü eksi olan taksit kaydı sayısı.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-117</xdr:colOff>
                <xdr:row>3</xdr:row>
                <xdr:rowOff>1</xdr:rowOff>
              </xdr:to>
            </anchor>
          </commentPr>
        </mc:Choice>
        <mc:Fallback/>
      </mc:AlternateContent>
    </comment>
    <comment ref="B17" authorId="0">
      <text>
        <r>
          <rPr>
            <sz val="10"/>
            <rFont val="Arial"/>
            <family val="2"/>
          </rPr>
          <t xml:space="preserve">Tanım: Vadesi Geçen Taksit Tutarı | Neden önemli: Karar motoru girdisi | Doğru giriş: Formül | Örnek: - | Yanlışsa: - | Not: Vadesi geçmiş taksitlerin tutarı.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-117</xdr:colOff>
                <xdr:row>3</xdr:row>
                <xdr:rowOff>1</xdr:rowOff>
              </xdr:to>
            </anchor>
          </commentPr>
        </mc:Choice>
        <mc:Fallback/>
      </mc:AlternateContent>
    </comment>
    <comment ref="B18" authorId="0">
      <text>
        <r>
          <rPr>
            <sz val="10"/>
            <rFont val="Arial"/>
            <family val="2"/>
          </rPr>
          <t xml:space="preserve">Tanım: TRY Masraf | Neden önemli: Karar motoru girdisi | Doğru giriş: Formül | Örnek: - | Yanlışsa: - | Not: TRY cinsi tahsis/sigorta/komisyon toplamı.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-117</xdr:colOff>
                <xdr:row>3</xdr:row>
                <xdr:rowOff>1</xdr:rowOff>
              </xdr:to>
            </anchor>
          </commentPr>
        </mc:Choice>
        <mc:Fallback/>
      </mc:AlternateContent>
    </comment>
    <comment ref="B19" authorId="0">
      <text>
        <r>
          <rPr>
            <sz val="10"/>
            <rFont val="Arial"/>
            <family val="2"/>
          </rPr>
          <t xml:space="preserve">Tanım: USD Masraf | Neden önemli: Karar motoru girdisi | Doğru giriş: Formül | Örnek: - | Yanlışsa: - | Not: USD cinsi masraf toplamı.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-117</xdr:colOff>
                <xdr:row>3</xdr:row>
                <xdr:rowOff>1</xdr:rowOff>
              </xdr:to>
            </anchor>
          </commentPr>
        </mc:Choice>
        <mc:Fallback/>
      </mc:AlternateContent>
    </comment>
    <comment ref="B20" authorId="0">
      <text>
        <r>
          <rPr>
            <sz val="10"/>
            <rFont val="Arial"/>
            <family val="2"/>
          </rPr>
          <t xml:space="preserve">Tanım: Mutabakat Farkı | Neden önemli: Karar motoru girdisi | Doğru giriş: Formül | Örnek: - | Yanlışsa: - | Not: Kalan anapara ile ödenmemiş taksit anaparaları arasındaki fark.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-117</xdr:colOff>
                <xdr:row>3</xdr:row>
                <xdr:rowOff>1</xdr:rowOff>
              </xdr:to>
            </anchor>
          </commentPr>
        </mc:Choice>
        <mc:Fallback/>
      </mc:AlternateContent>
    </comment>
    <comment ref="B21" authorId="0">
      <text>
        <r>
          <rPr>
            <sz val="10"/>
            <rFont val="Arial"/>
            <family val="2"/>
          </rPr>
          <t xml:space="preserve">Tanım: Toplam Teminat | Neden önemli: Karar motoru girdisi | Doğru giriş: Formül | Örnek: - | Yanlışsa: - | Not: Teminatların ekspertiz değeri toplamı.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-117</xdr:colOff>
                <xdr:row>3</xdr:row>
                <xdr:rowOff>1</xdr:rowOff>
              </xdr:to>
            </anchor>
          </commentPr>
        </mc:Choice>
        <mc:Fallback/>
      </mc:AlternateContent>
    </comment>
    <comment ref="B22" authorId="0">
      <text>
        <r>
          <rPr>
            <sz val="10"/>
            <rFont val="Arial"/>
            <family val="2"/>
          </rPr>
          <t xml:space="preserve">Tanım: Kullanılan Limit | Neden önemli: Karar motoru girdisi | Doğru giriş: Formül | Örnek: - | Yanlışsa: - | Not: Banka limitlerinden kullanılan toplam.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-117</xdr:colOff>
                <xdr:row>3</xdr:row>
                <xdr:rowOff>1</xdr:rowOff>
              </xdr:to>
            </anchor>
          </commentPr>
        </mc:Choice>
        <mc:Fallback/>
      </mc:AlternateContent>
    </comment>
    <comment ref="B23" authorId="0">
      <text>
        <r>
          <rPr>
            <sz val="10"/>
            <rFont val="Arial"/>
            <family val="2"/>
          </rPr>
          <t xml:space="preserve">Tanım: Kalan Limit | Neden önemli: Karar motoru girdisi | Doğru giriş: Formül | Örnek: - | Yanlışsa: - | Not: Kullanılabilir kalan toplam limit.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-117</xdr:colOff>
                <xdr:row>3</xdr:row>
                <xdr:rowOff>1</xdr:rowOff>
              </xdr:to>
            </anchor>
          </commentPr>
        </mc:Choice>
        <mc:Fallback/>
      </mc:AlternateContent>
    </comment>
    <comment ref="B24" authorId="0">
      <text>
        <r>
          <rPr>
            <sz val="10"/>
            <rFont val="Arial"/>
            <family val="2"/>
          </rPr>
          <t xml:space="preserve">Tanım: Ağırlıklı Maliyet | Neden önemli: Karar motoru girdisi | Doğru giriş: Formül | Örnek: - | Yanlışsa: - | Not: Bakiye ağırlıklı ortalama yıllık faiz.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-117</xdr:colOff>
                <xdr:row>3</xdr:row>
                <xdr:rowOff>1</xdr:rowOff>
              </xdr:to>
            </anchor>
          </commentPr>
        </mc:Choice>
        <mc:Fallback/>
      </mc:AlternateContent>
    </comment>
    <comment ref="B26" authorId="0">
      <text>
        <r>
          <rPr>
            <sz val="10"/>
            <rFont val="Arial"/>
            <family val="2"/>
          </rPr>
          <t xml:space="preserve">Tanım: Eksik Zorunlu Alan | Neden önemli: Güven düzeyini belirler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-117</xdr:colOff>
                <xdr:row>3</xdr:row>
                <xdr:rowOff>1</xdr:rowOff>
              </xdr:to>
            </anchor>
          </commentPr>
        </mc:Choice>
        <mc:Fallback/>
      </mc:AlternateContent>
    </comment>
    <comment ref="B27" authorId="0">
      <text>
        <r>
          <rPr>
            <sz val="10"/>
            <rFont val="Arial"/>
            <family val="2"/>
          </rPr>
          <t xml:space="preserve">Tanım: Sıfır/Negatif Tutar | Neden önemli: Güven düzeyini belirler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-117</xdr:colOff>
                <xdr:row>3</xdr:row>
                <xdr:rowOff>1</xdr:rowOff>
              </xdr:to>
            </anchor>
          </commentPr>
        </mc:Choice>
        <mc:Fallback/>
      </mc:AlternateContent>
    </comment>
    <comment ref="B28" authorId="0">
      <text>
        <r>
          <rPr>
            <sz val="10"/>
            <rFont val="Arial"/>
            <family val="2"/>
          </rPr>
          <t xml:space="preserve">Tanım: Mükerrer Kredi ID | Neden önemli: Güven düzeyini belirler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-117</xdr:colOff>
                <xdr:row>3</xdr:row>
                <xdr:rowOff>1</xdr:rowOff>
              </xdr:to>
            </anchor>
          </commentPr>
        </mc:Choice>
        <mc:Fallback/>
      </mc:AlternateContent>
    </comment>
    <comment ref="B29" authorId="0">
      <text>
        <r>
          <rPr>
            <sz val="10"/>
            <rFont val="Arial"/>
            <family val="2"/>
          </rPr>
          <t xml:space="preserve">Tanım: Vadesi Geçen Taksit | Neden önemli: Güven düzeyini belirler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-117</xdr:colOff>
                <xdr:row>3</xdr:row>
                <xdr:rowOff>1</xdr:rowOff>
              </xdr:to>
            </anchor>
          </commentPr>
        </mc:Choice>
        <mc:Fallback/>
      </mc:AlternateContent>
    </comment>
    <comment ref="B30" authorId="0">
      <text>
        <r>
          <rPr>
            <sz val="10"/>
            <rFont val="Arial"/>
            <family val="2"/>
          </rPr>
          <t xml:space="preserve">Tanım: Mutabakat Fark Oranı | Neden önemli: Güven düzeyini belirler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-117</xdr:colOff>
                <xdr:row>3</xdr:row>
                <xdr:rowOff>1</xdr:rowOff>
              </xdr:to>
            </anchor>
          </commentPr>
        </mc:Choice>
        <mc:Fallback/>
      </mc:AlternateContent>
    </comment>
    <comment ref="B31" authorId="0">
      <text>
        <r>
          <rPr>
            <sz val="10"/>
            <rFont val="Arial"/>
            <family val="2"/>
          </rPr>
          <t xml:space="preserve">Tanım: Veri Kalite Skoru | Neden önemli: Güven düzeyini belirler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-117</xdr:colOff>
                <xdr:row>3</xdr:row>
                <xdr:rowOff>1</xdr:rowOff>
              </xdr:to>
            </anchor>
          </commentPr>
        </mc:Choice>
        <mc:Fallback/>
      </mc:AlternateContent>
    </comment>
    <comment ref="B33" authorId="0">
      <text>
        <r>
          <rPr>
            <sz val="10"/>
            <rFont val="Arial"/>
            <family val="2"/>
          </rPr>
          <t xml:space="preserve">Tanım: Modül T1: Vadesi Geçen Taksit | Neden önemli: Analitik derinlik katmanı | Doğru giriş: Formül | Örnek: - | Yanlışsa: - | Not: Vade yaşlandırması: geçmiş taksit sayısı.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-117</xdr:colOff>
                <xdr:row>3</xdr:row>
                <xdr:rowOff>1</xdr:rowOff>
              </xdr:to>
            </anchor>
          </commentPr>
        </mc:Choice>
        <mc:Fallback/>
      </mc:AlternateContent>
    </comment>
    <comment ref="B34" authorId="0">
      <text>
        <r>
          <rPr>
            <sz val="10"/>
            <rFont val="Arial"/>
            <family val="2"/>
          </rPr>
          <t xml:space="preserve">Tanım: Modül T2: Ödeme Eğimi | Neden önemli: Analitik derinlik katmanı | Doğru giriş: Formül | Örnek: - | Yanlışsa: - | Not: Ödeme tutarının tarihe göre eğimi (TL/gün).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-117</xdr:colOff>
                <xdr:row>3</xdr:row>
                <xdr:rowOff>1</xdr:rowOff>
              </xdr:to>
            </anchor>
          </commentPr>
        </mc:Choice>
        <mc:Fallback/>
      </mc:AlternateContent>
    </comment>
    <comment ref="B35" authorId="0">
      <text>
        <r>
          <rPr>
            <sz val="10"/>
            <rFont val="Arial"/>
            <family val="2"/>
          </rPr>
          <t xml:space="preserve">Tanım: Modül T3: Borçta Pareto Payı | Neden önemli: Analitik derinlik katmanı | Doğru giriş: Formül | Örnek: - | Yanlışsa: - | Not: En büyük bankanın borç payı.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-117</xdr:colOff>
                <xdr:row>3</xdr:row>
                <xdr:rowOff>1</xdr:rowOff>
              </xdr:to>
            </anchor>
          </commentPr>
        </mc:Choice>
        <mc:Fallback/>
      </mc:AlternateContent>
    </comment>
    <comment ref="B36" authorId="0">
      <text>
        <r>
          <rPr>
            <sz val="10"/>
            <rFont val="Arial"/>
            <family val="2"/>
          </rPr>
          <t xml:space="preserve">Tanım: Modül T4: Aylık Yük Oranı | Neden önemli: Analitik derinlik katmanı | Doğru giriş: Formül | Örnek: - | Yanlışsa: - | Not: 30 günlük yükün toplam bakiyeye oranı.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-117</xdr:colOff>
                <xdr:row>3</xdr:row>
                <xdr:rowOff>1</xdr:rowOff>
              </xdr:to>
            </anchor>
          </commentPr>
        </mc:Choice>
        <mc:Fallback/>
      </mc:AlternateContent>
    </comment>
    <comment ref="B37" authorId="0">
      <text>
        <r>
          <rPr>
            <sz val="10"/>
            <rFont val="Arial"/>
            <family val="2"/>
          </rPr>
          <t xml:space="preserve">Tanım: Modül T5: Mutabakat Farkı | Neden önemli: Analitik derinlik katmanı | Doğru giriş: Formül | Örnek: - | Yanlışsa: - | Not: Anapara ile ödeme planı farkı.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-117</xdr:colOff>
                <xdr:row>3</xdr:row>
                <xdr:rowOff>1</xdr:rowOff>
              </xdr:to>
            </anchor>
          </commentPr>
        </mc:Choice>
        <mc:Fallback/>
      </mc:AlternateContent>
    </comment>
    <comment ref="B38" authorId="0">
      <text>
        <r>
          <rPr>
            <sz val="10"/>
            <rFont val="Arial"/>
            <family val="2"/>
          </rPr>
          <t xml:space="preserve">Tanım: Modül T6: Kaldıraç Oranı | Neden önemli: Analitik derinlik katmanı | Doğru giriş: Formül | Örnek: - | Yanlışsa: - | Not: Toplam bakiye / yıllık faaliyet kârı.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-117</xdr:colOff>
                <xdr:row>3</xdr:row>
                <xdr:rowOff>1</xdr:rowOff>
              </xdr:to>
            </anchor>
          </commentPr>
        </mc:Choice>
        <mc:Fallback/>
      </mc:AlternateContent>
    </comment>
    <comment ref="B39" authorId="0">
      <text>
        <r>
          <rPr>
            <sz val="10"/>
            <rFont val="Arial"/>
            <family val="2"/>
          </rPr>
          <t xml:space="preserve">Tanım: Modül O1: Anomali Oranı | Neden önemli: Analitik derinlik katmanı | Doğru giriş: Formül | Örnek: - | Yanlışsa: - | Not: En yüksek taksitin ortalamaya oranı.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-117</xdr:colOff>
                <xdr:row>3</xdr:row>
                <xdr:rowOff>1</xdr:rowOff>
              </xdr:to>
            </anchor>
          </commentPr>
        </mc:Choice>
        <mc:Fallback/>
      </mc:AlternateContent>
    </comment>
    <comment ref="B40" authorId="0">
      <text>
        <r>
          <rPr>
            <sz val="10"/>
            <rFont val="Arial"/>
            <family val="2"/>
          </rPr>
          <t xml:space="preserve">Tanım: Modül O2: Tornado Zirve Etki | Neden önemli: Analitik derinlik katmanı | Doğru giriş: Formül | Örnek: - | Yanlışsa: - | Not: Duyarlılık değişkenlerinin en yüksek etkisi.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-117</xdr:colOff>
                <xdr:row>3</xdr:row>
                <xdr:rowOff>1</xdr:rowOff>
              </xdr:to>
            </anchor>
          </commentPr>
        </mc:Choice>
        <mc:Fallback/>
      </mc:AlternateContent>
    </comment>
    <comment ref="B41" authorId="0">
      <text>
        <r>
          <rPr>
            <sz val="10"/>
            <rFont val="Arial"/>
            <family val="2"/>
          </rPr>
          <t xml:space="preserve">Tanım: Modül O3: Senaryo Farkı | Neden önemli: Analitik derinlik katmanı | Doğru giriş: Formül | Örnek: - | Yanlışsa: - | Not: İyimser ile kötümser senaryo arası borç farkı.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-117</xdr:colOff>
                <xdr:row>3</xdr:row>
                <xdr:rowOff>1</xdr:rowOff>
              </xdr:to>
            </anchor>
          </commentPr>
        </mc:Choice>
        <mc:Fallback/>
      </mc:AlternateContent>
    </comment>
    <comment ref="B42" authorId="0">
      <text>
        <r>
          <rPr>
            <sz val="10"/>
            <rFont val="Arial"/>
            <family val="2"/>
          </rPr>
          <t xml:space="preserve">Tanım: Modül O4: Borç Servis Karşılama (DSCR) | Neden önemli: Analitik derinlik katmanı | Doğru giriş: Formül | Örnek: - | Yanlışsa: - | Not: Aylık nakit kaynağının borç servisini karşılama oranı.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-117</xdr:colOff>
                <xdr:row>3</xdr:row>
                <xdr:rowOff>1</xdr:rowOff>
              </xdr:to>
            </anchor>
          </commentPr>
        </mc:Choice>
        <mc:Fallback/>
      </mc:AlternateContent>
    </comment>
    <comment ref="B43" authorId="0">
      <text>
        <r>
          <rPr>
            <sz val="10"/>
            <rFont val="Arial"/>
            <family val="2"/>
          </rPr>
          <t xml:space="preserve">Tanım: Modül O6: Banka Yoğunlaşma (HHI) | Neden önemli: Analitik derinlik katmanı | Doğru giriş: Formül | Örnek: - | Yanlışsa: - | Not: Banka bazında borç yoğunlaşma endeksi.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-117</xdr:colOff>
                <xdr:row>3</xdr:row>
                <xdr:rowOff>1</xdr:rowOff>
              </xdr:to>
            </anchor>
          </commentPr>
        </mc:Choice>
        <mc:Fallback/>
      </mc:AlternateContent>
    </comment>
    <comment ref="B44" authorId="0">
      <text>
        <r>
          <rPr>
            <sz val="10"/>
            <rFont val="Arial"/>
            <family val="2"/>
          </rPr>
          <t xml:space="preserve">Tanım: Modül O8: Veri Kalite Skoru | Neden önemli: Analitik derinlik katmanı | Doğru giriş: Formül | Örnek: - | Yanlışsa: - | Not: Giriş kalitesinden türeyen canlı skor.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-117</xdr:colOff>
                <xdr:row>3</xdr:row>
                <xdr:rowOff>1</xdr:rowOff>
              </xdr:to>
            </anchor>
          </commentPr>
        </mc:Choice>
        <mc:Fallback/>
      </mc:AlternateContent>
    </comment>
    <comment ref="B45" authorId="0">
      <text>
        <r>
          <rPr>
            <sz val="10"/>
            <rFont val="Arial"/>
            <family val="2"/>
          </rPr>
          <t xml:space="preserve">Tanım: Modül I1: Ödeme Tahmini | Neden önemli: Analitik derinlik katmanı | Doğru giriş: Formül | Örnek: - | Yanlışsa: - | Not: Son ödeme tarihinden 30 gün sonrası için ödeme tahmini.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-117</xdr:colOff>
                <xdr:row>3</xdr:row>
                <xdr:rowOff>1</xdr:rowOff>
              </xdr:to>
            </anchor>
          </commentPr>
        </mc:Choice>
        <mc:Fallback/>
      </mc:AlternateContent>
    </comment>
    <comment ref="B46" authorId="0">
      <text>
        <r>
          <rPr>
            <sz val="10"/>
            <rFont val="Arial"/>
            <family val="2"/>
          </rPr>
          <t xml:space="preserve">Tanım: Modül I2: Ödeme P90 | Neden önemli: Analitik derinlik katmanı | Doğru giriş: Formül | Örnek: - | Yanlışsa: - | Not: Aylık ödeme tutarlarının P90 değeri.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-117</xdr:colOff>
                <xdr:row>3</xdr:row>
                <xdr:rowOff>1</xdr:rowOff>
              </xdr:to>
            </anchor>
          </commentPr>
        </mc:Choice>
        <mc:Fallback/>
      </mc:AlternateContent>
    </comment>
    <comment ref="B47" authorId="0">
      <text>
        <r>
          <rPr>
            <sz val="10"/>
            <rFont val="Arial"/>
            <family val="2"/>
          </rPr>
          <t xml:space="preserve">Tanım: Modül I3: Refinansman Yıllık Tasarrufu | Neden önemli: Analitik derinlik katmanı | Doğru giriş: Formül | Örnek: - | Yanlışsa: - | Not: En iyi teklifin mevcut servise göre yıllık tasarrufu.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-117</xdr:colOff>
                <xdr:row>3</xdr:row>
                <xdr:rowOff>1</xdr:rowOff>
              </xdr:to>
            </anchor>
          </commentPr>
        </mc:Choice>
        <mc:Fallback/>
      </mc:AlternateContent>
    </comment>
    <comment ref="B48" authorId="0">
      <text>
        <r>
          <rPr>
            <sz val="10"/>
            <rFont val="Arial"/>
            <family val="2"/>
          </rPr>
          <t xml:space="preserve">Tanım: Modül I7: Nakit Açığı Köprüsü | Neden önemli: Analitik derinlik katmanı | Doğru giriş: Formül | Örnek: - | Yanlışsa: - | Not: 30 günlük yükün serbest nakdi aşan kısmı.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-117</xdr:colOff>
                <xdr:row>3</xdr:row>
                <xdr:rowOff>1</xdr:rowOff>
              </xdr:to>
            </anchor>
          </commentPr>
        </mc:Choice>
        <mc:Fallback/>
      </mc:AlternateContent>
    </comment>
    <comment ref="C33" authorId="0">
      <text>
        <r>
          <rPr>
            <sz val="10"/>
            <rFont val="Arial"/>
            <family val="2"/>
          </rPr>
          <t xml:space="preserve">Tanım: T1 Vade Yaşlandırma makine yorumu | Neden önemli: D03-D05 modül geçerlilik şartı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-117</xdr:colOff>
                <xdr:row>3</xdr:row>
                <xdr:rowOff>1</xdr:rowOff>
              </xdr:to>
            </anchor>
          </commentPr>
        </mc:Choice>
        <mc:Fallback/>
      </mc:AlternateContent>
    </comment>
    <comment ref="C34" authorId="0">
      <text>
        <r>
          <rPr>
            <sz val="10"/>
            <rFont val="Arial"/>
            <family val="2"/>
          </rPr>
          <t xml:space="preserve">Tanım: T2 Ödeme Eğimi makine yorumu | Neden önemli: D03-D05 modül geçerlilik şartı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-117</xdr:colOff>
                <xdr:row>3</xdr:row>
                <xdr:rowOff>1</xdr:rowOff>
              </xdr:to>
            </anchor>
          </commentPr>
        </mc:Choice>
        <mc:Fallback/>
      </mc:AlternateContent>
    </comment>
    <comment ref="C35" authorId="0">
      <text>
        <r>
          <rPr>
            <sz val="10"/>
            <rFont val="Arial"/>
            <family val="2"/>
          </rPr>
          <t xml:space="preserve">Tanım: T3 Borçta Pareto Payı makine yorumu | Neden önemli: D03-D05 modül geçerlilik şartı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-117</xdr:colOff>
                <xdr:row>3</xdr:row>
                <xdr:rowOff>1</xdr:rowOff>
              </xdr:to>
            </anchor>
          </commentPr>
        </mc:Choice>
        <mc:Fallback/>
      </mc:AlternateContent>
    </comment>
    <comment ref="C36" authorId="0">
      <text>
        <r>
          <rPr>
            <sz val="10"/>
            <rFont val="Arial"/>
            <family val="2"/>
          </rPr>
          <t xml:space="preserve">Tanım: T4 Aylık Yük Oranı makine yorumu | Neden önemli: D03-D05 modül geçerlilik şartı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-117</xdr:colOff>
                <xdr:row>3</xdr:row>
                <xdr:rowOff>1</xdr:rowOff>
              </xdr:to>
            </anchor>
          </commentPr>
        </mc:Choice>
        <mc:Fallback/>
      </mc:AlternateContent>
    </comment>
    <comment ref="C37" authorId="0">
      <text>
        <r>
          <rPr>
            <sz val="10"/>
            <rFont val="Arial"/>
            <family val="2"/>
          </rPr>
          <t xml:space="preserve">Tanım: T5 Mutabakat Farkı makine yorumu | Neden önemli: D03-D05 modül geçerlilik şartı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-117</xdr:colOff>
                <xdr:row>3</xdr:row>
                <xdr:rowOff>1</xdr:rowOff>
              </xdr:to>
            </anchor>
          </commentPr>
        </mc:Choice>
        <mc:Fallback/>
      </mc:AlternateContent>
    </comment>
    <comment ref="C38" authorId="0">
      <text>
        <r>
          <rPr>
            <sz val="10"/>
            <rFont val="Arial"/>
            <family val="2"/>
          </rPr>
          <t xml:space="preserve">Tanım: T6 Kaldıraç Oranı makine yorumu | Neden önemli: D03-D05 modül geçerlilik şartı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-117</xdr:colOff>
                <xdr:row>3</xdr:row>
                <xdr:rowOff>1</xdr:rowOff>
              </xdr:to>
            </anchor>
          </commentPr>
        </mc:Choice>
        <mc:Fallback/>
      </mc:AlternateContent>
    </comment>
    <comment ref="C39" authorId="0">
      <text>
        <r>
          <rPr>
            <sz val="10"/>
            <rFont val="Arial"/>
            <family val="2"/>
          </rPr>
          <t xml:space="preserve">Tanım: O1 Anomali Oranı makine yorumu | Neden önemli: D03-D05 modül geçerlilik şartı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-117</xdr:colOff>
                <xdr:row>3</xdr:row>
                <xdr:rowOff>1</xdr:rowOff>
              </xdr:to>
            </anchor>
          </commentPr>
        </mc:Choice>
        <mc:Fallback/>
      </mc:AlternateContent>
    </comment>
    <comment ref="C40" authorId="0">
      <text>
        <r>
          <rPr>
            <sz val="10"/>
            <rFont val="Arial"/>
            <family val="2"/>
          </rPr>
          <t xml:space="preserve">Tanım: O2 Tornado Zirve Etki makine yorumu | Neden önemli: D03-D05 modül geçerlilik şartı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-117</xdr:colOff>
                <xdr:row>3</xdr:row>
                <xdr:rowOff>1</xdr:rowOff>
              </xdr:to>
            </anchor>
          </commentPr>
        </mc:Choice>
        <mc:Fallback/>
      </mc:AlternateContent>
    </comment>
    <comment ref="C41" authorId="0">
      <text>
        <r>
          <rPr>
            <sz val="10"/>
            <rFont val="Arial"/>
            <family val="2"/>
          </rPr>
          <t xml:space="preserve">Tanım: O3 Senaryo Farkı makine yorumu | Neden önemli: D03-D05 modül geçerlilik şartı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-117</xdr:colOff>
                <xdr:row>3</xdr:row>
                <xdr:rowOff>1</xdr:rowOff>
              </xdr:to>
            </anchor>
          </commentPr>
        </mc:Choice>
        <mc:Fallback/>
      </mc:AlternateContent>
    </comment>
    <comment ref="C42" authorId="0">
      <text>
        <r>
          <rPr>
            <sz val="10"/>
            <rFont val="Arial"/>
            <family val="2"/>
          </rPr>
          <t xml:space="preserve">Tanım: O4 Borç Servis Karşılama makine yorumu | Neden önemli: D03-D05 modül geçerlilik şartı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-117</xdr:colOff>
                <xdr:row>3</xdr:row>
                <xdr:rowOff>1</xdr:rowOff>
              </xdr:to>
            </anchor>
          </commentPr>
        </mc:Choice>
        <mc:Fallback/>
      </mc:AlternateContent>
    </comment>
    <comment ref="C43" authorId="0">
      <text>
        <r>
          <rPr>
            <sz val="10"/>
            <rFont val="Arial"/>
            <family val="2"/>
          </rPr>
          <t xml:space="preserve">Tanım: O6 Banka Yoğunlaşma makine yorumu | Neden önemli: D03-D05 modül geçerlilik şartı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-117</xdr:colOff>
                <xdr:row>3</xdr:row>
                <xdr:rowOff>1</xdr:rowOff>
              </xdr:to>
            </anchor>
          </commentPr>
        </mc:Choice>
        <mc:Fallback/>
      </mc:AlternateContent>
    </comment>
    <comment ref="C44" authorId="0">
      <text>
        <r>
          <rPr>
            <sz val="10"/>
            <rFont val="Arial"/>
            <family val="2"/>
          </rPr>
          <t xml:space="preserve">Tanım: O8 Veri Kalite Skoru makine yorumu | Neden önemli: D03-D05 modül geçerlilik şartı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-117</xdr:colOff>
                <xdr:row>3</xdr:row>
                <xdr:rowOff>1</xdr:rowOff>
              </xdr:to>
            </anchor>
          </commentPr>
        </mc:Choice>
        <mc:Fallback/>
      </mc:AlternateContent>
    </comment>
    <comment ref="C45" authorId="0">
      <text>
        <r>
          <rPr>
            <sz val="10"/>
            <rFont val="Arial"/>
            <family val="2"/>
          </rPr>
          <t xml:space="preserve">Tanım: I1 Ödeme Tahmini makine yorumu | Neden önemli: D03-D05 modül geçerlilik şartı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-117</xdr:colOff>
                <xdr:row>3</xdr:row>
                <xdr:rowOff>1</xdr:rowOff>
              </xdr:to>
            </anchor>
          </commentPr>
        </mc:Choice>
        <mc:Fallback/>
      </mc:AlternateContent>
    </comment>
    <comment ref="C46" authorId="0">
      <text>
        <r>
          <rPr>
            <sz val="10"/>
            <rFont val="Arial"/>
            <family val="2"/>
          </rPr>
          <t xml:space="preserve">Tanım: I2 Ödeme P90 makine yorumu | Neden önemli: D03-D05 modül geçerlilik şartı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-117</xdr:colOff>
                <xdr:row>3</xdr:row>
                <xdr:rowOff>1</xdr:rowOff>
              </xdr:to>
            </anchor>
          </commentPr>
        </mc:Choice>
        <mc:Fallback/>
      </mc:AlternateContent>
    </comment>
    <comment ref="C47" authorId="0">
      <text>
        <r>
          <rPr>
            <sz val="10"/>
            <rFont val="Arial"/>
            <family val="2"/>
          </rPr>
          <t xml:space="preserve">Tanım: I3 Refinansman Tasarrufu makine yorumu | Neden önemli: D03-D05 modül geçerlilik şartı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-117</xdr:colOff>
                <xdr:row>3</xdr:row>
                <xdr:rowOff>1</xdr:rowOff>
              </xdr:to>
            </anchor>
          </commentPr>
        </mc:Choice>
        <mc:Fallback/>
      </mc:AlternateContent>
    </comment>
    <comment ref="C48" authorId="0">
      <text>
        <r>
          <rPr>
            <sz val="10"/>
            <rFont val="Arial"/>
            <family val="2"/>
          </rPr>
          <t xml:space="preserve">Tanım: I7 Nakit Açığı Köprüsü makine yorumu | Neden önemli: D03-D05 modül geçerlilik şartı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-117</xdr:colOff>
                <xdr:row>3</xdr:row>
                <xdr:rowOff>1</xdr:rowOff>
              </xdr:to>
            </anchor>
          </commentPr>
        </mc:Choice>
        <mc:Fallback/>
      </mc:AlternateContent>
    </comment>
  </commentList>
</comments>
</file>

<file path=xl/comments16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B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7</xdr:rowOff>
              </xdr:to>
            </anchor>
          </commentPr>
        </mc:Choice>
        <mc:Fallback/>
      </mc:AlternateContent>
    </comment>
    <comment ref="B1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7</xdr:rowOff>
              </xdr:to>
            </anchor>
          </commentPr>
        </mc:Choice>
        <mc:Fallback/>
      </mc:AlternateContent>
    </comment>
    <comment ref="B1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7</xdr:rowOff>
              </xdr:to>
            </anchor>
          </commentPr>
        </mc:Choice>
        <mc:Fallback/>
      </mc:AlternateContent>
    </comment>
  </commentList>
</comments>
</file>

<file path=xl/comments23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B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1</xdr:rowOff>
              </xdr:to>
            </anchor>
          </commentPr>
        </mc:Choice>
        <mc:Fallback/>
      </mc:AlternateContent>
    </comment>
    <comment ref="B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1</xdr:rowOff>
              </xdr:to>
            </anchor>
          </commentPr>
        </mc:Choice>
        <mc:Fallback/>
      </mc:AlternateContent>
    </comment>
    <comment ref="B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1</xdr:rowOff>
              </xdr:to>
            </anchor>
          </commentPr>
        </mc:Choice>
        <mc:Fallback/>
      </mc:AlternateContent>
    </comment>
    <comment ref="B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1</xdr:rowOff>
              </xdr:to>
            </anchor>
          </commentPr>
        </mc:Choice>
        <mc:Fallback/>
      </mc:AlternateContent>
    </comment>
    <comment ref="B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1</xdr:rowOff>
              </xdr:to>
            </anchor>
          </commentPr>
        </mc:Choice>
        <mc:Fallback/>
      </mc:AlternateContent>
    </comment>
    <comment ref="B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1</xdr:rowOff>
              </xdr:to>
            </anchor>
          </commentPr>
        </mc:Choice>
        <mc:Fallback/>
      </mc:AlternateContent>
    </comment>
    <comment ref="B14" authorId="0">
      <text>
        <r>
          <rPr>
            <sz val="10"/>
            <rFont val="Arial"/>
            <family val="2"/>
          </rPr>
          <t xml:space="preserve">Tanım: Serbest Nakit | Neden önemli: Karar motoru ve senaryolar bu değerden beslenir | Doğru giriş: Sayısal değer | Örnek: 1800000 | Yanlışsa: karar ve pano yanlış üretilir | Kaynak: Kullanıcı beyanı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1</xdr:rowOff>
              </xdr:to>
            </anchor>
          </commentPr>
        </mc:Choice>
        <mc:Fallback/>
      </mc:AlternateContent>
    </comment>
    <comment ref="B15" authorId="0">
      <text>
        <r>
          <rPr>
            <sz val="10"/>
            <rFont val="Arial"/>
            <family val="2"/>
          </rPr>
          <t xml:space="preserve">Tanım: Aylık Faaliyet Nakdi | Neden önemli: Karar motoru ve senaryolar bu değerden beslenir | Doğru giriş: Sayısal değer | Örnek: 1250000 | Yanlışsa: karar ve pano yanlış üretilir | Kaynak: Kullanıcı beyanı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1</xdr:rowOff>
              </xdr:to>
            </anchor>
          </commentPr>
        </mc:Choice>
        <mc:Fallback/>
      </mc:AlternateContent>
    </comment>
    <comment ref="B16" authorId="0">
      <text>
        <r>
          <rPr>
            <sz val="10"/>
            <rFont val="Arial"/>
            <family val="2"/>
          </rPr>
          <t xml:space="preserve">Tanım: Yıllık Faaliyet Kârı | Neden önemli: Karar motoru ve senaryolar bu değerden beslenir | Doğru giriş: Sayısal değer | Örnek: 7200000 | Yanlışsa: karar ve pano yanlış üretilir | Kaynak: Kullanıcı beyanı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1</xdr:rowOff>
              </xdr:to>
            </anchor>
          </commentPr>
        </mc:Choice>
        <mc:Fallback/>
      </mc:AlternateContent>
    </comment>
    <comment ref="B17" authorId="0">
      <text>
        <r>
          <rPr>
            <sz val="10"/>
            <rFont val="Arial"/>
            <family val="2"/>
          </rPr>
          <t xml:space="preserve">Tanım: Yıllık Döviz Geliri | Neden önemli: Karar motoru ve senaryolar bu değerden beslenir | Doğru giriş: Sayısal değer | Örnek: 1500000 | Yanlışsa: karar ve pano yanlış üretilir | Kaynak: Kullanıcı beyanı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1</xdr:rowOff>
              </xdr:to>
            </anchor>
          </commentPr>
        </mc:Choice>
        <mc:Fallback/>
      </mc:AlternateContent>
    </comment>
    <comment ref="B18" authorId="0">
      <text>
        <r>
          <rPr>
            <sz val="10"/>
            <rFont val="Arial"/>
            <family val="2"/>
          </rPr>
          <t xml:space="preserve">Tanım: Likidite Eşiği | Neden önemli: Karar motoru ve senaryolar bu değerden beslenir | Doğru giriş: Sayısal değer | Örnek: 0.85 | Yanlışsa: karar ve pano yanlış üretilir | Kaynak: Varsayım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1</xdr:rowOff>
              </xdr:to>
            </anchor>
          </commentPr>
        </mc:Choice>
        <mc:Fallback/>
      </mc:AlternateContent>
    </comment>
    <comment ref="B19" authorId="0">
      <text>
        <r>
          <rPr>
            <sz val="10"/>
            <rFont val="Arial"/>
            <family val="2"/>
          </rPr>
          <t xml:space="preserve">Tanım: Döviz Geliri Eşiği | Neden önemli: Karar motoru ve senaryolar bu değerden beslenir | Doğru giriş: Sayısal değer | Örnek: 1.0 | Yanlışsa: karar ve pano yanlış üretilir | Kaynak: Varsayım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1</xdr:rowOff>
              </xdr:to>
            </anchor>
          </commentPr>
        </mc:Choice>
        <mc:Fallback/>
      </mc:AlternateContent>
    </comment>
    <comment ref="B20" authorId="0">
      <text>
        <r>
          <rPr>
            <sz val="10"/>
            <rFont val="Arial"/>
            <family val="2"/>
          </rPr>
          <t xml:space="preserve">Tanım: Kaldıraç Eşiği | Neden önemli: Karar motoru ve senaryolar bu değerden beslenir | Doğru giriş: Sayısal değer | Örnek: 3.0 | Yanlışsa: karar ve pano yanlış üretilir | Kaynak: Varsayım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1</xdr:rowOff>
              </xdr:to>
            </anchor>
          </commentPr>
        </mc:Choice>
        <mc:Fallback/>
      </mc:AlternateContent>
    </comment>
    <comment ref="B21" authorId="0">
      <text>
        <r>
          <rPr>
            <sz val="10"/>
            <rFont val="Arial"/>
            <family val="2"/>
          </rPr>
          <t xml:space="preserve">Tanım: Veri Kalite Yüksek Eşiği | Neden önemli: Karar motoru ve senaryolar bu değerden beslenir | Doğru giriş: Sayısal değer | Örnek: 80 | Yanlışsa: karar ve pano yanlış üretilir | Kaynak: Varsayım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1</xdr:rowOff>
              </xdr:to>
            </anchor>
          </commentPr>
        </mc:Choice>
        <mc:Fallback/>
      </mc:AlternateContent>
    </comment>
    <comment ref="B22" authorId="0">
      <text>
        <r>
          <rPr>
            <sz val="10"/>
            <rFont val="Arial"/>
            <family val="2"/>
          </rPr>
          <t xml:space="preserve">Tanım: Veri Kalite Orta Eşiği | Neden önemli: Karar motoru ve senaryolar bu değerden beslenir | Doğru giriş: Sayısal değer | Örnek: 50 | Yanlışsa: karar ve pano yanlış üretilir | Kaynak: Varsayım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1</xdr:rowOff>
              </xdr:to>
            </anchor>
          </commentPr>
        </mc:Choice>
        <mc:Fallback/>
      </mc:AlternateContent>
    </comment>
    <comment ref="B23" authorId="0">
      <text>
        <r>
          <rPr>
            <sz val="10"/>
            <rFont val="Arial"/>
            <family val="2"/>
          </rPr>
          <t xml:space="preserve">Tanım: Uyarı Puan Kesintisi | Neden önemli: Karar motoru ve senaryolar bu değerden beslenir | Doğru giriş: Sayısal değer | Örnek: 10 | Yanlışsa: karar ve pano yanlış üretilir | Kaynak: Varsayım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1</xdr:rowOff>
              </xdr:to>
            </anchor>
          </commentPr>
        </mc:Choice>
        <mc:Fallback/>
      </mc:AlternateContent>
    </comment>
    <comment ref="B24" authorId="0">
      <text>
        <r>
          <rPr>
            <sz val="10"/>
            <rFont val="Arial"/>
            <family val="2"/>
          </rPr>
          <t xml:space="preserve">Tanım: Duyarlılık Oranı | Neden önemli: Karar motoru ve senaryolar bu değerden beslenir | Doğru giriş: Sayısal değer | Örnek: 0.1 | Yanlışsa: karar ve pano yanlış üretilir | Kaynak: Varsayım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1</xdr:rowOff>
              </xdr:to>
            </anchor>
          </commentPr>
        </mc:Choice>
        <mc:Fallback/>
      </mc:AlternateContent>
    </comment>
    <comment ref="B25" authorId="0">
      <text>
        <r>
          <rPr>
            <sz val="10"/>
            <rFont val="Arial"/>
            <family val="2"/>
          </rPr>
          <t xml:space="preserve">Tanım: Ay Sayısı | Neden önemli: Karar motoru ve senaryolar bu değerden beslenir | Doğru giriş: Sayısal değer | Örnek: 12 | Yanlışsa: karar ve pano yanlış üretilir | Kaynak: Tasarım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1</xdr:rowOff>
              </xdr:to>
            </anchor>
          </commentPr>
        </mc:Choice>
        <mc:Fallback/>
      </mc:AlternateContent>
    </comment>
    <comment ref="B26" authorId="0">
      <text>
        <r>
          <rPr>
            <sz val="10"/>
            <rFont val="Arial"/>
            <family val="2"/>
          </rPr>
          <t xml:space="preserve">Tanım: Ay Pencere Günü 0 | Neden önemli: Karar motoru ve senaryolar bu değerden beslenir | Doğru giriş: Sayısal değer | Örnek: 0 | Yanlışsa: karar ve pano yanlış üretilir | Kaynak: Tasarım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1</xdr:rowOff>
              </xdr:to>
            </anchor>
          </commentPr>
        </mc:Choice>
        <mc:Fallback/>
      </mc:AlternateContent>
    </comment>
    <comment ref="B27" authorId="0">
      <text>
        <r>
          <rPr>
            <sz val="10"/>
            <rFont val="Arial"/>
            <family val="2"/>
          </rPr>
          <t xml:space="preserve">Tanım: Ay Pencere Günü 1 | Neden önemli: Karar motoru ve senaryolar bu değerden beslenir | Doğru giriş: Sayısal değer | Örnek: 30 | Yanlışsa: karar ve pano yanlış üretilir | Kaynak: Tasarım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1</xdr:rowOff>
              </xdr:to>
            </anchor>
          </commentPr>
        </mc:Choice>
        <mc:Fallback/>
      </mc:AlternateContent>
    </comment>
    <comment ref="B28" authorId="0">
      <text>
        <r>
          <rPr>
            <sz val="10"/>
            <rFont val="Arial"/>
            <family val="2"/>
          </rPr>
          <t xml:space="preserve">Tanım: Ay Pencere Günü 2 | Neden önemli: Karar motoru ve senaryolar bu değerden beslenir | Doğru giriş: Sayısal değer | Örnek: 60 | Yanlışsa: karar ve pano yanlış üretilir | Kaynak: Tasarım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1</xdr:rowOff>
              </xdr:to>
            </anchor>
          </commentPr>
        </mc:Choice>
        <mc:Fallback/>
      </mc:AlternateContent>
    </comment>
    <comment ref="B29" authorId="0">
      <text>
        <r>
          <rPr>
            <sz val="10"/>
            <rFont val="Arial"/>
            <family val="2"/>
          </rPr>
          <t xml:space="preserve">Tanım: Ay Pencere Günü 3 | Neden önemli: Karar motoru ve senaryolar bu değerden beslenir | Doğru giriş: Sayısal değer | Örnek: 90 | Yanlışsa: karar ve pano yanlış üretilir | Kaynak: Tasarım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1</xdr:rowOff>
              </xdr:to>
            </anchor>
          </commentPr>
        </mc:Choice>
        <mc:Fallback/>
      </mc:AlternateContent>
    </comment>
    <comment ref="B30" authorId="0">
      <text>
        <r>
          <rPr>
            <sz val="10"/>
            <rFont val="Arial"/>
            <family val="2"/>
          </rPr>
          <t xml:space="preserve">Tanım: Ay Pencere Günü 4 | Neden önemli: Karar motoru ve senaryolar bu değerden beslenir | Doğru giriş: Sayısal değer | Örnek: 120 | Yanlışsa: karar ve pano yanlış üretilir | Kaynak: Tasarım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1</xdr:rowOff>
              </xdr:to>
            </anchor>
          </commentPr>
        </mc:Choice>
        <mc:Fallback/>
      </mc:AlternateContent>
    </comment>
    <comment ref="B31" authorId="0">
      <text>
        <r>
          <rPr>
            <sz val="10"/>
            <rFont val="Arial"/>
            <family val="2"/>
          </rPr>
          <t xml:space="preserve">Tanım: Ay Pencere Günü 5 | Neden önemli: Karar motoru ve senaryolar bu değerden beslenir | Doğru giriş: Sayısal değer | Örnek: 150 | Yanlışsa: karar ve pano yanlış üretilir | Kaynak: Tasarım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1</xdr:rowOff>
              </xdr:to>
            </anchor>
          </commentPr>
        </mc:Choice>
        <mc:Fallback/>
      </mc:AlternateContent>
    </comment>
    <comment ref="B32" authorId="0">
      <text>
        <r>
          <rPr>
            <sz val="10"/>
            <rFont val="Arial"/>
            <family val="2"/>
          </rPr>
          <t xml:space="preserve">Tanım: Ay Pencere Günü 6 | Neden önemli: Karar motoru ve senaryolar bu değerden beslenir | Doğru giriş: Sayısal değer | Örnek: 180 | Yanlışsa: karar ve pano yanlış üretilir | Kaynak: Tasarım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1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<sst xmlns="http://schemas.openxmlformats.org/spreadsheetml/2006/main" count="731" uniqueCount="457">
  <si>
    <t xml:space="preserve">KAPAK — BANKA, KREDİ VE TAKSİT TAKİP SİSTEMİ</t>
  </si>
  <si>
    <t xml:space="preserve">BANKA, KREDİ VE TAKSİT TAKİP SİSTEMİ</t>
  </si>
  <si>
    <t xml:space="preserve">Borç yükü, yaklaşan taksit ve refinansman ihtiyacını tek ekranda yönetin.</t>
  </si>
  <si>
    <t xml:space="preserve">Bu ürün kimin için?</t>
  </si>
  <si>
    <t xml:space="preserve">KOBİ sahipleri, finans yöneticileri, muhasebe ekipleri ve finans danışmanları.</t>
  </si>
  <si>
    <t xml:space="preserve">Bu ürün neyi çözer?</t>
  </si>
  <si>
    <t xml:space="preserve">Banka limitlerini, kredi portföyünü, taksit ödeme baskısını ve refinansman fırsatlarını tek doğruluk kaynağında izler; borç yapısı sürdürülemez olduğunda uyarı ve aksiyon üretir.</t>
  </si>
  <si>
    <t xml:space="preserve">Kullanıcıya ne kazandırır?</t>
  </si>
  <si>
    <t xml:space="preserve">• Borcun toplam büyüklüğünü ve ağırlıklı maliyetini anında görürsünüz.</t>
  </si>
  <si>
    <t xml:space="preserve">• 30 / 60 / 90 gün içinde ödenmesi gereken taksitleri önceden bilirsiniz.</t>
  </si>
  <si>
    <t xml:space="preserve">• Refinansman tekliflerini taksit ve toplam maliyet üzerinden karşılaştırırsınız.</t>
  </si>
  <si>
    <t xml:space="preserve">Nasıl başlanır?</t>
  </si>
  <si>
    <t xml:space="preserve">1. AYARLAR sayfasında firma bilgileri ve eşikleri girin. 2. BANKALAR, LIMITLER ve KREDILER verilerini girin. 3. KARAR_MOTORU ve PANO çıktısını inceleyin.</t>
  </si>
  <si>
    <t xml:space="preserve">ExcelArşiv — Sürüm 1.0 | Tek kullanıcılı ticari lisans.</t>
  </si>
  <si>
    <t xml:space="preserve">HIZLI BASLANGIC — BANKA, KREDİ VE TAKSİT TAKİP SİSTEMİ</t>
  </si>
  <si>
    <t xml:space="preserve">3 ADIMDA SİSTEM</t>
  </si>
  <si>
    <t xml:space="preserve">ADIM 1 — AYARLAR</t>
  </si>
  <si>
    <t xml:space="preserve">Firma unvanı, rapor tarihi, serbest nakit, aylık faaliyet nakdi ve risk eşiklerini girin. Tüm eşikler tek yerden yönetilir; formüllere sabit sayı gömülmez.</t>
  </si>
  <si>
    <t xml:space="preserve">ADIM 2 — GİRİŞ VERİLERİ</t>
  </si>
  <si>
    <t xml:space="preserve">BANKALAR, LIMITLER ve KREDILER sayfalarına banka ilişkilerini, limitleri ve kredi portföyünü girin. TAKSIT_PLANI'na dönem bazında ödeme planını işleyin; MASRAF_KOMISYON, TEMINATLAR ve YENI_TEKLIFLER alanlarını tamamlayın.</t>
  </si>
  <si>
    <t xml:space="preserve">ADIM 3 — KARAR VE RAPOR</t>
  </si>
  <si>
    <t xml:space="preserve">KONTROLLER veri kalitesini, KARAR_MOTORU borç yükü ve likidite kararını üretir; PANO tek ekranda özeti gösterir; RAPOR sayfası yönetim sunumuna hazırdır.</t>
  </si>
  <si>
    <t xml:space="preserve">Renk kodu: Açık sarı = manuel giriş | Yeşil yazı = hesaplanan değer | Kırmızı = risk.</t>
  </si>
  <si>
    <t xml:space="preserve">BANKALAR — BANKA, KREDİ VE TAKSİT TAKİP SİSTEMİ</t>
  </si>
  <si>
    <t xml:space="preserve">BANKA TANIMLARI — ilişki, operasyonel durum ve iletişim tek merkezde.</t>
  </si>
  <si>
    <t xml:space="preserve">Banka ID</t>
  </si>
  <si>
    <t xml:space="preserve">Banka</t>
  </si>
  <si>
    <t xml:space="preserve">Şube</t>
  </si>
  <si>
    <t xml:space="preserve">Müşteri Numarası</t>
  </si>
  <si>
    <t xml:space="preserve">IBAN</t>
  </si>
  <si>
    <t xml:space="preserve">Durum</t>
  </si>
  <si>
    <t xml:space="preserve">İlişki Yöneticisi</t>
  </si>
  <si>
    <t xml:space="preserve">Telefon</t>
  </si>
  <si>
    <t xml:space="preserve">Kontrol</t>
  </si>
  <si>
    <t xml:space="preserve">BNK-001</t>
  </si>
  <si>
    <t xml:space="preserve">Türkiye İş Bankası</t>
  </si>
  <si>
    <t xml:space="preserve">Maslak Ticari</t>
  </si>
  <si>
    <t xml:space="preserve">TR110006400000123456789001</t>
  </si>
  <si>
    <t xml:space="preserve">Aktif</t>
  </si>
  <si>
    <t xml:space="preserve">Ayşe Yılmaz</t>
  </si>
  <si>
    <t xml:space="preserve">0212 000 00 01</t>
  </si>
  <si>
    <t xml:space="preserve">BNK-002</t>
  </si>
  <si>
    <t xml:space="preserve">Akbank</t>
  </si>
  <si>
    <t xml:space="preserve">Levent Ticari</t>
  </si>
  <si>
    <t xml:space="preserve">TR220004600000234567890002</t>
  </si>
  <si>
    <t xml:space="preserve">Mehmet Kaya</t>
  </si>
  <si>
    <t xml:space="preserve">0212 000 00 02</t>
  </si>
  <si>
    <t xml:space="preserve">BNK-003</t>
  </si>
  <si>
    <t xml:space="preserve">Garanti BBVA</t>
  </si>
  <si>
    <t xml:space="preserve">İkitelli Ticari</t>
  </si>
  <si>
    <t xml:space="preserve">TR330006200000345678901003</t>
  </si>
  <si>
    <t xml:space="preserve">Selin Demir</t>
  </si>
  <si>
    <t xml:space="preserve">0212 000 00 03</t>
  </si>
  <si>
    <t xml:space="preserve">BNK-004</t>
  </si>
  <si>
    <t xml:space="preserve">Yapı Kredi</t>
  </si>
  <si>
    <t xml:space="preserve">Kozyatağı Ticari</t>
  </si>
  <si>
    <t xml:space="preserve">TR440006700000456789012004</t>
  </si>
  <si>
    <t xml:space="preserve">İzle</t>
  </si>
  <si>
    <t xml:space="preserve">Can Arslan</t>
  </si>
  <si>
    <t xml:space="preserve">0212 000 00 04</t>
  </si>
  <si>
    <t xml:space="preserve">LIMITLER — BANKA, KREDİ VE TAKSİT TAKİP SİSTEMİ</t>
  </si>
  <si>
    <t xml:space="preserve">BANKA LİMİTLERİ — toplam, kullanılan ve kalan limit ile kullanım oranı.</t>
  </si>
  <si>
    <t xml:space="preserve">Limit ID</t>
  </si>
  <si>
    <t xml:space="preserve">Ürün Türü</t>
  </si>
  <si>
    <t xml:space="preserve">Para Birimi</t>
  </si>
  <si>
    <t xml:space="preserve">Toplam Limit</t>
  </si>
  <si>
    <t xml:space="preserve">Kullanılan Limit</t>
  </si>
  <si>
    <t xml:space="preserve">Kalan Limit</t>
  </si>
  <si>
    <t xml:space="preserve">Kullanım Oranı</t>
  </si>
  <si>
    <t xml:space="preserve">LMT-001</t>
  </si>
  <si>
    <t xml:space="preserve">Taksitli Ticari Kredi</t>
  </si>
  <si>
    <t xml:space="preserve">TRY</t>
  </si>
  <si>
    <t xml:space="preserve">LMT-002</t>
  </si>
  <si>
    <t xml:space="preserve">Leasing</t>
  </si>
  <si>
    <t xml:space="preserve">LMT-003</t>
  </si>
  <si>
    <t xml:space="preserve">Rotatif Kredi</t>
  </si>
  <si>
    <t xml:space="preserve">USD</t>
  </si>
  <si>
    <t xml:space="preserve">LMT-004</t>
  </si>
  <si>
    <t xml:space="preserve">Spot Kredi</t>
  </si>
  <si>
    <t xml:space="preserve">KREDILER — BANKA, KREDİ VE TAKSİT TAKİP SİSTEMİ</t>
  </si>
  <si>
    <t xml:space="preserve">KREDİ PORTFÖYÜ — sözleşme, bakiye, maliyet, vade ve taksit bilgileri.</t>
  </si>
  <si>
    <t xml:space="preserve">Kredi ID</t>
  </si>
  <si>
    <t xml:space="preserve">Kullandırım Tarihi</t>
  </si>
  <si>
    <t xml:space="preserve">Anapara</t>
  </si>
  <si>
    <t xml:space="preserve">Güncel Bakiye</t>
  </si>
  <si>
    <t xml:space="preserve">Yıllık Faiz</t>
  </si>
  <si>
    <t xml:space="preserve">Vade Ay</t>
  </si>
  <si>
    <t xml:space="preserve">Aylık Taksit</t>
  </si>
  <si>
    <t xml:space="preserve">Bitiş Tarihi</t>
  </si>
  <si>
    <t xml:space="preserve">Açıklama</t>
  </si>
  <si>
    <t xml:space="preserve">KRD-001</t>
  </si>
  <si>
    <t xml:space="preserve">Yatırım kredisi</t>
  </si>
  <si>
    <t xml:space="preserve">KRD-002</t>
  </si>
  <si>
    <t xml:space="preserve">Makine leasing</t>
  </si>
  <si>
    <t xml:space="preserve">KRD-003</t>
  </si>
  <si>
    <t xml:space="preserve">İhracat rotatifi</t>
  </si>
  <si>
    <t xml:space="preserve">KRD-004</t>
  </si>
  <si>
    <t xml:space="preserve">İşletme sermayesi</t>
  </si>
  <si>
    <t xml:space="preserve">TAKSIT PLANI — BANKA, KREDİ VE TAKSİT TAKİP SİSTEMİ</t>
  </si>
  <si>
    <t xml:space="preserve">TAKSİT PLANI — dönem bazında anapara, faiz, vergi ve ödeme tarihi.</t>
  </si>
  <si>
    <t xml:space="preserve">Plan ID</t>
  </si>
  <si>
    <t xml:space="preserve">Dönem</t>
  </si>
  <si>
    <t xml:space="preserve">Ödeme Tarihi</t>
  </si>
  <si>
    <t xml:space="preserve">Faiz</t>
  </si>
  <si>
    <t xml:space="preserve">Vergi/Fon</t>
  </si>
  <si>
    <t xml:space="preserve">Komisyon</t>
  </si>
  <si>
    <t xml:space="preserve">Toplam Ödeme</t>
  </si>
  <si>
    <t xml:space="preserve">Ödeme Durumu</t>
  </si>
  <si>
    <t xml:space="preserve">Kalan Gün</t>
  </si>
  <si>
    <t xml:space="preserve">PLN-001</t>
  </si>
  <si>
    <t xml:space="preserve">Bekliyor</t>
  </si>
  <si>
    <t xml:space="preserve">PLN-002</t>
  </si>
  <si>
    <t xml:space="preserve">PLN-003</t>
  </si>
  <si>
    <t xml:space="preserve">PLN-004</t>
  </si>
  <si>
    <t xml:space="preserve">PLN-005</t>
  </si>
  <si>
    <t xml:space="preserve">PLN-006</t>
  </si>
  <si>
    <t xml:space="preserve">MASRAF KOMISYON — BANKA, KREDİ VE TAKSİT TAKİP SİSTEMİ</t>
  </si>
  <si>
    <t xml:space="preserve">MASRAF VE KOMİSYONLAR — tahsis, sigorta, komisyon ve diğer finansman maliyetleri.</t>
  </si>
  <si>
    <t xml:space="preserve">Masraf ID</t>
  </si>
  <si>
    <t xml:space="preserve">Masraf Türü</t>
  </si>
  <si>
    <t xml:space="preserve">İşlem Tarihi</t>
  </si>
  <si>
    <t xml:space="preserve">Belge Numarası</t>
  </si>
  <si>
    <t xml:space="preserve">Tutar</t>
  </si>
  <si>
    <t xml:space="preserve">MSF-001</t>
  </si>
  <si>
    <t xml:space="preserve">Tahsis Ücreti</t>
  </si>
  <si>
    <t xml:space="preserve">FTR-1001</t>
  </si>
  <si>
    <t xml:space="preserve">MSF-002</t>
  </si>
  <si>
    <t xml:space="preserve">Sigorta</t>
  </si>
  <si>
    <t xml:space="preserve">POL-2001</t>
  </si>
  <si>
    <t xml:space="preserve">MSF-003</t>
  </si>
  <si>
    <t xml:space="preserve">FTR-3001</t>
  </si>
  <si>
    <t xml:space="preserve">TEMINATLAR — BANKA, KREDİ VE TAKSİT TAKİP SİSTEMİ</t>
  </si>
  <si>
    <t xml:space="preserve">TEMİNAT YÖNETİMİ — değer, geçerlilik ve kredi bağlantısı.</t>
  </si>
  <si>
    <t xml:space="preserve">Teminat ID</t>
  </si>
  <si>
    <t xml:space="preserve">Teminat Türü</t>
  </si>
  <si>
    <t xml:space="preserve">Ekspertiz Değeri</t>
  </si>
  <si>
    <t xml:space="preserve">Değerleme Tarihi</t>
  </si>
  <si>
    <t xml:space="preserve">Geçerlilik Bitişi</t>
  </si>
  <si>
    <t xml:space="preserve">TMN-001</t>
  </si>
  <si>
    <t xml:space="preserve">Gayrimenkul İpoteği</t>
  </si>
  <si>
    <t xml:space="preserve">İstanbul fabrika binası</t>
  </si>
  <si>
    <t xml:space="preserve">TMN-002</t>
  </si>
  <si>
    <t xml:space="preserve">Taşıt Rehni</t>
  </si>
  <si>
    <t xml:space="preserve">Üretim makineleri</t>
  </si>
  <si>
    <t xml:space="preserve">TMN-003</t>
  </si>
  <si>
    <t xml:space="preserve">Alacak Temliki</t>
  </si>
  <si>
    <t xml:space="preserve">İhracat alacak havuzu</t>
  </si>
  <si>
    <t xml:space="preserve">YENI TEKLIFLER — BANKA, KREDİ VE TAKSİT TAKİP SİSTEMİ</t>
  </si>
  <si>
    <t xml:space="preserve">YENİ KREDİ TEKLİFLERİ — tutar, faiz, masraf ve aylık taksit karşılaştırması.</t>
  </si>
  <si>
    <t xml:space="preserve">Teklif ID</t>
  </si>
  <si>
    <t xml:space="preserve">Hedef Kredi ID</t>
  </si>
  <si>
    <t xml:space="preserve">Nominal Faiz</t>
  </si>
  <si>
    <t xml:space="preserve">Toplam Masraf</t>
  </si>
  <si>
    <t xml:space="preserve">Öngörülen Maliyet</t>
  </si>
  <si>
    <t xml:space="preserve">TKL-001</t>
  </si>
  <si>
    <t xml:space="preserve">QNB Finansbank</t>
  </si>
  <si>
    <t xml:space="preserve">TKL-002</t>
  </si>
  <si>
    <t xml:space="preserve">Vakıfbank</t>
  </si>
  <si>
    <t xml:space="preserve">TKL-003</t>
  </si>
  <si>
    <t xml:space="preserve">Halkbank</t>
  </si>
  <si>
    <t xml:space="preserve">ODEME TAKVIMI — BANKA, KREDİ VE TAKSİT TAKİP SİSTEMİ</t>
  </si>
  <si>
    <t xml:space="preserve">ÖDEME TAKVİMİ — yaklaşan taksitler 30 / 60 / 90 gün penceresinde.</t>
  </si>
  <si>
    <t xml:space="preserve">Zaman Dilimi</t>
  </si>
  <si>
    <t xml:space="preserve">REFINANSMAN — BANKA, KREDİ VE TAKSİT TAKİP SİSTEMİ</t>
  </si>
  <si>
    <t xml:space="preserve">REFİNANSMAN ANALİZİ — aylık taksit rahatlaması ve toplam maliyet.</t>
  </si>
  <si>
    <t xml:space="preserve">Mevcut Aylık Taksit</t>
  </si>
  <si>
    <t xml:space="preserve">Yeni Aylık Taksit</t>
  </si>
  <si>
    <t xml:space="preserve">Aylık Taksit Farkı</t>
  </si>
  <si>
    <t xml:space="preserve">Nakit Rahatlaması</t>
  </si>
  <si>
    <t xml:space="preserve">Yeni Toplam Maliyet</t>
  </si>
  <si>
    <t xml:space="preserve">Mevcut Kalan Anapara</t>
  </si>
  <si>
    <t xml:space="preserve">Karar</t>
  </si>
  <si>
    <t xml:space="preserve">KONTROLLER — BANKA, KREDİ VE TAKSİT TAKİP SİSTEMİ</t>
  </si>
  <si>
    <t xml:space="preserve">VERİ KALİTESİ VE SİSTEM SAĞLIĞI</t>
  </si>
  <si>
    <t xml:space="preserve">Veri Kalite Skoru</t>
  </si>
  <si>
    <t xml:space="preserve">Genel Karar</t>
  </si>
  <si>
    <t xml:space="preserve">Eksik Zorunlu Alan</t>
  </si>
  <si>
    <t xml:space="preserve">Sıfır/Negatif Tutar</t>
  </si>
  <si>
    <t xml:space="preserve">Mükerrer Kredi ID</t>
  </si>
  <si>
    <t xml:space="preserve">Kayıt Sayısı (Kredi)</t>
  </si>
  <si>
    <t xml:space="preserve">Kayıt Sayısı (Taksit)</t>
  </si>
  <si>
    <t xml:space="preserve">Mutabakat Tutuyor</t>
  </si>
  <si>
    <t xml:space="preserve">Not: Mutabakat kontrolü, veri kalite skorunu düşüren ihlal sayısını ölçer. Her ihlal skordan düşer.</t>
  </si>
  <si>
    <t xml:space="preserve">MOTOR — BANKA, KREDİ VE TAKSİT TAKİP SİSTEMİ</t>
  </si>
  <si>
    <t xml:space="preserve">Hesaplama motoru: tüm ara hesaplar ve analitik modüller ad tanımlı hücrelerden beslenir. Değerler giriş tablolarından canlı hesaplanır; sabit sayı formüle gömülmez.</t>
  </si>
  <si>
    <t xml:space="preserve">TEMEL ARA HESAPLAR</t>
  </si>
  <si>
    <t xml:space="preserve">Kredi Sayısı</t>
  </si>
  <si>
    <t xml:space="preserve">Banka Sayısı</t>
  </si>
  <si>
    <t xml:space="preserve">Toplam Anapara</t>
  </si>
  <si>
    <t xml:space="preserve">Güncel Bakiye Toplamı</t>
  </si>
  <si>
    <t xml:space="preserve">TRY Bakiye</t>
  </si>
  <si>
    <t xml:space="preserve">USD Bakiye</t>
  </si>
  <si>
    <t xml:space="preserve">EUR Bakiye</t>
  </si>
  <si>
    <t xml:space="preserve">Döviz Bakiye</t>
  </si>
  <si>
    <t xml:space="preserve">Toplam Aylık Taksit</t>
  </si>
  <si>
    <t xml:space="preserve">Ödenmemiş Taksit Toplamı</t>
  </si>
  <si>
    <t xml:space="preserve">30 Günlük Ödeme Yükü</t>
  </si>
  <si>
    <t xml:space="preserve">Vadesi Geçen Taksit Sayısı</t>
  </si>
  <si>
    <t xml:space="preserve">Vadesi Geçen Taksit Tutarı</t>
  </si>
  <si>
    <t xml:space="preserve">TRY Masraf</t>
  </si>
  <si>
    <t xml:space="preserve">USD Masraf</t>
  </si>
  <si>
    <t xml:space="preserve">Mutabakat Farkı</t>
  </si>
  <si>
    <t xml:space="preserve">Toplam Teminat</t>
  </si>
  <si>
    <t xml:space="preserve">Ağırlıklı Maliyet</t>
  </si>
  <si>
    <t xml:space="preserve">Vadesi Geçen Taksit</t>
  </si>
  <si>
    <t xml:space="preserve">Mutabakat Fark Oranı</t>
  </si>
  <si>
    <t xml:space="preserve">Modül T1: Vadesi Geçen Taksit</t>
  </si>
  <si>
    <t xml:space="preserve">Modül T2: Ödeme Eğimi</t>
  </si>
  <si>
    <t xml:space="preserve">Modül T3: Borçta Pareto Payı</t>
  </si>
  <si>
    <t xml:space="preserve">Modül T4: Aylık Yük Oranı</t>
  </si>
  <si>
    <t xml:space="preserve">Modül T5: Mutabakat Farkı</t>
  </si>
  <si>
    <t xml:space="preserve">Modül T6: Kaldıraç Oranı</t>
  </si>
  <si>
    <t xml:space="preserve">Modül O1: Anomali Oranı</t>
  </si>
  <si>
    <t xml:space="preserve">Modül O2: Tornado Zirve Etki</t>
  </si>
  <si>
    <t xml:space="preserve">Modül O3: Senaryo Farkı</t>
  </si>
  <si>
    <t xml:space="preserve">Modül O4: Borç Servis Karşılama (DSCR)</t>
  </si>
  <si>
    <t xml:space="preserve">Modül O6: Banka Yoğunlaşma (HHI)</t>
  </si>
  <si>
    <t xml:space="preserve">Modül O8: Veri Kalite Skoru</t>
  </si>
  <si>
    <t xml:space="preserve">Modül I1: Ödeme Tahmini</t>
  </si>
  <si>
    <t xml:space="preserve">Modül I2: Ödeme P90</t>
  </si>
  <si>
    <t xml:space="preserve">Modül I3: Refinansman Yıllık Tasarrufu</t>
  </si>
  <si>
    <t xml:space="preserve">Modül I7: Nakit Açığı Köprüsü</t>
  </si>
  <si>
    <t xml:space="preserve">Tüm hesaplar AYARLAR parametrelerinden beslenir; veri yokken 0 ve güvenli dönüş yapar.</t>
  </si>
  <si>
    <t xml:space="preserve">KARAR MOTORU — BANKA, KREDİ VE TAKSİT TAKİP SİSTEMİ</t>
  </si>
  <si>
    <t xml:space="preserve">KARAR MOTORU — borç yükü, yaklaşan taksit ve öncelikli aksiyon</t>
  </si>
  <si>
    <t xml:space="preserve">Toplam Finansal Borç</t>
  </si>
  <si>
    <t xml:space="preserve">Aylık Borç Servisi</t>
  </si>
  <si>
    <t xml:space="preserve">90 Günlük Ödeme Yükü</t>
  </si>
  <si>
    <t xml:space="preserve">Döviz Borcu</t>
  </si>
  <si>
    <t xml:space="preserve">Kaldıraç (Borç/Kâr)</t>
  </si>
  <si>
    <t xml:space="preserve">Teminat Oranı</t>
  </si>
  <si>
    <t xml:space="preserve">Borç Servisi / Nakit</t>
  </si>
  <si>
    <t xml:space="preserve">Likidite Baskısı (30G/Serbest)</t>
  </si>
  <si>
    <t xml:space="preserve">KARAR</t>
  </si>
  <si>
    <t xml:space="preserve">Risk Seviyesi</t>
  </si>
  <si>
    <t xml:space="preserve">Önerilen Aksiyon</t>
  </si>
  <si>
    <t xml:space="preserve">Refinansman Aday Sayısı</t>
  </si>
  <si>
    <t xml:space="preserve">Aylık Taksit Rahatlaması</t>
  </si>
  <si>
    <t xml:space="preserve">Not: Karar; likidite baskısı, döviz uyumu ve kaldıraç eşiklerine göre makine tarafından üretilir. Tüm eşikler AYARLAR sayfasından yönetilir.</t>
  </si>
  <si>
    <t xml:space="preserve">PANO — BANKA, KREDİ VE TAKSİT TAKİP SİSTEMİ</t>
  </si>
  <si>
    <t xml:space="preserve">YÖNETİCİ BORÇ VE LİKİDİTE PANELİ — tek ekranda karar</t>
  </si>
  <si>
    <t xml:space="preserve">ÖNEMLİ UYARILAR</t>
  </si>
  <si>
    <t xml:space="preserve">Bu sistem karar destek aracıdır; kesin finansal tavsiye değildir. Gerçekleşme verilere ve varsayımlara bağlıdır.</t>
  </si>
  <si>
    <t xml:space="preserve">Bakiye</t>
  </si>
  <si>
    <t xml:space="preserve">Ay</t>
  </si>
  <si>
    <t xml:space="preserve">Ödeme</t>
  </si>
  <si>
    <t xml:space="preserve">Önümüzdeki Ay</t>
  </si>
  <si>
    <t xml:space="preserve">İkinci Ay</t>
  </si>
  <si>
    <t xml:space="preserve">Üçüncü Ay</t>
  </si>
  <si>
    <t xml:space="preserve">Dördüncü Ay</t>
  </si>
  <si>
    <t xml:space="preserve">Beşinci Ay</t>
  </si>
  <si>
    <t xml:space="preserve">Altıncı Ay</t>
  </si>
  <si>
    <t xml:space="preserve">Pencere</t>
  </si>
  <si>
    <t xml:space="preserve">30 Gün</t>
  </si>
  <si>
    <t xml:space="preserve">60 Gün</t>
  </si>
  <si>
    <t xml:space="preserve">90 Gün</t>
  </si>
  <si>
    <t xml:space="preserve">Diğer</t>
  </si>
  <si>
    <t xml:space="preserve">Değer</t>
  </si>
  <si>
    <t xml:space="preserve">SENARYO DUYARLILIK — BANKA, KREDİ VE TAKSİT TAKİP SİSTEMİ</t>
  </si>
  <si>
    <t xml:space="preserve">SENARYO VE DUYARLILIK ANALİZİ</t>
  </si>
  <si>
    <t xml:space="preserve">Baz Toplam Borç</t>
  </si>
  <si>
    <t xml:space="preserve">İyimser Bakiye (-%10 Borç)</t>
  </si>
  <si>
    <t xml:space="preserve">Kötümser Bakiye (+%10 Borç)</t>
  </si>
  <si>
    <t xml:space="preserve">MARJİNAL ETKİ (Tornado)</t>
  </si>
  <si>
    <t xml:space="preserve">Değişken</t>
  </si>
  <si>
    <t xml:space="preserve">Değişim</t>
  </si>
  <si>
    <t xml:space="preserve">Etki</t>
  </si>
  <si>
    <t xml:space="preserve">Yeni Borç</t>
  </si>
  <si>
    <t xml:space="preserve">Döviz Borcu +%10</t>
  </si>
  <si>
    <t xml:space="preserve">Faiz Maliyeti +%10</t>
  </si>
  <si>
    <t xml:space="preserve">30 Günlük Ödeme +%10</t>
  </si>
  <si>
    <t xml:space="preserve">SENARYO TABLOSU</t>
  </si>
  <si>
    <t xml:space="preserve">Senaryo</t>
  </si>
  <si>
    <t xml:space="preserve">Toplam Borç</t>
  </si>
  <si>
    <t xml:space="preserve">30 Gün Ödeme</t>
  </si>
  <si>
    <t xml:space="preserve">Kötümser</t>
  </si>
  <si>
    <t xml:space="preserve">Baz</t>
  </si>
  <si>
    <t xml:space="preserve">İyimser</t>
  </si>
  <si>
    <t xml:space="preserve">RAPOR — BANKA, KREDİ VE TAKSİT TAKİP SİSTEMİ</t>
  </si>
  <si>
    <t xml:space="preserve">FİNANSMAN KOMİTESİ RAPORU</t>
  </si>
  <si>
    <t xml:space="preserve">Rapor Tarihi</t>
  </si>
  <si>
    <t xml:space="preserve">Firma</t>
  </si>
  <si>
    <t xml:space="preserve">Hazırlayan</t>
  </si>
  <si>
    <t xml:space="preserve">ANA SONUÇ</t>
  </si>
  <si>
    <t xml:space="preserve">ÖNEMLİ VARSAYIMLAR VE UYARILAR</t>
  </si>
  <si>
    <t xml:space="preserve">1. Döviz cinsi borçlar kur riski taşır; döviz geliriyle eşleşme AYARLAR eşiğiyle denetlenir.</t>
  </si>
  <si>
    <t xml:space="preserve">2. Bu rapor karar destek amaçlıdır; kesin finansal tavsiye değildir.</t>
  </si>
  <si>
    <t xml:space="preserve">3. Tüm eşikler AYARLAR sayfasında tanımlıdır; değişiklik sonrası rapor otomatik güncellenir.</t>
  </si>
  <si>
    <t xml:space="preserve">Hazırlayan: ExcelArşiv — Sürüm 1.0 | Tek kullanıcılı ticari lisans.</t>
  </si>
  <si>
    <t xml:space="preserve">ORNEK VERI — BANKA, KREDİ VE TAKSİT TAKİP SİSTEMİ</t>
  </si>
  <si>
    <t xml:space="preserve">ÖRNEK VERİ — otomasyon ve içe aktarma için yapı</t>
  </si>
  <si>
    <t xml:space="preserve">Örnek Alan</t>
  </si>
  <si>
    <t xml:space="preserve">Beklenen Etki</t>
  </si>
  <si>
    <t xml:space="preserve">Örnek Anadolu Üretim ve Ticaret A.Ş.</t>
  </si>
  <si>
    <t xml:space="preserve">Orta ölçekli üretim KOBİ'si</t>
  </si>
  <si>
    <t xml:space="preserve">Normal Durum</t>
  </si>
  <si>
    <t xml:space="preserve">KRD-001 düzenli ödeme</t>
  </si>
  <si>
    <t xml:space="preserve">Standart borç servisi</t>
  </si>
  <si>
    <t xml:space="preserve">Kritik Durum</t>
  </si>
  <si>
    <t xml:space="preserve">KRD-002 gecikmiş taksit</t>
  </si>
  <si>
    <t xml:space="preserve">Kritik ödeme aksiyonu</t>
  </si>
  <si>
    <t xml:space="preserve">Kur Riski</t>
  </si>
  <si>
    <t xml:space="preserve">KRD-003 USD borcu</t>
  </si>
  <si>
    <t xml:space="preserve">Döviz geliri yetersizse uyarı</t>
  </si>
  <si>
    <t xml:space="preserve">Balon Riski</t>
  </si>
  <si>
    <t xml:space="preserve">KRD-004 yıl sonu ödeme</t>
  </si>
  <si>
    <t xml:space="preserve">Nakit rezerv planı</t>
  </si>
  <si>
    <t xml:space="preserve">Refinansman</t>
  </si>
  <si>
    <t xml:space="preserve">Yeni teklifler</t>
  </si>
  <si>
    <t xml:space="preserve">Toplam maliyet ve taksit karşılaştırması</t>
  </si>
  <si>
    <t xml:space="preserve">TESTLER — BANKA, KREDİ VE TAKSİT TAKİP SİSTEMİ</t>
  </si>
  <si>
    <t xml:space="preserve">SİSTEM TESTLERİ VE DENETİM KAYDI</t>
  </si>
  <si>
    <t xml:space="preserve">Test</t>
  </si>
  <si>
    <t xml:space="preserve">Canlı Değer</t>
  </si>
  <si>
    <t xml:space="preserve">Karar Bildirimi</t>
  </si>
  <si>
    <t xml:space="preserve">Testler, excel_uretim/denetci.py ve test_banka_kredi.py ile otomatik çalışır.</t>
  </si>
  <si>
    <t xml:space="preserve">AKIS — BankaKrediVeTaksitTakipSistemi</t>
  </si>
  <si>
    <t xml:space="preserve">islem_id</t>
  </si>
  <si>
    <t xml:space="preserve">kaynak_kart_id</t>
  </si>
  <si>
    <t xml:space="preserve">onceki_durum</t>
  </si>
  <si>
    <t xml:space="preserve">yeni_durum</t>
  </si>
  <si>
    <t xml:space="preserve">tutar</t>
  </si>
  <si>
    <t xml:space="preserve">bayrak</t>
  </si>
  <si>
    <t xml:space="preserve">not</t>
  </si>
  <si>
    <t xml:space="preserve">I-001</t>
  </si>
  <si>
    <t xml:space="preserve">KART-01</t>
  </si>
  <si>
    <t xml:space="preserve">ACIK</t>
  </si>
  <si>
    <t xml:space="preserve">ISLEMDE</t>
  </si>
  <si>
    <t xml:space="preserve">OK</t>
  </si>
  <si>
    <t xml:space="preserve">normal geçiş</t>
  </si>
  <si>
    <t xml:space="preserve">I-002</t>
  </si>
  <si>
    <t xml:space="preserve">YETİM</t>
  </si>
  <si>
    <t xml:space="preserve">KAPALI</t>
  </si>
  <si>
    <t xml:space="preserve">kaynak_kart_id yok — yetim kayıt</t>
  </si>
  <si>
    <t xml:space="preserve">I-003</t>
  </si>
  <si>
    <t xml:space="preserve">KART-02</t>
  </si>
  <si>
    <t xml:space="preserve">GECERSIZ</t>
  </si>
  <si>
    <t xml:space="preserve">geçersiz durum geçişi</t>
  </si>
  <si>
    <t xml:space="preserve">I-004</t>
  </si>
  <si>
    <t xml:space="preserve">KART-03</t>
  </si>
  <si>
    <t xml:space="preserve">ZINCIR_KIRIK</t>
  </si>
  <si>
    <t xml:space="preserve">ZİNCİR KIRIK — tutar zinciri sapması</t>
  </si>
  <si>
    <t xml:space="preserve">kuyruk_kanit</t>
  </si>
  <si>
    <t xml:space="preserve">DEGISIKLIK KAYDI — BANKA, KREDİ VE TAKSİT TAKİP SİSTEMİ</t>
  </si>
  <si>
    <t xml:space="preserve">DEĞİŞİKLİK KAYDI</t>
  </si>
  <si>
    <t xml:space="preserve">Sürüm</t>
  </si>
  <si>
    <t xml:space="preserve">Tarih</t>
  </si>
  <si>
    <t xml:space="preserve">1.0</t>
  </si>
  <si>
    <t xml:space="preserve">08.08.2026</t>
  </si>
  <si>
    <t xml:space="preserve">İlk sürüm: banka limitleri, kredi portföyü, taksit planı, refinansman analizi ve karar motoru.</t>
  </si>
  <si>
    <t xml:space="preserve">LISTELER — BANKA, KREDİ VE TAKSİT TAKİP SİSTEMİ</t>
  </si>
  <si>
    <t xml:space="preserve">AÇILIR LİSTE KAYNAKLARI</t>
  </si>
  <si>
    <t xml:space="preserve">Banka Durumu</t>
  </si>
  <si>
    <t xml:space="preserve">Ödendi</t>
  </si>
  <si>
    <t xml:space="preserve">Pasif</t>
  </si>
  <si>
    <t xml:space="preserve">EUR</t>
  </si>
  <si>
    <t xml:space="preserve">Gecikmiş</t>
  </si>
  <si>
    <t xml:space="preserve">Nakit Blokaj</t>
  </si>
  <si>
    <t xml:space="preserve">Teminat Mektubu</t>
  </si>
  <si>
    <t xml:space="preserve">Kredi Kartı</t>
  </si>
  <si>
    <t xml:space="preserve">AYARLAR — BANKA, KREDİ VE TAKSİT TAKİP SİSTEMİ</t>
  </si>
  <si>
    <t xml:space="preserve">Tüm eşikler, katsayılar ve firma bilgileri tek kaynaktan (SSOT) buradan yönetilir. Değerleri değiştirirken Alt/Üst sınırlara dikkat edin.</t>
  </si>
  <si>
    <t xml:space="preserve">FIRMA BİLGİLERİ</t>
  </si>
  <si>
    <t xml:space="preserve">Firma Unvanı</t>
  </si>
  <si>
    <t xml:space="preserve">Rapor Hazırlayan</t>
  </si>
  <si>
    <t xml:space="preserve">Finans Direktörü</t>
  </si>
  <si>
    <t xml:space="preserve">Dosya Sürümü</t>
  </si>
  <si>
    <t xml:space="preserve">Lisans Kodu</t>
  </si>
  <si>
    <t xml:space="preserve">EKSRV-2026-BKT-0001</t>
  </si>
  <si>
    <t xml:space="preserve">MODEL EŞİKLERİ</t>
  </si>
  <si>
    <t xml:space="preserve">anahtar</t>
  </si>
  <si>
    <t xml:space="preserve">deger</t>
  </si>
  <si>
    <t xml:space="preserve">birim</t>
  </si>
  <si>
    <t xml:space="preserve">aciklama</t>
  </si>
  <si>
    <t xml:space="preserve">kaynak</t>
  </si>
  <si>
    <t xml:space="preserve">yururluk_tarihi</t>
  </si>
  <si>
    <t xml:space="preserve">dogrulama_tarihi</t>
  </si>
  <si>
    <t xml:space="preserve">Serbest Nakit</t>
  </si>
  <si>
    <t xml:space="preserve">₺</t>
  </si>
  <si>
    <t xml:space="preserve">30 günlük ödeme baskısının ölçüldüğü kullanılabilir nakit.</t>
  </si>
  <si>
    <t xml:space="preserve">Kullanıcı beyanı</t>
  </si>
  <si>
    <t xml:space="preserve">10.08.2026</t>
  </si>
  <si>
    <t xml:space="preserve">Aylık Faaliyet Nakdi</t>
  </si>
  <si>
    <t xml:space="preserve">Borç servis kapasitesi (aylık); DSCR hesabının temel girdisi.</t>
  </si>
  <si>
    <t xml:space="preserve">Yıllık Faaliyet Kârı</t>
  </si>
  <si>
    <t xml:space="preserve">Kaldıraç hesabında kullanılan yıllık kâr.</t>
  </si>
  <si>
    <t xml:space="preserve">Yıllık Döviz Geliri</t>
  </si>
  <si>
    <t xml:space="preserve">Kur uyumu kontrolünde kullanılan döviz geliri.</t>
  </si>
  <si>
    <t xml:space="preserve">Likidite Eşiği</t>
  </si>
  <si>
    <t xml:space="preserve">oran</t>
  </si>
  <si>
    <t xml:space="preserve">30 günlük ödeme yükü / serbest nakit oranı bu eşiği aşarsa karar DURDUR olur.</t>
  </si>
  <si>
    <t xml:space="preserve">Varsayım</t>
  </si>
  <si>
    <t xml:space="preserve">Döviz Geliri Eşiği</t>
  </si>
  <si>
    <t xml:space="preserve">Döviz borcu / yıllık döviz geliri oranı eşiği.</t>
  </si>
  <si>
    <t xml:space="preserve">Kaldıraç Eşiği</t>
  </si>
  <si>
    <t xml:space="preserve">Toplam borç / yıllık faaliyet kârı oranı eşiği.</t>
  </si>
  <si>
    <t xml:space="preserve">Veri Kalite Yüksek Eşiği</t>
  </si>
  <si>
    <t xml:space="preserve">puan</t>
  </si>
  <si>
    <t xml:space="preserve">Skorun SAĞLIKLI sayılması için alt sınır.</t>
  </si>
  <si>
    <t xml:space="preserve">Veri Kalite Orta Eşiği</t>
  </si>
  <si>
    <t xml:space="preserve">Skorun İZLEME sayılması için alt sınır.</t>
  </si>
  <si>
    <t xml:space="preserve">Uyarı Puan Kesintisi</t>
  </si>
  <si>
    <t xml:space="preserve">Her ihlalin veri kalite skorundan düşürdüğü puan.</t>
  </si>
  <si>
    <t xml:space="preserve">Duyarlılık Oranı</t>
  </si>
  <si>
    <t xml:space="preserve">Senaryo ve duyarlılık analizindeki değişim oranı.</t>
  </si>
  <si>
    <t xml:space="preserve">Ay Sayısı</t>
  </si>
  <si>
    <t xml:space="preserve">adet</t>
  </si>
  <si>
    <t xml:space="preserve">Yıllık faizin aylık faize çevrilmesinde kullanılan ay sayısı.</t>
  </si>
  <si>
    <t xml:space="preserve">Tasarım</t>
  </si>
  <si>
    <t xml:space="preserve">Ay Pencere Günü 0</t>
  </si>
  <si>
    <t xml:space="preserve">gün</t>
  </si>
  <si>
    <t xml:space="preserve">Bugünden başlangıç penceresi.</t>
  </si>
  <si>
    <t xml:space="preserve">Ay Pencere Günü 1</t>
  </si>
  <si>
    <t xml:space="preserve">Önümüzdeki ay ödeme penceresi.</t>
  </si>
  <si>
    <t xml:space="preserve">Ay Pencere Günü 2</t>
  </si>
  <si>
    <t xml:space="preserve">İkinci ay ödeme penceresi.</t>
  </si>
  <si>
    <t xml:space="preserve">Ay Pencere Günü 3</t>
  </si>
  <si>
    <t xml:space="preserve">Üçüncü ay ödeme penceresi.</t>
  </si>
  <si>
    <t xml:space="preserve">Ay Pencere Günü 4</t>
  </si>
  <si>
    <t xml:space="preserve">Dördüncü ay ödeme penceresi.</t>
  </si>
  <si>
    <t xml:space="preserve">Ay Pencere Günü 5</t>
  </si>
  <si>
    <t xml:space="preserve">Beşinci ay ödeme penceresi.</t>
  </si>
  <si>
    <t xml:space="preserve">Ay Pencere Günü 6</t>
  </si>
  <si>
    <t xml:space="preserve">Altıncı ay ödeme penceresi.</t>
  </si>
  <si>
    <t xml:space="preserve">durum_haritasi</t>
  </si>
  <si>
    <t xml:space="preserve">durum_id</t>
  </si>
  <si>
    <t xml:space="preserve">durum_adi</t>
  </si>
  <si>
    <t xml:space="preserve">izinli_sonraki</t>
  </si>
  <si>
    <t xml:space="preserve">kategori</t>
  </si>
  <si>
    <t xml:space="preserve">HARITA</t>
  </si>
  <si>
    <t xml:space="preserve">Açık</t>
  </si>
  <si>
    <t xml:space="preserve">acik</t>
  </si>
  <si>
    <t xml:space="preserve">İşlemde</t>
  </si>
  <si>
    <t xml:space="preserve">Kapalı</t>
  </si>
  <si>
    <t xml:space="preserve">-</t>
  </si>
  <si>
    <t xml:space="preserve">kapali</t>
  </si>
  <si>
    <t xml:space="preserve">Geçersiz geçiş uyarısı</t>
  </si>
  <si>
    <t xml:space="preserve">KILAVUZ — BANKA, KREDİ VE TAKSİT TAKİP SİSTEMİ</t>
  </si>
  <si>
    <t xml:space="preserve">KULLANIM KILAVUZU</t>
  </si>
  <si>
    <t xml:space="preserve">1. AMAÇ</t>
  </si>
  <si>
    <t xml:space="preserve">Borç portföyünü, limitleri, ödeme baskısını ve refinansman fırsatlarını tek merkezde yönetmek.</t>
  </si>
  <si>
    <t xml:space="preserve">2. GİRİŞ VERİLERİ</t>
  </si>
  <si>
    <t xml:space="preserve">BANKALAR, LIMITLER ve KREDILER sayfalarına banka ilişkilerini, limitleri ve kredileri girin; TAKSIT_PLANI'na dönem bazında taksitleri işleyin.</t>
  </si>
  <si>
    <t xml:space="preserve">3. MALİYET VE TEMİNAT</t>
  </si>
  <si>
    <t xml:space="preserve">MASRAF_KOMISYON, TEMINATLAR ve YENI_TEKLIFLER sayfalarını tamamlayın.</t>
  </si>
  <si>
    <t xml:space="preserve">4. ÖDEME TAKVİMİ</t>
  </si>
  <si>
    <t xml:space="preserve">ODEME_TAKVIMI yaklaşan taksitleri 30/60/90 gün penceresinde otomatik listeler.</t>
  </si>
  <si>
    <t xml:space="preserve">5. REFİNANSMAN</t>
  </si>
  <si>
    <t xml:space="preserve">REFINANSMAN teklifleri taksit rahatlaması ve toplam maliyet üzerinden ADAY/DEĞİL olarak sınıflar.</t>
  </si>
  <si>
    <t xml:space="preserve">6. KONTROLLER</t>
  </si>
  <si>
    <t xml:space="preserve">Veri kalite skoru ve ihlal sayıları; sarı hücreler manuel giriş alanlarıdır.</t>
  </si>
  <si>
    <t xml:space="preserve">7. KARAR MOTORU</t>
  </si>
  <si>
    <t xml:space="preserve">Karar, risk seviyesi ve önerilen aksiyon makine tarafından üretilir.</t>
  </si>
  <si>
    <t xml:space="preserve">8. PANO VE RAPOR</t>
  </si>
  <si>
    <t xml:space="preserve">PANO tek ekranda özeti gösterir; RAPOR yazdırılmaya hazırdır.</t>
  </si>
  <si>
    <t xml:space="preserve">9. KORUMA</t>
  </si>
  <si>
    <t xml:space="preserve">Formül ve başlıklar 1234 şifresiyle korunur; giriş hücreleri açıktır.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</si>
</sst>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"/>
    <numFmt numFmtId="166" formatCode="&quot;₺ &quot;#,##0;[RED]&quot;(₺ &quot;#,##0\);\-"/>
    <numFmt numFmtId="167" formatCode="0.0%;[RED]\(0.0%\);\-"/>
    <numFmt numFmtId="168" formatCode="dd/mm/yyyy"/>
    <numFmt numFmtId="169" formatCode="0.00"/>
    <numFmt numFmtId="170" formatCode="@"/>
  </numFmts>
  <fonts count="2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Segoe UI"/>
      <family val="0"/>
      <charset val="1"/>
    </font>
    <font>
      <b val="true"/>
      <sz val="26"/>
      <color rgb="FF0B1F3A"/>
      <name val="Segoe UI"/>
      <family val="0"/>
      <charset val="1"/>
    </font>
    <font>
      <sz val="12"/>
      <color rgb="FF1F4E79"/>
      <name val="Segoe UI"/>
      <family val="0"/>
      <charset val="1"/>
    </font>
    <font>
      <b val="true"/>
      <sz val="11"/>
      <color rgb="FFB08948"/>
      <name val="Segoe UI"/>
      <family val="0"/>
      <charset val="1"/>
    </font>
    <font>
      <sz val="10"/>
      <color rgb="FF000000"/>
      <name val="Segoe UI"/>
      <family val="0"/>
      <charset val="1"/>
    </font>
    <font>
      <sz val="9"/>
      <color rgb="FF595959"/>
      <name val="Segoe UI"/>
      <family val="0"/>
      <charset val="1"/>
    </font>
    <font>
      <b val="true"/>
      <sz val="16"/>
      <color rgb="FF0B1F3A"/>
      <name val="Segoe UI"/>
      <family val="0"/>
      <charset val="1"/>
    </font>
    <font>
      <b val="true"/>
      <sz val="10"/>
      <color rgb="FFB08948"/>
      <name val="Segoe UI"/>
      <family val="0"/>
      <charset val="1"/>
    </font>
    <font>
      <sz val="11"/>
      <color rgb="FF1F4E79"/>
      <name val="Segoe UI"/>
      <family val="0"/>
      <charset val="1"/>
    </font>
    <font>
      <b val="true"/>
      <sz val="10"/>
      <color rgb="FFFFFFFF"/>
      <name val="Segoe UI"/>
      <family val="0"/>
      <charset val="1"/>
    </font>
    <font>
      <sz val="10"/>
      <color rgb="FF1F4E79"/>
      <name val="Segoe UI"/>
      <family val="0"/>
      <charset val="1"/>
    </font>
    <font>
      <sz val="10"/>
      <color rgb="FF006100"/>
      <name val="Segoe UI"/>
      <family val="0"/>
      <charset val="1"/>
    </font>
    <font>
      <sz val="10"/>
      <name val="Arial"/>
      <family val="2"/>
    </font>
    <font>
      <b val="true"/>
      <sz val="12"/>
      <color rgb="FF0B1F3A"/>
      <name val="Segoe UI"/>
      <family val="0"/>
      <charset val="1"/>
    </font>
    <font>
      <b val="true"/>
      <sz val="10"/>
      <color rgb="FF000000"/>
      <name val="Segoe UI"/>
      <family val="0"/>
      <charset val="1"/>
    </font>
    <font>
      <b val="true"/>
      <sz val="10"/>
      <color rgb="FF006100"/>
      <name val="Segoe UI"/>
      <family val="0"/>
      <charset val="1"/>
    </font>
    <font>
      <b val="true"/>
      <sz val="11"/>
      <color rgb="FF000000"/>
      <name val="Segoe UI"/>
      <family val="0"/>
      <charset val="1"/>
    </font>
    <font>
      <sz val="9"/>
      <color rgb="FF1F4E79"/>
      <name val="Segoe UI"/>
      <family val="0"/>
      <charset val="1"/>
    </font>
    <font>
      <b val="true"/>
      <sz val="14"/>
      <color rgb="FF0B1F3A"/>
      <name val="Segoe UI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i val="true"/>
      <sz val="8"/>
      <color rgb="FF000000"/>
      <name val="Segoe UI"/>
      <family val="0"/>
      <charset val="1"/>
    </font>
    <font>
      <b val="true"/>
      <sz val="9"/>
      <color rgb="FF000000"/>
      <name val="Segoe UI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000B1F3A"/>
        <bgColor rgb="FF003300"/>
      </patternFill>
    </fill>
    <fill>
      <patternFill patternType="solid">
        <fgColor rgb="001F4E79"/>
        <bgColor rgb="FF333333"/>
      </patternFill>
    </fill>
    <fill>
      <patternFill patternType="solid">
        <fgColor rgb="FFFFF2CC"/>
        <bgColor rgb="FFFDE7E9"/>
      </patternFill>
    </fill>
    <fill>
      <patternFill patternType="solid">
        <fgColor rgb="00DDEBF7"/>
        <bgColor rgb="FFE2EFDA"/>
      </patternFill>
    </fill>
    <fill>
      <patternFill patternType="solid">
        <fgColor rgb="00F2F2F2"/>
        <bgColor rgb="FFFDE7E9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3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4" fillId="4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5" fontId="14" fillId="4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4" fontId="1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general" vertical="bottom" textRotation="0" wrapText="false" indent="0" shrinkToFit="false"/>
      <protection locked="false" hidden="false"/>
    </xf>
    <xf numFmtId="166" fontId="14" fillId="4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6" fontId="1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1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14" fillId="4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7" fontId="14" fillId="4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8" fontId="1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1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5" fontId="1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4" fillId="5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0" fillId="6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8" fillId="6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1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6" fontId="1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7" fontId="1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7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6" fontId="1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1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7" fontId="14" fillId="4" borderId="0" xfId="0" applyFont="true" applyBorder="false" applyAlignment="true" applyProtection="true">
      <alignment horizontal="center" vertical="center" textRotation="0" wrapText="false" indent="0" shrinkToFit="false"/>
      <protection locked="false" hidden="false"/>
    </xf>
    <xf numFmtId="168" fontId="1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0" fontId="14" fillId="4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4" fontId="26" fillId="6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0">
    <dxf>
      <fill>
        <patternFill patternType="solid">
          <fgColor rgb="001F4E7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1F7A4D"/>
          <bgColor rgb="FF000000"/>
        </patternFill>
      </fill>
    </dxf>
    <dxf>
      <fill>
        <patternFill patternType="solid">
          <fgColor rgb="FFB7791F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ont>
        <name val="Segoe UI"/>
        <charset val="1"/>
        <family val="0"/>
        <color rgb="FF1F7A4D"/>
      </font>
    </dxf>
    <dxf>
      <font>
        <name val="Segoe UI"/>
        <charset val="1"/>
        <family val="0"/>
        <color rgb="FFB3261E"/>
      </font>
    </dxf>
    <dxf>
      <font>
        <name val="Segoe UI"/>
        <charset val="1"/>
        <family val="0"/>
        <color rgb="FFB7791F"/>
      </font>
    </dxf>
    <dxf>
      <fill>
        <patternFill patternType="solid">
          <fgColor rgb="FFB3261E"/>
          <bgColor rgb="FF000000"/>
        </patternFill>
      </fill>
    </dxf>
    <dxf>
      <font>
        <name val="Segoe UI"/>
        <charset val="1"/>
        <family val="0"/>
        <color rgb="FFB3261E"/>
      </font>
      <fill>
        <patternFill>
          <bgColor rgb="FFFDE7E9"/>
        </patternFill>
      </fill>
    </dxf>
    <dxf>
      <fill>
        <patternFill patternType="solid">
          <fgColor rgb="FFFDE7E9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595959"/>
          <bgColor rgb="FF000000"/>
        </patternFill>
      </fill>
    </dxf>
    <dxf>
      <font>
        <name val="Segoe UI"/>
        <charset val="1"/>
        <family val="0"/>
        <color rgb="FF1F7A4D"/>
      </font>
      <fill>
        <patternFill>
          <bgColor rgb="FFE2EFDA"/>
        </patternFill>
      </fill>
    </dxf>
    <dxf>
      <font>
        <name val="Segoe UI"/>
        <charset val="1"/>
        <family val="0"/>
        <color rgb="FF595959"/>
      </font>
    </dxf>
    <dxf>
      <font>
        <name val="Segoe UI"/>
        <charset val="1"/>
        <family val="0"/>
        <color rgb="FFBF8F00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B7791F"/>
      <rgbColor rgb="FF800080"/>
      <rgbColor rgb="FF1F7A4D"/>
      <rgbColor rgb="FFC0C0C0"/>
      <rgbColor rgb="FF878787"/>
      <rgbColor rgb="FF9999FF"/>
      <rgbColor rgb="FFC0504D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DE7E9"/>
      <rgbColor rgb="FF99CCFF"/>
      <rgbColor rgb="FFFF99CC"/>
      <rgbColor rgb="FFCC99FF"/>
      <rgbColor rgb="FFFFCC99"/>
      <rgbColor rgb="FF4A7EBB"/>
      <rgbColor rgb="FF33CCCC"/>
      <rgbColor rgb="FF9BBB59"/>
      <rgbColor rgb="FFFFCC00"/>
      <rgbColor rgb="FFBF8F00"/>
      <rgbColor rgb="FFFF6600"/>
      <rgbColor rgb="FF595959"/>
      <rgbColor rgb="FFB08948"/>
      <rgbColor rgb="FF0B1F3A"/>
      <rgbColor rgb="FF4F81BD"/>
      <rgbColor rgb="FF003300"/>
      <rgbColor rgb="FF333300"/>
      <rgbColor rgb="FFB3261E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_rels/chart2.xml.rels><?xml version="1.0" encoding="UTF-8"?>
<Relationships xmlns="http://schemas.openxmlformats.org/package/2006/relationships"><Relationship Id="rId1" Type="http://schemas.microsoft.com/office/2011/relationships/chartStyle" Target="style2.xml"/><Relationship Id="rId2" Type="http://schemas.microsoft.com/office/2011/relationships/chartColorStyle" Target="colors2.xml"/>
</Relationships>
</file>

<file path=xl/charts/_rels/chart3.xml.rels><?xml version="1.0" encoding="UTF-8"?>
<Relationships xmlns="http://schemas.openxmlformats.org/package/2006/relationships"><Relationship Id="rId1" Type="http://schemas.microsoft.com/office/2011/relationships/chartStyle" Target="style3.xml"/><Relationship Id="rId2" Type="http://schemas.microsoft.com/office/2011/relationships/chartColorStyle" Target="colors3.xml"/>
</Relationships>
</file>

<file path=xl/charts/_rels/chart4.xml.rels><?xml version="1.0" encoding="UTF-8"?>
<Relationships xmlns="http://schemas.openxmlformats.org/package/2006/relationships"><Relationship Id="rId1" Type="http://schemas.microsoft.com/office/2011/relationships/chartStyle" Target="style4.xml"/><Relationship Id="rId2" Type="http://schemas.microsoft.com/office/2011/relationships/chartColorStyle" Target="colors4.xml"/>
</Relationships>
</file>

<file path=xl/charts/_rels/chart5.xml.rels><?xml version="1.0" encoding="UTF-8"?>
<Relationships xmlns="http://schemas.openxmlformats.org/package/2006/relationships"><Relationship Id="rId1" Type="http://schemas.microsoft.com/office/2011/relationships/chartStyle" Target="style5.xml"/><Relationship Id="rId2" Type="http://schemas.microsoft.com/office/2011/relationships/chartColorStyle" Target="colors5.xml"/>
</Relationships>
</file>

<file path=xl/charts/_rels/chart6.xml.rels><?xml version="1.0" encoding="UTF-8"?>
<Relationships xmlns="http://schemas.openxmlformats.org/package/2006/relationships"><Relationship Id="rId1" Type="http://schemas.microsoft.com/office/2011/relationships/chartStyle" Target="style6.xml"/><Relationship Id="rId2" Type="http://schemas.microsoft.com/office/2011/relationships/chartColorStyle" Target="colors6.xml"/>
</Relationships>
</file>

<file path=xl/charts/_rels/chart7.xml.rels><?xml version="1.0" encoding="UTF-8"?>
<Relationships xmlns="http://schemas.openxmlformats.org/package/2006/relationships"><Relationship Id="rId1" Type="http://schemas.microsoft.com/office/2011/relationships/chartStyle" Target="style7.xml"/><Relationship Id="rId2" Type="http://schemas.microsoft.com/office/2011/relationships/chartColorStyle" Target="colors7.xml"/>
</Relationships>
</file>

<file path=xl/charts/_rels/chart8.xml.rels><?xml version="1.0" encoding="UTF-8"?>
<Relationships xmlns="http://schemas.openxmlformats.org/package/2006/relationships"><Relationship Id="rId1" Type="http://schemas.microsoft.com/office/2011/relationships/chartStyle" Target="style8.xml"/><Relationship Id="rId2" Type="http://schemas.microsoft.com/office/2011/relationships/chartColorStyle" Target="colors8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Banka Bazında Borç Dağılımı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tx>
            <c:strRef>
              <c:f>PANO!H20</c:f>
              <c:strCache>
                <c:ptCount val="1"/>
                <c:pt idx="0">
                  <c:v>₺ 10.600.000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explosion val="0"/>
          <c:dPt>
            <c:idx val="0"/>
            <c:spPr>
              <a:solidFill>
                <a:srgbClr val="4F81BD"/>
              </a:solidFill>
              <a:ln w="12600">
                <a:noFill/>
              </a:ln>
            </c:spPr>
          </c:dPt>
          <c:dPt>
            <c:idx val="1"/>
            <c:spPr>
              <a:solidFill>
                <a:srgbClr val="C0504D"/>
              </a:solidFill>
              <a:ln w="12600">
                <a:noFill/>
              </a:ln>
            </c:spPr>
          </c:dPt>
          <c:dPt>
            <c:idx val="2"/>
            <c:spPr>
              <a:solidFill>
                <a:srgbClr val="9BBB59"/>
              </a:solidFill>
              <a:ln w="1260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2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bestFit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</c:dLbls>
          <c:cat>
            <c:strRef>
              <c:f>PANO!$G$20:$G$23</c:f>
              <c:strCache>
                <c:ptCount val="4"/>
                <c:pt idx="0">
                  <c:v>Türkiye İş Bankası</c:v>
                </c:pt>
                <c:pt idx="1">
                  <c:v>Akbank</c:v>
                </c:pt>
                <c:pt idx="2">
                  <c:v>Garanti BBVA</c:v>
                </c:pt>
                <c:pt idx="3">
                  <c:v>Yapı Kredi</c:v>
                </c:pt>
              </c:strCache>
            </c:strRef>
          </c:cat>
          <c:val>
            <c:numRef>
              <c:f>PANO!$H$21:$H$23</c:f>
              <c:numCache>
                <c:formatCode>"₺ "#,##0;[RED]"(₺ "#,##0\);\-</c:formatCode>
                <c:ptCount val="3"/>
                <c:pt idx="0">
                  <c:v>6100000</c:v>
                </c:pt>
                <c:pt idx="1">
                  <c:v>180000</c:v>
                </c:pt>
                <c:pt idx="2">
                  <c:v>0</c:v>
                </c:pt>
              </c:numCache>
            </c:numRef>
          </c:val>
        </c:ser>
        <c:firstSliceAng val="0"/>
      </c:pieChart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Yaklaşan Ödeme Takvimi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PANO!H26</c:f>
              <c:strCache>
                <c:ptCount val="1"/>
                <c:pt idx="0">
                  <c:v>₺ 934.864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PANO!$G$26:$G$31</c:f>
              <c:strCache>
                <c:ptCount val="6"/>
                <c:pt idx="0">
                  <c:v>Önümüzdeki Ay</c:v>
                </c:pt>
                <c:pt idx="1">
                  <c:v>İkinci Ay</c:v>
                </c:pt>
                <c:pt idx="2">
                  <c:v>Üçüncü Ay</c:v>
                </c:pt>
                <c:pt idx="3">
                  <c:v>Dördüncü Ay</c:v>
                </c:pt>
                <c:pt idx="4">
                  <c:v>Beşinci Ay</c:v>
                </c:pt>
                <c:pt idx="5">
                  <c:v>Altıncı Ay</c:v>
                </c:pt>
              </c:strCache>
            </c:strRef>
          </c:cat>
          <c:val>
            <c:numRef>
              <c:f>PANO!$H$27:$H$31</c:f>
              <c:numCache>
                <c:formatCode>"₺ "#,##0;[RED]"(₺ "#,##0\);\-</c:formatCode>
                <c:ptCount val="5"/>
                <c:pt idx="0">
                  <c:v>930000</c:v>
                </c:pt>
                <c:pt idx="1">
                  <c:v>0</c:v>
                </c:pt>
                <c:pt idx="2">
                  <c:v>0</c:v>
                </c:pt>
                <c:pt idx="3">
                  <c:v>3285700</c:v>
                </c:pt>
                <c:pt idx="4">
                  <c:v>0</c:v>
                </c:pt>
              </c:numCache>
            </c:numRef>
          </c:val>
        </c:ser>
        <c:gapWidth val="150"/>
        <c:overlap val="0"/>
        <c:axId val="44658425"/>
        <c:axId val="22321148"/>
      </c:barChart>
      <c:catAx>
        <c:axId val="44658425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22321148"/>
        <c:crosses val="autoZero"/>
        <c:auto val="1"/>
        <c:lblAlgn val="ctr"/>
        <c:lblOffset val="100"/>
        <c:noMultiLvlLbl val="0"/>
      </c:catAx>
      <c:valAx>
        <c:axId val="2232114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₺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&quot;₺ &quot;#,##0;[RED]&quot;(₺ &quot;#,##0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4658425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30/60/90 Gün Ödeme Yükü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PANO!H33</c:f>
              <c:strCache>
                <c:ptCount val="1"/>
                <c:pt idx="0">
                  <c:v>₺ 934.864</c:v>
                </c:pt>
              </c:strCache>
            </c:strRef>
          </c:tx>
          <c:spPr>
            <a:solidFill>
              <a:srgbClr val="4A7EBB"/>
            </a:solidFill>
            <a:ln w="1260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PANO!$G$33:$G$35</c:f>
              <c:strCache>
                <c:ptCount val="3"/>
                <c:pt idx="0">
                  <c:v>30 Gün</c:v>
                </c:pt>
                <c:pt idx="1">
                  <c:v>60 Gün</c:v>
                </c:pt>
                <c:pt idx="2">
                  <c:v>90 Gün</c:v>
                </c:pt>
              </c:strCache>
            </c:strRef>
          </c:cat>
          <c:val>
            <c:numRef>
              <c:f>PANO!$H$34:$H$35</c:f>
              <c:numCache>
                <c:formatCode>"₺ "#,##0;[RED]"(₺ "#,##0\);\-</c:formatCode>
                <c:ptCount val="2"/>
                <c:pt idx="0">
                  <c:v>1864864</c:v>
                </c:pt>
                <c:pt idx="1">
                  <c:v>1864864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44987311"/>
        <c:axId val="61937843"/>
      </c:lineChart>
      <c:catAx>
        <c:axId val="44987311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1937843"/>
        <c:crosses val="autoZero"/>
        <c:auto val="1"/>
        <c:lblAlgn val="ctr"/>
        <c:lblOffset val="100"/>
        <c:noMultiLvlLbl val="0"/>
      </c:catAx>
      <c:valAx>
        <c:axId val="6193784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&quot;₺ &quot;#,##0;[RED]&quot;(₺ &quot;#,##0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4987311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Kredi Ürün Türü Dağılımı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PANO!H38</c:f>
              <c:strCache>
                <c:ptCount val="1"/>
                <c:pt idx="0">
                  <c:v>₺ 8.400.000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PANO!$G$38:$G$41</c:f>
              <c:strCache>
                <c:ptCount val="4"/>
                <c:pt idx="0">
                  <c:v>Taksitli Ticari Kredi</c:v>
                </c:pt>
                <c:pt idx="1">
                  <c:v>Leasing</c:v>
                </c:pt>
                <c:pt idx="2">
                  <c:v>Rotatif Kredi</c:v>
                </c:pt>
                <c:pt idx="3">
                  <c:v>Spot Kredi</c:v>
                </c:pt>
              </c:strCache>
            </c:strRef>
          </c:cat>
          <c:val>
            <c:numRef>
              <c:f>PANO!$H$39:$H$41</c:f>
              <c:numCache>
                <c:formatCode>"₺ "#,##0;[RED]"(₺ "#,##0\);\-</c:formatCode>
                <c:ptCount val="3"/>
                <c:pt idx="0">
                  <c:v>6100000</c:v>
                </c:pt>
                <c:pt idx="1">
                  <c:v>180000</c:v>
                </c:pt>
                <c:pt idx="2">
                  <c:v>2200000</c:v>
                </c:pt>
              </c:numCache>
            </c:numRef>
          </c:val>
        </c:ser>
        <c:gapWidth val="150"/>
        <c:overlap val="0"/>
        <c:axId val="91797802"/>
        <c:axId val="5607583"/>
      </c:barChart>
      <c:catAx>
        <c:axId val="9179780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5607583"/>
        <c:crosses val="autoZero"/>
        <c:auto val="1"/>
        <c:lblAlgn val="ctr"/>
        <c:lblOffset val="100"/>
        <c:noMultiLvlLbl val="0"/>
      </c:catAx>
      <c:valAx>
        <c:axId val="560758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&quot;₺ &quot;#,##0;[RED]&quot;(₺ &quot;#,##0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1797802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Masraf Türü Dağılımı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tx>
            <c:strRef>
              <c:f>PANO!H44</c:f>
              <c:strCache>
                <c:ptCount val="1"/>
                <c:pt idx="0">
                  <c:v>₺ 60.000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explosion val="0"/>
          <c:dPt>
            <c:idx val="0"/>
            <c:spPr>
              <a:solidFill>
                <a:srgbClr val="4F81BD"/>
              </a:solidFill>
              <a:ln w="12600">
                <a:noFill/>
              </a:ln>
            </c:spPr>
          </c:dPt>
          <c:dPt>
            <c:idx val="1"/>
            <c:spPr>
              <a:solidFill>
                <a:srgbClr val="C0504D"/>
              </a:solidFill>
              <a:ln w="12600">
                <a:noFill/>
              </a:ln>
            </c:spPr>
          </c:dPt>
          <c:dPt>
            <c:idx val="2"/>
            <c:spPr>
              <a:solidFill>
                <a:srgbClr val="9BBB59"/>
              </a:solidFill>
              <a:ln w="1260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2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bestFit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</c:dLbls>
          <c:cat>
            <c:strRef>
              <c:f>PANO!$G$44:$G$47</c:f>
              <c:strCache>
                <c:ptCount val="4"/>
                <c:pt idx="0">
                  <c:v>Tahsis Ücreti</c:v>
                </c:pt>
                <c:pt idx="1">
                  <c:v>Sigorta</c:v>
                </c:pt>
                <c:pt idx="2">
                  <c:v>Komisyon</c:v>
                </c:pt>
                <c:pt idx="3">
                  <c:v>Diğer</c:v>
                </c:pt>
              </c:strCache>
            </c:strRef>
          </c:cat>
          <c:val>
            <c:numRef>
              <c:f>PANO!$H$45:$H$47</c:f>
              <c:numCache>
                <c:formatCode>"₺ "#,##0;[RED]"(₺ "#,##0\);\-</c:formatCode>
                <c:ptCount val="3"/>
                <c:pt idx="0">
                  <c:v>70000</c:v>
                </c:pt>
                <c:pt idx="1">
                  <c:v>1500</c:v>
                </c:pt>
                <c:pt idx="2">
                  <c:v>0</c:v>
                </c:pt>
              </c:numCache>
            </c:numRef>
          </c:val>
        </c:ser>
        <c:firstSliceAng val="0"/>
      </c:pieChart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Teminat Türü Kapsaması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PANO!H50</c:f>
              <c:strCache>
                <c:ptCount val="1"/>
                <c:pt idx="0">
                  <c:v>₺ 15.000.000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PANO!$G$50:$G$53</c:f>
              <c:strCache>
                <c:ptCount val="4"/>
                <c:pt idx="0">
                  <c:v>Gayrimenkul İpoteği</c:v>
                </c:pt>
                <c:pt idx="1">
                  <c:v>Taşıt Rehni</c:v>
                </c:pt>
                <c:pt idx="2">
                  <c:v>Alacak Temliki</c:v>
                </c:pt>
                <c:pt idx="3">
                  <c:v>Diğer</c:v>
                </c:pt>
              </c:strCache>
            </c:strRef>
          </c:cat>
          <c:val>
            <c:numRef>
              <c:f>PANO!$H$51:$H$53</c:f>
              <c:numCache>
                <c:formatCode>"₺ "#,##0;[RED]"(₺ "#,##0\);\-</c:formatCode>
                <c:ptCount val="3"/>
                <c:pt idx="0">
                  <c:v>8500000</c:v>
                </c:pt>
                <c:pt idx="1">
                  <c:v>3500000</c:v>
                </c:pt>
                <c:pt idx="2">
                  <c:v>0</c:v>
                </c:pt>
              </c:numCache>
            </c:numRef>
          </c:val>
        </c:ser>
        <c:gapWidth val="150"/>
        <c:overlap val="0"/>
        <c:axId val="99549932"/>
        <c:axId val="80107446"/>
      </c:barChart>
      <c:catAx>
        <c:axId val="9954993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0107446"/>
        <c:crosses val="autoZero"/>
        <c:auto val="1"/>
        <c:lblAlgn val="ctr"/>
        <c:lblOffset val="100"/>
        <c:noMultiLvlLbl val="0"/>
      </c:catAx>
      <c:valAx>
        <c:axId val="8010744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₺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&quot;₺ &quot;#,##0;[RED]&quot;(₺ &quot;#,##0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9549932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Senaryo Karşılaştırma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SENARYO_DUYARLILIK!B16</c:f>
              <c:strCache>
                <c:ptCount val="1"/>
                <c:pt idx="0">
                  <c:v>Toplam Borç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SENARYO_DUYARLILIK!$A$17:$A$19</c:f>
              <c:strCache>
                <c:ptCount val="3"/>
                <c:pt idx="0">
                  <c:v>Kötümser</c:v>
                </c:pt>
                <c:pt idx="1">
                  <c:v>Baz</c:v>
                </c:pt>
                <c:pt idx="2">
                  <c:v>İyimser</c:v>
                </c:pt>
              </c:strCache>
            </c:strRef>
          </c:cat>
          <c:val>
            <c:numRef>
              <c:f>SENARYO_DUYARLILIK!$B$17:$B$19</c:f>
              <c:numCache>
                <c:formatCode>"₺ "#,##0;[RED]"(₺ "#,##0\);\-</c:formatCode>
                <c:ptCount val="3"/>
                <c:pt idx="0">
                  <c:v>18568000</c:v>
                </c:pt>
                <c:pt idx="1">
                  <c:v>16880000</c:v>
                </c:pt>
                <c:pt idx="2">
                  <c:v>15192000</c:v>
                </c:pt>
              </c:numCache>
            </c:numRef>
          </c:val>
        </c:ser>
        <c:gapWidth val="150"/>
        <c:overlap val="0"/>
        <c:axId val="1614255"/>
        <c:axId val="80073908"/>
      </c:barChart>
      <c:catAx>
        <c:axId val="1614255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0073908"/>
        <c:crosses val="autoZero"/>
        <c:auto val="1"/>
        <c:lblAlgn val="ctr"/>
        <c:lblOffset val="100"/>
        <c:noMultiLvlLbl val="0"/>
      </c:catAx>
      <c:valAx>
        <c:axId val="8007390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&quot;₺ &quot;#,##0;[RED]&quot;(₺ &quot;#,##0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614255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Tornado — Borç Etkileri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SENARYO_DUYARLILIK!C10</c:f>
              <c:strCache>
                <c:ptCount val="1"/>
                <c:pt idx="0">
                  <c:v>Etki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SENARYO_DUYARLILIK!$A$11:$A$13</c:f>
              <c:strCache>
                <c:ptCount val="3"/>
                <c:pt idx="0">
                  <c:v>Döviz Borcu +%10</c:v>
                </c:pt>
                <c:pt idx="1">
                  <c:v>Faiz Maliyeti +%10</c:v>
                </c:pt>
                <c:pt idx="2">
                  <c:v>30 Günlük Ödeme +%10</c:v>
                </c:pt>
              </c:strCache>
            </c:strRef>
          </c:cat>
          <c:val>
            <c:numRef>
              <c:f>SENARYO_DUYARLILIK!$C$11:$C$13</c:f>
              <c:numCache>
                <c:formatCode>"₺ "#,##0;[RED]"(₺ "#,##0\);\-</c:formatCode>
                <c:ptCount val="3"/>
                <c:pt idx="0">
                  <c:v>18000</c:v>
                </c:pt>
                <c:pt idx="1">
                  <c:v>556930</c:v>
                </c:pt>
                <c:pt idx="2">
                  <c:v>93486.4</c:v>
                </c:pt>
              </c:numCache>
            </c:numRef>
          </c:val>
        </c:ser>
        <c:gapWidth val="150"/>
        <c:overlap val="0"/>
        <c:axId val="44914678"/>
        <c:axId val="95969626"/>
      </c:barChart>
      <c:catAx>
        <c:axId val="44914678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5969626"/>
        <c:crosses val="autoZero"/>
        <c:auto val="1"/>
        <c:lblAlgn val="ctr"/>
        <c:lblOffset val="100"/>
        <c:noMultiLvlLbl val="0"/>
      </c:catAx>
      <c:valAx>
        <c:axId val="9596962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&quot;₺ &quot;#,##0;[RED]&quot;(₺ &quot;#,##0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4914678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3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4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5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6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7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8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7.xml"/><Relationship Id="rId2" Type="http://schemas.openxmlformats.org/officeDocument/2006/relationships/chart" Target="../charts/chart8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0</xdr:colOff>
      <xdr:row>4</xdr:row>
      <xdr:rowOff>0</xdr:rowOff>
    </xdr:from>
    <xdr:to>
      <xdr:col>20</xdr:col>
      <xdr:colOff>255600</xdr:colOff>
      <xdr:row>21</xdr:row>
      <xdr:rowOff>720</xdr:rowOff>
    </xdr:to>
    <xdr:graphicFrame>
      <xdr:nvGraphicFramePr>
        <xdr:cNvPr id="1" name="Chart 1"/>
        <xdr:cNvGraphicFramePr/>
      </xdr:nvGraphicFramePr>
      <xdr:xfrm>
        <a:off x="15554160" y="923760"/>
        <a:ext cx="5759280" cy="323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11</xdr:col>
      <xdr:colOff>0</xdr:colOff>
      <xdr:row>19</xdr:row>
      <xdr:rowOff>0</xdr:rowOff>
    </xdr:from>
    <xdr:to>
      <xdr:col>20</xdr:col>
      <xdr:colOff>255600</xdr:colOff>
      <xdr:row>36</xdr:row>
      <xdr:rowOff>720</xdr:rowOff>
    </xdr:to>
    <xdr:graphicFrame>
      <xdr:nvGraphicFramePr>
        <xdr:cNvPr id="2" name="Chart 2"/>
        <xdr:cNvGraphicFramePr/>
      </xdr:nvGraphicFramePr>
      <xdr:xfrm>
        <a:off x="15554160" y="3781440"/>
        <a:ext cx="5759280" cy="323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11</xdr:col>
      <xdr:colOff>0</xdr:colOff>
      <xdr:row>34</xdr:row>
      <xdr:rowOff>0</xdr:rowOff>
    </xdr:from>
    <xdr:to>
      <xdr:col>20</xdr:col>
      <xdr:colOff>255600</xdr:colOff>
      <xdr:row>51</xdr:row>
      <xdr:rowOff>720</xdr:rowOff>
    </xdr:to>
    <xdr:graphicFrame>
      <xdr:nvGraphicFramePr>
        <xdr:cNvPr id="3" name="Chart 3"/>
        <xdr:cNvGraphicFramePr/>
      </xdr:nvGraphicFramePr>
      <xdr:xfrm>
        <a:off x="15554160" y="6638760"/>
        <a:ext cx="5759280" cy="323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11</xdr:col>
      <xdr:colOff>0</xdr:colOff>
      <xdr:row>49</xdr:row>
      <xdr:rowOff>0</xdr:rowOff>
    </xdr:from>
    <xdr:to>
      <xdr:col>20</xdr:col>
      <xdr:colOff>255600</xdr:colOff>
      <xdr:row>66</xdr:row>
      <xdr:rowOff>720</xdr:rowOff>
    </xdr:to>
    <xdr:graphicFrame>
      <xdr:nvGraphicFramePr>
        <xdr:cNvPr id="4" name="Chart 4"/>
        <xdr:cNvGraphicFramePr/>
      </xdr:nvGraphicFramePr>
      <xdr:xfrm>
        <a:off x="15554160" y="9496440"/>
        <a:ext cx="5759280" cy="323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11</xdr:col>
      <xdr:colOff>0</xdr:colOff>
      <xdr:row>62</xdr:row>
      <xdr:rowOff>0</xdr:rowOff>
    </xdr:from>
    <xdr:to>
      <xdr:col>20</xdr:col>
      <xdr:colOff>255600</xdr:colOff>
      <xdr:row>79</xdr:row>
      <xdr:rowOff>1080</xdr:rowOff>
    </xdr:to>
    <xdr:graphicFrame>
      <xdr:nvGraphicFramePr>
        <xdr:cNvPr id="5" name="Chart 5"/>
        <xdr:cNvGraphicFramePr/>
      </xdr:nvGraphicFramePr>
      <xdr:xfrm>
        <a:off x="15554160" y="11972880"/>
        <a:ext cx="575928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11</xdr:col>
      <xdr:colOff>0</xdr:colOff>
      <xdr:row>73</xdr:row>
      <xdr:rowOff>0</xdr:rowOff>
    </xdr:from>
    <xdr:to>
      <xdr:col>20</xdr:col>
      <xdr:colOff>255600</xdr:colOff>
      <xdr:row>90</xdr:row>
      <xdr:rowOff>720</xdr:rowOff>
    </xdr:to>
    <xdr:graphicFrame>
      <xdr:nvGraphicFramePr>
        <xdr:cNvPr id="6" name="Chart 6"/>
        <xdr:cNvGraphicFramePr/>
      </xdr:nvGraphicFramePr>
      <xdr:xfrm>
        <a:off x="15554160" y="14068440"/>
        <a:ext cx="5759280" cy="323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4</xdr:row>
      <xdr:rowOff>0</xdr:rowOff>
    </xdr:from>
    <xdr:to>
      <xdr:col>14</xdr:col>
      <xdr:colOff>255600</xdr:colOff>
      <xdr:row>21</xdr:row>
      <xdr:rowOff>720</xdr:rowOff>
    </xdr:to>
    <xdr:graphicFrame>
      <xdr:nvGraphicFramePr>
        <xdr:cNvPr id="7" name="Chart 1"/>
        <xdr:cNvGraphicFramePr/>
      </xdr:nvGraphicFramePr>
      <xdr:xfrm>
        <a:off x="6955200" y="895320"/>
        <a:ext cx="5759280" cy="323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5</xdr:col>
      <xdr:colOff>0</xdr:colOff>
      <xdr:row>19</xdr:row>
      <xdr:rowOff>0</xdr:rowOff>
    </xdr:from>
    <xdr:to>
      <xdr:col>14</xdr:col>
      <xdr:colOff>255600</xdr:colOff>
      <xdr:row>36</xdr:row>
      <xdr:rowOff>1080</xdr:rowOff>
    </xdr:to>
    <xdr:graphicFrame>
      <xdr:nvGraphicFramePr>
        <xdr:cNvPr id="8" name="Chart 2"/>
        <xdr:cNvGraphicFramePr/>
      </xdr:nvGraphicFramePr>
      <xdr:xfrm>
        <a:off x="6955200" y="3753000"/>
        <a:ext cx="5759280" cy="323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blBankalar" displayName="tblBankalar" ref="A5:I1000" headerRowCount="1" totalsRowCount="0" totalsRowShown="0">
  <tableColumns count="9">
    <tableColumn id="1" name="Banka ID"/>
    <tableColumn id="2" name="Banka"/>
    <tableColumn id="3" name="Şube"/>
    <tableColumn id="4" name="Müşteri Numarası"/>
    <tableColumn id="5" name="IBAN"/>
    <tableColumn id="6" name="Durum"/>
    <tableColumn id="7" name="İlişki Yöneticisi"/>
    <tableColumn id="8" name="Telefon"/>
    <tableColumn id="9" name="Kontrol">
      <calculatedColumnFormula>=IF(ISBLANK($A6),"",IF(OR(ISBLANK($B6),ISBLANK($C6),ISBLANK($D6),ISBLANK($E6),ISBLANK($F6),ISBLANK($G6),ISBLANK($H6)),"EKSİK","OK"))</calculatedColumnFormula>
    </tableColumn>
  </tableColumns>
</table>
</file>

<file path=xl/tables/table2.xml><?xml version="1.0" encoding="utf-8"?>
<table xmlns="http://schemas.openxmlformats.org/spreadsheetml/2006/main" id="2" name="tblKrediler" displayName="tblKrediler" ref="A5:N1000" headerRowCount="1" totalsRowCount="0" totalsRowShown="0">
  <tableColumns count="14">
    <tableColumn id="1" name="Kredi ID"/>
    <tableColumn id="2" name="Banka"/>
    <tableColumn id="3" name="Şube"/>
    <tableColumn id="4" name="Ürün Türü"/>
    <tableColumn id="5" name="Para Birimi"/>
    <tableColumn id="6" name="Kullandırım Tarihi"/>
    <tableColumn id="7" name="Anapara"/>
    <tableColumn id="8" name="Güncel Bakiye"/>
    <tableColumn id="9" name="Yıllık Faiz"/>
    <tableColumn id="10" name="Vade Ay"/>
    <tableColumn id="11" name="Aylık Taksit"/>
    <tableColumn id="12" name="Bitiş Tarihi"/>
    <tableColumn id="13" name="Açıklama"/>
    <tableColumn id="14" name="Kontrol">
      <calculatedColumnFormula>=IF(ISBLANK($A6),"",IF(OR(ISBLANK($B6),ISBLANK($C6),ISBLANK($D6),ISBLANK($E6),ISBLANK($F6),ISBLANK($G6),ISBLANK($H6),ISBLANK($I6),ISBLANK($J6),ISBLANK($K6),ISBLANK($L6)),"EKSİK","OK"))</calculatedColumnFormula>
    </tableColumn>
  </tableColumns>
</table>
</file>

<file path=xl/tables/table3.xml><?xml version="1.0" encoding="utf-8"?>
<table xmlns="http://schemas.openxmlformats.org/spreadsheetml/2006/main" id="3" name="tblLimitler" displayName="tblLimitler" ref="A5:I1000" headerRowCount="1" totalsRowCount="0" totalsRowShown="0">
  <tableColumns count="9">
    <tableColumn id="1" name="Limit ID"/>
    <tableColumn id="2" name="Banka"/>
    <tableColumn id="3" name="Ürün Türü"/>
    <tableColumn id="4" name="Para Birimi"/>
    <tableColumn id="5" name="Toplam Limit"/>
    <tableColumn id="6" name="Kullanılan Limit"/>
    <tableColumn id="7" name="Kalan Limit">
      <calculatedColumnFormula>=IF(ISBLANK($A6),"",IF($E6="","",$E6-$F6))</calculatedColumnFormula>
    </tableColumn>
    <tableColumn id="8" name="Kullanım Oranı">
      <calculatedColumnFormula>=IF(ISBLANK($A6),"",IF($E6=0,"",$F6/$E6))</calculatedColumnFormula>
    </tableColumn>
    <tableColumn id="9" name="Kontrol">
      <calculatedColumnFormula>=IF(ISBLANK($A6),"",IF(OR(ISBLANK($B6),ISBLANK($C6),ISBLANK($D6),ISBLANK($E6),ISBLANK($F6)),"EKSİK","OK"))</calculatedColumnFormula>
    </tableColumn>
  </tableColumns>
</table>
</file>

<file path=xl/tables/table4.xml><?xml version="1.0" encoding="utf-8"?>
<table xmlns="http://schemas.openxmlformats.org/spreadsheetml/2006/main" id="4" name="tblMasraflar" displayName="tblMasraflar" ref="A5:I1000" headerRowCount="1" totalsRowCount="0" totalsRowShown="0">
  <tableColumns count="9">
    <tableColumn id="1" name="Masraf ID"/>
    <tableColumn id="2" name="Kredi ID"/>
    <tableColumn id="3" name="Banka"/>
    <tableColumn id="4" name="Masraf Türü"/>
    <tableColumn id="5" name="İşlem Tarihi"/>
    <tableColumn id="6" name="Belge Numarası"/>
    <tableColumn id="7" name="Tutar"/>
    <tableColumn id="8" name="Para Birimi"/>
    <tableColumn id="9" name="Kontrol">
      <calculatedColumnFormula>=IF(ISBLANK($A6),"",IF(OR(ISBLANK($B6),ISBLANK($C6),ISBLANK($D6),ISBLANK($E6),ISBLANK($F6),ISBLANK($G6),ISBLANK($H6)),"EKSİK","OK"))</calculatedColumnFormula>
    </tableColumn>
  </tableColumns>
</table>
</file>

<file path=xl/tables/table5.xml><?xml version="1.0" encoding="utf-8"?>
<table xmlns="http://schemas.openxmlformats.org/spreadsheetml/2006/main" id="5" name="tblOdemeTakvimi" displayName="tblOdemeTakvimi" ref="A5:G1000" headerRowCount="1" totalsRowCount="0" totalsRowShown="0">
  <tableColumns count="7">
    <tableColumn id="1" name="Kredi ID"/>
    <tableColumn id="2" name="Banka"/>
    <tableColumn id="3" name="Ödeme Tarihi"/>
    <tableColumn id="4" name="Toplam Ödeme"/>
    <tableColumn id="5" name="Kalan Gün"/>
    <tableColumn id="6" name="Zaman Dilimi">
      <calculatedColumnFormula>=IF(ISBLANK(TAKSIT_PLANI!$D6),"",IF(TAKSIT_PLANI!$K6&lt;0,"Vadesi Geçmiş",IF(TAKSIT_PLANI!$K6&lt;=30,"0-30 Gün",IF(TAKSIT_PLANI!$K6&lt;=60,"31-60 Gün","61 Gün ve Üzeri"))))</calculatedColumnFormula>
    </tableColumn>
    <tableColumn id="7" name="Ödeme Durumu"/>
  </tableColumns>
</table>
</file>

<file path=xl/tables/table6.xml><?xml version="1.0" encoding="utf-8"?>
<table xmlns="http://schemas.openxmlformats.org/spreadsheetml/2006/main" id="6" name="tblRefinansman" displayName="tblRefinansman" ref="A5:J1000" headerRowCount="1" totalsRowCount="0" totalsRowShown="0">
  <tableColumns count="10">
    <tableColumn id="1" name="Teklif ID"/>
    <tableColumn id="2" name="Hedef Kredi ID"/>
    <tableColumn id="3" name="Mevcut Aylık Taksit"/>
    <tableColumn id="4" name="Yeni Aylık Taksit"/>
    <tableColumn id="5" name="Aylık Taksit Farkı"/>
    <tableColumn id="6" name="Nakit Rahatlaması"/>
    <tableColumn id="7" name="Yeni Toplam Maliyet"/>
    <tableColumn id="8" name="Mevcut Kalan Anapara"/>
    <tableColumn id="9" name="Karar">
      <calculatedColumnFormula>=IF(ISBLANK(YENI_TEKLIFLER!$A6),"",IF($E6&gt;0,"ADAY","DEĞİL"))</calculatedColumnFormula>
    </tableColumn>
    <tableColumn id="10" name="Kontrol"/>
  </tableColumns>
</table>
</file>

<file path=xl/tables/table7.xml><?xml version="1.0" encoding="utf-8"?>
<table xmlns="http://schemas.openxmlformats.org/spreadsheetml/2006/main" id="7" name="tblTaksitPlani" displayName="tblTaksitPlani" ref="A5:L1000" headerRowCount="1" totalsRowCount="0" totalsRowShown="0">
  <tableColumns count="12">
    <tableColumn id="1" name="Plan ID"/>
    <tableColumn id="2" name="Kredi ID"/>
    <tableColumn id="3" name="Dönem"/>
    <tableColumn id="4" name="Ödeme Tarihi"/>
    <tableColumn id="5" name="Anapara"/>
    <tableColumn id="6" name="Faiz"/>
    <tableColumn id="7" name="Vergi/Fon"/>
    <tableColumn id="8" name="Komisyon"/>
    <tableColumn id="9" name="Toplam Ödeme"/>
    <tableColumn id="10" name="Ödeme Durumu"/>
    <tableColumn id="11" name="Kalan Gün"/>
    <tableColumn id="12" name="Kontrol">
      <calculatedColumnFormula>=IF(ISBLANK($A6),"",IF(OR(ISBLANK($B6),ISBLANK($C6),ISBLANK($D6),ISBLANK($E6),ISBLANK($F6),ISBLANK($G6),ISBLANK($H6),ISBLANK($I6),ISBLANK($J6)),"EKSİK","OK"))</calculatedColumnFormula>
    </tableColumn>
  </tableColumns>
</table>
</file>

<file path=xl/tables/table8.xml><?xml version="1.0" encoding="utf-8"?>
<table xmlns="http://schemas.openxmlformats.org/spreadsheetml/2006/main" id="8" name="tblTeminatlar" displayName="tblTeminatlar" ref="A5:J1000" headerRowCount="1" totalsRowCount="0" totalsRowShown="0">
  <tableColumns count="10">
    <tableColumn id="1" name="Teminat ID"/>
    <tableColumn id="2" name="Kredi ID"/>
    <tableColumn id="3" name="Banka"/>
    <tableColumn id="4" name="Teminat Türü"/>
    <tableColumn id="5" name="Açıklama"/>
    <tableColumn id="6" name="Ekspertiz Değeri"/>
    <tableColumn id="7" name="Para Birimi"/>
    <tableColumn id="8" name="Değerleme Tarihi"/>
    <tableColumn id="9" name="Geçerlilik Bitişi"/>
    <tableColumn id="10" name="Kontrol">
      <calculatedColumnFormula>=IF(ISBLANK($A6),"",IF(OR(ISBLANK($B6),ISBLANK($C6),ISBLANK($D6),ISBLANK($E6),ISBLANK($F6),ISBLANK($G6),ISBLANK($H6),ISBLANK($I6)),"EKSİK","OK"))</calculatedColumnFormula>
    </tableColumn>
  </tableColumns>
</table>
</file>

<file path=xl/tables/table9.xml><?xml version="1.0" encoding="utf-8"?>
<table xmlns="http://schemas.openxmlformats.org/spreadsheetml/2006/main" id="9" name="tblYeniTeklifler" displayName="tblYeniTeklifler" ref="A5:K1000" headerRowCount="1" totalsRowCount="0" totalsRowShown="0">
  <tableColumns count="11">
    <tableColumn id="1" name="Teklif ID"/>
    <tableColumn id="2" name="Hedef Kredi ID"/>
    <tableColumn id="3" name="Banka"/>
    <tableColumn id="4" name="Tutar"/>
    <tableColumn id="5" name="Para Birimi"/>
    <tableColumn id="6" name="Vade Ay"/>
    <tableColumn id="7" name="Nominal Faiz"/>
    <tableColumn id="8" name="Toplam Masraf"/>
    <tableColumn id="9" name="Aylık Taksit"/>
    <tableColumn id="10" name="Öngörülen Maliyet"/>
    <tableColumn id="11" name="Kontrol">
      <calculatedColumnFormula>=IF(ISBLANK($A6),"",IF(OR(ISBLANK($B6),ISBLANK($C6),ISBLANK($D6),ISBLANK($E6),ISBLANK($F6),ISBLANK($G6),ISBLANK($H6)),"EKSİK","OK"))</calculatedColumnFormula>
    </tableColumn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<Relationship Id="rId3" Type="http://schemas.openxmlformats.org/officeDocument/2006/relationships/table" Target="../tables/table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2.vml"/><Relationship Id="rId3" Type="http://schemas.openxmlformats.org/officeDocument/2006/relationships/table" Target="../tables/table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3.vml"/><Relationship Id="rId3" Type="http://schemas.openxmlformats.org/officeDocument/2006/relationships/table" Target="../tables/table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4.vml"/><Relationship Id="rId3" Type="http://schemas.openxmlformats.org/officeDocument/2006/relationships/table" Target="../tables/table7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5.vml"/><Relationship Id="rId3" Type="http://schemas.openxmlformats.org/officeDocument/2006/relationships/table" Target="../tables/table4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6.vml"/><Relationship Id="rId3" Type="http://schemas.openxmlformats.org/officeDocument/2006/relationships/table" Target="../tables/table8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vmlDrawing" Target="../drawings/vmlDrawing7.vml"/><Relationship Id="rId3" Type="http://schemas.openxmlformats.org/officeDocument/2006/relationships/table" Target="../tables/table9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table" Target="../tables/table5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table" Target="../tables/table6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comments" Target="../comments13.xml"/><Relationship Id="rId2" Type="http://schemas.openxmlformats.org/officeDocument/2006/relationships/vmlDrawing" Target="../drawings/vmlDrawing8.v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comments" Target="../comments16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9.vml"/>
</Relationships>
</file>

<file path=xl/worksheets/_rels/sheet23.xml.rels><?xml version="1.0" encoding="UTF-8"?>
<Relationships xmlns="http://schemas.openxmlformats.org/package/2006/relationships"><Relationship Id="rId1" Type="http://schemas.openxmlformats.org/officeDocument/2006/relationships/comments" Target="../comments23.xml"/><Relationship Id="rId2" Type="http://schemas.openxmlformats.org/officeDocument/2006/relationships/vmlDrawing" Target="../drawings/vmlDrawing10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4"/>
    <col collapsed="false" customWidth="true" hidden="false" outlineLevel="0" max="7" min="2" style="1" width="22"/>
  </cols>
  <sheetData>
    <row r="1" customFormat="false" ht="24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</row>
    <row r="6" customFormat="false" ht="31.5" hidden="false" customHeight="true" outlineLevel="0" collapsed="false">
      <c r="A6" s="3" t="s">
        <v>1</v>
      </c>
    </row>
    <row r="7" customFormat="false" ht="32.25" hidden="false" customHeight="true" outlineLevel="0" collapsed="false">
      <c r="A7" s="4" t="s">
        <v>2</v>
      </c>
    </row>
    <row r="9" customFormat="false" ht="15" hidden="false" customHeight="true" outlineLevel="0" collapsed="false">
      <c r="A9" s="5" t="s">
        <v>3</v>
      </c>
    </row>
    <row r="10" customFormat="false" ht="27.75" hidden="false" customHeight="true" outlineLevel="0" collapsed="false">
      <c r="A10" s="6" t="s">
        <v>4</v>
      </c>
    </row>
    <row r="12" customFormat="false" ht="15" hidden="false" customHeight="true" outlineLevel="0" collapsed="false">
      <c r="A12" s="5" t="s">
        <v>5</v>
      </c>
    </row>
    <row r="13" customFormat="false" ht="54.75" hidden="false" customHeight="true" outlineLevel="0" collapsed="false">
      <c r="A13" s="6" t="s">
        <v>6</v>
      </c>
    </row>
    <row r="15" customFormat="false" ht="15" hidden="false" customHeight="true" outlineLevel="0" collapsed="false">
      <c r="A15" s="5" t="s">
        <v>7</v>
      </c>
    </row>
    <row r="16" customFormat="false" ht="27.75" hidden="false" customHeight="true" outlineLevel="0" collapsed="false">
      <c r="A16" s="6" t="s">
        <v>8</v>
      </c>
    </row>
    <row r="17" customFormat="false" ht="27.75" hidden="false" customHeight="true" outlineLevel="0" collapsed="false">
      <c r="A17" s="6" t="s">
        <v>9</v>
      </c>
    </row>
    <row r="18" customFormat="false" ht="27.75" hidden="false" customHeight="true" outlineLevel="0" collapsed="false">
      <c r="A18" s="6" t="s">
        <v>10</v>
      </c>
    </row>
    <row r="20" customFormat="false" ht="15" hidden="false" customHeight="true" outlineLevel="0" collapsed="false">
      <c r="A20" s="5" t="s">
        <v>11</v>
      </c>
    </row>
    <row r="21" customFormat="false" ht="54.75" hidden="false" customHeight="true" outlineLevel="0" collapsed="false">
      <c r="A21" s="6" t="s">
        <v>12</v>
      </c>
    </row>
    <row r="23" customFormat="false" ht="15" hidden="false" customHeight="true" outlineLevel="0" collapsed="false">
      <c r="A23" s="7" t="s">
        <v>13</v>
      </c>
    </row>
  </sheetData>
  <sheetProtection sheet="true" password="cc3d" objects="true" scenarios="true" deleteColumns="false" deleteRows="false"/>
  <mergeCells count="1">
    <mergeCell ref="A1:AN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H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80"/>
  </cols>
  <sheetData>
    <row r="1" customFormat="false" ht="25.5" hidden="false" customHeight="true" outlineLevel="0" collapsed="false">
      <c r="A1" s="2" t="s">
        <v>14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</row>
    <row r="3" customFormat="false" ht="19.5" hidden="false" customHeight="true" outlineLevel="0" collapsed="false">
      <c r="A3" s="8" t="s">
        <v>15</v>
      </c>
    </row>
    <row r="5" customFormat="false" ht="15" hidden="false" customHeight="true" outlineLevel="0" collapsed="false">
      <c r="A5" s="9" t="s">
        <v>16</v>
      </c>
    </row>
    <row r="6" customFormat="false" ht="33.75" hidden="false" customHeight="true" outlineLevel="0" collapsed="false">
      <c r="A6" s="10" t="s">
        <v>17</v>
      </c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  <c r="AG6" s="10"/>
      <c r="AH6" s="10"/>
      <c r="AI6" s="10"/>
      <c r="AJ6" s="10"/>
      <c r="AK6" s="10"/>
      <c r="AL6" s="10"/>
      <c r="AM6" s="10"/>
      <c r="AN6" s="10"/>
      <c r="AO6" s="10"/>
      <c r="AP6" s="10"/>
      <c r="AQ6" s="10"/>
      <c r="AR6" s="10"/>
      <c r="AS6" s="10"/>
      <c r="AT6" s="10"/>
      <c r="AU6" s="10"/>
      <c r="AV6" s="10"/>
      <c r="AW6" s="10"/>
      <c r="AX6" s="10"/>
      <c r="AY6" s="10"/>
      <c r="AZ6" s="10"/>
      <c r="BA6" s="10"/>
      <c r="BB6" s="10"/>
      <c r="BC6" s="10"/>
      <c r="BD6" s="10"/>
      <c r="BE6" s="10"/>
      <c r="BF6" s="10"/>
      <c r="BG6" s="10"/>
      <c r="BH6" s="10"/>
    </row>
    <row r="8" customFormat="false" ht="15" hidden="false" customHeight="true" outlineLevel="0" collapsed="false">
      <c r="A8" s="9" t="s">
        <v>18</v>
      </c>
    </row>
    <row r="9" customFormat="false" ht="33.75" hidden="false" customHeight="true" outlineLevel="0" collapsed="false">
      <c r="A9" s="10" t="s">
        <v>19</v>
      </c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  <c r="AE9" s="10"/>
      <c r="AF9" s="10"/>
      <c r="AG9" s="10"/>
      <c r="AH9" s="10"/>
      <c r="AI9" s="10"/>
      <c r="AJ9" s="10"/>
      <c r="AK9" s="10"/>
      <c r="AL9" s="10"/>
      <c r="AM9" s="10"/>
      <c r="AN9" s="10"/>
      <c r="AO9" s="10"/>
      <c r="AP9" s="10"/>
      <c r="AQ9" s="10"/>
      <c r="AR9" s="10"/>
      <c r="AS9" s="10"/>
      <c r="AT9" s="10"/>
      <c r="AU9" s="10"/>
      <c r="AV9" s="10"/>
      <c r="AW9" s="10"/>
      <c r="AX9" s="10"/>
      <c r="AY9" s="10"/>
      <c r="AZ9" s="10"/>
      <c r="BA9" s="10"/>
      <c r="BB9" s="10"/>
      <c r="BC9" s="10"/>
      <c r="BD9" s="10"/>
      <c r="BE9" s="10"/>
      <c r="BF9" s="10"/>
      <c r="BG9" s="10"/>
      <c r="BH9" s="10"/>
    </row>
    <row r="11" customFormat="false" ht="15" hidden="false" customHeight="true" outlineLevel="0" collapsed="false">
      <c r="A11" s="9" t="s">
        <v>20</v>
      </c>
    </row>
    <row r="12" customFormat="false" ht="33.75" hidden="false" customHeight="true" outlineLevel="0" collapsed="false">
      <c r="A12" s="10" t="s">
        <v>21</v>
      </c>
      <c r="B12" s="10"/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  <c r="AA12" s="10"/>
      <c r="AB12" s="10"/>
      <c r="AC12" s="10"/>
      <c r="AD12" s="10"/>
      <c r="AE12" s="10"/>
      <c r="AF12" s="10"/>
      <c r="AG12" s="10"/>
      <c r="AH12" s="10"/>
      <c r="AI12" s="10"/>
      <c r="AJ12" s="10"/>
      <c r="AK12" s="10"/>
      <c r="AL12" s="10"/>
      <c r="AM12" s="10"/>
      <c r="AN12" s="10"/>
      <c r="AO12" s="10"/>
      <c r="AP12" s="10"/>
      <c r="AQ12" s="10"/>
      <c r="AR12" s="10"/>
      <c r="AS12" s="10"/>
      <c r="AT12" s="10"/>
      <c r="AU12" s="10"/>
      <c r="AV12" s="10"/>
      <c r="AW12" s="10"/>
      <c r="AX12" s="10"/>
      <c r="AY12" s="10"/>
      <c r="AZ12" s="10"/>
      <c r="BA12" s="10"/>
      <c r="BB12" s="10"/>
      <c r="BC12" s="10"/>
      <c r="BD12" s="10"/>
      <c r="BE12" s="10"/>
      <c r="BF12" s="10"/>
      <c r="BG12" s="10"/>
      <c r="BH12" s="10"/>
    </row>
    <row r="16" customFormat="false" ht="15" hidden="false" customHeight="true" outlineLevel="0" collapsed="false">
      <c r="A16" s="7" t="s">
        <v>22</v>
      </c>
    </row>
  </sheetData>
  <sheetProtection sheet="true" password="cc3d" objects="true" scenarios="true" deleteColumns="false" deleteRows="false"/>
  <mergeCells count="4">
    <mergeCell ref="A1:AN1"/>
    <mergeCell ref="A6:BH6"/>
    <mergeCell ref="A9:BH9"/>
    <mergeCell ref="A12:BH1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24"/>
    <col collapsed="false" customWidth="true" hidden="false" outlineLevel="0" max="3" min="3" style="1" width="18"/>
    <col collapsed="false" customWidth="true" hidden="false" outlineLevel="0" max="4" min="4" style="1" width="16"/>
    <col collapsed="false" customWidth="true" hidden="false" outlineLevel="0" max="5" min="5" style="1" width="28"/>
    <col collapsed="false" customWidth="true" hidden="false" outlineLevel="0" max="6" min="6" style="1" width="11"/>
    <col collapsed="false" customWidth="true" hidden="false" outlineLevel="0" max="7" min="7" style="1" width="20"/>
    <col collapsed="false" customWidth="true" hidden="false" outlineLevel="0" max="8" min="8" style="1" width="16"/>
    <col collapsed="false" customWidth="true" hidden="false" outlineLevel="0" max="9" min="9" style="1" width="10"/>
  </cols>
  <sheetData>
    <row r="1" customFormat="false" ht="25.5" hidden="false" customHeight="true" outlineLevel="0" collapsed="false">
      <c r="A1" s="2" t="s">
        <v>23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</row>
    <row r="3" customFormat="false" ht="120.75" hidden="false" customHeight="true" outlineLevel="0" collapsed="false">
      <c r="A3" s="11" t="s">
        <v>24</v>
      </c>
    </row>
    <row r="5" customFormat="false" ht="30" hidden="false" customHeight="true" outlineLevel="0" collapsed="false">
      <c r="A5" s="12" t="s">
        <v>25</v>
      </c>
      <c r="B5" s="12" t="s">
        <v>26</v>
      </c>
      <c r="C5" s="12" t="s">
        <v>27</v>
      </c>
      <c r="D5" s="12" t="s">
        <v>28</v>
      </c>
      <c r="E5" s="12" t="s">
        <v>29</v>
      </c>
      <c r="F5" s="12" t="s">
        <v>30</v>
      </c>
      <c r="G5" s="12" t="s">
        <v>31</v>
      </c>
      <c r="H5" s="12" t="s">
        <v>32</v>
      </c>
      <c r="I5" s="12" t="s">
        <v>33</v>
      </c>
    </row>
    <row r="6" customFormat="false" ht="15" hidden="false" customHeight="true" outlineLevel="0" collapsed="false">
      <c r="A6" s="13" t="s">
        <v>34</v>
      </c>
      <c r="B6" s="13" t="s">
        <v>35</v>
      </c>
      <c r="C6" s="13" t="s">
        <v>36</v>
      </c>
      <c r="D6" s="14" t="n">
        <v>1002345</v>
      </c>
      <c r="E6" s="13" t="s">
        <v>37</v>
      </c>
      <c r="F6" s="13" t="s">
        <v>38</v>
      </c>
      <c r="G6" s="13" t="s">
        <v>39</v>
      </c>
      <c r="H6" s="13" t="s">
        <v>40</v>
      </c>
      <c r="I6" s="15" t="str">
        <f aca="false">IF(ISBLANK($A6),"",IF(OR(ISBLANK($B6),ISBLANK($C6),ISBLANK($D6),ISBLANK($E6),ISBLANK($F6),ISBLANK($G6),ISBLANK($H6)),"EKSİK","OK"))</f>
        <v>OK</v>
      </c>
    </row>
    <row r="7" customFormat="false" ht="15" hidden="false" customHeight="true" outlineLevel="0" collapsed="false">
      <c r="A7" s="13" t="s">
        <v>41</v>
      </c>
      <c r="B7" s="13" t="s">
        <v>42</v>
      </c>
      <c r="C7" s="13" t="s">
        <v>43</v>
      </c>
      <c r="D7" s="14" t="n">
        <v>2001456</v>
      </c>
      <c r="E7" s="13" t="s">
        <v>44</v>
      </c>
      <c r="F7" s="13" t="s">
        <v>38</v>
      </c>
      <c r="G7" s="13" t="s">
        <v>45</v>
      </c>
      <c r="H7" s="13" t="s">
        <v>46</v>
      </c>
      <c r="I7" s="15" t="str">
        <f aca="false">IF(ISBLANK($A7),"",IF(OR(ISBLANK($B7),ISBLANK($C7),ISBLANK($D7),ISBLANK($E7),ISBLANK($F7),ISBLANK($G7),ISBLANK($H7)),"EKSİK","OK"))</f>
        <v>OK</v>
      </c>
    </row>
    <row r="8" customFormat="false" ht="15" hidden="false" customHeight="true" outlineLevel="0" collapsed="false">
      <c r="A8" s="13" t="s">
        <v>47</v>
      </c>
      <c r="B8" s="13" t="s">
        <v>48</v>
      </c>
      <c r="C8" s="13" t="s">
        <v>49</v>
      </c>
      <c r="D8" s="14" t="n">
        <v>3001789</v>
      </c>
      <c r="E8" s="13" t="s">
        <v>50</v>
      </c>
      <c r="F8" s="13" t="s">
        <v>38</v>
      </c>
      <c r="G8" s="13" t="s">
        <v>51</v>
      </c>
      <c r="H8" s="13" t="s">
        <v>52</v>
      </c>
      <c r="I8" s="15" t="str">
        <f aca="false">IF(ISBLANK($A8),"",IF(OR(ISBLANK($B8),ISBLANK($C8),ISBLANK($D8),ISBLANK($E8),ISBLANK($F8),ISBLANK($G8),ISBLANK($H8)),"EKSİK","OK"))</f>
        <v>OK</v>
      </c>
    </row>
    <row r="9" customFormat="false" ht="15" hidden="false" customHeight="true" outlineLevel="0" collapsed="false">
      <c r="A9" s="13" t="s">
        <v>53</v>
      </c>
      <c r="B9" s="13" t="s">
        <v>54</v>
      </c>
      <c r="C9" s="13" t="s">
        <v>55</v>
      </c>
      <c r="D9" s="14" t="n">
        <v>4001678</v>
      </c>
      <c r="E9" s="13" t="s">
        <v>56</v>
      </c>
      <c r="F9" s="13" t="s">
        <v>57</v>
      </c>
      <c r="G9" s="13" t="s">
        <v>58</v>
      </c>
      <c r="H9" s="13" t="s">
        <v>59</v>
      </c>
      <c r="I9" s="15" t="str">
        <f aca="false">IF(ISBLANK($A9),"",IF(OR(ISBLANK($B9),ISBLANK($C9),ISBLANK($D9),ISBLANK($E9),ISBLANK($F9),ISBLANK($G9),ISBLANK($H9)),"EKSİK","OK"))</f>
        <v>OK</v>
      </c>
    </row>
    <row r="10" customFormat="false" ht="15" hidden="false" customHeight="true" outlineLevel="0" collapsed="false">
      <c r="A10" s="16"/>
      <c r="B10" s="16"/>
      <c r="C10" s="16"/>
      <c r="D10" s="16"/>
      <c r="E10" s="16"/>
      <c r="F10" s="16"/>
      <c r="G10" s="16"/>
      <c r="H10" s="16"/>
      <c r="I10" s="15" t="str">
        <f aca="false">IF(ISBLANK($A10),"",IF(OR(ISBLANK($B10),ISBLANK($C10),ISBLANK($D10),ISBLANK($E10),ISBLANK($F10),ISBLANK($G10),ISBLANK($H10)),"EKSİK","OK"))</f>
        <v/>
      </c>
    </row>
    <row r="11" customFormat="false" ht="15" hidden="false" customHeight="true" outlineLevel="0" collapsed="false">
      <c r="A11" s="16"/>
      <c r="B11" s="16"/>
      <c r="C11" s="16"/>
      <c r="D11" s="16"/>
      <c r="E11" s="16"/>
      <c r="F11" s="16"/>
      <c r="G11" s="16"/>
      <c r="H11" s="16"/>
      <c r="I11" s="15" t="str">
        <f aca="false">IF(ISBLANK($A11),"",IF(OR(ISBLANK($B11),ISBLANK($C11),ISBLANK($D11),ISBLANK($E11),ISBLANK($F11),ISBLANK($G11),ISBLANK($H11)),"EKSİK","OK"))</f>
        <v/>
      </c>
    </row>
    <row r="12" customFormat="false" ht="15" hidden="false" customHeight="true" outlineLevel="0" collapsed="false">
      <c r="A12" s="16"/>
      <c r="B12" s="16"/>
      <c r="C12" s="16"/>
      <c r="D12" s="16"/>
      <c r="E12" s="16"/>
      <c r="F12" s="16"/>
      <c r="G12" s="16"/>
      <c r="H12" s="16"/>
      <c r="I12" s="15" t="str">
        <f aca="false">IF(ISBLANK($A12),"",IF(OR(ISBLANK($B12),ISBLANK($C12),ISBLANK($D12),ISBLANK($E12),ISBLANK($F12),ISBLANK($G12),ISBLANK($H12)),"EKSİK","OK"))</f>
        <v/>
      </c>
    </row>
    <row r="13" customFormat="false" ht="15" hidden="false" customHeight="true" outlineLevel="0" collapsed="false">
      <c r="A13" s="16"/>
      <c r="B13" s="16"/>
      <c r="C13" s="16"/>
      <c r="D13" s="16"/>
      <c r="E13" s="16"/>
      <c r="F13" s="16"/>
      <c r="G13" s="16"/>
      <c r="H13" s="16"/>
      <c r="I13" s="15" t="str">
        <f aca="false">IF(ISBLANK($A13),"",IF(OR(ISBLANK($B13),ISBLANK($C13),ISBLANK($D13),ISBLANK($E13),ISBLANK($F13),ISBLANK($G13),ISBLANK($H13)),"EKSİK","OK"))</f>
        <v/>
      </c>
    </row>
    <row r="14" customFormat="false" ht="15" hidden="false" customHeight="true" outlineLevel="0" collapsed="false">
      <c r="A14" s="16"/>
      <c r="B14" s="16"/>
      <c r="C14" s="16"/>
      <c r="D14" s="16"/>
      <c r="E14" s="16"/>
      <c r="F14" s="16"/>
      <c r="G14" s="16"/>
      <c r="H14" s="16"/>
      <c r="I14" s="15" t="str">
        <f aca="false">IF(ISBLANK($A14),"",IF(OR(ISBLANK($B14),ISBLANK($C14),ISBLANK($D14),ISBLANK($E14),ISBLANK($F14),ISBLANK($G14),ISBLANK($H14)),"EKSİK","OK"))</f>
        <v/>
      </c>
    </row>
    <row r="15" customFormat="false" ht="15" hidden="false" customHeight="true" outlineLevel="0" collapsed="false">
      <c r="A15" s="16"/>
      <c r="B15" s="16"/>
      <c r="C15" s="16"/>
      <c r="D15" s="16"/>
      <c r="E15" s="16"/>
      <c r="F15" s="16"/>
      <c r="G15" s="16"/>
      <c r="H15" s="16"/>
      <c r="I15" s="15" t="str">
        <f aca="false">IF(ISBLANK($A15),"",IF(OR(ISBLANK($B15),ISBLANK($C15),ISBLANK($D15),ISBLANK($E15),ISBLANK($F15),ISBLANK($G15),ISBLANK($H15)),"EKSİK","OK"))</f>
        <v/>
      </c>
    </row>
    <row r="16" customFormat="false" ht="15" hidden="false" customHeight="true" outlineLevel="0" collapsed="false">
      <c r="A16" s="16"/>
      <c r="B16" s="16"/>
      <c r="C16" s="16"/>
      <c r="D16" s="16"/>
      <c r="E16" s="16"/>
      <c r="F16" s="16"/>
      <c r="G16" s="16"/>
      <c r="H16" s="16"/>
      <c r="I16" s="15" t="str">
        <f aca="false">IF(ISBLANK($A16),"",IF(OR(ISBLANK($B16),ISBLANK($C16),ISBLANK($D16),ISBLANK($E16),ISBLANK($F16),ISBLANK($G16),ISBLANK($H16)),"EKSİK","OK"))</f>
        <v/>
      </c>
    </row>
    <row r="17" customFormat="false" ht="15" hidden="false" customHeight="true" outlineLevel="0" collapsed="false">
      <c r="A17" s="16"/>
      <c r="B17" s="16"/>
      <c r="C17" s="16"/>
      <c r="D17" s="16"/>
      <c r="E17" s="16"/>
      <c r="F17" s="16"/>
      <c r="G17" s="16"/>
      <c r="H17" s="16"/>
      <c r="I17" s="15" t="str">
        <f aca="false">IF(ISBLANK($A17),"",IF(OR(ISBLANK($B17),ISBLANK($C17),ISBLANK($D17),ISBLANK($E17),ISBLANK($F17),ISBLANK($G17),ISBLANK($H17)),"EKSİK","OK"))</f>
        <v/>
      </c>
    </row>
    <row r="18" customFormat="false" ht="15" hidden="false" customHeight="true" outlineLevel="0" collapsed="false">
      <c r="A18" s="16"/>
      <c r="B18" s="16"/>
      <c r="C18" s="16"/>
      <c r="D18" s="16"/>
      <c r="E18" s="16"/>
      <c r="F18" s="16"/>
      <c r="G18" s="16"/>
      <c r="H18" s="16"/>
      <c r="I18" s="15" t="str">
        <f aca="false">IF(ISBLANK($A18),"",IF(OR(ISBLANK($B18),ISBLANK($C18),ISBLANK($D18),ISBLANK($E18),ISBLANK($F18),ISBLANK($G18),ISBLANK($H18)),"EKSİK","OK"))</f>
        <v/>
      </c>
    </row>
    <row r="19" customFormat="false" ht="15" hidden="false" customHeight="true" outlineLevel="0" collapsed="false">
      <c r="A19" s="16"/>
      <c r="B19" s="16"/>
      <c r="C19" s="16"/>
      <c r="D19" s="16"/>
      <c r="E19" s="16"/>
      <c r="F19" s="16"/>
      <c r="G19" s="16"/>
      <c r="H19" s="16"/>
      <c r="I19" s="15" t="str">
        <f aca="false">IF(ISBLANK($A19),"",IF(OR(ISBLANK($B19),ISBLANK($C19),ISBLANK($D19),ISBLANK($E19),ISBLANK($F19),ISBLANK($G19),ISBLANK($H19)),"EKSİK","OK"))</f>
        <v/>
      </c>
    </row>
    <row r="20" customFormat="false" ht="15" hidden="false" customHeight="true" outlineLevel="0" collapsed="false">
      <c r="A20" s="16"/>
      <c r="B20" s="16"/>
      <c r="C20" s="16"/>
      <c r="D20" s="16"/>
      <c r="E20" s="16"/>
      <c r="F20" s="16"/>
      <c r="G20" s="16"/>
      <c r="H20" s="16"/>
      <c r="I20" s="15" t="str">
        <f aca="false">IF(ISBLANK($A20),"",IF(OR(ISBLANK($B20),ISBLANK($C20),ISBLANK($D20),ISBLANK($E20),ISBLANK($F20),ISBLANK($G20),ISBLANK($H20)),"EKSİK","OK"))</f>
        <v/>
      </c>
    </row>
    <row r="21" customFormat="false" ht="15" hidden="false" customHeight="true" outlineLevel="0" collapsed="false">
      <c r="A21" s="16"/>
      <c r="B21" s="16"/>
      <c r="C21" s="16"/>
      <c r="D21" s="16"/>
      <c r="E21" s="16"/>
      <c r="F21" s="16"/>
      <c r="G21" s="16"/>
      <c r="H21" s="16"/>
      <c r="I21" s="15" t="str">
        <f aca="false">IF(ISBLANK($A21),"",IF(OR(ISBLANK($B21),ISBLANK($C21),ISBLANK($D21),ISBLANK($E21),ISBLANK($F21),ISBLANK($G21),ISBLANK($H21)),"EKSİK","OK"))</f>
        <v/>
      </c>
    </row>
    <row r="22" customFormat="false" ht="15" hidden="false" customHeight="true" outlineLevel="0" collapsed="false">
      <c r="A22" s="16"/>
      <c r="B22" s="16"/>
      <c r="C22" s="16"/>
      <c r="D22" s="16"/>
      <c r="E22" s="16"/>
      <c r="F22" s="16"/>
      <c r="G22" s="16"/>
      <c r="H22" s="16"/>
      <c r="I22" s="15" t="str">
        <f aca="false">IF(ISBLANK($A22),"",IF(OR(ISBLANK($B22),ISBLANK($C22),ISBLANK($D22),ISBLANK($E22),ISBLANK($F22),ISBLANK($G22),ISBLANK($H22)),"EKSİK","OK"))</f>
        <v/>
      </c>
    </row>
    <row r="23" customFormat="false" ht="15" hidden="false" customHeight="true" outlineLevel="0" collapsed="false">
      <c r="A23" s="16"/>
      <c r="B23" s="16"/>
      <c r="C23" s="16"/>
      <c r="D23" s="16"/>
      <c r="E23" s="16"/>
      <c r="F23" s="16"/>
      <c r="G23" s="16"/>
      <c r="H23" s="16"/>
      <c r="I23" s="15" t="str">
        <f aca="false">IF(ISBLANK($A23),"",IF(OR(ISBLANK($B23),ISBLANK($C23),ISBLANK($D23),ISBLANK($E23),ISBLANK($F23),ISBLANK($G23),ISBLANK($H23)),"EKSİK","OK"))</f>
        <v/>
      </c>
    </row>
    <row r="24" customFormat="false" ht="15" hidden="false" customHeight="true" outlineLevel="0" collapsed="false">
      <c r="A24" s="16"/>
      <c r="B24" s="16"/>
      <c r="C24" s="16"/>
      <c r="D24" s="16"/>
      <c r="E24" s="16"/>
      <c r="F24" s="16"/>
      <c r="G24" s="16"/>
      <c r="H24" s="16"/>
      <c r="I24" s="15" t="str">
        <f aca="false">IF(ISBLANK($A24),"",IF(OR(ISBLANK($B24),ISBLANK($C24),ISBLANK($D24),ISBLANK($E24),ISBLANK($F24),ISBLANK($G24),ISBLANK($H24)),"EKSİK","OK"))</f>
        <v/>
      </c>
    </row>
    <row r="25" customFormat="false" ht="15" hidden="false" customHeight="true" outlineLevel="0" collapsed="false">
      <c r="A25" s="16"/>
      <c r="B25" s="16"/>
      <c r="C25" s="16"/>
      <c r="D25" s="16"/>
      <c r="E25" s="16"/>
      <c r="F25" s="16"/>
      <c r="G25" s="16"/>
      <c r="H25" s="16"/>
      <c r="I25" s="15" t="str">
        <f aca="false">IF(ISBLANK($A25),"",IF(OR(ISBLANK($B25),ISBLANK($C25),ISBLANK($D25),ISBLANK($E25),ISBLANK($F25),ISBLANK($G25),ISBLANK($H25)),"EKSİK","OK"))</f>
        <v/>
      </c>
    </row>
    <row r="26" customFormat="false" ht="15" hidden="false" customHeight="true" outlineLevel="0" collapsed="false">
      <c r="A26" s="16"/>
      <c r="B26" s="16"/>
      <c r="C26" s="16"/>
      <c r="D26" s="16"/>
      <c r="E26" s="16"/>
      <c r="F26" s="16"/>
      <c r="G26" s="16"/>
      <c r="H26" s="16"/>
      <c r="I26" s="15" t="str">
        <f aca="false">IF(ISBLANK($A26),"",IF(OR(ISBLANK($B26),ISBLANK($C26),ISBLANK($D26),ISBLANK($E26),ISBLANK($F26),ISBLANK($G26),ISBLANK($H26)),"EKSİK","OK"))</f>
        <v/>
      </c>
    </row>
    <row r="27" customFormat="false" ht="15" hidden="false" customHeight="true" outlineLevel="0" collapsed="false">
      <c r="A27" s="16"/>
      <c r="B27" s="16"/>
      <c r="C27" s="16"/>
      <c r="D27" s="16"/>
      <c r="E27" s="16"/>
      <c r="F27" s="16"/>
      <c r="G27" s="16"/>
      <c r="H27" s="16"/>
      <c r="I27" s="15" t="str">
        <f aca="false">IF(ISBLANK($A27),"",IF(OR(ISBLANK($B27),ISBLANK($C27),ISBLANK($D27),ISBLANK($E27),ISBLANK($F27),ISBLANK($G27),ISBLANK($H27)),"EKSİK","OK"))</f>
        <v/>
      </c>
    </row>
    <row r="28" customFormat="false" ht="15" hidden="false" customHeight="true" outlineLevel="0" collapsed="false">
      <c r="A28" s="16"/>
      <c r="B28" s="16"/>
      <c r="C28" s="16"/>
      <c r="D28" s="16"/>
      <c r="E28" s="16"/>
      <c r="F28" s="16"/>
      <c r="G28" s="16"/>
      <c r="H28" s="16"/>
      <c r="I28" s="15" t="str">
        <f aca="false">IF(ISBLANK($A28),"",IF(OR(ISBLANK($B28),ISBLANK($C28),ISBLANK($D28),ISBLANK($E28),ISBLANK($F28),ISBLANK($G28),ISBLANK($H28)),"EKSİK","OK"))</f>
        <v/>
      </c>
    </row>
    <row r="29" customFormat="false" ht="15" hidden="false" customHeight="true" outlineLevel="0" collapsed="false">
      <c r="A29" s="16"/>
      <c r="B29" s="16"/>
      <c r="C29" s="16"/>
      <c r="D29" s="16"/>
      <c r="E29" s="16"/>
      <c r="F29" s="16"/>
      <c r="G29" s="16"/>
      <c r="H29" s="16"/>
      <c r="I29" s="15" t="str">
        <f aca="false">IF(ISBLANK($A29),"",IF(OR(ISBLANK($B29),ISBLANK($C29),ISBLANK($D29),ISBLANK($E29),ISBLANK($F29),ISBLANK($G29),ISBLANK($H29)),"EKSİK","OK"))</f>
        <v/>
      </c>
    </row>
    <row r="30" customFormat="false" ht="15" hidden="false" customHeight="true" outlineLevel="0" collapsed="false">
      <c r="A30" s="16"/>
      <c r="B30" s="16"/>
      <c r="C30" s="16"/>
      <c r="D30" s="16"/>
      <c r="E30" s="16"/>
      <c r="F30" s="16"/>
      <c r="G30" s="16"/>
      <c r="H30" s="16"/>
      <c r="I30" s="15" t="str">
        <f aca="false">IF(ISBLANK($A30),"",IF(OR(ISBLANK($B30),ISBLANK($C30),ISBLANK($D30),ISBLANK($E30),ISBLANK($F30),ISBLANK($G30),ISBLANK($H30)),"EKSİK","OK"))</f>
        <v/>
      </c>
    </row>
    <row r="31" customFormat="false" ht="15" hidden="false" customHeight="true" outlineLevel="0" collapsed="false">
      <c r="A31" s="16"/>
      <c r="B31" s="16"/>
      <c r="C31" s="16"/>
      <c r="D31" s="16"/>
      <c r="E31" s="16"/>
      <c r="F31" s="16"/>
      <c r="G31" s="16"/>
      <c r="H31" s="16"/>
      <c r="I31" s="15" t="str">
        <f aca="false">IF(ISBLANK($A31),"",IF(OR(ISBLANK($B31),ISBLANK($C31),ISBLANK($D31),ISBLANK($E31),ISBLANK($F31),ISBLANK($G31),ISBLANK($H31)),"EKSİK","OK"))</f>
        <v/>
      </c>
    </row>
    <row r="32" customFormat="false" ht="15" hidden="false" customHeight="true" outlineLevel="0" collapsed="false">
      <c r="A32" s="16"/>
      <c r="B32" s="16"/>
      <c r="C32" s="16"/>
      <c r="D32" s="16"/>
      <c r="E32" s="16"/>
      <c r="F32" s="16"/>
      <c r="G32" s="16"/>
      <c r="H32" s="16"/>
      <c r="I32" s="15" t="str">
        <f aca="false">IF(ISBLANK($A32),"",IF(OR(ISBLANK($B32),ISBLANK($C32),ISBLANK($D32),ISBLANK($E32),ISBLANK($F32),ISBLANK($G32),ISBLANK($H32)),"EKSİK","OK"))</f>
        <v/>
      </c>
    </row>
    <row r="33" customFormat="false" ht="15" hidden="false" customHeight="true" outlineLevel="0" collapsed="false">
      <c r="A33" s="16"/>
      <c r="B33" s="16"/>
      <c r="C33" s="16"/>
      <c r="D33" s="16"/>
      <c r="E33" s="16"/>
      <c r="F33" s="16"/>
      <c r="G33" s="16"/>
      <c r="H33" s="16"/>
      <c r="I33" s="15" t="str">
        <f aca="false">IF(ISBLANK($A33),"",IF(OR(ISBLANK($B33),ISBLANK($C33),ISBLANK($D33),ISBLANK($E33),ISBLANK($F33),ISBLANK($G33),ISBLANK($H33)),"EKSİK","OK"))</f>
        <v/>
      </c>
    </row>
    <row r="34" customFormat="false" ht="15" hidden="false" customHeight="true" outlineLevel="0" collapsed="false">
      <c r="A34" s="16"/>
      <c r="B34" s="16"/>
      <c r="C34" s="16"/>
      <c r="D34" s="16"/>
      <c r="E34" s="16"/>
      <c r="F34" s="16"/>
      <c r="G34" s="16"/>
      <c r="H34" s="16"/>
      <c r="I34" s="15" t="str">
        <f aca="false">IF(ISBLANK($A34),"",IF(OR(ISBLANK($B34),ISBLANK($C34),ISBLANK($D34),ISBLANK($E34),ISBLANK($F34),ISBLANK($G34),ISBLANK($H34)),"EKSİK","OK"))</f>
        <v/>
      </c>
    </row>
    <row r="35" customFormat="false" ht="15" hidden="false" customHeight="true" outlineLevel="0" collapsed="false">
      <c r="A35" s="16"/>
      <c r="B35" s="16"/>
      <c r="C35" s="16"/>
      <c r="D35" s="16"/>
      <c r="E35" s="16"/>
      <c r="F35" s="16"/>
      <c r="G35" s="16"/>
      <c r="H35" s="16"/>
      <c r="I35" s="15" t="str">
        <f aca="false">IF(ISBLANK($A35),"",IF(OR(ISBLANK($B35),ISBLANK($C35),ISBLANK($D35),ISBLANK($E35),ISBLANK($F35),ISBLANK($G35),ISBLANK($H35)),"EKSİK","OK"))</f>
        <v/>
      </c>
    </row>
  </sheetData>
  <sheetProtection sheet="true" password="cc3d" objects="true" scenarios="true" deleteColumns="false" deleteRows="false"/>
  <mergeCells count="1">
    <mergeCell ref="A1:AN1"/>
  </mergeCells>
  <conditionalFormatting sqref="F6:F1000">
    <cfRule type="cellIs" priority="2" operator="equal" aboveAverage="0" equalAverage="0" bottom="0" percent="0" rank="0" text="" dxfId="8">
      <formula>"Aktif"</formula>
    </cfRule>
    <cfRule type="cellIs" priority="3" operator="equal" aboveAverage="0" equalAverage="0" bottom="0" percent="0" rank="0" text="" dxfId="9">
      <formula>"Pasif"</formula>
    </cfRule>
    <cfRule type="cellIs" priority="4" operator="equal" aboveAverage="0" equalAverage="0" bottom="0" percent="0" rank="0" text="" dxfId="10">
      <formula>"İzle"</formula>
    </cfRule>
  </conditionalFormatting>
  <conditionalFormatting sqref="I6:I1000">
    <cfRule type="cellIs" priority="5" operator="equal" aboveAverage="0" equalAverage="0" bottom="0" percent="0" rank="0" text="" dxfId="9">
      <formula>"EKSİK"</formula>
    </cfRule>
    <cfRule type="cellIs" priority="6" operator="equal" aboveAverage="0" equalAverage="0" bottom="0" percent="0" rank="0" text="" dxfId="8">
      <formula>"OK"</formula>
    </cfRule>
  </conditionalFormatting>
  <dataValidations count="1">
    <dataValidation allowBlank="true" error="Lütfen listeden bir durum seçin." errorStyle="stop" errorTitle="Geçersiz Durum" operator="between" prompt="Aktif, Pasif veya İzle seçin." promptTitle="Banka Durumu" showDropDown="false" showErrorMessage="true" showInputMessage="true" sqref="F6:F1000" type="list">
      <formula1>ListeBankaDurum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24"/>
    <col collapsed="false" customWidth="true" hidden="false" outlineLevel="0" max="3" min="3" style="1" width="22"/>
    <col collapsed="false" customWidth="true" hidden="false" outlineLevel="0" max="4" min="4" style="1" width="13"/>
    <col collapsed="false" customWidth="true" hidden="false" outlineLevel="0" max="5" min="5" style="1" width="15"/>
    <col collapsed="false" customWidth="true" hidden="false" outlineLevel="0" max="6" min="6" style="1" width="16"/>
    <col collapsed="false" customWidth="true" hidden="false" outlineLevel="0" max="7" min="7" style="1" width="15"/>
    <col collapsed="false" customWidth="true" hidden="false" outlineLevel="0" max="8" min="8" style="1" width="14"/>
    <col collapsed="false" customWidth="true" hidden="false" outlineLevel="0" max="9" min="9" style="1" width="10"/>
  </cols>
  <sheetData>
    <row r="1" customFormat="false" ht="25.5" hidden="false" customHeight="true" outlineLevel="0" collapsed="false">
      <c r="A1" s="2" t="s">
        <v>60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</row>
    <row r="3" customFormat="false" ht="120.75" hidden="false" customHeight="true" outlineLevel="0" collapsed="false">
      <c r="A3" s="11" t="s">
        <v>61</v>
      </c>
    </row>
    <row r="5" customFormat="false" ht="30" hidden="false" customHeight="true" outlineLevel="0" collapsed="false">
      <c r="A5" s="12" t="s">
        <v>62</v>
      </c>
      <c r="B5" s="12" t="s">
        <v>26</v>
      </c>
      <c r="C5" s="12" t="s">
        <v>63</v>
      </c>
      <c r="D5" s="12" t="s">
        <v>64</v>
      </c>
      <c r="E5" s="12" t="s">
        <v>65</v>
      </c>
      <c r="F5" s="12" t="s">
        <v>66</v>
      </c>
      <c r="G5" s="12" t="s">
        <v>67</v>
      </c>
      <c r="H5" s="12" t="s">
        <v>68</v>
      </c>
      <c r="I5" s="12" t="s">
        <v>33</v>
      </c>
    </row>
    <row r="6" customFormat="false" ht="15" hidden="false" customHeight="true" outlineLevel="0" collapsed="false">
      <c r="A6" s="13" t="s">
        <v>69</v>
      </c>
      <c r="B6" s="13" t="s">
        <v>35</v>
      </c>
      <c r="C6" s="13" t="s">
        <v>70</v>
      </c>
      <c r="D6" s="13" t="s">
        <v>71</v>
      </c>
      <c r="E6" s="17" t="n">
        <v>15000000</v>
      </c>
      <c r="F6" s="17" t="n">
        <v>10500000</v>
      </c>
      <c r="G6" s="18" t="n">
        <f aca="false">IF(ISBLANK($A6),"",IF($E6="","",$E6-$F6))</f>
        <v>4500000</v>
      </c>
      <c r="H6" s="19" t="n">
        <f aca="false">IF(ISBLANK($A6),"",IF($E6=0,"",$F6/$E6))</f>
        <v>0.7</v>
      </c>
      <c r="I6" s="15" t="str">
        <f aca="false">IF(ISBLANK($A6),"",IF(OR(ISBLANK($B6),ISBLANK($C6),ISBLANK($D6),ISBLANK($E6),ISBLANK($F6)),"EKSİK","OK"))</f>
        <v>OK</v>
      </c>
    </row>
    <row r="7" customFormat="false" ht="15" hidden="false" customHeight="true" outlineLevel="0" collapsed="false">
      <c r="A7" s="13" t="s">
        <v>72</v>
      </c>
      <c r="B7" s="13" t="s">
        <v>42</v>
      </c>
      <c r="C7" s="13" t="s">
        <v>73</v>
      </c>
      <c r="D7" s="13" t="s">
        <v>71</v>
      </c>
      <c r="E7" s="17" t="n">
        <v>8000000</v>
      </c>
      <c r="F7" s="17" t="n">
        <v>6200000</v>
      </c>
      <c r="G7" s="18" t="n">
        <f aca="false">IF(ISBLANK($A7),"",IF($E7="","",$E7-$F7))</f>
        <v>1800000</v>
      </c>
      <c r="H7" s="19" t="n">
        <f aca="false">IF(ISBLANK($A7),"",IF($E7=0,"",$F7/$E7))</f>
        <v>0.775</v>
      </c>
      <c r="I7" s="15" t="str">
        <f aca="false">IF(ISBLANK($A7),"",IF(OR(ISBLANK($B7),ISBLANK($C7),ISBLANK($D7),ISBLANK($E7),ISBLANK($F7)),"EKSİK","OK"))</f>
        <v>OK</v>
      </c>
    </row>
    <row r="8" customFormat="false" ht="15" hidden="false" customHeight="true" outlineLevel="0" collapsed="false">
      <c r="A8" s="13" t="s">
        <v>74</v>
      </c>
      <c r="B8" s="13" t="s">
        <v>48</v>
      </c>
      <c r="C8" s="13" t="s">
        <v>75</v>
      </c>
      <c r="D8" s="13" t="s">
        <v>76</v>
      </c>
      <c r="E8" s="17" t="n">
        <v>250000</v>
      </c>
      <c r="F8" s="17" t="n">
        <v>180000</v>
      </c>
      <c r="G8" s="18" t="n">
        <f aca="false">IF(ISBLANK($A8),"",IF($E8="","",$E8-$F8))</f>
        <v>70000</v>
      </c>
      <c r="H8" s="19" t="n">
        <f aca="false">IF(ISBLANK($A8),"",IF($E8=0,"",$F8/$E8))</f>
        <v>0.72</v>
      </c>
      <c r="I8" s="15" t="str">
        <f aca="false">IF(ISBLANK($A8),"",IF(OR(ISBLANK($B8),ISBLANK($C8),ISBLANK($D8),ISBLANK($E8),ISBLANK($F8)),"EKSİK","OK"))</f>
        <v>OK</v>
      </c>
    </row>
    <row r="9" customFormat="false" ht="15" hidden="false" customHeight="true" outlineLevel="0" collapsed="false">
      <c r="A9" s="13" t="s">
        <v>77</v>
      </c>
      <c r="B9" s="13" t="s">
        <v>54</v>
      </c>
      <c r="C9" s="13" t="s">
        <v>78</v>
      </c>
      <c r="D9" s="13" t="s">
        <v>71</v>
      </c>
      <c r="E9" s="17" t="n">
        <v>5000000</v>
      </c>
      <c r="F9" s="17" t="n">
        <v>0</v>
      </c>
      <c r="G9" s="18" t="n">
        <f aca="false">IF(ISBLANK($A9),"",IF($E9="","",$E9-$F9))</f>
        <v>5000000</v>
      </c>
      <c r="H9" s="19" t="n">
        <f aca="false">IF(ISBLANK($A9),"",IF($E9=0,"",$F9/$E9))</f>
        <v>0</v>
      </c>
      <c r="I9" s="15" t="str">
        <f aca="false">IF(ISBLANK($A9),"",IF(OR(ISBLANK($B9),ISBLANK($C9),ISBLANK($D9),ISBLANK($E9),ISBLANK($F9)),"EKSİK","OK"))</f>
        <v>OK</v>
      </c>
    </row>
    <row r="10" customFormat="false" ht="15" hidden="false" customHeight="true" outlineLevel="0" collapsed="false">
      <c r="A10" s="16"/>
      <c r="B10" s="16"/>
      <c r="C10" s="16"/>
      <c r="D10" s="16"/>
      <c r="E10" s="16"/>
      <c r="F10" s="16"/>
      <c r="G10" s="18" t="str">
        <f aca="false">IF(ISBLANK($A10),"",IF($E10="","",$E10-$F10))</f>
        <v/>
      </c>
      <c r="H10" s="19" t="str">
        <f aca="false">IF(ISBLANK($A10),"",IF($E10=0,"",$F10/$E10))</f>
        <v/>
      </c>
      <c r="I10" s="15" t="str">
        <f aca="false">IF(ISBLANK($A10),"",IF(OR(ISBLANK($B10),ISBLANK($C10),ISBLANK($D10),ISBLANK($E10),ISBLANK($F10)),"EKSİK","OK"))</f>
        <v/>
      </c>
    </row>
    <row r="11" customFormat="false" ht="15" hidden="false" customHeight="true" outlineLevel="0" collapsed="false">
      <c r="A11" s="16"/>
      <c r="B11" s="16"/>
      <c r="C11" s="16"/>
      <c r="D11" s="16"/>
      <c r="E11" s="16"/>
      <c r="F11" s="16"/>
      <c r="G11" s="18" t="str">
        <f aca="false">IF(ISBLANK($A11),"",IF($E11="","",$E11-$F11))</f>
        <v/>
      </c>
      <c r="H11" s="19" t="str">
        <f aca="false">IF(ISBLANK($A11),"",IF($E11=0,"",$F11/$E11))</f>
        <v/>
      </c>
      <c r="I11" s="15" t="str">
        <f aca="false">IF(ISBLANK($A11),"",IF(OR(ISBLANK($B11),ISBLANK($C11),ISBLANK($D11),ISBLANK($E11),ISBLANK($F11)),"EKSİK","OK"))</f>
        <v/>
      </c>
    </row>
    <row r="12" customFormat="false" ht="15" hidden="false" customHeight="true" outlineLevel="0" collapsed="false">
      <c r="A12" s="16"/>
      <c r="B12" s="16"/>
      <c r="C12" s="16"/>
      <c r="D12" s="16"/>
      <c r="E12" s="16"/>
      <c r="F12" s="16"/>
      <c r="G12" s="18" t="str">
        <f aca="false">IF(ISBLANK($A12),"",IF($E12="","",$E12-$F12))</f>
        <v/>
      </c>
      <c r="H12" s="19" t="str">
        <f aca="false">IF(ISBLANK($A12),"",IF($E12=0,"",$F12/$E12))</f>
        <v/>
      </c>
      <c r="I12" s="15" t="str">
        <f aca="false">IF(ISBLANK($A12),"",IF(OR(ISBLANK($B12),ISBLANK($C12),ISBLANK($D12),ISBLANK($E12),ISBLANK($F12)),"EKSİK","OK"))</f>
        <v/>
      </c>
    </row>
    <row r="13" customFormat="false" ht="15" hidden="false" customHeight="true" outlineLevel="0" collapsed="false">
      <c r="A13" s="16"/>
      <c r="B13" s="16"/>
      <c r="C13" s="16"/>
      <c r="D13" s="16"/>
      <c r="E13" s="16"/>
      <c r="F13" s="16"/>
      <c r="G13" s="18" t="str">
        <f aca="false">IF(ISBLANK($A13),"",IF($E13="","",$E13-$F13))</f>
        <v/>
      </c>
      <c r="H13" s="19" t="str">
        <f aca="false">IF(ISBLANK($A13),"",IF($E13=0,"",$F13/$E13))</f>
        <v/>
      </c>
      <c r="I13" s="15" t="str">
        <f aca="false">IF(ISBLANK($A13),"",IF(OR(ISBLANK($B13),ISBLANK($C13),ISBLANK($D13),ISBLANK($E13),ISBLANK($F13)),"EKSİK","OK"))</f>
        <v/>
      </c>
    </row>
    <row r="14" customFormat="false" ht="15" hidden="false" customHeight="true" outlineLevel="0" collapsed="false">
      <c r="A14" s="16"/>
      <c r="B14" s="16"/>
      <c r="C14" s="16"/>
      <c r="D14" s="16"/>
      <c r="E14" s="16"/>
      <c r="F14" s="16"/>
      <c r="G14" s="18" t="str">
        <f aca="false">IF(ISBLANK($A14),"",IF($E14="","",$E14-$F14))</f>
        <v/>
      </c>
      <c r="H14" s="19" t="str">
        <f aca="false">IF(ISBLANK($A14),"",IF($E14=0,"",$F14/$E14))</f>
        <v/>
      </c>
      <c r="I14" s="15" t="str">
        <f aca="false">IF(ISBLANK($A14),"",IF(OR(ISBLANK($B14),ISBLANK($C14),ISBLANK($D14),ISBLANK($E14),ISBLANK($F14)),"EKSİK","OK"))</f>
        <v/>
      </c>
    </row>
    <row r="15" customFormat="false" ht="15" hidden="false" customHeight="true" outlineLevel="0" collapsed="false">
      <c r="A15" s="16"/>
      <c r="B15" s="16"/>
      <c r="C15" s="16"/>
      <c r="D15" s="16"/>
      <c r="E15" s="16"/>
      <c r="F15" s="16"/>
      <c r="G15" s="18" t="str">
        <f aca="false">IF(ISBLANK($A15),"",IF($E15="","",$E15-$F15))</f>
        <v/>
      </c>
      <c r="H15" s="19" t="str">
        <f aca="false">IF(ISBLANK($A15),"",IF($E15=0,"",$F15/$E15))</f>
        <v/>
      </c>
      <c r="I15" s="15" t="str">
        <f aca="false">IF(ISBLANK($A15),"",IF(OR(ISBLANK($B15),ISBLANK($C15),ISBLANK($D15),ISBLANK($E15),ISBLANK($F15)),"EKSİK","OK"))</f>
        <v/>
      </c>
    </row>
    <row r="16" customFormat="false" ht="15" hidden="false" customHeight="true" outlineLevel="0" collapsed="false">
      <c r="A16" s="16"/>
      <c r="B16" s="16"/>
      <c r="C16" s="16"/>
      <c r="D16" s="16"/>
      <c r="E16" s="16"/>
      <c r="F16" s="16"/>
      <c r="G16" s="18" t="str">
        <f aca="false">IF(ISBLANK($A16),"",IF($E16="","",$E16-$F16))</f>
        <v/>
      </c>
      <c r="H16" s="19" t="str">
        <f aca="false">IF(ISBLANK($A16),"",IF($E16=0,"",$F16/$E16))</f>
        <v/>
      </c>
      <c r="I16" s="15" t="str">
        <f aca="false">IF(ISBLANK($A16),"",IF(OR(ISBLANK($B16),ISBLANK($C16),ISBLANK($D16),ISBLANK($E16),ISBLANK($F16)),"EKSİK","OK"))</f>
        <v/>
      </c>
    </row>
    <row r="17" customFormat="false" ht="15" hidden="false" customHeight="true" outlineLevel="0" collapsed="false">
      <c r="A17" s="16"/>
      <c r="B17" s="16"/>
      <c r="C17" s="16"/>
      <c r="D17" s="16"/>
      <c r="E17" s="16"/>
      <c r="F17" s="16"/>
      <c r="G17" s="18" t="str">
        <f aca="false">IF(ISBLANK($A17),"",IF($E17="","",$E17-$F17))</f>
        <v/>
      </c>
      <c r="H17" s="19" t="str">
        <f aca="false">IF(ISBLANK($A17),"",IF($E17=0,"",$F17/$E17))</f>
        <v/>
      </c>
      <c r="I17" s="15" t="str">
        <f aca="false">IF(ISBLANK($A17),"",IF(OR(ISBLANK($B17),ISBLANK($C17),ISBLANK($D17),ISBLANK($E17),ISBLANK($F17)),"EKSİK","OK"))</f>
        <v/>
      </c>
    </row>
    <row r="18" customFormat="false" ht="15" hidden="false" customHeight="true" outlineLevel="0" collapsed="false">
      <c r="A18" s="16"/>
      <c r="B18" s="16"/>
      <c r="C18" s="16"/>
      <c r="D18" s="16"/>
      <c r="E18" s="16"/>
      <c r="F18" s="16"/>
      <c r="G18" s="18" t="str">
        <f aca="false">IF(ISBLANK($A18),"",IF($E18="","",$E18-$F18))</f>
        <v/>
      </c>
      <c r="H18" s="19" t="str">
        <f aca="false">IF(ISBLANK($A18),"",IF($E18=0,"",$F18/$E18))</f>
        <v/>
      </c>
      <c r="I18" s="15" t="str">
        <f aca="false">IF(ISBLANK($A18),"",IF(OR(ISBLANK($B18),ISBLANK($C18),ISBLANK($D18),ISBLANK($E18),ISBLANK($F18)),"EKSİK","OK"))</f>
        <v/>
      </c>
    </row>
    <row r="19" customFormat="false" ht="15" hidden="false" customHeight="true" outlineLevel="0" collapsed="false">
      <c r="A19" s="16"/>
      <c r="B19" s="16"/>
      <c r="C19" s="16"/>
      <c r="D19" s="16"/>
      <c r="E19" s="16"/>
      <c r="F19" s="16"/>
      <c r="G19" s="18" t="str">
        <f aca="false">IF(ISBLANK($A19),"",IF($E19="","",$E19-$F19))</f>
        <v/>
      </c>
      <c r="H19" s="19" t="str">
        <f aca="false">IF(ISBLANK($A19),"",IF($E19=0,"",$F19/$E19))</f>
        <v/>
      </c>
      <c r="I19" s="15" t="str">
        <f aca="false">IF(ISBLANK($A19),"",IF(OR(ISBLANK($B19),ISBLANK($C19),ISBLANK($D19),ISBLANK($E19),ISBLANK($F19)),"EKSİK","OK"))</f>
        <v/>
      </c>
    </row>
    <row r="20" customFormat="false" ht="15" hidden="false" customHeight="true" outlineLevel="0" collapsed="false">
      <c r="A20" s="16"/>
      <c r="B20" s="16"/>
      <c r="C20" s="16"/>
      <c r="D20" s="16"/>
      <c r="E20" s="16"/>
      <c r="F20" s="16"/>
      <c r="G20" s="18" t="str">
        <f aca="false">IF(ISBLANK($A20),"",IF($E20="","",$E20-$F20))</f>
        <v/>
      </c>
      <c r="H20" s="19" t="str">
        <f aca="false">IF(ISBLANK($A20),"",IF($E20=0,"",$F20/$E20))</f>
        <v/>
      </c>
      <c r="I20" s="15" t="str">
        <f aca="false">IF(ISBLANK($A20),"",IF(OR(ISBLANK($B20),ISBLANK($C20),ISBLANK($D20),ISBLANK($E20),ISBLANK($F20)),"EKSİK","OK"))</f>
        <v/>
      </c>
    </row>
    <row r="21" customFormat="false" ht="15" hidden="false" customHeight="true" outlineLevel="0" collapsed="false">
      <c r="A21" s="16"/>
      <c r="B21" s="16"/>
      <c r="C21" s="16"/>
      <c r="D21" s="16"/>
      <c r="E21" s="16"/>
      <c r="F21" s="16"/>
      <c r="G21" s="18" t="str">
        <f aca="false">IF(ISBLANK($A21),"",IF($E21="","",$E21-$F21))</f>
        <v/>
      </c>
      <c r="H21" s="19" t="str">
        <f aca="false">IF(ISBLANK($A21),"",IF($E21=0,"",$F21/$E21))</f>
        <v/>
      </c>
      <c r="I21" s="15" t="str">
        <f aca="false">IF(ISBLANK($A21),"",IF(OR(ISBLANK($B21),ISBLANK($C21),ISBLANK($D21),ISBLANK($E21),ISBLANK($F21)),"EKSİK","OK"))</f>
        <v/>
      </c>
    </row>
    <row r="22" customFormat="false" ht="15" hidden="false" customHeight="true" outlineLevel="0" collapsed="false">
      <c r="A22" s="16"/>
      <c r="B22" s="16"/>
      <c r="C22" s="16"/>
      <c r="D22" s="16"/>
      <c r="E22" s="16"/>
      <c r="F22" s="16"/>
      <c r="G22" s="18" t="str">
        <f aca="false">IF(ISBLANK($A22),"",IF($E22="","",$E22-$F22))</f>
        <v/>
      </c>
      <c r="H22" s="19" t="str">
        <f aca="false">IF(ISBLANK($A22),"",IF($E22=0,"",$F22/$E22))</f>
        <v/>
      </c>
      <c r="I22" s="15" t="str">
        <f aca="false">IF(ISBLANK($A22),"",IF(OR(ISBLANK($B22),ISBLANK($C22),ISBLANK($D22),ISBLANK($E22),ISBLANK($F22)),"EKSİK","OK"))</f>
        <v/>
      </c>
    </row>
    <row r="23" customFormat="false" ht="15" hidden="false" customHeight="true" outlineLevel="0" collapsed="false">
      <c r="A23" s="16"/>
      <c r="B23" s="16"/>
      <c r="C23" s="16"/>
      <c r="D23" s="16"/>
      <c r="E23" s="16"/>
      <c r="F23" s="16"/>
      <c r="G23" s="18" t="str">
        <f aca="false">IF(ISBLANK($A23),"",IF($E23="","",$E23-$F23))</f>
        <v/>
      </c>
      <c r="H23" s="19" t="str">
        <f aca="false">IF(ISBLANK($A23),"",IF($E23=0,"",$F23/$E23))</f>
        <v/>
      </c>
      <c r="I23" s="15" t="str">
        <f aca="false">IF(ISBLANK($A23),"",IF(OR(ISBLANK($B23),ISBLANK($C23),ISBLANK($D23),ISBLANK($E23),ISBLANK($F23)),"EKSİK","OK"))</f>
        <v/>
      </c>
    </row>
    <row r="24" customFormat="false" ht="15" hidden="false" customHeight="true" outlineLevel="0" collapsed="false">
      <c r="A24" s="16"/>
      <c r="B24" s="16"/>
      <c r="C24" s="16"/>
      <c r="D24" s="16"/>
      <c r="E24" s="16"/>
      <c r="F24" s="16"/>
      <c r="G24" s="18" t="str">
        <f aca="false">IF(ISBLANK($A24),"",IF($E24="","",$E24-$F24))</f>
        <v/>
      </c>
      <c r="H24" s="19" t="str">
        <f aca="false">IF(ISBLANK($A24),"",IF($E24=0,"",$F24/$E24))</f>
        <v/>
      </c>
      <c r="I24" s="15" t="str">
        <f aca="false">IF(ISBLANK($A24),"",IF(OR(ISBLANK($B24),ISBLANK($C24),ISBLANK($D24),ISBLANK($E24),ISBLANK($F24)),"EKSİK","OK"))</f>
        <v/>
      </c>
    </row>
    <row r="25" customFormat="false" ht="15" hidden="false" customHeight="true" outlineLevel="0" collapsed="false">
      <c r="A25" s="16"/>
      <c r="B25" s="16"/>
      <c r="C25" s="16"/>
      <c r="D25" s="16"/>
      <c r="E25" s="16"/>
      <c r="F25" s="16"/>
      <c r="G25" s="18" t="str">
        <f aca="false">IF(ISBLANK($A25),"",IF($E25="","",$E25-$F25))</f>
        <v/>
      </c>
      <c r="H25" s="19" t="str">
        <f aca="false">IF(ISBLANK($A25),"",IF($E25=0,"",$F25/$E25))</f>
        <v/>
      </c>
      <c r="I25" s="15" t="str">
        <f aca="false">IF(ISBLANK($A25),"",IF(OR(ISBLANK($B25),ISBLANK($C25),ISBLANK($D25),ISBLANK($E25),ISBLANK($F25)),"EKSİK","OK"))</f>
        <v/>
      </c>
    </row>
    <row r="26" customFormat="false" ht="15" hidden="false" customHeight="true" outlineLevel="0" collapsed="false">
      <c r="A26" s="16"/>
      <c r="B26" s="16"/>
      <c r="C26" s="16"/>
      <c r="D26" s="16"/>
      <c r="E26" s="16"/>
      <c r="F26" s="16"/>
      <c r="G26" s="18" t="str">
        <f aca="false">IF(ISBLANK($A26),"",IF($E26="","",$E26-$F26))</f>
        <v/>
      </c>
      <c r="H26" s="19" t="str">
        <f aca="false">IF(ISBLANK($A26),"",IF($E26=0,"",$F26/$E26))</f>
        <v/>
      </c>
      <c r="I26" s="15" t="str">
        <f aca="false">IF(ISBLANK($A26),"",IF(OR(ISBLANK($B26),ISBLANK($C26),ISBLANK($D26),ISBLANK($E26),ISBLANK($F26)),"EKSİK","OK"))</f>
        <v/>
      </c>
    </row>
    <row r="27" customFormat="false" ht="15" hidden="false" customHeight="true" outlineLevel="0" collapsed="false">
      <c r="A27" s="16"/>
      <c r="B27" s="16"/>
      <c r="C27" s="16"/>
      <c r="D27" s="16"/>
      <c r="E27" s="16"/>
      <c r="F27" s="16"/>
      <c r="G27" s="18" t="str">
        <f aca="false">IF(ISBLANK($A27),"",IF($E27="","",$E27-$F27))</f>
        <v/>
      </c>
      <c r="H27" s="19" t="str">
        <f aca="false">IF(ISBLANK($A27),"",IF($E27=0,"",$F27/$E27))</f>
        <v/>
      </c>
      <c r="I27" s="15" t="str">
        <f aca="false">IF(ISBLANK($A27),"",IF(OR(ISBLANK($B27),ISBLANK($C27),ISBLANK($D27),ISBLANK($E27),ISBLANK($F27)),"EKSİK","OK"))</f>
        <v/>
      </c>
    </row>
    <row r="28" customFormat="false" ht="15" hidden="false" customHeight="true" outlineLevel="0" collapsed="false">
      <c r="A28" s="16"/>
      <c r="B28" s="16"/>
      <c r="C28" s="16"/>
      <c r="D28" s="16"/>
      <c r="E28" s="16"/>
      <c r="F28" s="16"/>
      <c r="G28" s="18" t="str">
        <f aca="false">IF(ISBLANK($A28),"",IF($E28="","",$E28-$F28))</f>
        <v/>
      </c>
      <c r="H28" s="19" t="str">
        <f aca="false">IF(ISBLANK($A28),"",IF($E28=0,"",$F28/$E28))</f>
        <v/>
      </c>
      <c r="I28" s="15" t="str">
        <f aca="false">IF(ISBLANK($A28),"",IF(OR(ISBLANK($B28),ISBLANK($C28),ISBLANK($D28),ISBLANK($E28),ISBLANK($F28)),"EKSİK","OK"))</f>
        <v/>
      </c>
    </row>
    <row r="29" customFormat="false" ht="15" hidden="false" customHeight="true" outlineLevel="0" collapsed="false">
      <c r="A29" s="16"/>
      <c r="B29" s="16"/>
      <c r="C29" s="16"/>
      <c r="D29" s="16"/>
      <c r="E29" s="16"/>
      <c r="F29" s="16"/>
      <c r="G29" s="18" t="str">
        <f aca="false">IF(ISBLANK($A29),"",IF($E29="","",$E29-$F29))</f>
        <v/>
      </c>
      <c r="H29" s="19" t="str">
        <f aca="false">IF(ISBLANK($A29),"",IF($E29=0,"",$F29/$E29))</f>
        <v/>
      </c>
      <c r="I29" s="15" t="str">
        <f aca="false">IF(ISBLANK($A29),"",IF(OR(ISBLANK($B29),ISBLANK($C29),ISBLANK($D29),ISBLANK($E29),ISBLANK($F29)),"EKSİK","OK"))</f>
        <v/>
      </c>
    </row>
    <row r="30" customFormat="false" ht="15" hidden="false" customHeight="true" outlineLevel="0" collapsed="false">
      <c r="A30" s="16"/>
      <c r="B30" s="16"/>
      <c r="C30" s="16"/>
      <c r="D30" s="16"/>
      <c r="E30" s="16"/>
      <c r="F30" s="16"/>
      <c r="G30" s="18" t="str">
        <f aca="false">IF(ISBLANK($A30),"",IF($E30="","",$E30-$F30))</f>
        <v/>
      </c>
      <c r="H30" s="19" t="str">
        <f aca="false">IF(ISBLANK($A30),"",IF($E30=0,"",$F30/$E30))</f>
        <v/>
      </c>
      <c r="I30" s="15" t="str">
        <f aca="false">IF(ISBLANK($A30),"",IF(OR(ISBLANK($B30),ISBLANK($C30),ISBLANK($D30),ISBLANK($E30),ISBLANK($F30)),"EKSİK","OK"))</f>
        <v/>
      </c>
    </row>
    <row r="31" customFormat="false" ht="15" hidden="false" customHeight="true" outlineLevel="0" collapsed="false">
      <c r="A31" s="16"/>
      <c r="B31" s="16"/>
      <c r="C31" s="16"/>
      <c r="D31" s="16"/>
      <c r="E31" s="16"/>
      <c r="F31" s="16"/>
      <c r="G31" s="18" t="str">
        <f aca="false">IF(ISBLANK($A31),"",IF($E31="","",$E31-$F31))</f>
        <v/>
      </c>
      <c r="H31" s="19" t="str">
        <f aca="false">IF(ISBLANK($A31),"",IF($E31=0,"",$F31/$E31))</f>
        <v/>
      </c>
      <c r="I31" s="15" t="str">
        <f aca="false">IF(ISBLANK($A31),"",IF(OR(ISBLANK($B31),ISBLANK($C31),ISBLANK($D31),ISBLANK($E31),ISBLANK($F31)),"EKSİK","OK"))</f>
        <v/>
      </c>
    </row>
    <row r="32" customFormat="false" ht="15" hidden="false" customHeight="true" outlineLevel="0" collapsed="false">
      <c r="A32" s="16"/>
      <c r="B32" s="16"/>
      <c r="C32" s="16"/>
      <c r="D32" s="16"/>
      <c r="E32" s="16"/>
      <c r="F32" s="16"/>
      <c r="G32" s="18" t="str">
        <f aca="false">IF(ISBLANK($A32),"",IF($E32="","",$E32-$F32))</f>
        <v/>
      </c>
      <c r="H32" s="19" t="str">
        <f aca="false">IF(ISBLANK($A32),"",IF($E32=0,"",$F32/$E32))</f>
        <v/>
      </c>
      <c r="I32" s="15" t="str">
        <f aca="false">IF(ISBLANK($A32),"",IF(OR(ISBLANK($B32),ISBLANK($C32),ISBLANK($D32),ISBLANK($E32),ISBLANK($F32)),"EKSİK","OK"))</f>
        <v/>
      </c>
    </row>
    <row r="33" customFormat="false" ht="15" hidden="false" customHeight="true" outlineLevel="0" collapsed="false">
      <c r="A33" s="16"/>
      <c r="B33" s="16"/>
      <c r="C33" s="16"/>
      <c r="D33" s="16"/>
      <c r="E33" s="16"/>
      <c r="F33" s="16"/>
      <c r="G33" s="18" t="str">
        <f aca="false">IF(ISBLANK($A33),"",IF($E33="","",$E33-$F33))</f>
        <v/>
      </c>
      <c r="H33" s="19" t="str">
        <f aca="false">IF(ISBLANK($A33),"",IF($E33=0,"",$F33/$E33))</f>
        <v/>
      </c>
      <c r="I33" s="15" t="str">
        <f aca="false">IF(ISBLANK($A33),"",IF(OR(ISBLANK($B33),ISBLANK($C33),ISBLANK($D33),ISBLANK($E33),ISBLANK($F33)),"EKSİK","OK"))</f>
        <v/>
      </c>
    </row>
    <row r="34" customFormat="false" ht="15" hidden="false" customHeight="true" outlineLevel="0" collapsed="false">
      <c r="A34" s="16"/>
      <c r="B34" s="16"/>
      <c r="C34" s="16"/>
      <c r="D34" s="16"/>
      <c r="E34" s="16"/>
      <c r="F34" s="16"/>
      <c r="G34" s="18" t="str">
        <f aca="false">IF(ISBLANK($A34),"",IF($E34="","",$E34-$F34))</f>
        <v/>
      </c>
      <c r="H34" s="19" t="str">
        <f aca="false">IF(ISBLANK($A34),"",IF($E34=0,"",$F34/$E34))</f>
        <v/>
      </c>
      <c r="I34" s="15" t="str">
        <f aca="false">IF(ISBLANK($A34),"",IF(OR(ISBLANK($B34),ISBLANK($C34),ISBLANK($D34),ISBLANK($E34),ISBLANK($F34)),"EKSİK","OK"))</f>
        <v/>
      </c>
    </row>
    <row r="35" customFormat="false" ht="15" hidden="false" customHeight="true" outlineLevel="0" collapsed="false">
      <c r="A35" s="16"/>
      <c r="B35" s="16"/>
      <c r="C35" s="16"/>
      <c r="D35" s="16"/>
      <c r="E35" s="16"/>
      <c r="F35" s="16"/>
      <c r="G35" s="18" t="str">
        <f aca="false">IF(ISBLANK($A35),"",IF($E35="","",$E35-$F35))</f>
        <v/>
      </c>
      <c r="H35" s="19" t="str">
        <f aca="false">IF(ISBLANK($A35),"",IF($E35=0,"",$F35/$E35))</f>
        <v/>
      </c>
      <c r="I35" s="15" t="str">
        <f aca="false">IF(ISBLANK($A35),"",IF(OR(ISBLANK($B35),ISBLANK($C35),ISBLANK($D35),ISBLANK($E35),ISBLANK($F35)),"EKSİK","OK"))</f>
        <v/>
      </c>
    </row>
  </sheetData>
  <sheetProtection sheet="true" password="cc3d" objects="true" scenarios="true" deleteColumns="false" deleteRows="false"/>
  <mergeCells count="1">
    <mergeCell ref="A1:AN1"/>
  </mergeCells>
  <conditionalFormatting sqref="H6:H1000">
    <cfRule type="cellIs" priority="2" operator="lessThan" aboveAverage="0" equalAverage="0" bottom="0" percent="0" rank="0" text="" dxfId="9">
      <formula>1</formula>
    </cfRule>
    <cfRule type="cellIs" priority="3" operator="between" aboveAverage="0" equalAverage="0" bottom="0" percent="0" rank="0" text="" dxfId="10">
      <formula>1</formula>
      <formula>0.7</formula>
    </cfRule>
    <cfRule type="cellIs" priority="4" operator="greaterThan" aboveAverage="0" equalAverage="0" bottom="0" percent="0" rank="0" text="" dxfId="8">
      <formula>0.7</formula>
    </cfRule>
  </conditionalFormatting>
  <conditionalFormatting sqref="G6:G1000">
    <cfRule type="cellIs" priority="5" operator="lessThan" aboveAverage="0" equalAverage="0" bottom="0" percent="0" rank="0" text="" dxfId="12">
      <formula>0</formula>
    </cfRule>
  </conditionalFormatting>
  <conditionalFormatting sqref="I6:I1000">
    <cfRule type="cellIs" priority="6" operator="equal" aboveAverage="0" equalAverage="0" bottom="0" percent="0" rank="0" text="" dxfId="9">
      <formula>"EKSİK"</formula>
    </cfRule>
    <cfRule type="cellIs" priority="7" operator="equal" aboveAverage="0" equalAverage="0" bottom="0" percent="0" rank="0" text="" dxfId="8">
      <formula>"OK"</formula>
    </cfRule>
  </conditionalFormatting>
  <dataValidations count="2">
    <dataValidation allowBlank="true" error="Lütfen listeden bir ürün türü seçin." errorStyle="stop" errorTitle="Geçersiz Ürün" operator="between" prompt="Listeden ürün türünü seçin." promptTitle="Ürün Türü" showDropDown="false" showErrorMessage="true" showInputMessage="true" sqref="C6:C1000" type="list">
      <formula1>ListeUrunTuru</formula1>
      <formula2>0</formula2>
    </dataValidation>
    <dataValidation allowBlank="true" error="Lütfen geçerli bir para birimi girin." errorStyle="stop" errorTitle="Geçersiz Birim" operator="between" prompt="TRY, USD veya EUR seçin." promptTitle="Para Birimi" showDropDown="false" showErrorMessage="true" showInputMessage="true" sqref="D6:D1000" type="list">
      <formula1>ListeParaBirimi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24"/>
    <col collapsed="false" customWidth="true" hidden="false" outlineLevel="0" max="3" min="3" style="1" width="16"/>
    <col collapsed="false" customWidth="true" hidden="false" outlineLevel="0" max="4" min="4" style="1" width="22"/>
    <col collapsed="false" customWidth="true" hidden="false" outlineLevel="0" max="5" min="5" style="1" width="13"/>
    <col collapsed="false" customWidth="true" hidden="false" outlineLevel="0" max="7" min="6" style="1" width="14"/>
    <col collapsed="false" customWidth="true" hidden="false" outlineLevel="0" max="8" min="8" style="1" width="15"/>
    <col collapsed="false" customWidth="true" hidden="false" outlineLevel="0" max="9" min="9" style="1" width="11"/>
    <col collapsed="false" customWidth="true" hidden="false" outlineLevel="0" max="10" min="10" style="1" width="10"/>
    <col collapsed="false" customWidth="true" hidden="false" outlineLevel="0" max="11" min="11" style="1" width="11"/>
    <col collapsed="false" customWidth="true" hidden="false" outlineLevel="0" max="12" min="12" style="1" width="12"/>
    <col collapsed="false" customWidth="true" hidden="false" outlineLevel="0" max="13" min="13" style="1" width="22"/>
    <col collapsed="false" customWidth="true" hidden="false" outlineLevel="0" max="14" min="14" style="1" width="10"/>
  </cols>
  <sheetData>
    <row r="1" customFormat="false" ht="25.5" hidden="false" customHeight="true" outlineLevel="0" collapsed="false">
      <c r="A1" s="2" t="s">
        <v>79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</row>
    <row r="3" customFormat="false" ht="135.75" hidden="false" customHeight="true" outlineLevel="0" collapsed="false">
      <c r="A3" s="11" t="s">
        <v>80</v>
      </c>
    </row>
    <row r="5" customFormat="false" ht="30" hidden="false" customHeight="true" outlineLevel="0" collapsed="false">
      <c r="A5" s="12" t="s">
        <v>81</v>
      </c>
      <c r="B5" s="12" t="s">
        <v>26</v>
      </c>
      <c r="C5" s="12" t="s">
        <v>27</v>
      </c>
      <c r="D5" s="12" t="s">
        <v>63</v>
      </c>
      <c r="E5" s="12" t="s">
        <v>64</v>
      </c>
      <c r="F5" s="12" t="s">
        <v>82</v>
      </c>
      <c r="G5" s="12" t="s">
        <v>83</v>
      </c>
      <c r="H5" s="12" t="s">
        <v>84</v>
      </c>
      <c r="I5" s="12" t="s">
        <v>85</v>
      </c>
      <c r="J5" s="12" t="s">
        <v>86</v>
      </c>
      <c r="K5" s="12" t="s">
        <v>87</v>
      </c>
      <c r="L5" s="12" t="s">
        <v>88</v>
      </c>
      <c r="M5" s="12" t="s">
        <v>89</v>
      </c>
      <c r="N5" s="12" t="s">
        <v>33</v>
      </c>
    </row>
    <row r="6" customFormat="false" ht="15" hidden="false" customHeight="true" outlineLevel="0" collapsed="false">
      <c r="A6" s="13" t="s">
        <v>90</v>
      </c>
      <c r="B6" s="13" t="s">
        <v>35</v>
      </c>
      <c r="C6" s="13" t="s">
        <v>36</v>
      </c>
      <c r="D6" s="13" t="s">
        <v>70</v>
      </c>
      <c r="E6" s="13" t="s">
        <v>71</v>
      </c>
      <c r="F6" s="20" t="n">
        <v>45597</v>
      </c>
      <c r="G6" s="17" t="n">
        <v>12000000</v>
      </c>
      <c r="H6" s="17" t="n">
        <v>8400000</v>
      </c>
      <c r="I6" s="21" t="n">
        <v>0.32</v>
      </c>
      <c r="J6" s="14" t="n">
        <v>24</v>
      </c>
      <c r="K6" s="19" t="n">
        <f aca="false">IF(ISBLANK($A6),"",IF($I6="","",$I6/AySayisi))</f>
        <v>0.0266666666666667</v>
      </c>
      <c r="L6" s="22" t="n">
        <f aca="false">IF(ISBLANK($A6),"",IFERROR(EOMONTH($F6,$J6),""))</f>
        <v>46356</v>
      </c>
      <c r="M6" s="13" t="s">
        <v>91</v>
      </c>
      <c r="N6" s="15" t="str">
        <f aca="false">IF(ISBLANK($A6),"",IF(OR(ISBLANK($B6),ISBLANK($C6),ISBLANK($D6),ISBLANK($E6),ISBLANK($F6),ISBLANK($G6),ISBLANK($H6),ISBLANK($I6),ISBLANK($J6),ISBLANK($K6),ISBLANK($L6)),"EKSİK","OK"))</f>
        <v>OK</v>
      </c>
    </row>
    <row r="7" customFormat="false" ht="15" hidden="false" customHeight="true" outlineLevel="0" collapsed="false">
      <c r="A7" s="13" t="s">
        <v>92</v>
      </c>
      <c r="B7" s="13" t="s">
        <v>42</v>
      </c>
      <c r="C7" s="13" t="s">
        <v>43</v>
      </c>
      <c r="D7" s="13" t="s">
        <v>73</v>
      </c>
      <c r="E7" s="13" t="s">
        <v>71</v>
      </c>
      <c r="F7" s="20" t="n">
        <v>45717</v>
      </c>
      <c r="G7" s="17" t="n">
        <v>7500000</v>
      </c>
      <c r="H7" s="17" t="n">
        <v>6100000</v>
      </c>
      <c r="I7" s="21" t="n">
        <v>0.34</v>
      </c>
      <c r="J7" s="14" t="n">
        <v>36</v>
      </c>
      <c r="K7" s="19" t="n">
        <f aca="false">IF(ISBLANK($A7),"",IF($I7="","",$I7/AySayisi))</f>
        <v>0.0283333333333333</v>
      </c>
      <c r="L7" s="22" t="n">
        <f aca="false">IF(ISBLANK($A7),"",IFERROR(EOMONTH($F7,$J7),""))</f>
        <v>46843</v>
      </c>
      <c r="M7" s="13" t="s">
        <v>93</v>
      </c>
      <c r="N7" s="15" t="str">
        <f aca="false">IF(ISBLANK($A7),"",IF(OR(ISBLANK($B7),ISBLANK($C7),ISBLANK($D7),ISBLANK($E7),ISBLANK($F7),ISBLANK($G7),ISBLANK($H7),ISBLANK($I7),ISBLANK($J7),ISBLANK($K7),ISBLANK($L7)),"EKSİK","OK"))</f>
        <v>OK</v>
      </c>
    </row>
    <row r="8" customFormat="false" ht="15" hidden="false" customHeight="true" outlineLevel="0" collapsed="false">
      <c r="A8" s="13" t="s">
        <v>94</v>
      </c>
      <c r="B8" s="13" t="s">
        <v>48</v>
      </c>
      <c r="C8" s="13" t="s">
        <v>49</v>
      </c>
      <c r="D8" s="13" t="s">
        <v>75</v>
      </c>
      <c r="E8" s="13" t="s">
        <v>76</v>
      </c>
      <c r="F8" s="20" t="n">
        <v>45809</v>
      </c>
      <c r="G8" s="17" t="n">
        <v>200000</v>
      </c>
      <c r="H8" s="17" t="n">
        <v>180000</v>
      </c>
      <c r="I8" s="21" t="n">
        <v>0.085</v>
      </c>
      <c r="J8" s="14" t="n">
        <v>12</v>
      </c>
      <c r="K8" s="19" t="n">
        <f aca="false">IF(ISBLANK($A8),"",IF($I8="","",$I8/AySayisi))</f>
        <v>0.00708333333333333</v>
      </c>
      <c r="L8" s="22" t="n">
        <f aca="false">IF(ISBLANK($A8),"",IFERROR(EOMONTH($F8,$J8),""))</f>
        <v>46203</v>
      </c>
      <c r="M8" s="13" t="s">
        <v>95</v>
      </c>
      <c r="N8" s="15" t="str">
        <f aca="false">IF(ISBLANK($A8),"",IF(OR(ISBLANK($B8),ISBLANK($C8),ISBLANK($D8),ISBLANK($E8),ISBLANK($F8),ISBLANK($G8),ISBLANK($H8),ISBLANK($I8),ISBLANK($J8),ISBLANK($K8),ISBLANK($L8)),"EKSİK","OK"))</f>
        <v>OK</v>
      </c>
    </row>
    <row r="9" customFormat="false" ht="15" hidden="false" customHeight="true" outlineLevel="0" collapsed="false">
      <c r="A9" s="13" t="s">
        <v>96</v>
      </c>
      <c r="B9" s="13" t="s">
        <v>35</v>
      </c>
      <c r="C9" s="13" t="s">
        <v>36</v>
      </c>
      <c r="D9" s="13" t="s">
        <v>78</v>
      </c>
      <c r="E9" s="13" t="s">
        <v>71</v>
      </c>
      <c r="F9" s="20" t="n">
        <v>46023</v>
      </c>
      <c r="G9" s="17" t="n">
        <v>2200000</v>
      </c>
      <c r="H9" s="17" t="n">
        <v>2200000</v>
      </c>
      <c r="I9" s="21" t="n">
        <v>0.36</v>
      </c>
      <c r="J9" s="14" t="n">
        <v>12</v>
      </c>
      <c r="K9" s="19" t="n">
        <f aca="false">IF(ISBLANK($A9),"",IF($I9="","",$I9/AySayisi))</f>
        <v>0.03</v>
      </c>
      <c r="L9" s="22" t="n">
        <f aca="false">IF(ISBLANK($A9),"",IFERROR(EOMONTH($F9,$J9),""))</f>
        <v>46418</v>
      </c>
      <c r="M9" s="13" t="s">
        <v>97</v>
      </c>
      <c r="N9" s="15" t="str">
        <f aca="false">IF(ISBLANK($A9),"",IF(OR(ISBLANK($B9),ISBLANK($C9),ISBLANK($D9),ISBLANK($E9),ISBLANK($F9),ISBLANK($G9),ISBLANK($H9),ISBLANK($I9),ISBLANK($J9),ISBLANK($K9),ISBLANK($L9)),"EKSİK","OK"))</f>
        <v>OK</v>
      </c>
    </row>
    <row r="10" customFormat="false" ht="15" hidden="false" customHeight="true" outlineLevel="0" collapsed="false">
      <c r="A10" s="16"/>
      <c r="B10" s="16"/>
      <c r="C10" s="16"/>
      <c r="D10" s="16"/>
      <c r="E10" s="16"/>
      <c r="F10" s="16"/>
      <c r="G10" s="16"/>
      <c r="H10" s="16"/>
      <c r="I10" s="16"/>
      <c r="J10" s="16"/>
      <c r="K10" s="19" t="str">
        <f aca="false">IF(ISBLANK($A10),"",IF($I10="","",$I10/AySayisi))</f>
        <v/>
      </c>
      <c r="L10" s="22" t="str">
        <f aca="false">IF(ISBLANK($A10),"",IFERROR(EOMONTH($F10,$J10),""))</f>
        <v/>
      </c>
      <c r="M10" s="16"/>
      <c r="N10" s="15" t="str">
        <f aca="false">IF(ISBLANK($A10),"",IF(OR(ISBLANK($B10),ISBLANK($C10),ISBLANK($D10),ISBLANK($E10),ISBLANK($F10),ISBLANK($G10),ISBLANK($H10),ISBLANK($I10),ISBLANK($J10),ISBLANK($K10),ISBLANK($L10)),"EKSİK","OK"))</f>
        <v/>
      </c>
    </row>
    <row r="11" customFormat="false" ht="15" hidden="false" customHeight="true" outlineLevel="0" collapsed="false">
      <c r="A11" s="16"/>
      <c r="B11" s="16"/>
      <c r="C11" s="16"/>
      <c r="D11" s="16"/>
      <c r="E11" s="16"/>
      <c r="F11" s="16"/>
      <c r="G11" s="16"/>
      <c r="H11" s="16"/>
      <c r="I11" s="16"/>
      <c r="J11" s="16"/>
      <c r="K11" s="19" t="str">
        <f aca="false">IF(ISBLANK($A11),"",IF($I11="","",$I11/AySayisi))</f>
        <v/>
      </c>
      <c r="L11" s="22" t="str">
        <f aca="false">IF(ISBLANK($A11),"",IFERROR(EOMONTH($F11,$J11),""))</f>
        <v/>
      </c>
      <c r="M11" s="16"/>
      <c r="N11" s="15" t="str">
        <f aca="false">IF(ISBLANK($A11),"",IF(OR(ISBLANK($B11),ISBLANK($C11),ISBLANK($D11),ISBLANK($E11),ISBLANK($F11),ISBLANK($G11),ISBLANK($H11),ISBLANK($I11),ISBLANK($J11),ISBLANK($K11),ISBLANK($L11)),"EKSİK","OK"))</f>
        <v/>
      </c>
    </row>
    <row r="12" customFormat="false" ht="15" hidden="false" customHeight="true" outlineLevel="0" collapsed="false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19" t="str">
        <f aca="false">IF(ISBLANK($A12),"",IF($I12="","",$I12/AySayisi))</f>
        <v/>
      </c>
      <c r="L12" s="22" t="str">
        <f aca="false">IF(ISBLANK($A12),"",IFERROR(EOMONTH($F12,$J12),""))</f>
        <v/>
      </c>
      <c r="M12" s="16"/>
      <c r="N12" s="15" t="str">
        <f aca="false">IF(ISBLANK($A12),"",IF(OR(ISBLANK($B12),ISBLANK($C12),ISBLANK($D12),ISBLANK($E12),ISBLANK($F12),ISBLANK($G12),ISBLANK($H12),ISBLANK($I12),ISBLANK($J12),ISBLANK($K12),ISBLANK($L12)),"EKSİK","OK"))</f>
        <v/>
      </c>
    </row>
    <row r="13" customFormat="false" ht="15" hidden="false" customHeight="true" outlineLevel="0" collapsed="false">
      <c r="A13" s="16"/>
      <c r="B13" s="16"/>
      <c r="C13" s="16"/>
      <c r="D13" s="16"/>
      <c r="E13" s="16"/>
      <c r="F13" s="16"/>
      <c r="G13" s="16"/>
      <c r="H13" s="16"/>
      <c r="I13" s="16"/>
      <c r="J13" s="16"/>
      <c r="K13" s="19" t="str">
        <f aca="false">IF(ISBLANK($A13),"",IF($I13="","",$I13/AySayisi))</f>
        <v/>
      </c>
      <c r="L13" s="22" t="str">
        <f aca="false">IF(ISBLANK($A13),"",IFERROR(EOMONTH($F13,$J13),""))</f>
        <v/>
      </c>
      <c r="M13" s="16"/>
      <c r="N13" s="15" t="str">
        <f aca="false">IF(ISBLANK($A13),"",IF(OR(ISBLANK($B13),ISBLANK($C13),ISBLANK($D13),ISBLANK($E13),ISBLANK($F13),ISBLANK($G13),ISBLANK($H13),ISBLANK($I13),ISBLANK($J13),ISBLANK($K13),ISBLANK($L13)),"EKSİK","OK"))</f>
        <v/>
      </c>
    </row>
    <row r="14" customFormat="false" ht="15" hidden="false" customHeight="true" outlineLevel="0" collapsed="false">
      <c r="A14" s="16"/>
      <c r="B14" s="16"/>
      <c r="C14" s="16"/>
      <c r="D14" s="16"/>
      <c r="E14" s="16"/>
      <c r="F14" s="16"/>
      <c r="G14" s="16"/>
      <c r="H14" s="16"/>
      <c r="I14" s="16"/>
      <c r="J14" s="16"/>
      <c r="K14" s="19" t="str">
        <f aca="false">IF(ISBLANK($A14),"",IF($I14="","",$I14/AySayisi))</f>
        <v/>
      </c>
      <c r="L14" s="22" t="str">
        <f aca="false">IF(ISBLANK($A14),"",IFERROR(EOMONTH($F14,$J14),""))</f>
        <v/>
      </c>
      <c r="M14" s="16"/>
      <c r="N14" s="15" t="str">
        <f aca="false">IF(ISBLANK($A14),"",IF(OR(ISBLANK($B14),ISBLANK($C14),ISBLANK($D14),ISBLANK($E14),ISBLANK($F14),ISBLANK($G14),ISBLANK($H14),ISBLANK($I14),ISBLANK($J14),ISBLANK($K14),ISBLANK($L14)),"EKSİK","OK"))</f>
        <v/>
      </c>
    </row>
    <row r="15" customFormat="false" ht="15" hidden="false" customHeight="true" outlineLevel="0" collapsed="false">
      <c r="A15" s="16"/>
      <c r="B15" s="16"/>
      <c r="C15" s="16"/>
      <c r="D15" s="16"/>
      <c r="E15" s="16"/>
      <c r="F15" s="16"/>
      <c r="G15" s="16"/>
      <c r="H15" s="16"/>
      <c r="I15" s="16"/>
      <c r="J15" s="16"/>
      <c r="K15" s="19" t="str">
        <f aca="false">IF(ISBLANK($A15),"",IF($I15="","",$I15/AySayisi))</f>
        <v/>
      </c>
      <c r="L15" s="22" t="str">
        <f aca="false">IF(ISBLANK($A15),"",IFERROR(EOMONTH($F15,$J15),""))</f>
        <v/>
      </c>
      <c r="M15" s="16"/>
      <c r="N15" s="15" t="str">
        <f aca="false">IF(ISBLANK($A15),"",IF(OR(ISBLANK($B15),ISBLANK($C15),ISBLANK($D15),ISBLANK($E15),ISBLANK($F15),ISBLANK($G15),ISBLANK($H15),ISBLANK($I15),ISBLANK($J15),ISBLANK($K15),ISBLANK($L15)),"EKSİK","OK"))</f>
        <v/>
      </c>
    </row>
    <row r="16" customFormat="false" ht="15" hidden="false" customHeight="true" outlineLevel="0" collapsed="false">
      <c r="A16" s="16"/>
      <c r="B16" s="16"/>
      <c r="C16" s="16"/>
      <c r="D16" s="16"/>
      <c r="E16" s="16"/>
      <c r="F16" s="16"/>
      <c r="G16" s="16"/>
      <c r="H16" s="16"/>
      <c r="I16" s="16"/>
      <c r="J16" s="16"/>
      <c r="K16" s="19" t="str">
        <f aca="false">IF(ISBLANK($A16),"",IF($I16="","",$I16/AySayisi))</f>
        <v/>
      </c>
      <c r="L16" s="22" t="str">
        <f aca="false">IF(ISBLANK($A16),"",IFERROR(EOMONTH($F16,$J16),""))</f>
        <v/>
      </c>
      <c r="M16" s="16"/>
      <c r="N16" s="15" t="str">
        <f aca="false">IF(ISBLANK($A16),"",IF(OR(ISBLANK($B16),ISBLANK($C16),ISBLANK($D16),ISBLANK($E16),ISBLANK($F16),ISBLANK($G16),ISBLANK($H16),ISBLANK($I16),ISBLANK($J16),ISBLANK($K16),ISBLANK($L16)),"EKSİK","OK"))</f>
        <v/>
      </c>
    </row>
    <row r="17" customFormat="false" ht="15" hidden="false" customHeight="true" outlineLevel="0" collapsed="false">
      <c r="A17" s="16"/>
      <c r="B17" s="16"/>
      <c r="C17" s="16"/>
      <c r="D17" s="16"/>
      <c r="E17" s="16"/>
      <c r="F17" s="16"/>
      <c r="G17" s="16"/>
      <c r="H17" s="16"/>
      <c r="I17" s="16"/>
      <c r="J17" s="16"/>
      <c r="K17" s="19" t="str">
        <f aca="false">IF(ISBLANK($A17),"",IF($I17="","",$I17/AySayisi))</f>
        <v/>
      </c>
      <c r="L17" s="22" t="str">
        <f aca="false">IF(ISBLANK($A17),"",IFERROR(EOMONTH($F17,$J17),""))</f>
        <v/>
      </c>
      <c r="M17" s="16"/>
      <c r="N17" s="15" t="str">
        <f aca="false">IF(ISBLANK($A17),"",IF(OR(ISBLANK($B17),ISBLANK($C17),ISBLANK($D17),ISBLANK($E17),ISBLANK($F17),ISBLANK($G17),ISBLANK($H17),ISBLANK($I17),ISBLANK($J17),ISBLANK($K17),ISBLANK($L17)),"EKSİK","OK"))</f>
        <v/>
      </c>
    </row>
    <row r="18" customFormat="false" ht="15" hidden="false" customHeight="true" outlineLevel="0" collapsed="false">
      <c r="A18" s="16"/>
      <c r="B18" s="16"/>
      <c r="C18" s="16"/>
      <c r="D18" s="16"/>
      <c r="E18" s="16"/>
      <c r="F18" s="16"/>
      <c r="G18" s="16"/>
      <c r="H18" s="16"/>
      <c r="I18" s="16"/>
      <c r="J18" s="16"/>
      <c r="K18" s="19" t="str">
        <f aca="false">IF(ISBLANK($A18),"",IF($I18="","",$I18/AySayisi))</f>
        <v/>
      </c>
      <c r="L18" s="22" t="str">
        <f aca="false">IF(ISBLANK($A18),"",IFERROR(EOMONTH($F18,$J18),""))</f>
        <v/>
      </c>
      <c r="M18" s="16"/>
      <c r="N18" s="15" t="str">
        <f aca="false">IF(ISBLANK($A18),"",IF(OR(ISBLANK($B18),ISBLANK($C18),ISBLANK($D18),ISBLANK($E18),ISBLANK($F18),ISBLANK($G18),ISBLANK($H18),ISBLANK($I18),ISBLANK($J18),ISBLANK($K18),ISBLANK($L18)),"EKSİK","OK"))</f>
        <v/>
      </c>
    </row>
    <row r="19" customFormat="false" ht="15" hidden="false" customHeight="true" outlineLevel="0" collapsed="false">
      <c r="A19" s="16"/>
      <c r="B19" s="16"/>
      <c r="C19" s="16"/>
      <c r="D19" s="16"/>
      <c r="E19" s="16"/>
      <c r="F19" s="16"/>
      <c r="G19" s="16"/>
      <c r="H19" s="16"/>
      <c r="I19" s="16"/>
      <c r="J19" s="16"/>
      <c r="K19" s="19" t="str">
        <f aca="false">IF(ISBLANK($A19),"",IF($I19="","",$I19/AySayisi))</f>
        <v/>
      </c>
      <c r="L19" s="22" t="str">
        <f aca="false">IF(ISBLANK($A19),"",IFERROR(EOMONTH($F19,$J19),""))</f>
        <v/>
      </c>
      <c r="M19" s="16"/>
      <c r="N19" s="15" t="str">
        <f aca="false">IF(ISBLANK($A19),"",IF(OR(ISBLANK($B19),ISBLANK($C19),ISBLANK($D19),ISBLANK($E19),ISBLANK($F19),ISBLANK($G19),ISBLANK($H19),ISBLANK($I19),ISBLANK($J19),ISBLANK($K19),ISBLANK($L19)),"EKSİK","OK"))</f>
        <v/>
      </c>
    </row>
    <row r="20" customFormat="false" ht="15" hidden="false" customHeight="true" outlineLevel="0" collapsed="false">
      <c r="A20" s="16"/>
      <c r="B20" s="16"/>
      <c r="C20" s="16"/>
      <c r="D20" s="16"/>
      <c r="E20" s="16"/>
      <c r="F20" s="16"/>
      <c r="G20" s="16"/>
      <c r="H20" s="16"/>
      <c r="I20" s="16"/>
      <c r="J20" s="16"/>
      <c r="K20" s="19" t="str">
        <f aca="false">IF(ISBLANK($A20),"",IF($I20="","",$I20/AySayisi))</f>
        <v/>
      </c>
      <c r="L20" s="22" t="str">
        <f aca="false">IF(ISBLANK($A20),"",IFERROR(EOMONTH($F20,$J20),""))</f>
        <v/>
      </c>
      <c r="M20" s="16"/>
      <c r="N20" s="15" t="str">
        <f aca="false">IF(ISBLANK($A20),"",IF(OR(ISBLANK($B20),ISBLANK($C20),ISBLANK($D20),ISBLANK($E20),ISBLANK($F20),ISBLANK($G20),ISBLANK($H20),ISBLANK($I20),ISBLANK($J20),ISBLANK($K20),ISBLANK($L20)),"EKSİK","OK"))</f>
        <v/>
      </c>
    </row>
    <row r="21" customFormat="false" ht="15" hidden="false" customHeight="true" outlineLevel="0" collapsed="false">
      <c r="A21" s="16"/>
      <c r="B21" s="16"/>
      <c r="C21" s="16"/>
      <c r="D21" s="16"/>
      <c r="E21" s="16"/>
      <c r="F21" s="16"/>
      <c r="G21" s="16"/>
      <c r="H21" s="16"/>
      <c r="I21" s="16"/>
      <c r="J21" s="16"/>
      <c r="K21" s="19" t="str">
        <f aca="false">IF(ISBLANK($A21),"",IF($I21="","",$I21/AySayisi))</f>
        <v/>
      </c>
      <c r="L21" s="22" t="str">
        <f aca="false">IF(ISBLANK($A21),"",IFERROR(EOMONTH($F21,$J21),""))</f>
        <v/>
      </c>
      <c r="M21" s="16"/>
      <c r="N21" s="15" t="str">
        <f aca="false">IF(ISBLANK($A21),"",IF(OR(ISBLANK($B21),ISBLANK($C21),ISBLANK($D21),ISBLANK($E21),ISBLANK($F21),ISBLANK($G21),ISBLANK($H21),ISBLANK($I21),ISBLANK($J21),ISBLANK($K21),ISBLANK($L21)),"EKSİK","OK"))</f>
        <v/>
      </c>
    </row>
    <row r="22" customFormat="false" ht="15" hidden="false" customHeight="true" outlineLevel="0" collapsed="false">
      <c r="A22" s="16"/>
      <c r="B22" s="16"/>
      <c r="C22" s="16"/>
      <c r="D22" s="16"/>
      <c r="E22" s="16"/>
      <c r="F22" s="16"/>
      <c r="G22" s="16"/>
      <c r="H22" s="16"/>
      <c r="I22" s="16"/>
      <c r="J22" s="16"/>
      <c r="K22" s="19" t="str">
        <f aca="false">IF(ISBLANK($A22),"",IF($I22="","",$I22/AySayisi))</f>
        <v/>
      </c>
      <c r="L22" s="22" t="str">
        <f aca="false">IF(ISBLANK($A22),"",IFERROR(EOMONTH($F22,$J22),""))</f>
        <v/>
      </c>
      <c r="M22" s="16"/>
      <c r="N22" s="15" t="str">
        <f aca="false">IF(ISBLANK($A22),"",IF(OR(ISBLANK($B22),ISBLANK($C22),ISBLANK($D22),ISBLANK($E22),ISBLANK($F22),ISBLANK($G22),ISBLANK($H22),ISBLANK($I22),ISBLANK($J22),ISBLANK($K22),ISBLANK($L22)),"EKSİK","OK"))</f>
        <v/>
      </c>
    </row>
    <row r="23" customFormat="false" ht="15" hidden="false" customHeight="true" outlineLevel="0" collapsed="false">
      <c r="A23" s="16"/>
      <c r="B23" s="16"/>
      <c r="C23" s="16"/>
      <c r="D23" s="16"/>
      <c r="E23" s="16"/>
      <c r="F23" s="16"/>
      <c r="G23" s="16"/>
      <c r="H23" s="16"/>
      <c r="I23" s="16"/>
      <c r="J23" s="16"/>
      <c r="K23" s="19" t="str">
        <f aca="false">IF(ISBLANK($A23),"",IF($I23="","",$I23/AySayisi))</f>
        <v/>
      </c>
      <c r="L23" s="22" t="str">
        <f aca="false">IF(ISBLANK($A23),"",IFERROR(EOMONTH($F23,$J23),""))</f>
        <v/>
      </c>
      <c r="M23" s="16"/>
      <c r="N23" s="15" t="str">
        <f aca="false">IF(ISBLANK($A23),"",IF(OR(ISBLANK($B23),ISBLANK($C23),ISBLANK($D23),ISBLANK($E23),ISBLANK($F23),ISBLANK($G23),ISBLANK($H23),ISBLANK($I23),ISBLANK($J23),ISBLANK($K23),ISBLANK($L23)),"EKSİK","OK"))</f>
        <v/>
      </c>
    </row>
    <row r="24" customFormat="false" ht="15" hidden="false" customHeight="true" outlineLevel="0" collapsed="false">
      <c r="A24" s="16"/>
      <c r="B24" s="16"/>
      <c r="C24" s="16"/>
      <c r="D24" s="16"/>
      <c r="E24" s="16"/>
      <c r="F24" s="16"/>
      <c r="G24" s="16"/>
      <c r="H24" s="16"/>
      <c r="I24" s="16"/>
      <c r="J24" s="16"/>
      <c r="K24" s="19" t="str">
        <f aca="false">IF(ISBLANK($A24),"",IF($I24="","",$I24/AySayisi))</f>
        <v/>
      </c>
      <c r="L24" s="22" t="str">
        <f aca="false">IF(ISBLANK($A24),"",IFERROR(EOMONTH($F24,$J24),""))</f>
        <v/>
      </c>
      <c r="M24" s="16"/>
      <c r="N24" s="15" t="str">
        <f aca="false">IF(ISBLANK($A24),"",IF(OR(ISBLANK($B24),ISBLANK($C24),ISBLANK($D24),ISBLANK($E24),ISBLANK($F24),ISBLANK($G24),ISBLANK($H24),ISBLANK($I24),ISBLANK($J24),ISBLANK($K24),ISBLANK($L24)),"EKSİK","OK"))</f>
        <v/>
      </c>
    </row>
    <row r="25" customFormat="false" ht="15" hidden="false" customHeight="true" outlineLevel="0" collapsed="false">
      <c r="A25" s="16"/>
      <c r="B25" s="16"/>
      <c r="C25" s="16"/>
      <c r="D25" s="16"/>
      <c r="E25" s="16"/>
      <c r="F25" s="16"/>
      <c r="G25" s="16"/>
      <c r="H25" s="16"/>
      <c r="I25" s="16"/>
      <c r="J25" s="16"/>
      <c r="K25" s="19" t="str">
        <f aca="false">IF(ISBLANK($A25),"",IF($I25="","",$I25/AySayisi))</f>
        <v/>
      </c>
      <c r="L25" s="22" t="str">
        <f aca="false">IF(ISBLANK($A25),"",IFERROR(EOMONTH($F25,$J25),""))</f>
        <v/>
      </c>
      <c r="M25" s="16"/>
      <c r="N25" s="15" t="str">
        <f aca="false">IF(ISBLANK($A25),"",IF(OR(ISBLANK($B25),ISBLANK($C25),ISBLANK($D25),ISBLANK($E25),ISBLANK($F25),ISBLANK($G25),ISBLANK($H25),ISBLANK($I25),ISBLANK($J25),ISBLANK($K25),ISBLANK($L25)),"EKSİK","OK"))</f>
        <v/>
      </c>
    </row>
    <row r="26" customFormat="false" ht="15" hidden="false" customHeight="true" outlineLevel="0" collapsed="false">
      <c r="A26" s="16"/>
      <c r="B26" s="16"/>
      <c r="C26" s="16"/>
      <c r="D26" s="16"/>
      <c r="E26" s="16"/>
      <c r="F26" s="16"/>
      <c r="G26" s="16"/>
      <c r="H26" s="16"/>
      <c r="I26" s="16"/>
      <c r="J26" s="16"/>
      <c r="K26" s="19" t="str">
        <f aca="false">IF(ISBLANK($A26),"",IF($I26="","",$I26/AySayisi))</f>
        <v/>
      </c>
      <c r="L26" s="22" t="str">
        <f aca="false">IF(ISBLANK($A26),"",IFERROR(EOMONTH($F26,$J26),""))</f>
        <v/>
      </c>
      <c r="M26" s="16"/>
      <c r="N26" s="15" t="str">
        <f aca="false">IF(ISBLANK($A26),"",IF(OR(ISBLANK($B26),ISBLANK($C26),ISBLANK($D26),ISBLANK($E26),ISBLANK($F26),ISBLANK($G26),ISBLANK($H26),ISBLANK($I26),ISBLANK($J26),ISBLANK($K26),ISBLANK($L26)),"EKSİK","OK"))</f>
        <v/>
      </c>
    </row>
    <row r="27" customFormat="false" ht="15" hidden="false" customHeight="true" outlineLevel="0" collapsed="false">
      <c r="A27" s="16"/>
      <c r="B27" s="16"/>
      <c r="C27" s="16"/>
      <c r="D27" s="16"/>
      <c r="E27" s="16"/>
      <c r="F27" s="16"/>
      <c r="G27" s="16"/>
      <c r="H27" s="16"/>
      <c r="I27" s="16"/>
      <c r="J27" s="16"/>
      <c r="K27" s="19" t="str">
        <f aca="false">IF(ISBLANK($A27),"",IF($I27="","",$I27/AySayisi))</f>
        <v/>
      </c>
      <c r="L27" s="22" t="str">
        <f aca="false">IF(ISBLANK($A27),"",IFERROR(EOMONTH($F27,$J27),""))</f>
        <v/>
      </c>
      <c r="M27" s="16"/>
      <c r="N27" s="15" t="str">
        <f aca="false">IF(ISBLANK($A27),"",IF(OR(ISBLANK($B27),ISBLANK($C27),ISBLANK($D27),ISBLANK($E27),ISBLANK($F27),ISBLANK($G27),ISBLANK($H27),ISBLANK($I27),ISBLANK($J27),ISBLANK($K27),ISBLANK($L27)),"EKSİK","OK"))</f>
        <v/>
      </c>
    </row>
    <row r="28" customFormat="false" ht="15" hidden="false" customHeight="true" outlineLevel="0" collapsed="false">
      <c r="A28" s="16"/>
      <c r="B28" s="16"/>
      <c r="C28" s="16"/>
      <c r="D28" s="16"/>
      <c r="E28" s="16"/>
      <c r="F28" s="16"/>
      <c r="G28" s="16"/>
      <c r="H28" s="16"/>
      <c r="I28" s="16"/>
      <c r="J28" s="16"/>
      <c r="K28" s="19" t="str">
        <f aca="false">IF(ISBLANK($A28),"",IF($I28="","",$I28/AySayisi))</f>
        <v/>
      </c>
      <c r="L28" s="22" t="str">
        <f aca="false">IF(ISBLANK($A28),"",IFERROR(EOMONTH($F28,$J28),""))</f>
        <v/>
      </c>
      <c r="M28" s="16"/>
      <c r="N28" s="15" t="str">
        <f aca="false">IF(ISBLANK($A28),"",IF(OR(ISBLANK($B28),ISBLANK($C28),ISBLANK($D28),ISBLANK($E28),ISBLANK($F28),ISBLANK($G28),ISBLANK($H28),ISBLANK($I28),ISBLANK($J28),ISBLANK($K28),ISBLANK($L28)),"EKSİK","OK"))</f>
        <v/>
      </c>
    </row>
    <row r="29" customFormat="false" ht="15" hidden="false" customHeight="true" outlineLevel="0" collapsed="false">
      <c r="A29" s="16"/>
      <c r="B29" s="16"/>
      <c r="C29" s="16"/>
      <c r="D29" s="16"/>
      <c r="E29" s="16"/>
      <c r="F29" s="16"/>
      <c r="G29" s="16"/>
      <c r="H29" s="16"/>
      <c r="I29" s="16"/>
      <c r="J29" s="16"/>
      <c r="K29" s="19" t="str">
        <f aca="false">IF(ISBLANK($A29),"",IF($I29="","",$I29/AySayisi))</f>
        <v/>
      </c>
      <c r="L29" s="22" t="str">
        <f aca="false">IF(ISBLANK($A29),"",IFERROR(EOMONTH($F29,$J29),""))</f>
        <v/>
      </c>
      <c r="M29" s="16"/>
      <c r="N29" s="15" t="str">
        <f aca="false">IF(ISBLANK($A29),"",IF(OR(ISBLANK($B29),ISBLANK($C29),ISBLANK($D29),ISBLANK($E29),ISBLANK($F29),ISBLANK($G29),ISBLANK($H29),ISBLANK($I29),ISBLANK($J29),ISBLANK($K29),ISBLANK($L29)),"EKSİK","OK"))</f>
        <v/>
      </c>
    </row>
    <row r="30" customFormat="false" ht="15" hidden="false" customHeight="true" outlineLevel="0" collapsed="false">
      <c r="A30" s="16"/>
      <c r="B30" s="16"/>
      <c r="C30" s="16"/>
      <c r="D30" s="16"/>
      <c r="E30" s="16"/>
      <c r="F30" s="16"/>
      <c r="G30" s="16"/>
      <c r="H30" s="16"/>
      <c r="I30" s="16"/>
      <c r="J30" s="16"/>
      <c r="K30" s="19" t="str">
        <f aca="false">IF(ISBLANK($A30),"",IF($I30="","",$I30/AySayisi))</f>
        <v/>
      </c>
      <c r="L30" s="22" t="str">
        <f aca="false">IF(ISBLANK($A30),"",IFERROR(EOMONTH($F30,$J30),""))</f>
        <v/>
      </c>
      <c r="M30" s="16"/>
      <c r="N30" s="15" t="str">
        <f aca="false">IF(ISBLANK($A30),"",IF(OR(ISBLANK($B30),ISBLANK($C30),ISBLANK($D30),ISBLANK($E30),ISBLANK($F30),ISBLANK($G30),ISBLANK($H30),ISBLANK($I30),ISBLANK($J30),ISBLANK($K30),ISBLANK($L30)),"EKSİK","OK"))</f>
        <v/>
      </c>
    </row>
    <row r="31" customFormat="false" ht="15" hidden="false" customHeight="true" outlineLevel="0" collapsed="false">
      <c r="A31" s="16"/>
      <c r="B31" s="16"/>
      <c r="C31" s="16"/>
      <c r="D31" s="16"/>
      <c r="E31" s="16"/>
      <c r="F31" s="16"/>
      <c r="G31" s="16"/>
      <c r="H31" s="16"/>
      <c r="I31" s="16"/>
      <c r="J31" s="16"/>
      <c r="K31" s="19" t="str">
        <f aca="false">IF(ISBLANK($A31),"",IF($I31="","",$I31/AySayisi))</f>
        <v/>
      </c>
      <c r="L31" s="22" t="str">
        <f aca="false">IF(ISBLANK($A31),"",IFERROR(EOMONTH($F31,$J31),""))</f>
        <v/>
      </c>
      <c r="M31" s="16"/>
      <c r="N31" s="15" t="str">
        <f aca="false">IF(ISBLANK($A31),"",IF(OR(ISBLANK($B31),ISBLANK($C31),ISBLANK($D31),ISBLANK($E31),ISBLANK($F31),ISBLANK($G31),ISBLANK($H31),ISBLANK($I31),ISBLANK($J31),ISBLANK($K31),ISBLANK($L31)),"EKSİK","OK"))</f>
        <v/>
      </c>
    </row>
    <row r="32" customFormat="false" ht="15" hidden="false" customHeight="true" outlineLevel="0" collapsed="false">
      <c r="A32" s="16"/>
      <c r="B32" s="16"/>
      <c r="C32" s="16"/>
      <c r="D32" s="16"/>
      <c r="E32" s="16"/>
      <c r="F32" s="16"/>
      <c r="G32" s="16"/>
      <c r="H32" s="16"/>
      <c r="I32" s="16"/>
      <c r="J32" s="16"/>
      <c r="K32" s="19" t="str">
        <f aca="false">IF(ISBLANK($A32),"",IF($I32="","",$I32/AySayisi))</f>
        <v/>
      </c>
      <c r="L32" s="22" t="str">
        <f aca="false">IF(ISBLANK($A32),"",IFERROR(EOMONTH($F32,$J32),""))</f>
        <v/>
      </c>
      <c r="M32" s="16"/>
      <c r="N32" s="15" t="str">
        <f aca="false">IF(ISBLANK($A32),"",IF(OR(ISBLANK($B32),ISBLANK($C32),ISBLANK($D32),ISBLANK($E32),ISBLANK($F32),ISBLANK($G32),ISBLANK($H32),ISBLANK($I32),ISBLANK($J32),ISBLANK($K32),ISBLANK($L32)),"EKSİK","OK"))</f>
        <v/>
      </c>
    </row>
    <row r="33" customFormat="false" ht="15" hidden="false" customHeight="true" outlineLevel="0" collapsed="false">
      <c r="A33" s="16"/>
      <c r="B33" s="16"/>
      <c r="C33" s="16"/>
      <c r="D33" s="16"/>
      <c r="E33" s="16"/>
      <c r="F33" s="16"/>
      <c r="G33" s="16"/>
      <c r="H33" s="16"/>
      <c r="I33" s="16"/>
      <c r="J33" s="16"/>
      <c r="K33" s="19" t="str">
        <f aca="false">IF(ISBLANK($A33),"",IF($I33="","",$I33/AySayisi))</f>
        <v/>
      </c>
      <c r="L33" s="22" t="str">
        <f aca="false">IF(ISBLANK($A33),"",IFERROR(EOMONTH($F33,$J33),""))</f>
        <v/>
      </c>
      <c r="M33" s="16"/>
      <c r="N33" s="15" t="str">
        <f aca="false">IF(ISBLANK($A33),"",IF(OR(ISBLANK($B33),ISBLANK($C33),ISBLANK($D33),ISBLANK($E33),ISBLANK($F33),ISBLANK($G33),ISBLANK($H33),ISBLANK($I33),ISBLANK($J33),ISBLANK($K33),ISBLANK($L33)),"EKSİK","OK"))</f>
        <v/>
      </c>
    </row>
    <row r="34" customFormat="false" ht="15" hidden="false" customHeight="true" outlineLevel="0" collapsed="false">
      <c r="A34" s="16"/>
      <c r="B34" s="16"/>
      <c r="C34" s="16"/>
      <c r="D34" s="16"/>
      <c r="E34" s="16"/>
      <c r="F34" s="16"/>
      <c r="G34" s="16"/>
      <c r="H34" s="16"/>
      <c r="I34" s="16"/>
      <c r="J34" s="16"/>
      <c r="K34" s="19" t="str">
        <f aca="false">IF(ISBLANK($A34),"",IF($I34="","",$I34/AySayisi))</f>
        <v/>
      </c>
      <c r="L34" s="22" t="str">
        <f aca="false">IF(ISBLANK($A34),"",IFERROR(EOMONTH($F34,$J34),""))</f>
        <v/>
      </c>
      <c r="M34" s="16"/>
      <c r="N34" s="15" t="str">
        <f aca="false">IF(ISBLANK($A34),"",IF(OR(ISBLANK($B34),ISBLANK($C34),ISBLANK($D34),ISBLANK($E34),ISBLANK($F34),ISBLANK($G34),ISBLANK($H34),ISBLANK($I34),ISBLANK($J34),ISBLANK($K34),ISBLANK($L34)),"EKSİK","OK"))</f>
        <v/>
      </c>
    </row>
    <row r="35" customFormat="false" ht="15" hidden="false" customHeight="true" outlineLevel="0" collapsed="false">
      <c r="A35" s="16"/>
      <c r="B35" s="16"/>
      <c r="C35" s="16"/>
      <c r="D35" s="16"/>
      <c r="E35" s="16"/>
      <c r="F35" s="16"/>
      <c r="G35" s="16"/>
      <c r="H35" s="16"/>
      <c r="I35" s="16"/>
      <c r="J35" s="16"/>
      <c r="K35" s="19" t="str">
        <f aca="false">IF(ISBLANK($A35),"",IF($I35="","",$I35/AySayisi))</f>
        <v/>
      </c>
      <c r="L35" s="22" t="str">
        <f aca="false">IF(ISBLANK($A35),"",IFERROR(EOMONTH($F35,$J35),""))</f>
        <v/>
      </c>
      <c r="M35" s="16"/>
      <c r="N35" s="15" t="str">
        <f aca="false">IF(ISBLANK($A35),"",IF(OR(ISBLANK($B35),ISBLANK($C35),ISBLANK($D35),ISBLANK($E35),ISBLANK($F35),ISBLANK($G35),ISBLANK($H35),ISBLANK($I35),ISBLANK($J35),ISBLANK($K35),ISBLANK($L35)),"EKSİK","OK"))</f>
        <v/>
      </c>
    </row>
  </sheetData>
  <sheetProtection sheet="true" password="cc3d" objects="true" scenarios="true" deleteColumns="false" deleteRows="false"/>
  <mergeCells count="1">
    <mergeCell ref="A1:AN1"/>
  </mergeCells>
  <conditionalFormatting sqref="H6:H1000">
    <cfRule type="cellIs" priority="2" operator="lessThanOrEqual" aboveAverage="0" equalAverage="0" bottom="0" percent="0" rank="0" text="" dxfId="12">
      <formula>0</formula>
    </cfRule>
  </conditionalFormatting>
  <conditionalFormatting sqref="E6:E1000">
    <cfRule type="cellIs" priority="3" operator="equal" aboveAverage="0" equalAverage="0" bottom="0" percent="0" rank="0" text="" dxfId="10">
      <formula>"USD"</formula>
    </cfRule>
    <cfRule type="cellIs" priority="4" operator="equal" aboveAverage="0" equalAverage="0" bottom="0" percent="0" rank="0" text="" dxfId="9">
      <formula>"EUR"</formula>
    </cfRule>
  </conditionalFormatting>
  <conditionalFormatting sqref="N6:N1000">
    <cfRule type="cellIs" priority="5" operator="equal" aboveAverage="0" equalAverage="0" bottom="0" percent="0" rank="0" text="" dxfId="9">
      <formula>"EKSİK"</formula>
    </cfRule>
    <cfRule type="cellIs" priority="6" operator="equal" aboveAverage="0" equalAverage="0" bottom="0" percent="0" rank="0" text="" dxfId="8">
      <formula>"OK"</formula>
    </cfRule>
  </conditionalFormatting>
  <dataValidations count="3">
    <dataValidation allowBlank="true" error="Lütfen listeden bir ürün türü seçin." errorStyle="stop" errorTitle="Geçersiz Ürün" operator="between" prompt="Listeden ürün türünü seçin." promptTitle="Ürün Türü" showDropDown="false" showErrorMessage="true" showInputMessage="true" sqref="D6:D1000" type="list">
      <formula1>ListeUrunTuru</formula1>
      <formula2>0</formula2>
    </dataValidation>
    <dataValidation allowBlank="true" error="Lütfen geçerli bir para birimi girin." errorStyle="stop" errorTitle="Geçersiz Birim" operator="between" prompt="TRY, USD veya EUR seçin." promptTitle="Para Birimi" showDropDown="false" showErrorMessage="true" showInputMessage="true" sqref="E6:E1000" type="list">
      <formula1>ListeParaBirimi</formula1>
      <formula2>0</formula2>
    </dataValidation>
    <dataValidation allowBlank="true" error="Vade 1 ile 240 arasında olmalıdır." errorStyle="stop" errorTitle="Geçersiz Vade" operator="between" prompt="Vade ay olarak 1 ile 240 arasında girin." promptTitle="Vade Ay" showDropDown="false" showErrorMessage="true" showInputMessage="true" sqref="J6:J1000" type="whole">
      <formula1>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1" width="11"/>
    <col collapsed="false" customWidth="true" hidden="false" outlineLevel="0" max="3" min="3" style="1" width="9"/>
    <col collapsed="false" customWidth="true" hidden="false" outlineLevel="0" max="6" min="4" style="1" width="13"/>
    <col collapsed="false" customWidth="true" hidden="false" outlineLevel="0" max="7" min="7" style="1" width="11"/>
    <col collapsed="false" customWidth="true" hidden="false" outlineLevel="0" max="8" min="8" style="1" width="12"/>
    <col collapsed="false" customWidth="true" hidden="false" outlineLevel="0" max="9" min="9" style="1" width="14"/>
    <col collapsed="false" customWidth="true" hidden="false" outlineLevel="0" max="10" min="10" style="1" width="15"/>
    <col collapsed="false" customWidth="true" hidden="false" outlineLevel="0" max="11" min="11" style="1" width="12"/>
    <col collapsed="false" customWidth="true" hidden="false" outlineLevel="0" max="12" min="12" style="1" width="10"/>
  </cols>
  <sheetData>
    <row r="1" customFormat="false" ht="25.5" hidden="false" customHeight="true" outlineLevel="0" collapsed="false">
      <c r="A1" s="2" t="s">
        <v>98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</row>
    <row r="3" customFormat="false" ht="120.75" hidden="false" customHeight="true" outlineLevel="0" collapsed="false">
      <c r="A3" s="11" t="s">
        <v>99</v>
      </c>
    </row>
    <row r="5" customFormat="false" ht="30" hidden="false" customHeight="true" outlineLevel="0" collapsed="false">
      <c r="A5" s="12" t="s">
        <v>100</v>
      </c>
      <c r="B5" s="12" t="s">
        <v>81</v>
      </c>
      <c r="C5" s="12" t="s">
        <v>101</v>
      </c>
      <c r="D5" s="12" t="s">
        <v>102</v>
      </c>
      <c r="E5" s="12" t="s">
        <v>83</v>
      </c>
      <c r="F5" s="12" t="s">
        <v>103</v>
      </c>
      <c r="G5" s="12" t="s">
        <v>104</v>
      </c>
      <c r="H5" s="12" t="s">
        <v>105</v>
      </c>
      <c r="I5" s="12" t="s">
        <v>106</v>
      </c>
      <c r="J5" s="12" t="s">
        <v>107</v>
      </c>
      <c r="K5" s="12" t="s">
        <v>108</v>
      </c>
      <c r="L5" s="12" t="s">
        <v>33</v>
      </c>
    </row>
    <row r="6" customFormat="false" ht="15" hidden="false" customHeight="true" outlineLevel="0" collapsed="false">
      <c r="A6" s="13" t="s">
        <v>109</v>
      </c>
      <c r="B6" s="13" t="s">
        <v>90</v>
      </c>
      <c r="C6" s="14" t="n">
        <v>1</v>
      </c>
      <c r="D6" s="20" t="n">
        <v>46244</v>
      </c>
      <c r="E6" s="17" t="n">
        <v>326000</v>
      </c>
      <c r="F6" s="17" t="n">
        <v>280000</v>
      </c>
      <c r="G6" s="17" t="n">
        <v>14000</v>
      </c>
      <c r="H6" s="17" t="n">
        <v>0</v>
      </c>
      <c r="I6" s="18" t="n">
        <f aca="false">IF(ISBLANK($A6),"",IF(COUNTA($E6:$H6)=4,$E6+$F6+$G6+$H6,""))</f>
        <v>620000</v>
      </c>
      <c r="J6" s="13" t="s">
        <v>110</v>
      </c>
      <c r="K6" s="23" t="n">
        <f aca="false">IF(ISBLANK($D6),"",$D6-RaporTarihi)</f>
        <v>2</v>
      </c>
      <c r="L6" s="15" t="str">
        <f aca="false">IF(ISBLANK($A6),"",IF(OR(ISBLANK($B6),ISBLANK($C6),ISBLANK($D6),ISBLANK($E6),ISBLANK($F6),ISBLANK($G6),ISBLANK($H6),ISBLANK($I6),ISBLANK($J6)),"EKSİK","OK"))</f>
        <v>OK</v>
      </c>
    </row>
    <row r="7" customFormat="false" ht="15" hidden="false" customHeight="true" outlineLevel="0" collapsed="false">
      <c r="A7" s="13" t="s">
        <v>111</v>
      </c>
      <c r="B7" s="13" t="s">
        <v>90</v>
      </c>
      <c r="C7" s="14" t="n">
        <v>2</v>
      </c>
      <c r="D7" s="20" t="n">
        <v>46275</v>
      </c>
      <c r="E7" s="17" t="n">
        <v>337000</v>
      </c>
      <c r="F7" s="17" t="n">
        <v>269000</v>
      </c>
      <c r="G7" s="17" t="n">
        <v>14000</v>
      </c>
      <c r="H7" s="17" t="n">
        <v>0</v>
      </c>
      <c r="I7" s="18" t="n">
        <f aca="false">IF(ISBLANK($A7),"",IF(COUNTA($E7:$H7)=4,$E7+$F7+$G7+$H7,""))</f>
        <v>620000</v>
      </c>
      <c r="J7" s="13" t="s">
        <v>110</v>
      </c>
      <c r="K7" s="23" t="n">
        <f aca="false">IF(ISBLANK($D7),"",$D7-RaporTarihi)</f>
        <v>33</v>
      </c>
      <c r="L7" s="15" t="str">
        <f aca="false">IF(ISBLANK($A7),"",IF(OR(ISBLANK($B7),ISBLANK($C7),ISBLANK($D7),ISBLANK($E7),ISBLANK($F7),ISBLANK($G7),ISBLANK($H7),ISBLANK($I7),ISBLANK($J7)),"EKSİK","OK"))</f>
        <v>OK</v>
      </c>
    </row>
    <row r="8" customFormat="false" ht="15" hidden="false" customHeight="true" outlineLevel="0" collapsed="false">
      <c r="A8" s="13" t="s">
        <v>112</v>
      </c>
      <c r="B8" s="13" t="s">
        <v>92</v>
      </c>
      <c r="C8" s="14" t="n">
        <v>1</v>
      </c>
      <c r="D8" s="20" t="n">
        <v>46249</v>
      </c>
      <c r="E8" s="17" t="n">
        <v>117000</v>
      </c>
      <c r="F8" s="17" t="n">
        <v>183000</v>
      </c>
      <c r="G8" s="17" t="n">
        <v>10000</v>
      </c>
      <c r="H8" s="17" t="n">
        <v>0</v>
      </c>
      <c r="I8" s="18" t="n">
        <f aca="false">IF(ISBLANK($A8),"",IF(COUNTA($E8:$H8)=4,$E8+$F8+$G8+$H8,""))</f>
        <v>310000</v>
      </c>
      <c r="J8" s="13" t="s">
        <v>110</v>
      </c>
      <c r="K8" s="23" t="n">
        <f aca="false">IF(ISBLANK($D8),"",$D8-RaporTarihi)</f>
        <v>7</v>
      </c>
      <c r="L8" s="15" t="str">
        <f aca="false">IF(ISBLANK($A8),"",IF(OR(ISBLANK($B8),ISBLANK($C8),ISBLANK($D8),ISBLANK($E8),ISBLANK($F8),ISBLANK($G8),ISBLANK($H8),ISBLANK($I8),ISBLANK($J8)),"EKSİK","OK"))</f>
        <v>OK</v>
      </c>
    </row>
    <row r="9" customFormat="false" ht="15" hidden="false" customHeight="true" outlineLevel="0" collapsed="false">
      <c r="A9" s="13" t="s">
        <v>113</v>
      </c>
      <c r="B9" s="13" t="s">
        <v>92</v>
      </c>
      <c r="C9" s="14" t="n">
        <v>2</v>
      </c>
      <c r="D9" s="20" t="n">
        <v>46280</v>
      </c>
      <c r="E9" s="17" t="n">
        <v>121000</v>
      </c>
      <c r="F9" s="17" t="n">
        <v>179000</v>
      </c>
      <c r="G9" s="17" t="n">
        <v>10000</v>
      </c>
      <c r="H9" s="17" t="n">
        <v>0</v>
      </c>
      <c r="I9" s="18" t="n">
        <f aca="false">IF(ISBLANK($A9),"",IF(COUNTA($E9:$H9)=4,$E9+$F9+$G9+$H9,""))</f>
        <v>310000</v>
      </c>
      <c r="J9" s="13" t="s">
        <v>110</v>
      </c>
      <c r="K9" s="23" t="n">
        <f aca="false">IF(ISBLANK($D9),"",$D9-RaporTarihi)</f>
        <v>38</v>
      </c>
      <c r="L9" s="15" t="str">
        <f aca="false">IF(ISBLANK($A9),"",IF(OR(ISBLANK($B9),ISBLANK($C9),ISBLANK($D9),ISBLANK($E9),ISBLANK($F9),ISBLANK($G9),ISBLANK($H9),ISBLANK($I9),ISBLANK($J9)),"EKSİK","OK"))</f>
        <v>OK</v>
      </c>
    </row>
    <row r="10" customFormat="false" ht="15" hidden="false" customHeight="true" outlineLevel="0" collapsed="false">
      <c r="A10" s="13" t="s">
        <v>114</v>
      </c>
      <c r="B10" s="13" t="s">
        <v>94</v>
      </c>
      <c r="C10" s="14" t="n">
        <v>1</v>
      </c>
      <c r="D10" s="20" t="n">
        <v>46254</v>
      </c>
      <c r="E10" s="17" t="n">
        <v>0</v>
      </c>
      <c r="F10" s="17" t="n">
        <v>4275</v>
      </c>
      <c r="G10" s="17" t="n">
        <v>214</v>
      </c>
      <c r="H10" s="17" t="n">
        <v>375</v>
      </c>
      <c r="I10" s="18" t="n">
        <f aca="false">IF(ISBLANK($A10),"",IF(COUNTA($E10:$H10)=4,$E10+$F10+$G10+$H10,""))</f>
        <v>4864</v>
      </c>
      <c r="J10" s="13" t="s">
        <v>110</v>
      </c>
      <c r="K10" s="23" t="n">
        <f aca="false">IF(ISBLANK($D10),"",$D10-RaporTarihi)</f>
        <v>12</v>
      </c>
      <c r="L10" s="15" t="str">
        <f aca="false">IF(ISBLANK($A10),"",IF(OR(ISBLANK($B10),ISBLANK($C10),ISBLANK($D10),ISBLANK($E10),ISBLANK($F10),ISBLANK($G10),ISBLANK($H10),ISBLANK($I10),ISBLANK($J10)),"EKSİK","OK"))</f>
        <v>OK</v>
      </c>
    </row>
    <row r="11" customFormat="false" ht="15" hidden="false" customHeight="true" outlineLevel="0" collapsed="false">
      <c r="A11" s="13" t="s">
        <v>115</v>
      </c>
      <c r="B11" s="13" t="s">
        <v>96</v>
      </c>
      <c r="C11" s="14" t="n">
        <v>1</v>
      </c>
      <c r="D11" s="20" t="n">
        <v>46387</v>
      </c>
      <c r="E11" s="17" t="n">
        <v>2200000</v>
      </c>
      <c r="F11" s="17" t="n">
        <v>1034000</v>
      </c>
      <c r="G11" s="17" t="n">
        <v>51700</v>
      </c>
      <c r="H11" s="17" t="n">
        <v>0</v>
      </c>
      <c r="I11" s="18" t="n">
        <f aca="false">IF(ISBLANK($A11),"",IF(COUNTA($E11:$H11)=4,$E11+$F11+$G11+$H11,""))</f>
        <v>3285700</v>
      </c>
      <c r="J11" s="13" t="s">
        <v>110</v>
      </c>
      <c r="K11" s="23" t="n">
        <f aca="false">IF(ISBLANK($D11),"",$D11-RaporTarihi)</f>
        <v>145</v>
      </c>
      <c r="L11" s="15" t="str">
        <f aca="false">IF(ISBLANK($A11),"",IF(OR(ISBLANK($B11),ISBLANK($C11),ISBLANK($D11),ISBLANK($E11),ISBLANK($F11),ISBLANK($G11),ISBLANK($H11),ISBLANK($I11),ISBLANK($J11)),"EKSİK","OK"))</f>
        <v>OK</v>
      </c>
    </row>
    <row r="12" customFormat="false" ht="15" hidden="false" customHeight="true" outlineLevel="0" collapsed="false">
      <c r="A12" s="16"/>
      <c r="B12" s="16"/>
      <c r="C12" s="16"/>
      <c r="D12" s="16"/>
      <c r="E12" s="16"/>
      <c r="F12" s="16"/>
      <c r="G12" s="16"/>
      <c r="H12" s="16"/>
      <c r="I12" s="18" t="str">
        <f aca="false">IF(ISBLANK($A12),"",IF(COUNTA($E12:$H12)=4,$E12+$F12+$G12+$H12,""))</f>
        <v/>
      </c>
      <c r="J12" s="16"/>
      <c r="K12" s="23" t="str">
        <f aca="false">IF(ISBLANK($D12),"",$D12-RaporTarihi)</f>
        <v/>
      </c>
      <c r="L12" s="15" t="str">
        <f aca="false">IF(ISBLANK($A12),"",IF(OR(ISBLANK($B12),ISBLANK($C12),ISBLANK($D12),ISBLANK($E12),ISBLANK($F12),ISBLANK($G12),ISBLANK($H12),ISBLANK($I12),ISBLANK($J12)),"EKSİK","OK"))</f>
        <v/>
      </c>
    </row>
    <row r="13" customFormat="false" ht="15" hidden="false" customHeight="true" outlineLevel="0" collapsed="false">
      <c r="A13" s="16"/>
      <c r="B13" s="16"/>
      <c r="C13" s="16"/>
      <c r="D13" s="16"/>
      <c r="E13" s="16"/>
      <c r="F13" s="16"/>
      <c r="G13" s="16"/>
      <c r="H13" s="16"/>
      <c r="I13" s="18" t="str">
        <f aca="false">IF(ISBLANK($A13),"",IF(COUNTA($E13:$H13)=4,$E13+$F13+$G13+$H13,""))</f>
        <v/>
      </c>
      <c r="J13" s="16"/>
      <c r="K13" s="23" t="str">
        <f aca="false">IF(ISBLANK($D13),"",$D13-RaporTarihi)</f>
        <v/>
      </c>
      <c r="L13" s="15" t="str">
        <f aca="false">IF(ISBLANK($A13),"",IF(OR(ISBLANK($B13),ISBLANK($C13),ISBLANK($D13),ISBLANK($E13),ISBLANK($F13),ISBLANK($G13),ISBLANK($H13),ISBLANK($I13),ISBLANK($J13)),"EKSİK","OK"))</f>
        <v/>
      </c>
    </row>
    <row r="14" customFormat="false" ht="15" hidden="false" customHeight="true" outlineLevel="0" collapsed="false">
      <c r="A14" s="16"/>
      <c r="B14" s="16"/>
      <c r="C14" s="16"/>
      <c r="D14" s="16"/>
      <c r="E14" s="16"/>
      <c r="F14" s="16"/>
      <c r="G14" s="16"/>
      <c r="H14" s="16"/>
      <c r="I14" s="18" t="str">
        <f aca="false">IF(ISBLANK($A14),"",IF(COUNTA($E14:$H14)=4,$E14+$F14+$G14+$H14,""))</f>
        <v/>
      </c>
      <c r="J14" s="16"/>
      <c r="K14" s="23" t="str">
        <f aca="false">IF(ISBLANK($D14),"",$D14-RaporTarihi)</f>
        <v/>
      </c>
      <c r="L14" s="15" t="str">
        <f aca="false">IF(ISBLANK($A14),"",IF(OR(ISBLANK($B14),ISBLANK($C14),ISBLANK($D14),ISBLANK($E14),ISBLANK($F14),ISBLANK($G14),ISBLANK($H14),ISBLANK($I14),ISBLANK($J14)),"EKSİK","OK"))</f>
        <v/>
      </c>
    </row>
    <row r="15" customFormat="false" ht="15" hidden="false" customHeight="true" outlineLevel="0" collapsed="false">
      <c r="A15" s="16"/>
      <c r="B15" s="16"/>
      <c r="C15" s="16"/>
      <c r="D15" s="16"/>
      <c r="E15" s="16"/>
      <c r="F15" s="16"/>
      <c r="G15" s="16"/>
      <c r="H15" s="16"/>
      <c r="I15" s="18" t="str">
        <f aca="false">IF(ISBLANK($A15),"",IF(COUNTA($E15:$H15)=4,$E15+$F15+$G15+$H15,""))</f>
        <v/>
      </c>
      <c r="J15" s="16"/>
      <c r="K15" s="23" t="str">
        <f aca="false">IF(ISBLANK($D15),"",$D15-RaporTarihi)</f>
        <v/>
      </c>
      <c r="L15" s="15" t="str">
        <f aca="false">IF(ISBLANK($A15),"",IF(OR(ISBLANK($B15),ISBLANK($C15),ISBLANK($D15),ISBLANK($E15),ISBLANK($F15),ISBLANK($G15),ISBLANK($H15),ISBLANK($I15),ISBLANK($J15)),"EKSİK","OK"))</f>
        <v/>
      </c>
    </row>
    <row r="16" customFormat="false" ht="15" hidden="false" customHeight="true" outlineLevel="0" collapsed="false">
      <c r="A16" s="16"/>
      <c r="B16" s="16"/>
      <c r="C16" s="16"/>
      <c r="D16" s="16"/>
      <c r="E16" s="16"/>
      <c r="F16" s="16"/>
      <c r="G16" s="16"/>
      <c r="H16" s="16"/>
      <c r="I16" s="18" t="str">
        <f aca="false">IF(ISBLANK($A16),"",IF(COUNTA($E16:$H16)=4,$E16+$F16+$G16+$H16,""))</f>
        <v/>
      </c>
      <c r="J16" s="16"/>
      <c r="K16" s="23" t="str">
        <f aca="false">IF(ISBLANK($D16),"",$D16-RaporTarihi)</f>
        <v/>
      </c>
      <c r="L16" s="15" t="str">
        <f aca="false">IF(ISBLANK($A16),"",IF(OR(ISBLANK($B16),ISBLANK($C16),ISBLANK($D16),ISBLANK($E16),ISBLANK($F16),ISBLANK($G16),ISBLANK($H16),ISBLANK($I16),ISBLANK($J16)),"EKSİK","OK"))</f>
        <v/>
      </c>
    </row>
    <row r="17" customFormat="false" ht="15" hidden="false" customHeight="true" outlineLevel="0" collapsed="false">
      <c r="A17" s="16"/>
      <c r="B17" s="16"/>
      <c r="C17" s="16"/>
      <c r="D17" s="16"/>
      <c r="E17" s="16"/>
      <c r="F17" s="16"/>
      <c r="G17" s="16"/>
      <c r="H17" s="16"/>
      <c r="I17" s="18" t="str">
        <f aca="false">IF(ISBLANK($A17),"",IF(COUNTA($E17:$H17)=4,$E17+$F17+$G17+$H17,""))</f>
        <v/>
      </c>
      <c r="J17" s="16"/>
      <c r="K17" s="23" t="str">
        <f aca="false">IF(ISBLANK($D17),"",$D17-RaporTarihi)</f>
        <v/>
      </c>
      <c r="L17" s="15" t="str">
        <f aca="false">IF(ISBLANK($A17),"",IF(OR(ISBLANK($B17),ISBLANK($C17),ISBLANK($D17),ISBLANK($E17),ISBLANK($F17),ISBLANK($G17),ISBLANK($H17),ISBLANK($I17),ISBLANK($J17)),"EKSİK","OK"))</f>
        <v/>
      </c>
    </row>
    <row r="18" customFormat="false" ht="15" hidden="false" customHeight="true" outlineLevel="0" collapsed="false">
      <c r="A18" s="16"/>
      <c r="B18" s="16"/>
      <c r="C18" s="16"/>
      <c r="D18" s="16"/>
      <c r="E18" s="16"/>
      <c r="F18" s="16"/>
      <c r="G18" s="16"/>
      <c r="H18" s="16"/>
      <c r="I18" s="18" t="str">
        <f aca="false">IF(ISBLANK($A18),"",IF(COUNTA($E18:$H18)=4,$E18+$F18+$G18+$H18,""))</f>
        <v/>
      </c>
      <c r="J18" s="16"/>
      <c r="K18" s="23" t="str">
        <f aca="false">IF(ISBLANK($D18),"",$D18-RaporTarihi)</f>
        <v/>
      </c>
      <c r="L18" s="15" t="str">
        <f aca="false">IF(ISBLANK($A18),"",IF(OR(ISBLANK($B18),ISBLANK($C18),ISBLANK($D18),ISBLANK($E18),ISBLANK($F18),ISBLANK($G18),ISBLANK($H18),ISBLANK($I18),ISBLANK($J18)),"EKSİK","OK"))</f>
        <v/>
      </c>
    </row>
    <row r="19" customFormat="false" ht="15" hidden="false" customHeight="true" outlineLevel="0" collapsed="false">
      <c r="A19" s="16"/>
      <c r="B19" s="16"/>
      <c r="C19" s="16"/>
      <c r="D19" s="16"/>
      <c r="E19" s="16"/>
      <c r="F19" s="16"/>
      <c r="G19" s="16"/>
      <c r="H19" s="16"/>
      <c r="I19" s="18" t="str">
        <f aca="false">IF(ISBLANK($A19),"",IF(COUNTA($E19:$H19)=4,$E19+$F19+$G19+$H19,""))</f>
        <v/>
      </c>
      <c r="J19" s="16"/>
      <c r="K19" s="23" t="str">
        <f aca="false">IF(ISBLANK($D19),"",$D19-RaporTarihi)</f>
        <v/>
      </c>
      <c r="L19" s="15" t="str">
        <f aca="false">IF(ISBLANK($A19),"",IF(OR(ISBLANK($B19),ISBLANK($C19),ISBLANK($D19),ISBLANK($E19),ISBLANK($F19),ISBLANK($G19),ISBLANK($H19),ISBLANK($I19),ISBLANK($J19)),"EKSİK","OK"))</f>
        <v/>
      </c>
    </row>
    <row r="20" customFormat="false" ht="15" hidden="false" customHeight="true" outlineLevel="0" collapsed="false">
      <c r="A20" s="16"/>
      <c r="B20" s="16"/>
      <c r="C20" s="16"/>
      <c r="D20" s="16"/>
      <c r="E20" s="16"/>
      <c r="F20" s="16"/>
      <c r="G20" s="16"/>
      <c r="H20" s="16"/>
      <c r="I20" s="18" t="str">
        <f aca="false">IF(ISBLANK($A20),"",IF(COUNTA($E20:$H20)=4,$E20+$F20+$G20+$H20,""))</f>
        <v/>
      </c>
      <c r="J20" s="16"/>
      <c r="K20" s="23" t="str">
        <f aca="false">IF(ISBLANK($D20),"",$D20-RaporTarihi)</f>
        <v/>
      </c>
      <c r="L20" s="15" t="str">
        <f aca="false">IF(ISBLANK($A20),"",IF(OR(ISBLANK($B20),ISBLANK($C20),ISBLANK($D20),ISBLANK($E20),ISBLANK($F20),ISBLANK($G20),ISBLANK($H20),ISBLANK($I20),ISBLANK($J20)),"EKSİK","OK"))</f>
        <v/>
      </c>
    </row>
    <row r="21" customFormat="false" ht="15" hidden="false" customHeight="true" outlineLevel="0" collapsed="false">
      <c r="A21" s="16"/>
      <c r="B21" s="16"/>
      <c r="C21" s="16"/>
      <c r="D21" s="16"/>
      <c r="E21" s="16"/>
      <c r="F21" s="16"/>
      <c r="G21" s="16"/>
      <c r="H21" s="16"/>
      <c r="I21" s="18" t="str">
        <f aca="false">IF(ISBLANK($A21),"",IF(COUNTA($E21:$H21)=4,$E21+$F21+$G21+$H21,""))</f>
        <v/>
      </c>
      <c r="J21" s="16"/>
      <c r="K21" s="23" t="str">
        <f aca="false">IF(ISBLANK($D21),"",$D21-RaporTarihi)</f>
        <v/>
      </c>
      <c r="L21" s="15" t="str">
        <f aca="false">IF(ISBLANK($A21),"",IF(OR(ISBLANK($B21),ISBLANK($C21),ISBLANK($D21),ISBLANK($E21),ISBLANK($F21),ISBLANK($G21),ISBLANK($H21),ISBLANK($I21),ISBLANK($J21)),"EKSİK","OK"))</f>
        <v/>
      </c>
    </row>
    <row r="22" customFormat="false" ht="15" hidden="false" customHeight="true" outlineLevel="0" collapsed="false">
      <c r="A22" s="16"/>
      <c r="B22" s="16"/>
      <c r="C22" s="16"/>
      <c r="D22" s="16"/>
      <c r="E22" s="16"/>
      <c r="F22" s="16"/>
      <c r="G22" s="16"/>
      <c r="H22" s="16"/>
      <c r="I22" s="18" t="str">
        <f aca="false">IF(ISBLANK($A22),"",IF(COUNTA($E22:$H22)=4,$E22+$F22+$G22+$H22,""))</f>
        <v/>
      </c>
      <c r="J22" s="16"/>
      <c r="K22" s="23" t="str">
        <f aca="false">IF(ISBLANK($D22),"",$D22-RaporTarihi)</f>
        <v/>
      </c>
      <c r="L22" s="15" t="str">
        <f aca="false">IF(ISBLANK($A22),"",IF(OR(ISBLANK($B22),ISBLANK($C22),ISBLANK($D22),ISBLANK($E22),ISBLANK($F22),ISBLANK($G22),ISBLANK($H22),ISBLANK($I22),ISBLANK($J22)),"EKSİK","OK"))</f>
        <v/>
      </c>
    </row>
    <row r="23" customFormat="false" ht="15" hidden="false" customHeight="true" outlineLevel="0" collapsed="false">
      <c r="A23" s="16"/>
      <c r="B23" s="16"/>
      <c r="C23" s="16"/>
      <c r="D23" s="16"/>
      <c r="E23" s="16"/>
      <c r="F23" s="16"/>
      <c r="G23" s="16"/>
      <c r="H23" s="16"/>
      <c r="I23" s="18" t="str">
        <f aca="false">IF(ISBLANK($A23),"",IF(COUNTA($E23:$H23)=4,$E23+$F23+$G23+$H23,""))</f>
        <v/>
      </c>
      <c r="J23" s="16"/>
      <c r="K23" s="23" t="str">
        <f aca="false">IF(ISBLANK($D23),"",$D23-RaporTarihi)</f>
        <v/>
      </c>
      <c r="L23" s="15" t="str">
        <f aca="false">IF(ISBLANK($A23),"",IF(OR(ISBLANK($B23),ISBLANK($C23),ISBLANK($D23),ISBLANK($E23),ISBLANK($F23),ISBLANK($G23),ISBLANK($H23),ISBLANK($I23),ISBLANK($J23)),"EKSİK","OK"))</f>
        <v/>
      </c>
    </row>
    <row r="24" customFormat="false" ht="15" hidden="false" customHeight="true" outlineLevel="0" collapsed="false">
      <c r="A24" s="16"/>
      <c r="B24" s="16"/>
      <c r="C24" s="16"/>
      <c r="D24" s="16"/>
      <c r="E24" s="16"/>
      <c r="F24" s="16"/>
      <c r="G24" s="16"/>
      <c r="H24" s="16"/>
      <c r="I24" s="18" t="str">
        <f aca="false">IF(ISBLANK($A24),"",IF(COUNTA($E24:$H24)=4,$E24+$F24+$G24+$H24,""))</f>
        <v/>
      </c>
      <c r="J24" s="16"/>
      <c r="K24" s="23" t="str">
        <f aca="false">IF(ISBLANK($D24),"",$D24-RaporTarihi)</f>
        <v/>
      </c>
      <c r="L24" s="15" t="str">
        <f aca="false">IF(ISBLANK($A24),"",IF(OR(ISBLANK($B24),ISBLANK($C24),ISBLANK($D24),ISBLANK($E24),ISBLANK($F24),ISBLANK($G24),ISBLANK($H24),ISBLANK($I24),ISBLANK($J24)),"EKSİK","OK"))</f>
        <v/>
      </c>
    </row>
    <row r="25" customFormat="false" ht="15" hidden="false" customHeight="true" outlineLevel="0" collapsed="false">
      <c r="A25" s="16"/>
      <c r="B25" s="16"/>
      <c r="C25" s="16"/>
      <c r="D25" s="16"/>
      <c r="E25" s="16"/>
      <c r="F25" s="16"/>
      <c r="G25" s="16"/>
      <c r="H25" s="16"/>
      <c r="I25" s="18" t="str">
        <f aca="false">IF(ISBLANK($A25),"",IF(COUNTA($E25:$H25)=4,$E25+$F25+$G25+$H25,""))</f>
        <v/>
      </c>
      <c r="J25" s="16"/>
      <c r="K25" s="23" t="str">
        <f aca="false">IF(ISBLANK($D25),"",$D25-RaporTarihi)</f>
        <v/>
      </c>
      <c r="L25" s="15" t="str">
        <f aca="false">IF(ISBLANK($A25),"",IF(OR(ISBLANK($B25),ISBLANK($C25),ISBLANK($D25),ISBLANK($E25),ISBLANK($F25),ISBLANK($G25),ISBLANK($H25),ISBLANK($I25),ISBLANK($J25)),"EKSİK","OK"))</f>
        <v/>
      </c>
    </row>
    <row r="26" customFormat="false" ht="15" hidden="false" customHeight="true" outlineLevel="0" collapsed="false">
      <c r="A26" s="16"/>
      <c r="B26" s="16"/>
      <c r="C26" s="16"/>
      <c r="D26" s="16"/>
      <c r="E26" s="16"/>
      <c r="F26" s="16"/>
      <c r="G26" s="16"/>
      <c r="H26" s="16"/>
      <c r="I26" s="18" t="str">
        <f aca="false">IF(ISBLANK($A26),"",IF(COUNTA($E26:$H26)=4,$E26+$F26+$G26+$H26,""))</f>
        <v/>
      </c>
      <c r="J26" s="16"/>
      <c r="K26" s="23" t="str">
        <f aca="false">IF(ISBLANK($D26),"",$D26-RaporTarihi)</f>
        <v/>
      </c>
      <c r="L26" s="15" t="str">
        <f aca="false">IF(ISBLANK($A26),"",IF(OR(ISBLANK($B26),ISBLANK($C26),ISBLANK($D26),ISBLANK($E26),ISBLANK($F26),ISBLANK($G26),ISBLANK($H26),ISBLANK($I26),ISBLANK($J26)),"EKSİK","OK"))</f>
        <v/>
      </c>
    </row>
    <row r="27" customFormat="false" ht="15" hidden="false" customHeight="true" outlineLevel="0" collapsed="false">
      <c r="A27" s="16"/>
      <c r="B27" s="16"/>
      <c r="C27" s="16"/>
      <c r="D27" s="16"/>
      <c r="E27" s="16"/>
      <c r="F27" s="16"/>
      <c r="G27" s="16"/>
      <c r="H27" s="16"/>
      <c r="I27" s="18" t="str">
        <f aca="false">IF(ISBLANK($A27),"",IF(COUNTA($E27:$H27)=4,$E27+$F27+$G27+$H27,""))</f>
        <v/>
      </c>
      <c r="J27" s="16"/>
      <c r="K27" s="23" t="str">
        <f aca="false">IF(ISBLANK($D27),"",$D27-RaporTarihi)</f>
        <v/>
      </c>
      <c r="L27" s="15" t="str">
        <f aca="false">IF(ISBLANK($A27),"",IF(OR(ISBLANK($B27),ISBLANK($C27),ISBLANK($D27),ISBLANK($E27),ISBLANK($F27),ISBLANK($G27),ISBLANK($H27),ISBLANK($I27),ISBLANK($J27)),"EKSİK","OK"))</f>
        <v/>
      </c>
    </row>
    <row r="28" customFormat="false" ht="15" hidden="false" customHeight="true" outlineLevel="0" collapsed="false">
      <c r="A28" s="16"/>
      <c r="B28" s="16"/>
      <c r="C28" s="16"/>
      <c r="D28" s="16"/>
      <c r="E28" s="16"/>
      <c r="F28" s="16"/>
      <c r="G28" s="16"/>
      <c r="H28" s="16"/>
      <c r="I28" s="18" t="str">
        <f aca="false">IF(ISBLANK($A28),"",IF(COUNTA($E28:$H28)=4,$E28+$F28+$G28+$H28,""))</f>
        <v/>
      </c>
      <c r="J28" s="16"/>
      <c r="K28" s="23" t="str">
        <f aca="false">IF(ISBLANK($D28),"",$D28-RaporTarihi)</f>
        <v/>
      </c>
      <c r="L28" s="15" t="str">
        <f aca="false">IF(ISBLANK($A28),"",IF(OR(ISBLANK($B28),ISBLANK($C28),ISBLANK($D28),ISBLANK($E28),ISBLANK($F28),ISBLANK($G28),ISBLANK($H28),ISBLANK($I28),ISBLANK($J28)),"EKSİK","OK"))</f>
        <v/>
      </c>
    </row>
    <row r="29" customFormat="false" ht="15" hidden="false" customHeight="true" outlineLevel="0" collapsed="false">
      <c r="A29" s="16"/>
      <c r="B29" s="16"/>
      <c r="C29" s="16"/>
      <c r="D29" s="16"/>
      <c r="E29" s="16"/>
      <c r="F29" s="16"/>
      <c r="G29" s="16"/>
      <c r="H29" s="16"/>
      <c r="I29" s="18" t="str">
        <f aca="false">IF(ISBLANK($A29),"",IF(COUNTA($E29:$H29)=4,$E29+$F29+$G29+$H29,""))</f>
        <v/>
      </c>
      <c r="J29" s="16"/>
      <c r="K29" s="23" t="str">
        <f aca="false">IF(ISBLANK($D29),"",$D29-RaporTarihi)</f>
        <v/>
      </c>
      <c r="L29" s="15" t="str">
        <f aca="false">IF(ISBLANK($A29),"",IF(OR(ISBLANK($B29),ISBLANK($C29),ISBLANK($D29),ISBLANK($E29),ISBLANK($F29),ISBLANK($G29),ISBLANK($H29),ISBLANK($I29),ISBLANK($J29)),"EKSİK","OK"))</f>
        <v/>
      </c>
    </row>
    <row r="30" customFormat="false" ht="15" hidden="false" customHeight="true" outlineLevel="0" collapsed="false">
      <c r="A30" s="16"/>
      <c r="B30" s="16"/>
      <c r="C30" s="16"/>
      <c r="D30" s="16"/>
      <c r="E30" s="16"/>
      <c r="F30" s="16"/>
      <c r="G30" s="16"/>
      <c r="H30" s="16"/>
      <c r="I30" s="18" t="str">
        <f aca="false">IF(ISBLANK($A30),"",IF(COUNTA($E30:$H30)=4,$E30+$F30+$G30+$H30,""))</f>
        <v/>
      </c>
      <c r="J30" s="16"/>
      <c r="K30" s="23" t="str">
        <f aca="false">IF(ISBLANK($D30),"",$D30-RaporTarihi)</f>
        <v/>
      </c>
      <c r="L30" s="15" t="str">
        <f aca="false">IF(ISBLANK($A30),"",IF(OR(ISBLANK($B30),ISBLANK($C30),ISBLANK($D30),ISBLANK($E30),ISBLANK($F30),ISBLANK($G30),ISBLANK($H30),ISBLANK($I30),ISBLANK($J30)),"EKSİK","OK"))</f>
        <v/>
      </c>
    </row>
    <row r="31" customFormat="false" ht="15" hidden="false" customHeight="true" outlineLevel="0" collapsed="false">
      <c r="A31" s="16"/>
      <c r="B31" s="16"/>
      <c r="C31" s="16"/>
      <c r="D31" s="16"/>
      <c r="E31" s="16"/>
      <c r="F31" s="16"/>
      <c r="G31" s="16"/>
      <c r="H31" s="16"/>
      <c r="I31" s="18" t="str">
        <f aca="false">IF(ISBLANK($A31),"",IF(COUNTA($E31:$H31)=4,$E31+$F31+$G31+$H31,""))</f>
        <v/>
      </c>
      <c r="J31" s="16"/>
      <c r="K31" s="23" t="str">
        <f aca="false">IF(ISBLANK($D31),"",$D31-RaporTarihi)</f>
        <v/>
      </c>
      <c r="L31" s="15" t="str">
        <f aca="false">IF(ISBLANK($A31),"",IF(OR(ISBLANK($B31),ISBLANK($C31),ISBLANK($D31),ISBLANK($E31),ISBLANK($F31),ISBLANK($G31),ISBLANK($H31),ISBLANK($I31),ISBLANK($J31)),"EKSİK","OK"))</f>
        <v/>
      </c>
    </row>
    <row r="32" customFormat="false" ht="15" hidden="false" customHeight="true" outlineLevel="0" collapsed="false">
      <c r="A32" s="16"/>
      <c r="B32" s="16"/>
      <c r="C32" s="16"/>
      <c r="D32" s="16"/>
      <c r="E32" s="16"/>
      <c r="F32" s="16"/>
      <c r="G32" s="16"/>
      <c r="H32" s="16"/>
      <c r="I32" s="18" t="str">
        <f aca="false">IF(ISBLANK($A32),"",IF(COUNTA($E32:$H32)=4,$E32+$F32+$G32+$H32,""))</f>
        <v/>
      </c>
      <c r="J32" s="16"/>
      <c r="K32" s="23" t="str">
        <f aca="false">IF(ISBLANK($D32),"",$D32-RaporTarihi)</f>
        <v/>
      </c>
      <c r="L32" s="15" t="str">
        <f aca="false">IF(ISBLANK($A32),"",IF(OR(ISBLANK($B32),ISBLANK($C32),ISBLANK($D32),ISBLANK($E32),ISBLANK($F32),ISBLANK($G32),ISBLANK($H32),ISBLANK($I32),ISBLANK($J32)),"EKSİK","OK"))</f>
        <v/>
      </c>
    </row>
    <row r="33" customFormat="false" ht="15" hidden="false" customHeight="true" outlineLevel="0" collapsed="false">
      <c r="A33" s="16"/>
      <c r="B33" s="16"/>
      <c r="C33" s="16"/>
      <c r="D33" s="16"/>
      <c r="E33" s="16"/>
      <c r="F33" s="16"/>
      <c r="G33" s="16"/>
      <c r="H33" s="16"/>
      <c r="I33" s="18" t="str">
        <f aca="false">IF(ISBLANK($A33),"",IF(COUNTA($E33:$H33)=4,$E33+$F33+$G33+$H33,""))</f>
        <v/>
      </c>
      <c r="J33" s="16"/>
      <c r="K33" s="23" t="str">
        <f aca="false">IF(ISBLANK($D33),"",$D33-RaporTarihi)</f>
        <v/>
      </c>
      <c r="L33" s="15" t="str">
        <f aca="false">IF(ISBLANK($A33),"",IF(OR(ISBLANK($B33),ISBLANK($C33),ISBLANK($D33),ISBLANK($E33),ISBLANK($F33),ISBLANK($G33),ISBLANK($H33),ISBLANK($I33),ISBLANK($J33)),"EKSİK","OK"))</f>
        <v/>
      </c>
    </row>
    <row r="34" customFormat="false" ht="15" hidden="false" customHeight="true" outlineLevel="0" collapsed="false">
      <c r="A34" s="16"/>
      <c r="B34" s="16"/>
      <c r="C34" s="16"/>
      <c r="D34" s="16"/>
      <c r="E34" s="16"/>
      <c r="F34" s="16"/>
      <c r="G34" s="16"/>
      <c r="H34" s="16"/>
      <c r="I34" s="18" t="str">
        <f aca="false">IF(ISBLANK($A34),"",IF(COUNTA($E34:$H34)=4,$E34+$F34+$G34+$H34,""))</f>
        <v/>
      </c>
      <c r="J34" s="16"/>
      <c r="K34" s="23" t="str">
        <f aca="false">IF(ISBLANK($D34),"",$D34-RaporTarihi)</f>
        <v/>
      </c>
      <c r="L34" s="15" t="str">
        <f aca="false">IF(ISBLANK($A34),"",IF(OR(ISBLANK($B34),ISBLANK($C34),ISBLANK($D34),ISBLANK($E34),ISBLANK($F34),ISBLANK($G34),ISBLANK($H34),ISBLANK($I34),ISBLANK($J34)),"EKSİK","OK"))</f>
        <v/>
      </c>
    </row>
    <row r="35" customFormat="false" ht="15" hidden="false" customHeight="true" outlineLevel="0" collapsed="false">
      <c r="A35" s="16"/>
      <c r="B35" s="16"/>
      <c r="C35" s="16"/>
      <c r="D35" s="16"/>
      <c r="E35" s="16"/>
      <c r="F35" s="16"/>
      <c r="G35" s="16"/>
      <c r="H35" s="16"/>
      <c r="I35" s="18" t="str">
        <f aca="false">IF(ISBLANK($A35),"",IF(COUNTA($E35:$H35)=4,$E35+$F35+$G35+$H35,""))</f>
        <v/>
      </c>
      <c r="J35" s="16"/>
      <c r="K35" s="23" t="str">
        <f aca="false">IF(ISBLANK($D35),"",$D35-RaporTarihi)</f>
        <v/>
      </c>
      <c r="L35" s="15" t="str">
        <f aca="false">IF(ISBLANK($A35),"",IF(OR(ISBLANK($B35),ISBLANK($C35),ISBLANK($D35),ISBLANK($E35),ISBLANK($F35),ISBLANK($G35),ISBLANK($H35),ISBLANK($I35),ISBLANK($J35)),"EKSİK","OK"))</f>
        <v/>
      </c>
    </row>
  </sheetData>
  <sheetProtection sheet="true" password="cc3d" objects="true" scenarios="true" deleteColumns="false" deleteRows="false"/>
  <mergeCells count="1">
    <mergeCell ref="A1:AN1"/>
  </mergeCells>
  <conditionalFormatting sqref="I6:I1000">
    <cfRule type="cellIs" priority="2" operator="lessThanOrEqual" aboveAverage="0" equalAverage="0" bottom="0" percent="0" rank="0" text="" dxfId="9">
      <formula>0</formula>
    </cfRule>
  </conditionalFormatting>
  <conditionalFormatting sqref="J6:J1000">
    <cfRule type="cellIs" priority="3" operator="equal" aboveAverage="0" equalAverage="0" bottom="0" percent="0" rank="0" text="" dxfId="12">
      <formula>"GECİKMİŞ"</formula>
    </cfRule>
    <cfRule type="cellIs" priority="4" operator="equal" aboveAverage="0" equalAverage="0" bottom="0" percent="0" rank="0" text="" dxfId="10">
      <formula>"BEKLİYOR"</formula>
    </cfRule>
    <cfRule type="cellIs" priority="5" operator="equal" aboveAverage="0" equalAverage="0" bottom="0" percent="0" rank="0" text="" dxfId="8">
      <formula>"Ödendi"</formula>
    </cfRule>
  </conditionalFormatting>
  <conditionalFormatting sqref="K6:K1000">
    <cfRule type="cellIs" priority="6" operator="lessThan" aboveAverage="0" equalAverage="0" bottom="0" percent="0" rank="0" text="" dxfId="9">
      <formula>0</formula>
    </cfRule>
    <cfRule type="cellIs" priority="7" operator="between" aboveAverage="0" equalAverage="0" bottom="0" percent="0" rank="0" text="" dxfId="10">
      <formula>0</formula>
      <formula>30</formula>
    </cfRule>
    <cfRule type="cellIs" priority="8" operator="greaterThan" aboveAverage="0" equalAverage="0" bottom="0" percent="0" rank="0" text="" dxfId="8">
      <formula>30</formula>
    </cfRule>
  </conditionalFormatting>
  <conditionalFormatting sqref="L6:L1000">
    <cfRule type="cellIs" priority="9" operator="equal" aboveAverage="0" equalAverage="0" bottom="0" percent="0" rank="0" text="" dxfId="9">
      <formula>"EKSİK"</formula>
    </cfRule>
    <cfRule type="cellIs" priority="10" operator="equal" aboveAverage="0" equalAverage="0" bottom="0" percent="0" rank="0" text="" dxfId="8">
      <formula>"OK"</formula>
    </cfRule>
  </conditionalFormatting>
  <dataValidations count="2">
    <dataValidation allowBlank="true" error="Lütfen listeden bir ödeme durumu seçin." errorStyle="stop" errorTitle="Geçersiz Durum" operator="between" prompt="Ödendi, Bekliyor veya Gecikmiş seçin." promptTitle="Ödeme Durumu" showDropDown="false" showErrorMessage="true" showInputMessage="true" sqref="J6:J1000" type="list">
      <formula1>ListeOdemeDurumu</formula1>
      <formula2>0</formula2>
    </dataValidation>
    <dataValidation allowBlank="true" error="Lütfen KREDILER sayfasındaki bir kredi ID seçin." errorStyle="stop" errorTitle="Geçersiz Kredi" operator="between" prompt="Listeden kredi seçin." promptTitle="Kredi ID" showDropDown="false" showErrorMessage="true" showInputMessage="true" sqref="B6:B1000" type="list">
      <formula1>ListeKrediId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1" width="11"/>
    <col collapsed="false" customWidth="true" hidden="false" outlineLevel="0" max="3" min="3" style="1" width="24"/>
    <col collapsed="false" customWidth="true" hidden="false" outlineLevel="0" max="4" min="4" style="1" width="18"/>
    <col collapsed="false" customWidth="true" hidden="false" outlineLevel="0" max="5" min="5" style="1" width="13"/>
    <col collapsed="false" customWidth="true" hidden="false" outlineLevel="0" max="6" min="6" style="1" width="15"/>
    <col collapsed="false" customWidth="true" hidden="false" outlineLevel="0" max="7" min="7" style="1" width="14"/>
    <col collapsed="false" customWidth="true" hidden="false" outlineLevel="0" max="8" min="8" style="1" width="13"/>
    <col collapsed="false" customWidth="true" hidden="false" outlineLevel="0" max="9" min="9" style="1" width="10"/>
  </cols>
  <sheetData>
    <row r="1" customFormat="false" ht="25.5" hidden="false" customHeight="true" outlineLevel="0" collapsed="false">
      <c r="A1" s="2" t="s">
        <v>116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</row>
    <row r="3" customFormat="false" ht="150" hidden="false" customHeight="true" outlineLevel="0" collapsed="false">
      <c r="A3" s="11" t="s">
        <v>117</v>
      </c>
    </row>
    <row r="5" customFormat="false" ht="30" hidden="false" customHeight="true" outlineLevel="0" collapsed="false">
      <c r="A5" s="12" t="s">
        <v>118</v>
      </c>
      <c r="B5" s="12" t="s">
        <v>81</v>
      </c>
      <c r="C5" s="12" t="s">
        <v>26</v>
      </c>
      <c r="D5" s="12" t="s">
        <v>119</v>
      </c>
      <c r="E5" s="12" t="s">
        <v>120</v>
      </c>
      <c r="F5" s="12" t="s">
        <v>121</v>
      </c>
      <c r="G5" s="12" t="s">
        <v>122</v>
      </c>
      <c r="H5" s="12" t="s">
        <v>64</v>
      </c>
      <c r="I5" s="12" t="s">
        <v>33</v>
      </c>
    </row>
    <row r="6" customFormat="false" ht="15" hidden="false" customHeight="true" outlineLevel="0" collapsed="false">
      <c r="A6" s="13" t="s">
        <v>123</v>
      </c>
      <c r="B6" s="13" t="s">
        <v>90</v>
      </c>
      <c r="C6" s="13" t="s">
        <v>35</v>
      </c>
      <c r="D6" s="13" t="s">
        <v>124</v>
      </c>
      <c r="E6" s="20" t="n">
        <v>45597</v>
      </c>
      <c r="F6" s="13" t="s">
        <v>125</v>
      </c>
      <c r="G6" s="17" t="n">
        <v>60000</v>
      </c>
      <c r="H6" s="13" t="s">
        <v>71</v>
      </c>
      <c r="I6" s="15" t="str">
        <f aca="false">IF(ISBLANK($A6),"",IF(OR(ISBLANK($B6),ISBLANK($C6),ISBLANK($D6),ISBLANK($E6),ISBLANK($F6),ISBLANK($G6),ISBLANK($H6)),"EKSİK","OK"))</f>
        <v>OK</v>
      </c>
    </row>
    <row r="7" customFormat="false" ht="15" hidden="false" customHeight="true" outlineLevel="0" collapsed="false">
      <c r="A7" s="13" t="s">
        <v>126</v>
      </c>
      <c r="B7" s="13" t="s">
        <v>92</v>
      </c>
      <c r="C7" s="13" t="s">
        <v>42</v>
      </c>
      <c r="D7" s="13" t="s">
        <v>127</v>
      </c>
      <c r="E7" s="20" t="n">
        <v>45717</v>
      </c>
      <c r="F7" s="13" t="s">
        <v>128</v>
      </c>
      <c r="G7" s="17" t="n">
        <v>70000</v>
      </c>
      <c r="H7" s="13" t="s">
        <v>71</v>
      </c>
      <c r="I7" s="15" t="str">
        <f aca="false">IF(ISBLANK($A7),"",IF(OR(ISBLANK($B7),ISBLANK($C7),ISBLANK($D7),ISBLANK($E7),ISBLANK($F7),ISBLANK($G7),ISBLANK($H7)),"EKSİK","OK"))</f>
        <v>OK</v>
      </c>
    </row>
    <row r="8" customFormat="false" ht="15" hidden="false" customHeight="true" outlineLevel="0" collapsed="false">
      <c r="A8" s="13" t="s">
        <v>129</v>
      </c>
      <c r="B8" s="13" t="s">
        <v>94</v>
      </c>
      <c r="C8" s="13" t="s">
        <v>48</v>
      </c>
      <c r="D8" s="13" t="s">
        <v>105</v>
      </c>
      <c r="E8" s="20" t="n">
        <v>45809</v>
      </c>
      <c r="F8" s="13" t="s">
        <v>130</v>
      </c>
      <c r="G8" s="17" t="n">
        <v>1500</v>
      </c>
      <c r="H8" s="13" t="s">
        <v>76</v>
      </c>
      <c r="I8" s="15" t="str">
        <f aca="false">IF(ISBLANK($A8),"",IF(OR(ISBLANK($B8),ISBLANK($C8),ISBLANK($D8),ISBLANK($E8),ISBLANK($F8),ISBLANK($G8),ISBLANK($H8)),"EKSİK","OK"))</f>
        <v>OK</v>
      </c>
    </row>
    <row r="9" customFormat="false" ht="15" hidden="false" customHeight="true" outlineLevel="0" collapsed="false">
      <c r="A9" s="16"/>
      <c r="B9" s="16"/>
      <c r="C9" s="16"/>
      <c r="D9" s="16"/>
      <c r="E9" s="16"/>
      <c r="F9" s="16"/>
      <c r="G9" s="16"/>
      <c r="H9" s="16"/>
      <c r="I9" s="15" t="str">
        <f aca="false">IF(ISBLANK($A9),"",IF(OR(ISBLANK($B9),ISBLANK($C9),ISBLANK($D9),ISBLANK($E9),ISBLANK($F9),ISBLANK($G9),ISBLANK($H9)),"EKSİK","OK"))</f>
        <v/>
      </c>
    </row>
    <row r="10" customFormat="false" ht="15" hidden="false" customHeight="true" outlineLevel="0" collapsed="false">
      <c r="A10" s="16"/>
      <c r="B10" s="16"/>
      <c r="C10" s="16"/>
      <c r="D10" s="16"/>
      <c r="E10" s="16"/>
      <c r="F10" s="16"/>
      <c r="G10" s="16"/>
      <c r="H10" s="16"/>
      <c r="I10" s="15" t="str">
        <f aca="false">IF(ISBLANK($A10),"",IF(OR(ISBLANK($B10),ISBLANK($C10),ISBLANK($D10),ISBLANK($E10),ISBLANK($F10),ISBLANK($G10),ISBLANK($H10)),"EKSİK","OK"))</f>
        <v/>
      </c>
    </row>
    <row r="11" customFormat="false" ht="15" hidden="false" customHeight="true" outlineLevel="0" collapsed="false">
      <c r="A11" s="16"/>
      <c r="B11" s="16"/>
      <c r="C11" s="16"/>
      <c r="D11" s="16"/>
      <c r="E11" s="16"/>
      <c r="F11" s="16"/>
      <c r="G11" s="16"/>
      <c r="H11" s="16"/>
      <c r="I11" s="15" t="str">
        <f aca="false">IF(ISBLANK($A11),"",IF(OR(ISBLANK($B11),ISBLANK($C11),ISBLANK($D11),ISBLANK($E11),ISBLANK($F11),ISBLANK($G11),ISBLANK($H11)),"EKSİK","OK"))</f>
        <v/>
      </c>
    </row>
    <row r="12" customFormat="false" ht="15" hidden="false" customHeight="true" outlineLevel="0" collapsed="false">
      <c r="A12" s="16"/>
      <c r="B12" s="16"/>
      <c r="C12" s="16"/>
      <c r="D12" s="16"/>
      <c r="E12" s="16"/>
      <c r="F12" s="16"/>
      <c r="G12" s="16"/>
      <c r="H12" s="16"/>
      <c r="I12" s="15" t="str">
        <f aca="false">IF(ISBLANK($A12),"",IF(OR(ISBLANK($B12),ISBLANK($C12),ISBLANK($D12),ISBLANK($E12),ISBLANK($F12),ISBLANK($G12),ISBLANK($H12)),"EKSİK","OK"))</f>
        <v/>
      </c>
    </row>
    <row r="13" customFormat="false" ht="15" hidden="false" customHeight="true" outlineLevel="0" collapsed="false">
      <c r="A13" s="16"/>
      <c r="B13" s="16"/>
      <c r="C13" s="16"/>
      <c r="D13" s="16"/>
      <c r="E13" s="16"/>
      <c r="F13" s="16"/>
      <c r="G13" s="16"/>
      <c r="H13" s="16"/>
      <c r="I13" s="15" t="str">
        <f aca="false">IF(ISBLANK($A13),"",IF(OR(ISBLANK($B13),ISBLANK($C13),ISBLANK($D13),ISBLANK($E13),ISBLANK($F13),ISBLANK($G13),ISBLANK($H13)),"EKSİK","OK"))</f>
        <v/>
      </c>
    </row>
    <row r="14" customFormat="false" ht="15" hidden="false" customHeight="true" outlineLevel="0" collapsed="false">
      <c r="A14" s="16"/>
      <c r="B14" s="16"/>
      <c r="C14" s="16"/>
      <c r="D14" s="16"/>
      <c r="E14" s="16"/>
      <c r="F14" s="16"/>
      <c r="G14" s="16"/>
      <c r="H14" s="16"/>
      <c r="I14" s="15" t="str">
        <f aca="false">IF(ISBLANK($A14),"",IF(OR(ISBLANK($B14),ISBLANK($C14),ISBLANK($D14),ISBLANK($E14),ISBLANK($F14),ISBLANK($G14),ISBLANK($H14)),"EKSİK","OK"))</f>
        <v/>
      </c>
    </row>
    <row r="15" customFormat="false" ht="15" hidden="false" customHeight="true" outlineLevel="0" collapsed="false">
      <c r="A15" s="16"/>
      <c r="B15" s="16"/>
      <c r="C15" s="16"/>
      <c r="D15" s="16"/>
      <c r="E15" s="16"/>
      <c r="F15" s="16"/>
      <c r="G15" s="16"/>
      <c r="H15" s="16"/>
      <c r="I15" s="15" t="str">
        <f aca="false">IF(ISBLANK($A15),"",IF(OR(ISBLANK($B15),ISBLANK($C15),ISBLANK($D15),ISBLANK($E15),ISBLANK($F15),ISBLANK($G15),ISBLANK($H15)),"EKSİK","OK"))</f>
        <v/>
      </c>
    </row>
    <row r="16" customFormat="false" ht="15" hidden="false" customHeight="true" outlineLevel="0" collapsed="false">
      <c r="A16" s="16"/>
      <c r="B16" s="16"/>
      <c r="C16" s="16"/>
      <c r="D16" s="16"/>
      <c r="E16" s="16"/>
      <c r="F16" s="16"/>
      <c r="G16" s="16"/>
      <c r="H16" s="16"/>
      <c r="I16" s="15" t="str">
        <f aca="false">IF(ISBLANK($A16),"",IF(OR(ISBLANK($B16),ISBLANK($C16),ISBLANK($D16),ISBLANK($E16),ISBLANK($F16),ISBLANK($G16),ISBLANK($H16)),"EKSİK","OK"))</f>
        <v/>
      </c>
    </row>
    <row r="17" customFormat="false" ht="15" hidden="false" customHeight="true" outlineLevel="0" collapsed="false">
      <c r="A17" s="16"/>
      <c r="B17" s="16"/>
      <c r="C17" s="16"/>
      <c r="D17" s="16"/>
      <c r="E17" s="16"/>
      <c r="F17" s="16"/>
      <c r="G17" s="16"/>
      <c r="H17" s="16"/>
      <c r="I17" s="15" t="str">
        <f aca="false">IF(ISBLANK($A17),"",IF(OR(ISBLANK($B17),ISBLANK($C17),ISBLANK($D17),ISBLANK($E17),ISBLANK($F17),ISBLANK($G17),ISBLANK($H17)),"EKSİK","OK"))</f>
        <v/>
      </c>
    </row>
    <row r="18" customFormat="false" ht="15" hidden="false" customHeight="true" outlineLevel="0" collapsed="false">
      <c r="A18" s="16"/>
      <c r="B18" s="16"/>
      <c r="C18" s="16"/>
      <c r="D18" s="16"/>
      <c r="E18" s="16"/>
      <c r="F18" s="16"/>
      <c r="G18" s="16"/>
      <c r="H18" s="16"/>
      <c r="I18" s="15" t="str">
        <f aca="false">IF(ISBLANK($A18),"",IF(OR(ISBLANK($B18),ISBLANK($C18),ISBLANK($D18),ISBLANK($E18),ISBLANK($F18),ISBLANK($G18),ISBLANK($H18)),"EKSİK","OK"))</f>
        <v/>
      </c>
    </row>
    <row r="19" customFormat="false" ht="15" hidden="false" customHeight="true" outlineLevel="0" collapsed="false">
      <c r="A19" s="16"/>
      <c r="B19" s="16"/>
      <c r="C19" s="16"/>
      <c r="D19" s="16"/>
      <c r="E19" s="16"/>
      <c r="F19" s="16"/>
      <c r="G19" s="16"/>
      <c r="H19" s="16"/>
      <c r="I19" s="15" t="str">
        <f aca="false">IF(ISBLANK($A19),"",IF(OR(ISBLANK($B19),ISBLANK($C19),ISBLANK($D19),ISBLANK($E19),ISBLANK($F19),ISBLANK($G19),ISBLANK($H19)),"EKSİK","OK"))</f>
        <v/>
      </c>
    </row>
    <row r="20" customFormat="false" ht="15" hidden="false" customHeight="true" outlineLevel="0" collapsed="false">
      <c r="A20" s="16"/>
      <c r="B20" s="16"/>
      <c r="C20" s="16"/>
      <c r="D20" s="16"/>
      <c r="E20" s="16"/>
      <c r="F20" s="16"/>
      <c r="G20" s="16"/>
      <c r="H20" s="16"/>
      <c r="I20" s="15" t="str">
        <f aca="false">IF(ISBLANK($A20),"",IF(OR(ISBLANK($B20),ISBLANK($C20),ISBLANK($D20),ISBLANK($E20),ISBLANK($F20),ISBLANK($G20),ISBLANK($H20)),"EKSİK","OK"))</f>
        <v/>
      </c>
    </row>
    <row r="21" customFormat="false" ht="15" hidden="false" customHeight="true" outlineLevel="0" collapsed="false">
      <c r="A21" s="16"/>
      <c r="B21" s="16"/>
      <c r="C21" s="16"/>
      <c r="D21" s="16"/>
      <c r="E21" s="16"/>
      <c r="F21" s="16"/>
      <c r="G21" s="16"/>
      <c r="H21" s="16"/>
      <c r="I21" s="15" t="str">
        <f aca="false">IF(ISBLANK($A21),"",IF(OR(ISBLANK($B21),ISBLANK($C21),ISBLANK($D21),ISBLANK($E21),ISBLANK($F21),ISBLANK($G21),ISBLANK($H21)),"EKSİK","OK"))</f>
        <v/>
      </c>
    </row>
    <row r="22" customFormat="false" ht="15" hidden="false" customHeight="true" outlineLevel="0" collapsed="false">
      <c r="A22" s="16"/>
      <c r="B22" s="16"/>
      <c r="C22" s="16"/>
      <c r="D22" s="16"/>
      <c r="E22" s="16"/>
      <c r="F22" s="16"/>
      <c r="G22" s="16"/>
      <c r="H22" s="16"/>
      <c r="I22" s="15" t="str">
        <f aca="false">IF(ISBLANK($A22),"",IF(OR(ISBLANK($B22),ISBLANK($C22),ISBLANK($D22),ISBLANK($E22),ISBLANK($F22),ISBLANK($G22),ISBLANK($H22)),"EKSİK","OK"))</f>
        <v/>
      </c>
    </row>
    <row r="23" customFormat="false" ht="15" hidden="false" customHeight="true" outlineLevel="0" collapsed="false">
      <c r="A23" s="16"/>
      <c r="B23" s="16"/>
      <c r="C23" s="16"/>
      <c r="D23" s="16"/>
      <c r="E23" s="16"/>
      <c r="F23" s="16"/>
      <c r="G23" s="16"/>
      <c r="H23" s="16"/>
      <c r="I23" s="15" t="str">
        <f aca="false">IF(ISBLANK($A23),"",IF(OR(ISBLANK($B23),ISBLANK($C23),ISBLANK($D23),ISBLANK($E23),ISBLANK($F23),ISBLANK($G23),ISBLANK($H23)),"EKSİK","OK"))</f>
        <v/>
      </c>
    </row>
    <row r="24" customFormat="false" ht="15" hidden="false" customHeight="true" outlineLevel="0" collapsed="false">
      <c r="A24" s="16"/>
      <c r="B24" s="16"/>
      <c r="C24" s="16"/>
      <c r="D24" s="16"/>
      <c r="E24" s="16"/>
      <c r="F24" s="16"/>
      <c r="G24" s="16"/>
      <c r="H24" s="16"/>
      <c r="I24" s="15" t="str">
        <f aca="false">IF(ISBLANK($A24),"",IF(OR(ISBLANK($B24),ISBLANK($C24),ISBLANK($D24),ISBLANK($E24),ISBLANK($F24),ISBLANK($G24),ISBLANK($H24)),"EKSİK","OK"))</f>
        <v/>
      </c>
    </row>
    <row r="25" customFormat="false" ht="15" hidden="false" customHeight="true" outlineLevel="0" collapsed="false">
      <c r="A25" s="16"/>
      <c r="B25" s="16"/>
      <c r="C25" s="16"/>
      <c r="D25" s="16"/>
      <c r="E25" s="16"/>
      <c r="F25" s="16"/>
      <c r="G25" s="16"/>
      <c r="H25" s="16"/>
      <c r="I25" s="15" t="str">
        <f aca="false">IF(ISBLANK($A25),"",IF(OR(ISBLANK($B25),ISBLANK($C25),ISBLANK($D25),ISBLANK($E25),ISBLANK($F25),ISBLANK($G25),ISBLANK($H25)),"EKSİK","OK"))</f>
        <v/>
      </c>
    </row>
    <row r="26" customFormat="false" ht="15" hidden="false" customHeight="true" outlineLevel="0" collapsed="false">
      <c r="A26" s="16"/>
      <c r="B26" s="16"/>
      <c r="C26" s="16"/>
      <c r="D26" s="16"/>
      <c r="E26" s="16"/>
      <c r="F26" s="16"/>
      <c r="G26" s="16"/>
      <c r="H26" s="16"/>
      <c r="I26" s="15" t="str">
        <f aca="false">IF(ISBLANK($A26),"",IF(OR(ISBLANK($B26),ISBLANK($C26),ISBLANK($D26),ISBLANK($E26),ISBLANK($F26),ISBLANK($G26),ISBLANK($H26)),"EKSİK","OK"))</f>
        <v/>
      </c>
    </row>
    <row r="27" customFormat="false" ht="15" hidden="false" customHeight="true" outlineLevel="0" collapsed="false">
      <c r="A27" s="16"/>
      <c r="B27" s="16"/>
      <c r="C27" s="16"/>
      <c r="D27" s="16"/>
      <c r="E27" s="16"/>
      <c r="F27" s="16"/>
      <c r="G27" s="16"/>
      <c r="H27" s="16"/>
      <c r="I27" s="15" t="str">
        <f aca="false">IF(ISBLANK($A27),"",IF(OR(ISBLANK($B27),ISBLANK($C27),ISBLANK($D27),ISBLANK($E27),ISBLANK($F27),ISBLANK($G27),ISBLANK($H27)),"EKSİK","OK"))</f>
        <v/>
      </c>
    </row>
    <row r="28" customFormat="false" ht="15" hidden="false" customHeight="true" outlineLevel="0" collapsed="false">
      <c r="A28" s="16"/>
      <c r="B28" s="16"/>
      <c r="C28" s="16"/>
      <c r="D28" s="16"/>
      <c r="E28" s="16"/>
      <c r="F28" s="16"/>
      <c r="G28" s="16"/>
      <c r="H28" s="16"/>
      <c r="I28" s="15" t="str">
        <f aca="false">IF(ISBLANK($A28),"",IF(OR(ISBLANK($B28),ISBLANK($C28),ISBLANK($D28),ISBLANK($E28),ISBLANK($F28),ISBLANK($G28),ISBLANK($H28)),"EKSİK","OK"))</f>
        <v/>
      </c>
    </row>
    <row r="29" customFormat="false" ht="15" hidden="false" customHeight="true" outlineLevel="0" collapsed="false">
      <c r="A29" s="16"/>
      <c r="B29" s="16"/>
      <c r="C29" s="16"/>
      <c r="D29" s="16"/>
      <c r="E29" s="16"/>
      <c r="F29" s="16"/>
      <c r="G29" s="16"/>
      <c r="H29" s="16"/>
      <c r="I29" s="15" t="str">
        <f aca="false">IF(ISBLANK($A29),"",IF(OR(ISBLANK($B29),ISBLANK($C29),ISBLANK($D29),ISBLANK($E29),ISBLANK($F29),ISBLANK($G29),ISBLANK($H29)),"EKSİK","OK"))</f>
        <v/>
      </c>
    </row>
    <row r="30" customFormat="false" ht="15" hidden="false" customHeight="true" outlineLevel="0" collapsed="false">
      <c r="A30" s="16"/>
      <c r="B30" s="16"/>
      <c r="C30" s="16"/>
      <c r="D30" s="16"/>
      <c r="E30" s="16"/>
      <c r="F30" s="16"/>
      <c r="G30" s="16"/>
      <c r="H30" s="16"/>
      <c r="I30" s="15" t="str">
        <f aca="false">IF(ISBLANK($A30),"",IF(OR(ISBLANK($B30),ISBLANK($C30),ISBLANK($D30),ISBLANK($E30),ISBLANK($F30),ISBLANK($G30),ISBLANK($H30)),"EKSİK","OK"))</f>
        <v/>
      </c>
    </row>
    <row r="31" customFormat="false" ht="15" hidden="false" customHeight="true" outlineLevel="0" collapsed="false">
      <c r="A31" s="16"/>
      <c r="B31" s="16"/>
      <c r="C31" s="16"/>
      <c r="D31" s="16"/>
      <c r="E31" s="16"/>
      <c r="F31" s="16"/>
      <c r="G31" s="16"/>
      <c r="H31" s="16"/>
      <c r="I31" s="15" t="str">
        <f aca="false">IF(ISBLANK($A31),"",IF(OR(ISBLANK($B31),ISBLANK($C31),ISBLANK($D31),ISBLANK($E31),ISBLANK($F31),ISBLANK($G31),ISBLANK($H31)),"EKSİK","OK"))</f>
        <v/>
      </c>
    </row>
    <row r="32" customFormat="false" ht="15" hidden="false" customHeight="true" outlineLevel="0" collapsed="false">
      <c r="A32" s="16"/>
      <c r="B32" s="16"/>
      <c r="C32" s="16"/>
      <c r="D32" s="16"/>
      <c r="E32" s="16"/>
      <c r="F32" s="16"/>
      <c r="G32" s="16"/>
      <c r="H32" s="16"/>
      <c r="I32" s="15" t="str">
        <f aca="false">IF(ISBLANK($A32),"",IF(OR(ISBLANK($B32),ISBLANK($C32),ISBLANK($D32),ISBLANK($E32),ISBLANK($F32),ISBLANK($G32),ISBLANK($H32)),"EKSİK","OK"))</f>
        <v/>
      </c>
    </row>
    <row r="33" customFormat="false" ht="15" hidden="false" customHeight="true" outlineLevel="0" collapsed="false">
      <c r="A33" s="16"/>
      <c r="B33" s="16"/>
      <c r="C33" s="16"/>
      <c r="D33" s="16"/>
      <c r="E33" s="16"/>
      <c r="F33" s="16"/>
      <c r="G33" s="16"/>
      <c r="H33" s="16"/>
      <c r="I33" s="15" t="str">
        <f aca="false">IF(ISBLANK($A33),"",IF(OR(ISBLANK($B33),ISBLANK($C33),ISBLANK($D33),ISBLANK($E33),ISBLANK($F33),ISBLANK($G33),ISBLANK($H33)),"EKSİK","OK"))</f>
        <v/>
      </c>
    </row>
    <row r="34" customFormat="false" ht="15" hidden="false" customHeight="true" outlineLevel="0" collapsed="false">
      <c r="A34" s="16"/>
      <c r="B34" s="16"/>
      <c r="C34" s="16"/>
      <c r="D34" s="16"/>
      <c r="E34" s="16"/>
      <c r="F34" s="16"/>
      <c r="G34" s="16"/>
      <c r="H34" s="16"/>
      <c r="I34" s="15" t="str">
        <f aca="false">IF(ISBLANK($A34),"",IF(OR(ISBLANK($B34),ISBLANK($C34),ISBLANK($D34),ISBLANK($E34),ISBLANK($F34),ISBLANK($G34),ISBLANK($H34)),"EKSİK","OK"))</f>
        <v/>
      </c>
    </row>
    <row r="35" customFormat="false" ht="15" hidden="false" customHeight="true" outlineLevel="0" collapsed="false">
      <c r="A35" s="16"/>
      <c r="B35" s="16"/>
      <c r="C35" s="16"/>
      <c r="D35" s="16"/>
      <c r="E35" s="16"/>
      <c r="F35" s="16"/>
      <c r="G35" s="16"/>
      <c r="H35" s="16"/>
      <c r="I35" s="15" t="str">
        <f aca="false">IF(ISBLANK($A35),"",IF(OR(ISBLANK($B35),ISBLANK($C35),ISBLANK($D35),ISBLANK($E35),ISBLANK($F35),ISBLANK($G35),ISBLANK($H35)),"EKSİK","OK"))</f>
        <v/>
      </c>
    </row>
  </sheetData>
  <sheetProtection sheet="true" password="cc3d" objects="true" scenarios="true" deleteColumns="false" deleteRows="false"/>
  <mergeCells count="1">
    <mergeCell ref="A1:AN1"/>
  </mergeCells>
  <conditionalFormatting sqref="G6:G1000">
    <cfRule type="cellIs" priority="2" operator="lessThan" aboveAverage="0" equalAverage="0" bottom="0" percent="0" rank="0" text="" dxfId="9">
      <formula>0</formula>
    </cfRule>
  </conditionalFormatting>
  <conditionalFormatting sqref="D6:D1000">
    <cfRule type="cellIs" priority="3" operator="equal" aboveAverage="0" equalAverage="0" bottom="0" percent="0" rank="0" text="" dxfId="10">
      <formula>"Komisyon"</formula>
    </cfRule>
  </conditionalFormatting>
  <conditionalFormatting sqref="I6:I1000">
    <cfRule type="cellIs" priority="4" operator="equal" aboveAverage="0" equalAverage="0" bottom="0" percent="0" rank="0" text="" dxfId="9">
      <formula>"EKSİK"</formula>
    </cfRule>
    <cfRule type="cellIs" priority="5" operator="equal" aboveAverage="0" equalAverage="0" bottom="0" percent="0" rank="0" text="" dxfId="8">
      <formula>"OK"</formula>
    </cfRule>
  </conditionalFormatting>
  <dataValidations count="2">
    <dataValidation allowBlank="true" error="Lütfen listeden bir masraf türü seçin." errorStyle="stop" errorTitle="Geçersiz Tür" operator="between" prompt="Tahsis Ücreti, Sigorta, Komisyon veya Diğer seçin." promptTitle="Masraf Türü" showDropDown="false" showErrorMessage="true" showInputMessage="true" sqref="D6:D1000" type="list">
      <formula1>ListeMasrafTuru</formula1>
      <formula2>0</formula2>
    </dataValidation>
    <dataValidation allowBlank="true" error="Lütfen KREDILER sayfasındaki bir kredi ID seçin." errorStyle="stop" errorTitle="Geçersiz Kredi" operator="between" prompt="Listeden kredi seçin." promptTitle="Kredi ID" showDropDown="false" showErrorMessage="true" showInputMessage="true" sqref="B6:B1000" type="list">
      <formula1>ListeKrediId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1"/>
    <col collapsed="false" customWidth="true" hidden="false" outlineLevel="0" max="3" min="3" style="1" width="24"/>
    <col collapsed="false" customWidth="true" hidden="false" outlineLevel="0" max="4" min="4" style="1" width="20"/>
    <col collapsed="false" customWidth="true" hidden="false" outlineLevel="0" max="5" min="5" style="1" width="24"/>
    <col collapsed="false" customWidth="true" hidden="false" outlineLevel="0" max="6" min="6" style="1" width="16"/>
    <col collapsed="false" customWidth="true" hidden="false" outlineLevel="0" max="7" min="7" style="1" width="13"/>
    <col collapsed="false" customWidth="true" hidden="false" outlineLevel="0" max="8" min="8" style="1" width="14"/>
    <col collapsed="false" customWidth="true" hidden="false" outlineLevel="0" max="9" min="9" style="1" width="15"/>
    <col collapsed="false" customWidth="true" hidden="false" outlineLevel="0" max="10" min="10" style="1" width="10"/>
  </cols>
  <sheetData>
    <row r="1" customFormat="false" ht="25.5" hidden="false" customHeight="true" outlineLevel="0" collapsed="false">
      <c r="A1" s="2" t="s">
        <v>131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</row>
    <row r="3" customFormat="false" ht="90.75" hidden="false" customHeight="true" outlineLevel="0" collapsed="false">
      <c r="A3" s="11" t="s">
        <v>132</v>
      </c>
    </row>
    <row r="5" customFormat="false" ht="30" hidden="false" customHeight="true" outlineLevel="0" collapsed="false">
      <c r="A5" s="12" t="s">
        <v>133</v>
      </c>
      <c r="B5" s="12" t="s">
        <v>81</v>
      </c>
      <c r="C5" s="12" t="s">
        <v>26</v>
      </c>
      <c r="D5" s="12" t="s">
        <v>134</v>
      </c>
      <c r="E5" s="12" t="s">
        <v>89</v>
      </c>
      <c r="F5" s="12" t="s">
        <v>135</v>
      </c>
      <c r="G5" s="12" t="s">
        <v>64</v>
      </c>
      <c r="H5" s="12" t="s">
        <v>136</v>
      </c>
      <c r="I5" s="12" t="s">
        <v>137</v>
      </c>
      <c r="J5" s="12" t="s">
        <v>33</v>
      </c>
    </row>
    <row r="6" customFormat="false" ht="15" hidden="false" customHeight="true" outlineLevel="0" collapsed="false">
      <c r="A6" s="13" t="s">
        <v>138</v>
      </c>
      <c r="B6" s="13" t="s">
        <v>90</v>
      </c>
      <c r="C6" s="13" t="s">
        <v>35</v>
      </c>
      <c r="D6" s="13" t="s">
        <v>139</v>
      </c>
      <c r="E6" s="13" t="s">
        <v>140</v>
      </c>
      <c r="F6" s="17" t="n">
        <v>15000000</v>
      </c>
      <c r="G6" s="13" t="s">
        <v>71</v>
      </c>
      <c r="H6" s="20" t="n">
        <v>45992</v>
      </c>
      <c r="I6" s="20" t="n">
        <v>47088</v>
      </c>
      <c r="J6" s="15" t="str">
        <f aca="false">IF(ISBLANK($A6),"",IF(OR(ISBLANK($B6),ISBLANK($C6),ISBLANK($D6),ISBLANK($E6),ISBLANK($F6),ISBLANK($G6),ISBLANK($H6),ISBLANK($I6)),"EKSİK","OK"))</f>
        <v>OK</v>
      </c>
    </row>
    <row r="7" customFormat="false" ht="15" hidden="false" customHeight="true" outlineLevel="0" collapsed="false">
      <c r="A7" s="13" t="s">
        <v>141</v>
      </c>
      <c r="B7" s="13" t="s">
        <v>92</v>
      </c>
      <c r="C7" s="13" t="s">
        <v>42</v>
      </c>
      <c r="D7" s="13" t="s">
        <v>142</v>
      </c>
      <c r="E7" s="13" t="s">
        <v>143</v>
      </c>
      <c r="F7" s="17" t="n">
        <v>8500000</v>
      </c>
      <c r="G7" s="13" t="s">
        <v>71</v>
      </c>
      <c r="H7" s="20" t="n">
        <v>45992</v>
      </c>
      <c r="I7" s="20" t="n">
        <v>46722</v>
      </c>
      <c r="J7" s="15" t="str">
        <f aca="false">IF(ISBLANK($A7),"",IF(OR(ISBLANK($B7),ISBLANK($C7),ISBLANK($D7),ISBLANK($E7),ISBLANK($F7),ISBLANK($G7),ISBLANK($H7),ISBLANK($I7)),"EKSİK","OK"))</f>
        <v>OK</v>
      </c>
    </row>
    <row r="8" customFormat="false" ht="15" hidden="false" customHeight="true" outlineLevel="0" collapsed="false">
      <c r="A8" s="13" t="s">
        <v>144</v>
      </c>
      <c r="B8" s="13" t="s">
        <v>94</v>
      </c>
      <c r="C8" s="13" t="s">
        <v>48</v>
      </c>
      <c r="D8" s="13" t="s">
        <v>145</v>
      </c>
      <c r="E8" s="13" t="s">
        <v>146</v>
      </c>
      <c r="F8" s="17" t="n">
        <v>3500000</v>
      </c>
      <c r="G8" s="13" t="s">
        <v>71</v>
      </c>
      <c r="H8" s="20" t="n">
        <v>46023</v>
      </c>
      <c r="I8" s="20" t="n">
        <v>46388</v>
      </c>
      <c r="J8" s="15" t="str">
        <f aca="false">IF(ISBLANK($A8),"",IF(OR(ISBLANK($B8),ISBLANK($C8),ISBLANK($D8),ISBLANK($E8),ISBLANK($F8),ISBLANK($G8),ISBLANK($H8),ISBLANK($I8)),"EKSİK","OK"))</f>
        <v>OK</v>
      </c>
    </row>
    <row r="9" customFormat="false" ht="15" hidden="false" customHeight="true" outlineLevel="0" collapsed="false">
      <c r="A9" s="16"/>
      <c r="B9" s="16"/>
      <c r="C9" s="16"/>
      <c r="D9" s="16"/>
      <c r="E9" s="16"/>
      <c r="F9" s="16"/>
      <c r="G9" s="16"/>
      <c r="H9" s="16"/>
      <c r="I9" s="16"/>
      <c r="J9" s="15" t="str">
        <f aca="false">IF(ISBLANK($A9),"",IF(OR(ISBLANK($B9),ISBLANK($C9),ISBLANK($D9),ISBLANK($E9),ISBLANK($F9),ISBLANK($G9),ISBLANK($H9),ISBLANK($I9)),"EKSİK","OK"))</f>
        <v/>
      </c>
    </row>
    <row r="10" customFormat="false" ht="15" hidden="false" customHeight="true" outlineLevel="0" collapsed="false">
      <c r="A10" s="16"/>
      <c r="B10" s="16"/>
      <c r="C10" s="16"/>
      <c r="D10" s="16"/>
      <c r="E10" s="16"/>
      <c r="F10" s="16"/>
      <c r="G10" s="16"/>
      <c r="H10" s="16"/>
      <c r="I10" s="16"/>
      <c r="J10" s="15" t="str">
        <f aca="false">IF(ISBLANK($A10),"",IF(OR(ISBLANK($B10),ISBLANK($C10),ISBLANK($D10),ISBLANK($E10),ISBLANK($F10),ISBLANK($G10),ISBLANK($H10),ISBLANK($I10)),"EKSİK","OK"))</f>
        <v/>
      </c>
    </row>
    <row r="11" customFormat="false" ht="15" hidden="false" customHeight="true" outlineLevel="0" collapsed="false">
      <c r="A11" s="16"/>
      <c r="B11" s="16"/>
      <c r="C11" s="16"/>
      <c r="D11" s="16"/>
      <c r="E11" s="16"/>
      <c r="F11" s="16"/>
      <c r="G11" s="16"/>
      <c r="H11" s="16"/>
      <c r="I11" s="16"/>
      <c r="J11" s="15" t="str">
        <f aca="false">IF(ISBLANK($A11),"",IF(OR(ISBLANK($B11),ISBLANK($C11),ISBLANK($D11),ISBLANK($E11),ISBLANK($F11),ISBLANK($G11),ISBLANK($H11),ISBLANK($I11)),"EKSİK","OK"))</f>
        <v/>
      </c>
    </row>
    <row r="12" customFormat="false" ht="15" hidden="false" customHeight="true" outlineLevel="0" collapsed="false">
      <c r="A12" s="16"/>
      <c r="B12" s="16"/>
      <c r="C12" s="16"/>
      <c r="D12" s="16"/>
      <c r="E12" s="16"/>
      <c r="F12" s="16"/>
      <c r="G12" s="16"/>
      <c r="H12" s="16"/>
      <c r="I12" s="16"/>
      <c r="J12" s="15" t="str">
        <f aca="false">IF(ISBLANK($A12),"",IF(OR(ISBLANK($B12),ISBLANK($C12),ISBLANK($D12),ISBLANK($E12),ISBLANK($F12),ISBLANK($G12),ISBLANK($H12),ISBLANK($I12)),"EKSİK","OK"))</f>
        <v/>
      </c>
    </row>
    <row r="13" customFormat="false" ht="15" hidden="false" customHeight="true" outlineLevel="0" collapsed="false">
      <c r="A13" s="16"/>
      <c r="B13" s="16"/>
      <c r="C13" s="16"/>
      <c r="D13" s="16"/>
      <c r="E13" s="16"/>
      <c r="F13" s="16"/>
      <c r="G13" s="16"/>
      <c r="H13" s="16"/>
      <c r="I13" s="16"/>
      <c r="J13" s="15" t="str">
        <f aca="false">IF(ISBLANK($A13),"",IF(OR(ISBLANK($B13),ISBLANK($C13),ISBLANK($D13),ISBLANK($E13),ISBLANK($F13),ISBLANK($G13),ISBLANK($H13),ISBLANK($I13)),"EKSİK","OK"))</f>
        <v/>
      </c>
    </row>
    <row r="14" customFormat="false" ht="15" hidden="false" customHeight="true" outlineLevel="0" collapsed="false">
      <c r="A14" s="16"/>
      <c r="B14" s="16"/>
      <c r="C14" s="16"/>
      <c r="D14" s="16"/>
      <c r="E14" s="16"/>
      <c r="F14" s="16"/>
      <c r="G14" s="16"/>
      <c r="H14" s="16"/>
      <c r="I14" s="16"/>
      <c r="J14" s="15" t="str">
        <f aca="false">IF(ISBLANK($A14),"",IF(OR(ISBLANK($B14),ISBLANK($C14),ISBLANK($D14),ISBLANK($E14),ISBLANK($F14),ISBLANK($G14),ISBLANK($H14),ISBLANK($I14)),"EKSİK","OK"))</f>
        <v/>
      </c>
    </row>
    <row r="15" customFormat="false" ht="15" hidden="false" customHeight="true" outlineLevel="0" collapsed="false">
      <c r="A15" s="16"/>
      <c r="B15" s="16"/>
      <c r="C15" s="16"/>
      <c r="D15" s="16"/>
      <c r="E15" s="16"/>
      <c r="F15" s="16"/>
      <c r="G15" s="16"/>
      <c r="H15" s="16"/>
      <c r="I15" s="16"/>
      <c r="J15" s="15" t="str">
        <f aca="false">IF(ISBLANK($A15),"",IF(OR(ISBLANK($B15),ISBLANK($C15),ISBLANK($D15),ISBLANK($E15),ISBLANK($F15),ISBLANK($G15),ISBLANK($H15),ISBLANK($I15)),"EKSİK","OK"))</f>
        <v/>
      </c>
    </row>
    <row r="16" customFormat="false" ht="15" hidden="false" customHeight="true" outlineLevel="0" collapsed="false">
      <c r="A16" s="16"/>
      <c r="B16" s="16"/>
      <c r="C16" s="16"/>
      <c r="D16" s="16"/>
      <c r="E16" s="16"/>
      <c r="F16" s="16"/>
      <c r="G16" s="16"/>
      <c r="H16" s="16"/>
      <c r="I16" s="16"/>
      <c r="J16" s="15" t="str">
        <f aca="false">IF(ISBLANK($A16),"",IF(OR(ISBLANK($B16),ISBLANK($C16),ISBLANK($D16),ISBLANK($E16),ISBLANK($F16),ISBLANK($G16),ISBLANK($H16),ISBLANK($I16)),"EKSİK","OK"))</f>
        <v/>
      </c>
    </row>
    <row r="17" customFormat="false" ht="15" hidden="false" customHeight="true" outlineLevel="0" collapsed="false">
      <c r="A17" s="16"/>
      <c r="B17" s="16"/>
      <c r="C17" s="16"/>
      <c r="D17" s="16"/>
      <c r="E17" s="16"/>
      <c r="F17" s="16"/>
      <c r="G17" s="16"/>
      <c r="H17" s="16"/>
      <c r="I17" s="16"/>
      <c r="J17" s="15" t="str">
        <f aca="false">IF(ISBLANK($A17),"",IF(OR(ISBLANK($B17),ISBLANK($C17),ISBLANK($D17),ISBLANK($E17),ISBLANK($F17),ISBLANK($G17),ISBLANK($H17),ISBLANK($I17)),"EKSİK","OK"))</f>
        <v/>
      </c>
    </row>
    <row r="18" customFormat="false" ht="15" hidden="false" customHeight="true" outlineLevel="0" collapsed="false">
      <c r="A18" s="16"/>
      <c r="B18" s="16"/>
      <c r="C18" s="16"/>
      <c r="D18" s="16"/>
      <c r="E18" s="16"/>
      <c r="F18" s="16"/>
      <c r="G18" s="16"/>
      <c r="H18" s="16"/>
      <c r="I18" s="16"/>
      <c r="J18" s="15" t="str">
        <f aca="false">IF(ISBLANK($A18),"",IF(OR(ISBLANK($B18),ISBLANK($C18),ISBLANK($D18),ISBLANK($E18),ISBLANK($F18),ISBLANK($G18),ISBLANK($H18),ISBLANK($I18)),"EKSİK","OK"))</f>
        <v/>
      </c>
    </row>
    <row r="19" customFormat="false" ht="15" hidden="false" customHeight="true" outlineLevel="0" collapsed="false">
      <c r="A19" s="16"/>
      <c r="B19" s="16"/>
      <c r="C19" s="16"/>
      <c r="D19" s="16"/>
      <c r="E19" s="16"/>
      <c r="F19" s="16"/>
      <c r="G19" s="16"/>
      <c r="H19" s="16"/>
      <c r="I19" s="16"/>
      <c r="J19" s="15" t="str">
        <f aca="false">IF(ISBLANK($A19),"",IF(OR(ISBLANK($B19),ISBLANK($C19),ISBLANK($D19),ISBLANK($E19),ISBLANK($F19),ISBLANK($G19),ISBLANK($H19),ISBLANK($I19)),"EKSİK","OK"))</f>
        <v/>
      </c>
    </row>
    <row r="20" customFormat="false" ht="15" hidden="false" customHeight="true" outlineLevel="0" collapsed="false">
      <c r="A20" s="16"/>
      <c r="B20" s="16"/>
      <c r="C20" s="16"/>
      <c r="D20" s="16"/>
      <c r="E20" s="16"/>
      <c r="F20" s="16"/>
      <c r="G20" s="16"/>
      <c r="H20" s="16"/>
      <c r="I20" s="16"/>
      <c r="J20" s="15" t="str">
        <f aca="false">IF(ISBLANK($A20),"",IF(OR(ISBLANK($B20),ISBLANK($C20),ISBLANK($D20),ISBLANK($E20),ISBLANK($F20),ISBLANK($G20),ISBLANK($H20),ISBLANK($I20)),"EKSİK","OK"))</f>
        <v/>
      </c>
    </row>
    <row r="21" customFormat="false" ht="15" hidden="false" customHeight="true" outlineLevel="0" collapsed="false">
      <c r="A21" s="16"/>
      <c r="B21" s="16"/>
      <c r="C21" s="16"/>
      <c r="D21" s="16"/>
      <c r="E21" s="16"/>
      <c r="F21" s="16"/>
      <c r="G21" s="16"/>
      <c r="H21" s="16"/>
      <c r="I21" s="16"/>
      <c r="J21" s="15" t="str">
        <f aca="false">IF(ISBLANK($A21),"",IF(OR(ISBLANK($B21),ISBLANK($C21),ISBLANK($D21),ISBLANK($E21),ISBLANK($F21),ISBLANK($G21),ISBLANK($H21),ISBLANK($I21)),"EKSİK","OK"))</f>
        <v/>
      </c>
    </row>
    <row r="22" customFormat="false" ht="15" hidden="false" customHeight="true" outlineLevel="0" collapsed="false">
      <c r="A22" s="16"/>
      <c r="B22" s="16"/>
      <c r="C22" s="16"/>
      <c r="D22" s="16"/>
      <c r="E22" s="16"/>
      <c r="F22" s="16"/>
      <c r="G22" s="16"/>
      <c r="H22" s="16"/>
      <c r="I22" s="16"/>
      <c r="J22" s="15" t="str">
        <f aca="false">IF(ISBLANK($A22),"",IF(OR(ISBLANK($B22),ISBLANK($C22),ISBLANK($D22),ISBLANK($E22),ISBLANK($F22),ISBLANK($G22),ISBLANK($H22),ISBLANK($I22)),"EKSİK","OK"))</f>
        <v/>
      </c>
    </row>
    <row r="23" customFormat="false" ht="15" hidden="false" customHeight="true" outlineLevel="0" collapsed="false">
      <c r="A23" s="16"/>
      <c r="B23" s="16"/>
      <c r="C23" s="16"/>
      <c r="D23" s="16"/>
      <c r="E23" s="16"/>
      <c r="F23" s="16"/>
      <c r="G23" s="16"/>
      <c r="H23" s="16"/>
      <c r="I23" s="16"/>
      <c r="J23" s="15" t="str">
        <f aca="false">IF(ISBLANK($A23),"",IF(OR(ISBLANK($B23),ISBLANK($C23),ISBLANK($D23),ISBLANK($E23),ISBLANK($F23),ISBLANK($G23),ISBLANK($H23),ISBLANK($I23)),"EKSİK","OK"))</f>
        <v/>
      </c>
    </row>
    <row r="24" customFormat="false" ht="15" hidden="false" customHeight="true" outlineLevel="0" collapsed="false">
      <c r="A24" s="16"/>
      <c r="B24" s="16"/>
      <c r="C24" s="16"/>
      <c r="D24" s="16"/>
      <c r="E24" s="16"/>
      <c r="F24" s="16"/>
      <c r="G24" s="16"/>
      <c r="H24" s="16"/>
      <c r="I24" s="16"/>
      <c r="J24" s="15" t="str">
        <f aca="false">IF(ISBLANK($A24),"",IF(OR(ISBLANK($B24),ISBLANK($C24),ISBLANK($D24),ISBLANK($E24),ISBLANK($F24),ISBLANK($G24),ISBLANK($H24),ISBLANK($I24)),"EKSİK","OK"))</f>
        <v/>
      </c>
    </row>
    <row r="25" customFormat="false" ht="15" hidden="false" customHeight="true" outlineLevel="0" collapsed="false">
      <c r="A25" s="16"/>
      <c r="B25" s="16"/>
      <c r="C25" s="16"/>
      <c r="D25" s="16"/>
      <c r="E25" s="16"/>
      <c r="F25" s="16"/>
      <c r="G25" s="16"/>
      <c r="H25" s="16"/>
      <c r="I25" s="16"/>
      <c r="J25" s="15" t="str">
        <f aca="false">IF(ISBLANK($A25),"",IF(OR(ISBLANK($B25),ISBLANK($C25),ISBLANK($D25),ISBLANK($E25),ISBLANK($F25),ISBLANK($G25),ISBLANK($H25),ISBLANK($I25)),"EKSİK","OK"))</f>
        <v/>
      </c>
    </row>
    <row r="26" customFormat="false" ht="15" hidden="false" customHeight="true" outlineLevel="0" collapsed="false">
      <c r="A26" s="16"/>
      <c r="B26" s="16"/>
      <c r="C26" s="16"/>
      <c r="D26" s="16"/>
      <c r="E26" s="16"/>
      <c r="F26" s="16"/>
      <c r="G26" s="16"/>
      <c r="H26" s="16"/>
      <c r="I26" s="16"/>
      <c r="J26" s="15" t="str">
        <f aca="false">IF(ISBLANK($A26),"",IF(OR(ISBLANK($B26),ISBLANK($C26),ISBLANK($D26),ISBLANK($E26),ISBLANK($F26),ISBLANK($G26),ISBLANK($H26),ISBLANK($I26)),"EKSİK","OK"))</f>
        <v/>
      </c>
    </row>
    <row r="27" customFormat="false" ht="15" hidden="false" customHeight="true" outlineLevel="0" collapsed="false">
      <c r="A27" s="16"/>
      <c r="B27" s="16"/>
      <c r="C27" s="16"/>
      <c r="D27" s="16"/>
      <c r="E27" s="16"/>
      <c r="F27" s="16"/>
      <c r="G27" s="16"/>
      <c r="H27" s="16"/>
      <c r="I27" s="16"/>
      <c r="J27" s="15" t="str">
        <f aca="false">IF(ISBLANK($A27),"",IF(OR(ISBLANK($B27),ISBLANK($C27),ISBLANK($D27),ISBLANK($E27),ISBLANK($F27),ISBLANK($G27),ISBLANK($H27),ISBLANK($I27)),"EKSİK","OK"))</f>
        <v/>
      </c>
    </row>
    <row r="28" customFormat="false" ht="15" hidden="false" customHeight="true" outlineLevel="0" collapsed="false">
      <c r="A28" s="16"/>
      <c r="B28" s="16"/>
      <c r="C28" s="16"/>
      <c r="D28" s="16"/>
      <c r="E28" s="16"/>
      <c r="F28" s="16"/>
      <c r="G28" s="16"/>
      <c r="H28" s="16"/>
      <c r="I28" s="16"/>
      <c r="J28" s="15" t="str">
        <f aca="false">IF(ISBLANK($A28),"",IF(OR(ISBLANK($B28),ISBLANK($C28),ISBLANK($D28),ISBLANK($E28),ISBLANK($F28),ISBLANK($G28),ISBLANK($H28),ISBLANK($I28)),"EKSİK","OK"))</f>
        <v/>
      </c>
    </row>
    <row r="29" customFormat="false" ht="15" hidden="false" customHeight="true" outlineLevel="0" collapsed="false">
      <c r="A29" s="16"/>
      <c r="B29" s="16"/>
      <c r="C29" s="16"/>
      <c r="D29" s="16"/>
      <c r="E29" s="16"/>
      <c r="F29" s="16"/>
      <c r="G29" s="16"/>
      <c r="H29" s="16"/>
      <c r="I29" s="16"/>
      <c r="J29" s="15" t="str">
        <f aca="false">IF(ISBLANK($A29),"",IF(OR(ISBLANK($B29),ISBLANK($C29),ISBLANK($D29),ISBLANK($E29),ISBLANK($F29),ISBLANK($G29),ISBLANK($H29),ISBLANK($I29)),"EKSİK","OK"))</f>
        <v/>
      </c>
    </row>
    <row r="30" customFormat="false" ht="15" hidden="false" customHeight="true" outlineLevel="0" collapsed="false">
      <c r="A30" s="16"/>
      <c r="B30" s="16"/>
      <c r="C30" s="16"/>
      <c r="D30" s="16"/>
      <c r="E30" s="16"/>
      <c r="F30" s="16"/>
      <c r="G30" s="16"/>
      <c r="H30" s="16"/>
      <c r="I30" s="16"/>
      <c r="J30" s="15" t="str">
        <f aca="false">IF(ISBLANK($A30),"",IF(OR(ISBLANK($B30),ISBLANK($C30),ISBLANK($D30),ISBLANK($E30),ISBLANK($F30),ISBLANK($G30),ISBLANK($H30),ISBLANK($I30)),"EKSİK","OK"))</f>
        <v/>
      </c>
    </row>
    <row r="31" customFormat="false" ht="15" hidden="false" customHeight="true" outlineLevel="0" collapsed="false">
      <c r="A31" s="16"/>
      <c r="B31" s="16"/>
      <c r="C31" s="16"/>
      <c r="D31" s="16"/>
      <c r="E31" s="16"/>
      <c r="F31" s="16"/>
      <c r="G31" s="16"/>
      <c r="H31" s="16"/>
      <c r="I31" s="16"/>
      <c r="J31" s="15" t="str">
        <f aca="false">IF(ISBLANK($A31),"",IF(OR(ISBLANK($B31),ISBLANK($C31),ISBLANK($D31),ISBLANK($E31),ISBLANK($F31),ISBLANK($G31),ISBLANK($H31),ISBLANK($I31)),"EKSİK","OK"))</f>
        <v/>
      </c>
    </row>
    <row r="32" customFormat="false" ht="15" hidden="false" customHeight="true" outlineLevel="0" collapsed="false">
      <c r="A32" s="16"/>
      <c r="B32" s="16"/>
      <c r="C32" s="16"/>
      <c r="D32" s="16"/>
      <c r="E32" s="16"/>
      <c r="F32" s="16"/>
      <c r="G32" s="16"/>
      <c r="H32" s="16"/>
      <c r="I32" s="16"/>
      <c r="J32" s="15" t="str">
        <f aca="false">IF(ISBLANK($A32),"",IF(OR(ISBLANK($B32),ISBLANK($C32),ISBLANK($D32),ISBLANK($E32),ISBLANK($F32),ISBLANK($G32),ISBLANK($H32),ISBLANK($I32)),"EKSİK","OK"))</f>
        <v/>
      </c>
    </row>
    <row r="33" customFormat="false" ht="15" hidden="false" customHeight="true" outlineLevel="0" collapsed="false">
      <c r="A33" s="16"/>
      <c r="B33" s="16"/>
      <c r="C33" s="16"/>
      <c r="D33" s="16"/>
      <c r="E33" s="16"/>
      <c r="F33" s="16"/>
      <c r="G33" s="16"/>
      <c r="H33" s="16"/>
      <c r="I33" s="16"/>
      <c r="J33" s="15" t="str">
        <f aca="false">IF(ISBLANK($A33),"",IF(OR(ISBLANK($B33),ISBLANK($C33),ISBLANK($D33),ISBLANK($E33),ISBLANK($F33),ISBLANK($G33),ISBLANK($H33),ISBLANK($I33)),"EKSİK","OK"))</f>
        <v/>
      </c>
    </row>
    <row r="34" customFormat="false" ht="15" hidden="false" customHeight="true" outlineLevel="0" collapsed="false">
      <c r="A34" s="16"/>
      <c r="B34" s="16"/>
      <c r="C34" s="16"/>
      <c r="D34" s="16"/>
      <c r="E34" s="16"/>
      <c r="F34" s="16"/>
      <c r="G34" s="16"/>
      <c r="H34" s="16"/>
      <c r="I34" s="16"/>
      <c r="J34" s="15" t="str">
        <f aca="false">IF(ISBLANK($A34),"",IF(OR(ISBLANK($B34),ISBLANK($C34),ISBLANK($D34),ISBLANK($E34),ISBLANK($F34),ISBLANK($G34),ISBLANK($H34),ISBLANK($I34)),"EKSİK","OK"))</f>
        <v/>
      </c>
    </row>
    <row r="35" customFormat="false" ht="15" hidden="false" customHeight="true" outlineLevel="0" collapsed="false">
      <c r="A35" s="16"/>
      <c r="B35" s="16"/>
      <c r="C35" s="16"/>
      <c r="D35" s="16"/>
      <c r="E35" s="16"/>
      <c r="F35" s="16"/>
      <c r="G35" s="16"/>
      <c r="H35" s="16"/>
      <c r="I35" s="16"/>
      <c r="J35" s="15" t="str">
        <f aca="false">IF(ISBLANK($A35),"",IF(OR(ISBLANK($B35),ISBLANK($C35),ISBLANK($D35),ISBLANK($E35),ISBLANK($F35),ISBLANK($G35),ISBLANK($H35),ISBLANK($I35)),"EKSİK","OK"))</f>
        <v/>
      </c>
    </row>
  </sheetData>
  <sheetProtection sheet="true" password="cc3d" objects="true" scenarios="true" deleteColumns="false" deleteRows="false"/>
  <mergeCells count="1">
    <mergeCell ref="A1:AN1"/>
  </mergeCells>
  <conditionalFormatting sqref="F6:F1000">
    <cfRule type="cellIs" priority="2" operator="lessThan" aboveAverage="0" equalAverage="0" bottom="0" percent="0" rank="0" text="" dxfId="9">
      <formula>0</formula>
    </cfRule>
  </conditionalFormatting>
  <conditionalFormatting sqref="I6:I1000">
    <cfRule type="cellIs" priority="3" operator="lessThan" aboveAverage="0" equalAverage="0" bottom="0" percent="0" rank="0" text="" dxfId="12">
      <formula>0</formula>
    </cfRule>
  </conditionalFormatting>
  <conditionalFormatting sqref="J6:J1000">
    <cfRule type="cellIs" priority="4" operator="equal" aboveAverage="0" equalAverage="0" bottom="0" percent="0" rank="0" text="" dxfId="9">
      <formula>"EKSİK"</formula>
    </cfRule>
    <cfRule type="cellIs" priority="5" operator="equal" aboveAverage="0" equalAverage="0" bottom="0" percent="0" rank="0" text="" dxfId="8">
      <formula>"OK"</formula>
    </cfRule>
  </conditionalFormatting>
  <dataValidations count="2">
    <dataValidation allowBlank="true" error="Lütfen listeden bir teminat türü seçin." errorStyle="stop" errorTitle="Geçersiz Tür" operator="between" prompt="Listeden teminat türünü seçin." promptTitle="Teminat Türü" showDropDown="false" showErrorMessage="true" showInputMessage="true" sqref="D6:D1000" type="list">
      <formula1>ListeTeminatTuru</formula1>
      <formula2>0</formula2>
    </dataValidation>
    <dataValidation allowBlank="true" error="Lütfen geçerli bir para birimi girin." errorStyle="stop" errorTitle="Geçersiz Birim" operator="between" prompt="TRY, USD veya EUR seçin." promptTitle="Para Birimi" showDropDown="false" showErrorMessage="true" showInputMessage="true" sqref="G6:G1000" type="list">
      <formula1>ListeParaBirimi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5"/>
    <col collapsed="false" customWidth="true" hidden="false" outlineLevel="0" max="3" min="3" style="1" width="24"/>
    <col collapsed="false" customWidth="true" hidden="false" outlineLevel="0" max="4" min="4" style="1" width="14"/>
    <col collapsed="false" customWidth="true" hidden="false" outlineLevel="0" max="5" min="5" style="1" width="13"/>
    <col collapsed="false" customWidth="true" hidden="false" outlineLevel="0" max="6" min="6" style="1" width="10"/>
    <col collapsed="false" customWidth="true" hidden="false" outlineLevel="0" max="7" min="7" style="1" width="13"/>
    <col collapsed="false" customWidth="true" hidden="false" outlineLevel="0" max="9" min="8" style="1" width="15"/>
    <col collapsed="false" customWidth="true" hidden="false" outlineLevel="0" max="10" min="10" style="1" width="18"/>
    <col collapsed="false" customWidth="true" hidden="false" outlineLevel="0" max="11" min="11" style="1" width="10"/>
  </cols>
  <sheetData>
    <row r="1" customFormat="false" ht="25.5" hidden="false" customHeight="true" outlineLevel="0" collapsed="false">
      <c r="A1" s="2" t="s">
        <v>147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</row>
    <row r="3" customFormat="false" ht="135.75" hidden="false" customHeight="true" outlineLevel="0" collapsed="false">
      <c r="A3" s="11" t="s">
        <v>148</v>
      </c>
    </row>
    <row r="5" customFormat="false" ht="30" hidden="false" customHeight="true" outlineLevel="0" collapsed="false">
      <c r="A5" s="12" t="s">
        <v>149</v>
      </c>
      <c r="B5" s="12" t="s">
        <v>150</v>
      </c>
      <c r="C5" s="12" t="s">
        <v>26</v>
      </c>
      <c r="D5" s="12" t="s">
        <v>122</v>
      </c>
      <c r="E5" s="12" t="s">
        <v>64</v>
      </c>
      <c r="F5" s="12" t="s">
        <v>86</v>
      </c>
      <c r="G5" s="12" t="s">
        <v>151</v>
      </c>
      <c r="H5" s="12" t="s">
        <v>152</v>
      </c>
      <c r="I5" s="12" t="s">
        <v>87</v>
      </c>
      <c r="J5" s="12" t="s">
        <v>153</v>
      </c>
      <c r="K5" s="12" t="s">
        <v>33</v>
      </c>
    </row>
    <row r="6" customFormat="false" ht="15" hidden="false" customHeight="true" outlineLevel="0" collapsed="false">
      <c r="A6" s="13" t="s">
        <v>154</v>
      </c>
      <c r="B6" s="13" t="s">
        <v>90</v>
      </c>
      <c r="C6" s="13" t="s">
        <v>155</v>
      </c>
      <c r="D6" s="17" t="n">
        <v>8600000</v>
      </c>
      <c r="E6" s="13" t="s">
        <v>71</v>
      </c>
      <c r="F6" s="14" t="n">
        <v>30</v>
      </c>
      <c r="G6" s="21" t="n">
        <v>0.36</v>
      </c>
      <c r="H6" s="17" t="n">
        <v>180000</v>
      </c>
      <c r="I6" s="18" t="n">
        <f aca="false">IF(ISBLANK($A6),"",IF($D6="","",ROUND($D6/MAX(1,$F6),0)))</f>
        <v>286667</v>
      </c>
      <c r="J6" s="18" t="n">
        <f aca="false">IF(ISBLANK($A6),"",IF($D6="","",$D6+$H6))</f>
        <v>8780000</v>
      </c>
      <c r="K6" s="15" t="str">
        <f aca="false">IF(ISBLANK($A6),"",IF(OR(ISBLANK($B6),ISBLANK($C6),ISBLANK($D6),ISBLANK($E6),ISBLANK($F6),ISBLANK($G6),ISBLANK($H6)),"EKSİK","OK"))</f>
        <v>OK</v>
      </c>
    </row>
    <row r="7" customFormat="false" ht="15" hidden="false" customHeight="true" outlineLevel="0" collapsed="false">
      <c r="A7" s="13" t="s">
        <v>156</v>
      </c>
      <c r="B7" s="13" t="s">
        <v>92</v>
      </c>
      <c r="C7" s="13" t="s">
        <v>157</v>
      </c>
      <c r="D7" s="17" t="n">
        <v>6200000</v>
      </c>
      <c r="E7" s="13" t="s">
        <v>71</v>
      </c>
      <c r="F7" s="14" t="n">
        <v>42</v>
      </c>
      <c r="G7" s="21" t="n">
        <v>0.34</v>
      </c>
      <c r="H7" s="17" t="n">
        <v>160000</v>
      </c>
      <c r="I7" s="18" t="n">
        <f aca="false">IF(ISBLANK($A7),"",IF($D7="","",ROUND($D7/MAX(1,$F7),0)))</f>
        <v>147619</v>
      </c>
      <c r="J7" s="18" t="n">
        <f aca="false">IF(ISBLANK($A7),"",IF($D7="","",$D7+$H7))</f>
        <v>6360000</v>
      </c>
      <c r="K7" s="15" t="str">
        <f aca="false">IF(ISBLANK($A7),"",IF(OR(ISBLANK($B7),ISBLANK($C7),ISBLANK($D7),ISBLANK($E7),ISBLANK($F7),ISBLANK($G7),ISBLANK($H7)),"EKSİK","OK"))</f>
        <v>OK</v>
      </c>
    </row>
    <row r="8" customFormat="false" ht="15" hidden="false" customHeight="true" outlineLevel="0" collapsed="false">
      <c r="A8" s="13" t="s">
        <v>158</v>
      </c>
      <c r="B8" s="13" t="s">
        <v>94</v>
      </c>
      <c r="C8" s="13" t="s">
        <v>159</v>
      </c>
      <c r="D8" s="17" t="n">
        <v>190000</v>
      </c>
      <c r="E8" s="13" t="s">
        <v>76</v>
      </c>
      <c r="F8" s="14" t="n">
        <v>24</v>
      </c>
      <c r="G8" s="21" t="n">
        <v>0.085</v>
      </c>
      <c r="H8" s="17" t="n">
        <v>6000</v>
      </c>
      <c r="I8" s="18" t="n">
        <f aca="false">IF(ISBLANK($A8),"",IF($D8="","",ROUND($D8/MAX(1,$F8),0)))</f>
        <v>7917</v>
      </c>
      <c r="J8" s="18" t="n">
        <f aca="false">IF(ISBLANK($A8),"",IF($D8="","",$D8+$H8))</f>
        <v>196000</v>
      </c>
      <c r="K8" s="15" t="str">
        <f aca="false">IF(ISBLANK($A8),"",IF(OR(ISBLANK($B8),ISBLANK($C8),ISBLANK($D8),ISBLANK($E8),ISBLANK($F8),ISBLANK($G8),ISBLANK($H8)),"EKSİK","OK"))</f>
        <v>OK</v>
      </c>
    </row>
    <row r="9" customFormat="false" ht="15" hidden="false" customHeight="true" outlineLevel="0" collapsed="false">
      <c r="A9" s="16"/>
      <c r="B9" s="16"/>
      <c r="C9" s="16"/>
      <c r="D9" s="16"/>
      <c r="E9" s="16"/>
      <c r="F9" s="16"/>
      <c r="G9" s="16"/>
      <c r="H9" s="16"/>
      <c r="I9" s="18" t="str">
        <f aca="false">IF(ISBLANK($A9),"",IF($D9="","",ROUND($D9/MAX(1,$F9),0)))</f>
        <v/>
      </c>
      <c r="J9" s="18" t="str">
        <f aca="false">IF(ISBLANK($A9),"",IF($D9="","",$D9+$H9))</f>
        <v/>
      </c>
      <c r="K9" s="15" t="str">
        <f aca="false">IF(ISBLANK($A9),"",IF(OR(ISBLANK($B9),ISBLANK($C9),ISBLANK($D9),ISBLANK($E9),ISBLANK($F9),ISBLANK($G9),ISBLANK($H9)),"EKSİK","OK"))</f>
        <v/>
      </c>
    </row>
    <row r="10" customFormat="false" ht="15" hidden="false" customHeight="true" outlineLevel="0" collapsed="false">
      <c r="A10" s="16"/>
      <c r="B10" s="16"/>
      <c r="C10" s="16"/>
      <c r="D10" s="16"/>
      <c r="E10" s="16"/>
      <c r="F10" s="16"/>
      <c r="G10" s="16"/>
      <c r="H10" s="16"/>
      <c r="I10" s="18" t="str">
        <f aca="false">IF(ISBLANK($A10),"",IF($D10="","",ROUND($D10/MAX(1,$F10),0)))</f>
        <v/>
      </c>
      <c r="J10" s="18" t="str">
        <f aca="false">IF(ISBLANK($A10),"",IF($D10="","",$D10+$H10))</f>
        <v/>
      </c>
      <c r="K10" s="15" t="str">
        <f aca="false">IF(ISBLANK($A10),"",IF(OR(ISBLANK($B10),ISBLANK($C10),ISBLANK($D10),ISBLANK($E10),ISBLANK($F10),ISBLANK($G10),ISBLANK($H10)),"EKSİK","OK"))</f>
        <v/>
      </c>
    </row>
    <row r="11" customFormat="false" ht="15" hidden="false" customHeight="true" outlineLevel="0" collapsed="false">
      <c r="A11" s="16"/>
      <c r="B11" s="16"/>
      <c r="C11" s="16"/>
      <c r="D11" s="16"/>
      <c r="E11" s="16"/>
      <c r="F11" s="16"/>
      <c r="G11" s="16"/>
      <c r="H11" s="16"/>
      <c r="I11" s="18" t="str">
        <f aca="false">IF(ISBLANK($A11),"",IF($D11="","",ROUND($D11/MAX(1,$F11),0)))</f>
        <v/>
      </c>
      <c r="J11" s="18" t="str">
        <f aca="false">IF(ISBLANK($A11),"",IF($D11="","",$D11+$H11))</f>
        <v/>
      </c>
      <c r="K11" s="15" t="str">
        <f aca="false">IF(ISBLANK($A11),"",IF(OR(ISBLANK($B11),ISBLANK($C11),ISBLANK($D11),ISBLANK($E11),ISBLANK($F11),ISBLANK($G11),ISBLANK($H11)),"EKSİK","OK"))</f>
        <v/>
      </c>
    </row>
    <row r="12" customFormat="false" ht="15" hidden="false" customHeight="true" outlineLevel="0" collapsed="false">
      <c r="A12" s="16"/>
      <c r="B12" s="16"/>
      <c r="C12" s="16"/>
      <c r="D12" s="16"/>
      <c r="E12" s="16"/>
      <c r="F12" s="16"/>
      <c r="G12" s="16"/>
      <c r="H12" s="16"/>
      <c r="I12" s="18" t="str">
        <f aca="false">IF(ISBLANK($A12),"",IF($D12="","",ROUND($D12/MAX(1,$F12),0)))</f>
        <v/>
      </c>
      <c r="J12" s="18" t="str">
        <f aca="false">IF(ISBLANK($A12),"",IF($D12="","",$D12+$H12))</f>
        <v/>
      </c>
      <c r="K12" s="15" t="str">
        <f aca="false">IF(ISBLANK($A12),"",IF(OR(ISBLANK($B12),ISBLANK($C12),ISBLANK($D12),ISBLANK($E12),ISBLANK($F12),ISBLANK($G12),ISBLANK($H12)),"EKSİK","OK"))</f>
        <v/>
      </c>
    </row>
    <row r="13" customFormat="false" ht="15" hidden="false" customHeight="true" outlineLevel="0" collapsed="false">
      <c r="A13" s="16"/>
      <c r="B13" s="16"/>
      <c r="C13" s="16"/>
      <c r="D13" s="16"/>
      <c r="E13" s="16"/>
      <c r="F13" s="16"/>
      <c r="G13" s="16"/>
      <c r="H13" s="16"/>
      <c r="I13" s="18" t="str">
        <f aca="false">IF(ISBLANK($A13),"",IF($D13="","",ROUND($D13/MAX(1,$F13),0)))</f>
        <v/>
      </c>
      <c r="J13" s="18" t="str">
        <f aca="false">IF(ISBLANK($A13),"",IF($D13="","",$D13+$H13))</f>
        <v/>
      </c>
      <c r="K13" s="15" t="str">
        <f aca="false">IF(ISBLANK($A13),"",IF(OR(ISBLANK($B13),ISBLANK($C13),ISBLANK($D13),ISBLANK($E13),ISBLANK($F13),ISBLANK($G13),ISBLANK($H13)),"EKSİK","OK"))</f>
        <v/>
      </c>
    </row>
    <row r="14" customFormat="false" ht="15" hidden="false" customHeight="true" outlineLevel="0" collapsed="false">
      <c r="A14" s="16"/>
      <c r="B14" s="16"/>
      <c r="C14" s="16"/>
      <c r="D14" s="16"/>
      <c r="E14" s="16"/>
      <c r="F14" s="16"/>
      <c r="G14" s="16"/>
      <c r="H14" s="16"/>
      <c r="I14" s="18" t="str">
        <f aca="false">IF(ISBLANK($A14),"",IF($D14="","",ROUND($D14/MAX(1,$F14),0)))</f>
        <v/>
      </c>
      <c r="J14" s="18" t="str">
        <f aca="false">IF(ISBLANK($A14),"",IF($D14="","",$D14+$H14))</f>
        <v/>
      </c>
      <c r="K14" s="15" t="str">
        <f aca="false">IF(ISBLANK($A14),"",IF(OR(ISBLANK($B14),ISBLANK($C14),ISBLANK($D14),ISBLANK($E14),ISBLANK($F14),ISBLANK($G14),ISBLANK($H14)),"EKSİK","OK"))</f>
        <v/>
      </c>
    </row>
    <row r="15" customFormat="false" ht="15" hidden="false" customHeight="true" outlineLevel="0" collapsed="false">
      <c r="A15" s="16"/>
      <c r="B15" s="16"/>
      <c r="C15" s="16"/>
      <c r="D15" s="16"/>
      <c r="E15" s="16"/>
      <c r="F15" s="16"/>
      <c r="G15" s="16"/>
      <c r="H15" s="16"/>
      <c r="I15" s="18" t="str">
        <f aca="false">IF(ISBLANK($A15),"",IF($D15="","",ROUND($D15/MAX(1,$F15),0)))</f>
        <v/>
      </c>
      <c r="J15" s="18" t="str">
        <f aca="false">IF(ISBLANK($A15),"",IF($D15="","",$D15+$H15))</f>
        <v/>
      </c>
      <c r="K15" s="15" t="str">
        <f aca="false">IF(ISBLANK($A15),"",IF(OR(ISBLANK($B15),ISBLANK($C15),ISBLANK($D15),ISBLANK($E15),ISBLANK($F15),ISBLANK($G15),ISBLANK($H15)),"EKSİK","OK"))</f>
        <v/>
      </c>
    </row>
    <row r="16" customFormat="false" ht="15" hidden="false" customHeight="true" outlineLevel="0" collapsed="false">
      <c r="A16" s="16"/>
      <c r="B16" s="16"/>
      <c r="C16" s="16"/>
      <c r="D16" s="16"/>
      <c r="E16" s="16"/>
      <c r="F16" s="16"/>
      <c r="G16" s="16"/>
      <c r="H16" s="16"/>
      <c r="I16" s="18" t="str">
        <f aca="false">IF(ISBLANK($A16),"",IF($D16="","",ROUND($D16/MAX(1,$F16),0)))</f>
        <v/>
      </c>
      <c r="J16" s="18" t="str">
        <f aca="false">IF(ISBLANK($A16),"",IF($D16="","",$D16+$H16))</f>
        <v/>
      </c>
      <c r="K16" s="15" t="str">
        <f aca="false">IF(ISBLANK($A16),"",IF(OR(ISBLANK($B16),ISBLANK($C16),ISBLANK($D16),ISBLANK($E16),ISBLANK($F16),ISBLANK($G16),ISBLANK($H16)),"EKSİK","OK"))</f>
        <v/>
      </c>
    </row>
    <row r="17" customFormat="false" ht="15" hidden="false" customHeight="true" outlineLevel="0" collapsed="false">
      <c r="A17" s="16"/>
      <c r="B17" s="16"/>
      <c r="C17" s="16"/>
      <c r="D17" s="16"/>
      <c r="E17" s="16"/>
      <c r="F17" s="16"/>
      <c r="G17" s="16"/>
      <c r="H17" s="16"/>
      <c r="I17" s="18" t="str">
        <f aca="false">IF(ISBLANK($A17),"",IF($D17="","",ROUND($D17/MAX(1,$F17),0)))</f>
        <v/>
      </c>
      <c r="J17" s="18" t="str">
        <f aca="false">IF(ISBLANK($A17),"",IF($D17="","",$D17+$H17))</f>
        <v/>
      </c>
      <c r="K17" s="15" t="str">
        <f aca="false">IF(ISBLANK($A17),"",IF(OR(ISBLANK($B17),ISBLANK($C17),ISBLANK($D17),ISBLANK($E17),ISBLANK($F17),ISBLANK($G17),ISBLANK($H17)),"EKSİK","OK"))</f>
        <v/>
      </c>
    </row>
    <row r="18" customFormat="false" ht="15" hidden="false" customHeight="true" outlineLevel="0" collapsed="false">
      <c r="A18" s="16"/>
      <c r="B18" s="16"/>
      <c r="C18" s="16"/>
      <c r="D18" s="16"/>
      <c r="E18" s="16"/>
      <c r="F18" s="16"/>
      <c r="G18" s="16"/>
      <c r="H18" s="16"/>
      <c r="I18" s="18" t="str">
        <f aca="false">IF(ISBLANK($A18),"",IF($D18="","",ROUND($D18/MAX(1,$F18),0)))</f>
        <v/>
      </c>
      <c r="J18" s="18" t="str">
        <f aca="false">IF(ISBLANK($A18),"",IF($D18="","",$D18+$H18))</f>
        <v/>
      </c>
      <c r="K18" s="15" t="str">
        <f aca="false">IF(ISBLANK($A18),"",IF(OR(ISBLANK($B18),ISBLANK($C18),ISBLANK($D18),ISBLANK($E18),ISBLANK($F18),ISBLANK($G18),ISBLANK($H18)),"EKSİK","OK"))</f>
        <v/>
      </c>
    </row>
    <row r="19" customFormat="false" ht="15" hidden="false" customHeight="true" outlineLevel="0" collapsed="false">
      <c r="A19" s="16"/>
      <c r="B19" s="16"/>
      <c r="C19" s="16"/>
      <c r="D19" s="16"/>
      <c r="E19" s="16"/>
      <c r="F19" s="16"/>
      <c r="G19" s="16"/>
      <c r="H19" s="16"/>
      <c r="I19" s="18" t="str">
        <f aca="false">IF(ISBLANK($A19),"",IF($D19="","",ROUND($D19/MAX(1,$F19),0)))</f>
        <v/>
      </c>
      <c r="J19" s="18" t="str">
        <f aca="false">IF(ISBLANK($A19),"",IF($D19="","",$D19+$H19))</f>
        <v/>
      </c>
      <c r="K19" s="15" t="str">
        <f aca="false">IF(ISBLANK($A19),"",IF(OR(ISBLANK($B19),ISBLANK($C19),ISBLANK($D19),ISBLANK($E19),ISBLANK($F19),ISBLANK($G19),ISBLANK($H19)),"EKSİK","OK"))</f>
        <v/>
      </c>
    </row>
    <row r="20" customFormat="false" ht="15" hidden="false" customHeight="true" outlineLevel="0" collapsed="false">
      <c r="A20" s="16"/>
      <c r="B20" s="16"/>
      <c r="C20" s="16"/>
      <c r="D20" s="16"/>
      <c r="E20" s="16"/>
      <c r="F20" s="16"/>
      <c r="G20" s="16"/>
      <c r="H20" s="16"/>
      <c r="I20" s="18" t="str">
        <f aca="false">IF(ISBLANK($A20),"",IF($D20="","",ROUND($D20/MAX(1,$F20),0)))</f>
        <v/>
      </c>
      <c r="J20" s="18" t="str">
        <f aca="false">IF(ISBLANK($A20),"",IF($D20="","",$D20+$H20))</f>
        <v/>
      </c>
      <c r="K20" s="15" t="str">
        <f aca="false">IF(ISBLANK($A20),"",IF(OR(ISBLANK($B20),ISBLANK($C20),ISBLANK($D20),ISBLANK($E20),ISBLANK($F20),ISBLANK($G20),ISBLANK($H20)),"EKSİK","OK"))</f>
        <v/>
      </c>
    </row>
    <row r="21" customFormat="false" ht="15" hidden="false" customHeight="true" outlineLevel="0" collapsed="false">
      <c r="A21" s="16"/>
      <c r="B21" s="16"/>
      <c r="C21" s="16"/>
      <c r="D21" s="16"/>
      <c r="E21" s="16"/>
      <c r="F21" s="16"/>
      <c r="G21" s="16"/>
      <c r="H21" s="16"/>
      <c r="I21" s="18" t="str">
        <f aca="false">IF(ISBLANK($A21),"",IF($D21="","",ROUND($D21/MAX(1,$F21),0)))</f>
        <v/>
      </c>
      <c r="J21" s="18" t="str">
        <f aca="false">IF(ISBLANK($A21),"",IF($D21="","",$D21+$H21))</f>
        <v/>
      </c>
      <c r="K21" s="15" t="str">
        <f aca="false">IF(ISBLANK($A21),"",IF(OR(ISBLANK($B21),ISBLANK($C21),ISBLANK($D21),ISBLANK($E21),ISBLANK($F21),ISBLANK($G21),ISBLANK($H21)),"EKSİK","OK"))</f>
        <v/>
      </c>
    </row>
    <row r="22" customFormat="false" ht="15" hidden="false" customHeight="true" outlineLevel="0" collapsed="false">
      <c r="A22" s="16"/>
      <c r="B22" s="16"/>
      <c r="C22" s="16"/>
      <c r="D22" s="16"/>
      <c r="E22" s="16"/>
      <c r="F22" s="16"/>
      <c r="G22" s="16"/>
      <c r="H22" s="16"/>
      <c r="I22" s="18" t="str">
        <f aca="false">IF(ISBLANK($A22),"",IF($D22="","",ROUND($D22/MAX(1,$F22),0)))</f>
        <v/>
      </c>
      <c r="J22" s="18" t="str">
        <f aca="false">IF(ISBLANK($A22),"",IF($D22="","",$D22+$H22))</f>
        <v/>
      </c>
      <c r="K22" s="15" t="str">
        <f aca="false">IF(ISBLANK($A22),"",IF(OR(ISBLANK($B22),ISBLANK($C22),ISBLANK($D22),ISBLANK($E22),ISBLANK($F22),ISBLANK($G22),ISBLANK($H22)),"EKSİK","OK"))</f>
        <v/>
      </c>
    </row>
    <row r="23" customFormat="false" ht="15" hidden="false" customHeight="true" outlineLevel="0" collapsed="false">
      <c r="A23" s="16"/>
      <c r="B23" s="16"/>
      <c r="C23" s="16"/>
      <c r="D23" s="16"/>
      <c r="E23" s="16"/>
      <c r="F23" s="16"/>
      <c r="G23" s="16"/>
      <c r="H23" s="16"/>
      <c r="I23" s="18" t="str">
        <f aca="false">IF(ISBLANK($A23),"",IF($D23="","",ROUND($D23/MAX(1,$F23),0)))</f>
        <v/>
      </c>
      <c r="J23" s="18" t="str">
        <f aca="false">IF(ISBLANK($A23),"",IF($D23="","",$D23+$H23))</f>
        <v/>
      </c>
      <c r="K23" s="15" t="str">
        <f aca="false">IF(ISBLANK($A23),"",IF(OR(ISBLANK($B23),ISBLANK($C23),ISBLANK($D23),ISBLANK($E23),ISBLANK($F23),ISBLANK($G23),ISBLANK($H23)),"EKSİK","OK"))</f>
        <v/>
      </c>
    </row>
    <row r="24" customFormat="false" ht="15" hidden="false" customHeight="true" outlineLevel="0" collapsed="false">
      <c r="A24" s="16"/>
      <c r="B24" s="16"/>
      <c r="C24" s="16"/>
      <c r="D24" s="16"/>
      <c r="E24" s="16"/>
      <c r="F24" s="16"/>
      <c r="G24" s="16"/>
      <c r="H24" s="16"/>
      <c r="I24" s="18" t="str">
        <f aca="false">IF(ISBLANK($A24),"",IF($D24="","",ROUND($D24/MAX(1,$F24),0)))</f>
        <v/>
      </c>
      <c r="J24" s="18" t="str">
        <f aca="false">IF(ISBLANK($A24),"",IF($D24="","",$D24+$H24))</f>
        <v/>
      </c>
      <c r="K24" s="15" t="str">
        <f aca="false">IF(ISBLANK($A24),"",IF(OR(ISBLANK($B24),ISBLANK($C24),ISBLANK($D24),ISBLANK($E24),ISBLANK($F24),ISBLANK($G24),ISBLANK($H24)),"EKSİK","OK"))</f>
        <v/>
      </c>
    </row>
    <row r="25" customFormat="false" ht="15" hidden="false" customHeight="true" outlineLevel="0" collapsed="false">
      <c r="A25" s="16"/>
      <c r="B25" s="16"/>
      <c r="C25" s="16"/>
      <c r="D25" s="16"/>
      <c r="E25" s="16"/>
      <c r="F25" s="16"/>
      <c r="G25" s="16"/>
      <c r="H25" s="16"/>
      <c r="I25" s="18" t="str">
        <f aca="false">IF(ISBLANK($A25),"",IF($D25="","",ROUND($D25/MAX(1,$F25),0)))</f>
        <v/>
      </c>
      <c r="J25" s="18" t="str">
        <f aca="false">IF(ISBLANK($A25),"",IF($D25="","",$D25+$H25))</f>
        <v/>
      </c>
      <c r="K25" s="15" t="str">
        <f aca="false">IF(ISBLANK($A25),"",IF(OR(ISBLANK($B25),ISBLANK($C25),ISBLANK($D25),ISBLANK($E25),ISBLANK($F25),ISBLANK($G25),ISBLANK($H25)),"EKSİK","OK"))</f>
        <v/>
      </c>
    </row>
    <row r="26" customFormat="false" ht="15" hidden="false" customHeight="true" outlineLevel="0" collapsed="false">
      <c r="A26" s="16"/>
      <c r="B26" s="16"/>
      <c r="C26" s="16"/>
      <c r="D26" s="16"/>
      <c r="E26" s="16"/>
      <c r="F26" s="16"/>
      <c r="G26" s="16"/>
      <c r="H26" s="16"/>
      <c r="I26" s="18" t="str">
        <f aca="false">IF(ISBLANK($A26),"",IF($D26="","",ROUND($D26/MAX(1,$F26),0)))</f>
        <v/>
      </c>
      <c r="J26" s="18" t="str">
        <f aca="false">IF(ISBLANK($A26),"",IF($D26="","",$D26+$H26))</f>
        <v/>
      </c>
      <c r="K26" s="15" t="str">
        <f aca="false">IF(ISBLANK($A26),"",IF(OR(ISBLANK($B26),ISBLANK($C26),ISBLANK($D26),ISBLANK($E26),ISBLANK($F26),ISBLANK($G26),ISBLANK($H26)),"EKSİK","OK"))</f>
        <v/>
      </c>
    </row>
    <row r="27" customFormat="false" ht="15" hidden="false" customHeight="true" outlineLevel="0" collapsed="false">
      <c r="A27" s="16"/>
      <c r="B27" s="16"/>
      <c r="C27" s="16"/>
      <c r="D27" s="16"/>
      <c r="E27" s="16"/>
      <c r="F27" s="16"/>
      <c r="G27" s="16"/>
      <c r="H27" s="16"/>
      <c r="I27" s="18" t="str">
        <f aca="false">IF(ISBLANK($A27),"",IF($D27="","",ROUND($D27/MAX(1,$F27),0)))</f>
        <v/>
      </c>
      <c r="J27" s="18" t="str">
        <f aca="false">IF(ISBLANK($A27),"",IF($D27="","",$D27+$H27))</f>
        <v/>
      </c>
      <c r="K27" s="15" t="str">
        <f aca="false">IF(ISBLANK($A27),"",IF(OR(ISBLANK($B27),ISBLANK($C27),ISBLANK($D27),ISBLANK($E27),ISBLANK($F27),ISBLANK($G27),ISBLANK($H27)),"EKSİK","OK"))</f>
        <v/>
      </c>
    </row>
    <row r="28" customFormat="false" ht="15" hidden="false" customHeight="true" outlineLevel="0" collapsed="false">
      <c r="A28" s="16"/>
      <c r="B28" s="16"/>
      <c r="C28" s="16"/>
      <c r="D28" s="16"/>
      <c r="E28" s="16"/>
      <c r="F28" s="16"/>
      <c r="G28" s="16"/>
      <c r="H28" s="16"/>
      <c r="I28" s="18" t="str">
        <f aca="false">IF(ISBLANK($A28),"",IF($D28="","",ROUND($D28/MAX(1,$F28),0)))</f>
        <v/>
      </c>
      <c r="J28" s="18" t="str">
        <f aca="false">IF(ISBLANK($A28),"",IF($D28="","",$D28+$H28))</f>
        <v/>
      </c>
      <c r="K28" s="15" t="str">
        <f aca="false">IF(ISBLANK($A28),"",IF(OR(ISBLANK($B28),ISBLANK($C28),ISBLANK($D28),ISBLANK($E28),ISBLANK($F28),ISBLANK($G28),ISBLANK($H28)),"EKSİK","OK"))</f>
        <v/>
      </c>
    </row>
    <row r="29" customFormat="false" ht="15" hidden="false" customHeight="true" outlineLevel="0" collapsed="false">
      <c r="A29" s="16"/>
      <c r="B29" s="16"/>
      <c r="C29" s="16"/>
      <c r="D29" s="16"/>
      <c r="E29" s="16"/>
      <c r="F29" s="16"/>
      <c r="G29" s="16"/>
      <c r="H29" s="16"/>
      <c r="I29" s="18" t="str">
        <f aca="false">IF(ISBLANK($A29),"",IF($D29="","",ROUND($D29/MAX(1,$F29),0)))</f>
        <v/>
      </c>
      <c r="J29" s="18" t="str">
        <f aca="false">IF(ISBLANK($A29),"",IF($D29="","",$D29+$H29))</f>
        <v/>
      </c>
      <c r="K29" s="15" t="str">
        <f aca="false">IF(ISBLANK($A29),"",IF(OR(ISBLANK($B29),ISBLANK($C29),ISBLANK($D29),ISBLANK($E29),ISBLANK($F29),ISBLANK($G29),ISBLANK($H29)),"EKSİK","OK"))</f>
        <v/>
      </c>
    </row>
    <row r="30" customFormat="false" ht="15" hidden="false" customHeight="true" outlineLevel="0" collapsed="false">
      <c r="A30" s="16"/>
      <c r="B30" s="16"/>
      <c r="C30" s="16"/>
      <c r="D30" s="16"/>
      <c r="E30" s="16"/>
      <c r="F30" s="16"/>
      <c r="G30" s="16"/>
      <c r="H30" s="16"/>
      <c r="I30" s="18" t="str">
        <f aca="false">IF(ISBLANK($A30),"",IF($D30="","",ROUND($D30/MAX(1,$F30),0)))</f>
        <v/>
      </c>
      <c r="J30" s="18" t="str">
        <f aca="false">IF(ISBLANK($A30),"",IF($D30="","",$D30+$H30))</f>
        <v/>
      </c>
      <c r="K30" s="15" t="str">
        <f aca="false">IF(ISBLANK($A30),"",IF(OR(ISBLANK($B30),ISBLANK($C30),ISBLANK($D30),ISBLANK($E30),ISBLANK($F30),ISBLANK($G30),ISBLANK($H30)),"EKSİK","OK"))</f>
        <v/>
      </c>
    </row>
    <row r="31" customFormat="false" ht="15" hidden="false" customHeight="true" outlineLevel="0" collapsed="false">
      <c r="A31" s="16"/>
      <c r="B31" s="16"/>
      <c r="C31" s="16"/>
      <c r="D31" s="16"/>
      <c r="E31" s="16"/>
      <c r="F31" s="16"/>
      <c r="G31" s="16"/>
      <c r="H31" s="16"/>
      <c r="I31" s="18" t="str">
        <f aca="false">IF(ISBLANK($A31),"",IF($D31="","",ROUND($D31/MAX(1,$F31),0)))</f>
        <v/>
      </c>
      <c r="J31" s="18" t="str">
        <f aca="false">IF(ISBLANK($A31),"",IF($D31="","",$D31+$H31))</f>
        <v/>
      </c>
      <c r="K31" s="15" t="str">
        <f aca="false">IF(ISBLANK($A31),"",IF(OR(ISBLANK($B31),ISBLANK($C31),ISBLANK($D31),ISBLANK($E31),ISBLANK($F31),ISBLANK($G31),ISBLANK($H31)),"EKSİK","OK"))</f>
        <v/>
      </c>
    </row>
    <row r="32" customFormat="false" ht="15" hidden="false" customHeight="true" outlineLevel="0" collapsed="false">
      <c r="A32" s="16"/>
      <c r="B32" s="16"/>
      <c r="C32" s="16"/>
      <c r="D32" s="16"/>
      <c r="E32" s="16"/>
      <c r="F32" s="16"/>
      <c r="G32" s="16"/>
      <c r="H32" s="16"/>
      <c r="I32" s="18" t="str">
        <f aca="false">IF(ISBLANK($A32),"",IF($D32="","",ROUND($D32/MAX(1,$F32),0)))</f>
        <v/>
      </c>
      <c r="J32" s="18" t="str">
        <f aca="false">IF(ISBLANK($A32),"",IF($D32="","",$D32+$H32))</f>
        <v/>
      </c>
      <c r="K32" s="15" t="str">
        <f aca="false">IF(ISBLANK($A32),"",IF(OR(ISBLANK($B32),ISBLANK($C32),ISBLANK($D32),ISBLANK($E32),ISBLANK($F32),ISBLANK($G32),ISBLANK($H32)),"EKSİK","OK"))</f>
        <v/>
      </c>
    </row>
    <row r="33" customFormat="false" ht="15" hidden="false" customHeight="true" outlineLevel="0" collapsed="false">
      <c r="A33" s="16"/>
      <c r="B33" s="16"/>
      <c r="C33" s="16"/>
      <c r="D33" s="16"/>
      <c r="E33" s="16"/>
      <c r="F33" s="16"/>
      <c r="G33" s="16"/>
      <c r="H33" s="16"/>
      <c r="I33" s="18" t="str">
        <f aca="false">IF(ISBLANK($A33),"",IF($D33="","",ROUND($D33/MAX(1,$F33),0)))</f>
        <v/>
      </c>
      <c r="J33" s="18" t="str">
        <f aca="false">IF(ISBLANK($A33),"",IF($D33="","",$D33+$H33))</f>
        <v/>
      </c>
      <c r="K33" s="15" t="str">
        <f aca="false">IF(ISBLANK($A33),"",IF(OR(ISBLANK($B33),ISBLANK($C33),ISBLANK($D33),ISBLANK($E33),ISBLANK($F33),ISBLANK($G33),ISBLANK($H33)),"EKSİK","OK"))</f>
        <v/>
      </c>
    </row>
    <row r="34" customFormat="false" ht="15" hidden="false" customHeight="true" outlineLevel="0" collapsed="false">
      <c r="A34" s="16"/>
      <c r="B34" s="16"/>
      <c r="C34" s="16"/>
      <c r="D34" s="16"/>
      <c r="E34" s="16"/>
      <c r="F34" s="16"/>
      <c r="G34" s="16"/>
      <c r="H34" s="16"/>
      <c r="I34" s="18" t="str">
        <f aca="false">IF(ISBLANK($A34),"",IF($D34="","",ROUND($D34/MAX(1,$F34),0)))</f>
        <v/>
      </c>
      <c r="J34" s="18" t="str">
        <f aca="false">IF(ISBLANK($A34),"",IF($D34="","",$D34+$H34))</f>
        <v/>
      </c>
      <c r="K34" s="15" t="str">
        <f aca="false">IF(ISBLANK($A34),"",IF(OR(ISBLANK($B34),ISBLANK($C34),ISBLANK($D34),ISBLANK($E34),ISBLANK($F34),ISBLANK($G34),ISBLANK($H34)),"EKSİK","OK"))</f>
        <v/>
      </c>
    </row>
    <row r="35" customFormat="false" ht="15" hidden="false" customHeight="true" outlineLevel="0" collapsed="false">
      <c r="A35" s="16"/>
      <c r="B35" s="16"/>
      <c r="C35" s="16"/>
      <c r="D35" s="16"/>
      <c r="E35" s="16"/>
      <c r="F35" s="16"/>
      <c r="G35" s="16"/>
      <c r="H35" s="16"/>
      <c r="I35" s="18" t="str">
        <f aca="false">IF(ISBLANK($A35),"",IF($D35="","",ROUND($D35/MAX(1,$F35),0)))</f>
        <v/>
      </c>
      <c r="J35" s="18" t="str">
        <f aca="false">IF(ISBLANK($A35),"",IF($D35="","",$D35+$H35))</f>
        <v/>
      </c>
      <c r="K35" s="15" t="str">
        <f aca="false">IF(ISBLANK($A35),"",IF(OR(ISBLANK($B35),ISBLANK($C35),ISBLANK($D35),ISBLANK($E35),ISBLANK($F35),ISBLANK($G35),ISBLANK($H35)),"EKSİK","OK"))</f>
        <v/>
      </c>
    </row>
  </sheetData>
  <sheetProtection sheet="true" password="cc3d" objects="true" scenarios="true" deleteColumns="false" deleteRows="false"/>
  <mergeCells count="1">
    <mergeCell ref="A1:AN1"/>
  </mergeCells>
  <conditionalFormatting sqref="G6:G1000">
    <cfRule type="cellIs" priority="2" operator="greaterThan" aboveAverage="0" equalAverage="0" bottom="0" percent="0" rank="0" text="" dxfId="10">
      <formula>0.4</formula>
    </cfRule>
  </conditionalFormatting>
  <conditionalFormatting sqref="J6:J1000">
    <cfRule type="cellIs" priority="3" operator="lessThanOrEqual" aboveAverage="0" equalAverage="0" bottom="0" percent="0" rank="0" text="" dxfId="9">
      <formula>0</formula>
    </cfRule>
  </conditionalFormatting>
  <conditionalFormatting sqref="K6:K1000">
    <cfRule type="cellIs" priority="4" operator="equal" aboveAverage="0" equalAverage="0" bottom="0" percent="0" rank="0" text="" dxfId="9">
      <formula>"EKSİK"</formula>
    </cfRule>
    <cfRule type="cellIs" priority="5" operator="equal" aboveAverage="0" equalAverage="0" bottom="0" percent="0" rank="0" text="" dxfId="8">
      <formula>"OK"</formula>
    </cfRule>
  </conditionalFormatting>
  <dataValidations count="1">
    <dataValidation allowBlank="true" error="Lütfen geçerli bir para birimi girin." errorStyle="stop" errorTitle="Geçersiz Birim" operator="between" prompt="TRY, USD veya EUR seçin." promptTitle="Para Birimi" showDropDown="false" showErrorMessage="true" showInputMessage="true" sqref="E6:E1000" type="list">
      <formula1>ListeParaBirimi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24"/>
    <col collapsed="false" customWidth="true" hidden="false" outlineLevel="0" max="3" min="3" style="1" width="14"/>
    <col collapsed="false" customWidth="true" hidden="false" outlineLevel="0" max="4" min="4" style="1" width="15"/>
    <col collapsed="false" customWidth="true" hidden="false" outlineLevel="0" max="5" min="5" style="1" width="12"/>
    <col collapsed="false" customWidth="true" hidden="false" outlineLevel="0" max="6" min="6" style="1" width="18"/>
    <col collapsed="false" customWidth="true" hidden="false" outlineLevel="0" max="7" min="7" style="1" width="15"/>
  </cols>
  <sheetData>
    <row r="1" customFormat="false" ht="25.5" hidden="false" customHeight="true" outlineLevel="0" collapsed="false">
      <c r="A1" s="2" t="s">
        <v>160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</row>
    <row r="3" customFormat="false" ht="105.75" hidden="false" customHeight="true" outlineLevel="0" collapsed="false">
      <c r="A3" s="11" t="s">
        <v>161</v>
      </c>
    </row>
    <row r="5" customFormat="false" ht="30" hidden="false" customHeight="true" outlineLevel="0" collapsed="false">
      <c r="A5" s="12" t="s">
        <v>81</v>
      </c>
      <c r="B5" s="12" t="s">
        <v>26</v>
      </c>
      <c r="C5" s="12" t="s">
        <v>102</v>
      </c>
      <c r="D5" s="12" t="s">
        <v>106</v>
      </c>
      <c r="E5" s="12" t="s">
        <v>108</v>
      </c>
      <c r="F5" s="12" t="s">
        <v>162</v>
      </c>
      <c r="G5" s="12" t="s">
        <v>107</v>
      </c>
    </row>
    <row r="6" customFormat="false" ht="15" hidden="false" customHeight="true" outlineLevel="0" collapsed="false">
      <c r="A6" s="15" t="str">
        <f aca="false">IF(ISBLANK(TAKSIT_PLANI!$A6),"",TAKSIT_PLANI!$B6)</f>
        <v>KRD-001</v>
      </c>
      <c r="B6" s="24" t="str">
        <f aca="false">IF(ISBLANK(TAKSIT_PLANI!$A6),"",IFERROR(INDEX(KREDILER!$B$6:$B$1000,MATCH(TAKSIT_PLANI!$B6,KREDILER!$A$6:$A$1000,0)),""))</f>
        <v>Türkiye İş Bankası</v>
      </c>
      <c r="C6" s="22" t="n">
        <f aca="false">IF(ISBLANK(TAKSIT_PLANI!$A6),"",TAKSIT_PLANI!$D6)</f>
        <v>46244</v>
      </c>
      <c r="D6" s="18" t="n">
        <f aca="false">IF(ISBLANK(TAKSIT_PLANI!$A6),"",TAKSIT_PLANI!$I6)</f>
        <v>620000</v>
      </c>
      <c r="E6" s="23" t="n">
        <f aca="false">IF(ISBLANK(TAKSIT_PLANI!$A6),"",TAKSIT_PLANI!$K6)</f>
        <v>2</v>
      </c>
      <c r="F6" s="15" t="str">
        <f aca="false">IF(ISBLANK(TAKSIT_PLANI!$A6),"",IF(TAKSIT_PLANI!$K6&lt;0,"Vadesi Geçmiş",IF(TAKSIT_PLANI!$K6&lt;=30,"0-30 Gün",IF(TAKSIT_PLANI!$K6&lt;=60,"31-60 Gün","61 Gün ve Üzeri"))))</f>
        <v>0-30 Gün</v>
      </c>
      <c r="G6" s="15" t="str">
        <f aca="false">IF(ISBLANK(TAKSIT_PLANI!$A6),"",TAKSIT_PLANI!$J6)</f>
        <v>Bekliyor</v>
      </c>
    </row>
    <row r="7" customFormat="false" ht="15" hidden="false" customHeight="true" outlineLevel="0" collapsed="false">
      <c r="A7" s="15" t="str">
        <f aca="false">IF(ISBLANK(TAKSIT_PLANI!$A7),"",TAKSIT_PLANI!$B7)</f>
        <v>KRD-001</v>
      </c>
      <c r="B7" s="24" t="str">
        <f aca="false">IF(ISBLANK(TAKSIT_PLANI!$A7),"",IFERROR(INDEX(KREDILER!$B$6:$B$1000,MATCH(TAKSIT_PLANI!$B7,KREDILER!$A$6:$A$1000,0)),""))</f>
        <v>Türkiye İş Bankası</v>
      </c>
      <c r="C7" s="22" t="n">
        <f aca="false">IF(ISBLANK(TAKSIT_PLANI!$A7),"",TAKSIT_PLANI!$D7)</f>
        <v>46275</v>
      </c>
      <c r="D7" s="18" t="n">
        <f aca="false">IF(ISBLANK(TAKSIT_PLANI!$A7),"",TAKSIT_PLANI!$I7)</f>
        <v>620000</v>
      </c>
      <c r="E7" s="23" t="n">
        <f aca="false">IF(ISBLANK(TAKSIT_PLANI!$A7),"",TAKSIT_PLANI!$K7)</f>
        <v>33</v>
      </c>
      <c r="F7" s="15" t="str">
        <f aca="false">IF(ISBLANK(TAKSIT_PLANI!$A7),"",IF(TAKSIT_PLANI!$K7&lt;0,"Vadesi Geçmiş",IF(TAKSIT_PLANI!$K7&lt;=30,"0-30 Gün",IF(TAKSIT_PLANI!$K7&lt;=60,"31-60 Gün","61 Gün ve Üzeri"))))</f>
        <v>31-60 Gün</v>
      </c>
      <c r="G7" s="15" t="str">
        <f aca="false">IF(ISBLANK(TAKSIT_PLANI!$A7),"",TAKSIT_PLANI!$J7)</f>
        <v>Bekliyor</v>
      </c>
    </row>
    <row r="8" customFormat="false" ht="15" hidden="false" customHeight="true" outlineLevel="0" collapsed="false">
      <c r="A8" s="15" t="str">
        <f aca="false">IF(ISBLANK(TAKSIT_PLANI!$A8),"",TAKSIT_PLANI!$B8)</f>
        <v>KRD-002</v>
      </c>
      <c r="B8" s="24" t="str">
        <f aca="false">IF(ISBLANK(TAKSIT_PLANI!$A8),"",IFERROR(INDEX(KREDILER!$B$6:$B$1000,MATCH(TAKSIT_PLANI!$B8,KREDILER!$A$6:$A$1000,0)),""))</f>
        <v>Akbank</v>
      </c>
      <c r="C8" s="22" t="n">
        <f aca="false">IF(ISBLANK(TAKSIT_PLANI!$A8),"",TAKSIT_PLANI!$D8)</f>
        <v>46249</v>
      </c>
      <c r="D8" s="18" t="n">
        <f aca="false">IF(ISBLANK(TAKSIT_PLANI!$A8),"",TAKSIT_PLANI!$I8)</f>
        <v>310000</v>
      </c>
      <c r="E8" s="23" t="n">
        <f aca="false">IF(ISBLANK(TAKSIT_PLANI!$A8),"",TAKSIT_PLANI!$K8)</f>
        <v>7</v>
      </c>
      <c r="F8" s="15" t="str">
        <f aca="false">IF(ISBLANK(TAKSIT_PLANI!$A8),"",IF(TAKSIT_PLANI!$K8&lt;0,"Vadesi Geçmiş",IF(TAKSIT_PLANI!$K8&lt;=30,"0-30 Gün",IF(TAKSIT_PLANI!$K8&lt;=60,"31-60 Gün","61 Gün ve Üzeri"))))</f>
        <v>0-30 Gün</v>
      </c>
      <c r="G8" s="15" t="str">
        <f aca="false">IF(ISBLANK(TAKSIT_PLANI!$A8),"",TAKSIT_PLANI!$J8)</f>
        <v>Bekliyor</v>
      </c>
    </row>
    <row r="9" customFormat="false" ht="15" hidden="false" customHeight="true" outlineLevel="0" collapsed="false">
      <c r="A9" s="15" t="str">
        <f aca="false">IF(ISBLANK(TAKSIT_PLANI!$A9),"",TAKSIT_PLANI!$B9)</f>
        <v>KRD-002</v>
      </c>
      <c r="B9" s="24" t="str">
        <f aca="false">IF(ISBLANK(TAKSIT_PLANI!$A9),"",IFERROR(INDEX(KREDILER!$B$6:$B$1000,MATCH(TAKSIT_PLANI!$B9,KREDILER!$A$6:$A$1000,0)),""))</f>
        <v>Akbank</v>
      </c>
      <c r="C9" s="22" t="n">
        <f aca="false">IF(ISBLANK(TAKSIT_PLANI!$A9),"",TAKSIT_PLANI!$D9)</f>
        <v>46280</v>
      </c>
      <c r="D9" s="18" t="n">
        <f aca="false">IF(ISBLANK(TAKSIT_PLANI!$A9),"",TAKSIT_PLANI!$I9)</f>
        <v>310000</v>
      </c>
      <c r="E9" s="23" t="n">
        <f aca="false">IF(ISBLANK(TAKSIT_PLANI!$A9),"",TAKSIT_PLANI!$K9)</f>
        <v>38</v>
      </c>
      <c r="F9" s="15" t="str">
        <f aca="false">IF(ISBLANK(TAKSIT_PLANI!$A9),"",IF(TAKSIT_PLANI!$K9&lt;0,"Vadesi Geçmiş",IF(TAKSIT_PLANI!$K9&lt;=30,"0-30 Gün",IF(TAKSIT_PLANI!$K9&lt;=60,"31-60 Gün","61 Gün ve Üzeri"))))</f>
        <v>31-60 Gün</v>
      </c>
      <c r="G9" s="15" t="str">
        <f aca="false">IF(ISBLANK(TAKSIT_PLANI!$A9),"",TAKSIT_PLANI!$J9)</f>
        <v>Bekliyor</v>
      </c>
    </row>
    <row r="10" customFormat="false" ht="15" hidden="false" customHeight="true" outlineLevel="0" collapsed="false">
      <c r="A10" s="15" t="str">
        <f aca="false">IF(ISBLANK(TAKSIT_PLANI!$A10),"",TAKSIT_PLANI!$B10)</f>
        <v>KRD-003</v>
      </c>
      <c r="B10" s="24" t="str">
        <f aca="false">IF(ISBLANK(TAKSIT_PLANI!$A10),"",IFERROR(INDEX(KREDILER!$B$6:$B$1000,MATCH(TAKSIT_PLANI!$B10,KREDILER!$A$6:$A$1000,0)),""))</f>
        <v>Garanti BBVA</v>
      </c>
      <c r="C10" s="22" t="n">
        <f aca="false">IF(ISBLANK(TAKSIT_PLANI!$A10),"",TAKSIT_PLANI!$D10)</f>
        <v>46254</v>
      </c>
      <c r="D10" s="18" t="n">
        <f aca="false">IF(ISBLANK(TAKSIT_PLANI!$A10),"",TAKSIT_PLANI!$I10)</f>
        <v>4864</v>
      </c>
      <c r="E10" s="23" t="n">
        <f aca="false">IF(ISBLANK(TAKSIT_PLANI!$A10),"",TAKSIT_PLANI!$K10)</f>
        <v>12</v>
      </c>
      <c r="F10" s="15" t="str">
        <f aca="false">IF(ISBLANK(TAKSIT_PLANI!$A10),"",IF(TAKSIT_PLANI!$K10&lt;0,"Vadesi Geçmiş",IF(TAKSIT_PLANI!$K10&lt;=30,"0-30 Gün",IF(TAKSIT_PLANI!$K10&lt;=60,"31-60 Gün","61 Gün ve Üzeri"))))</f>
        <v>0-30 Gün</v>
      </c>
      <c r="G10" s="15" t="str">
        <f aca="false">IF(ISBLANK(TAKSIT_PLANI!$A10),"",TAKSIT_PLANI!$J10)</f>
        <v>Bekliyor</v>
      </c>
    </row>
    <row r="11" customFormat="false" ht="15" hidden="false" customHeight="true" outlineLevel="0" collapsed="false">
      <c r="A11" s="15" t="str">
        <f aca="false">IF(ISBLANK(TAKSIT_PLANI!$A11),"",TAKSIT_PLANI!$B11)</f>
        <v>KRD-004</v>
      </c>
      <c r="B11" s="24" t="str">
        <f aca="false">IF(ISBLANK(TAKSIT_PLANI!$A11),"",IFERROR(INDEX(KREDILER!$B$6:$B$1000,MATCH(TAKSIT_PLANI!$B11,KREDILER!$A$6:$A$1000,0)),""))</f>
        <v>Türkiye İş Bankası</v>
      </c>
      <c r="C11" s="22" t="n">
        <f aca="false">IF(ISBLANK(TAKSIT_PLANI!$A11),"",TAKSIT_PLANI!$D11)</f>
        <v>46387</v>
      </c>
      <c r="D11" s="18" t="n">
        <f aca="false">IF(ISBLANK(TAKSIT_PLANI!$A11),"",TAKSIT_PLANI!$I11)</f>
        <v>3285700</v>
      </c>
      <c r="E11" s="23" t="n">
        <f aca="false">IF(ISBLANK(TAKSIT_PLANI!$A11),"",TAKSIT_PLANI!$K11)</f>
        <v>145</v>
      </c>
      <c r="F11" s="15" t="str">
        <f aca="false">IF(ISBLANK(TAKSIT_PLANI!$A11),"",IF(TAKSIT_PLANI!$K11&lt;0,"Vadesi Geçmiş",IF(TAKSIT_PLANI!$K11&lt;=30,"0-30 Gün",IF(TAKSIT_PLANI!$K11&lt;=60,"31-60 Gün","61 Gün ve Üzeri"))))</f>
        <v>61 Gün ve Üzeri</v>
      </c>
      <c r="G11" s="15" t="str">
        <f aca="false">IF(ISBLANK(TAKSIT_PLANI!$A11),"",TAKSIT_PLANI!$J11)</f>
        <v>Bekliyor</v>
      </c>
    </row>
    <row r="12" customFormat="false" ht="15" hidden="false" customHeight="true" outlineLevel="0" collapsed="false">
      <c r="A12" s="15" t="str">
        <f aca="false">IF(ISBLANK(TAKSIT_PLANI!$A12),"",TAKSIT_PLANI!$B12)</f>
        <v/>
      </c>
      <c r="B12" s="24" t="str">
        <f aca="false">IF(ISBLANK(TAKSIT_PLANI!$A12),"",IFERROR(INDEX(KREDILER!$B$6:$B$1000,MATCH(TAKSIT_PLANI!$B12,KREDILER!$A$6:$A$1000,0)),""))</f>
        <v/>
      </c>
      <c r="C12" s="22" t="str">
        <f aca="false">IF(ISBLANK(TAKSIT_PLANI!$A12),"",TAKSIT_PLANI!$D12)</f>
        <v/>
      </c>
      <c r="D12" s="18" t="str">
        <f aca="false">IF(ISBLANK(TAKSIT_PLANI!$A12),"",TAKSIT_PLANI!$I12)</f>
        <v/>
      </c>
      <c r="E12" s="23" t="str">
        <f aca="false">IF(ISBLANK(TAKSIT_PLANI!$A12),"",TAKSIT_PLANI!$K12)</f>
        <v/>
      </c>
      <c r="F12" s="15" t="str">
        <f aca="false">IF(ISBLANK(TAKSIT_PLANI!$A12),"",IF(TAKSIT_PLANI!$K12&lt;0,"Vadesi Geçmiş",IF(TAKSIT_PLANI!$K12&lt;=30,"0-30 Gün",IF(TAKSIT_PLANI!$K12&lt;=60,"31-60 Gün","61 Gün ve Üzeri"))))</f>
        <v/>
      </c>
      <c r="G12" s="15" t="str">
        <f aca="false">IF(ISBLANK(TAKSIT_PLANI!$A12),"",TAKSIT_PLANI!$J12)</f>
        <v/>
      </c>
    </row>
    <row r="13" customFormat="false" ht="15" hidden="false" customHeight="true" outlineLevel="0" collapsed="false">
      <c r="A13" s="15" t="str">
        <f aca="false">IF(ISBLANK(TAKSIT_PLANI!$A13),"",TAKSIT_PLANI!$B13)</f>
        <v/>
      </c>
      <c r="B13" s="24" t="str">
        <f aca="false">IF(ISBLANK(TAKSIT_PLANI!$A13),"",IFERROR(INDEX(KREDILER!$B$6:$B$1000,MATCH(TAKSIT_PLANI!$B13,KREDILER!$A$6:$A$1000,0)),""))</f>
        <v/>
      </c>
      <c r="C13" s="22" t="str">
        <f aca="false">IF(ISBLANK(TAKSIT_PLANI!$A13),"",TAKSIT_PLANI!$D13)</f>
        <v/>
      </c>
      <c r="D13" s="18" t="str">
        <f aca="false">IF(ISBLANK(TAKSIT_PLANI!$A13),"",TAKSIT_PLANI!$I13)</f>
        <v/>
      </c>
      <c r="E13" s="23" t="str">
        <f aca="false">IF(ISBLANK(TAKSIT_PLANI!$A13),"",TAKSIT_PLANI!$K13)</f>
        <v/>
      </c>
      <c r="F13" s="15" t="str">
        <f aca="false">IF(ISBLANK(TAKSIT_PLANI!$A13),"",IF(TAKSIT_PLANI!$K13&lt;0,"Vadesi Geçmiş",IF(TAKSIT_PLANI!$K13&lt;=30,"0-30 Gün",IF(TAKSIT_PLANI!$K13&lt;=60,"31-60 Gün","61 Gün ve Üzeri"))))</f>
        <v/>
      </c>
      <c r="G13" s="15" t="str">
        <f aca="false">IF(ISBLANK(TAKSIT_PLANI!$A13),"",TAKSIT_PLANI!$J13)</f>
        <v/>
      </c>
    </row>
    <row r="14" customFormat="false" ht="15" hidden="false" customHeight="true" outlineLevel="0" collapsed="false">
      <c r="A14" s="15" t="str">
        <f aca="false">IF(ISBLANK(TAKSIT_PLANI!$A14),"",TAKSIT_PLANI!$B14)</f>
        <v/>
      </c>
      <c r="B14" s="24" t="str">
        <f aca="false">IF(ISBLANK(TAKSIT_PLANI!$A14),"",IFERROR(INDEX(KREDILER!$B$6:$B$1000,MATCH(TAKSIT_PLANI!$B14,KREDILER!$A$6:$A$1000,0)),""))</f>
        <v/>
      </c>
      <c r="C14" s="22" t="str">
        <f aca="false">IF(ISBLANK(TAKSIT_PLANI!$A14),"",TAKSIT_PLANI!$D14)</f>
        <v/>
      </c>
      <c r="D14" s="18" t="str">
        <f aca="false">IF(ISBLANK(TAKSIT_PLANI!$A14),"",TAKSIT_PLANI!$I14)</f>
        <v/>
      </c>
      <c r="E14" s="23" t="str">
        <f aca="false">IF(ISBLANK(TAKSIT_PLANI!$A14),"",TAKSIT_PLANI!$K14)</f>
        <v/>
      </c>
      <c r="F14" s="15" t="str">
        <f aca="false">IF(ISBLANK(TAKSIT_PLANI!$A14),"",IF(TAKSIT_PLANI!$K14&lt;0,"Vadesi Geçmiş",IF(TAKSIT_PLANI!$K14&lt;=30,"0-30 Gün",IF(TAKSIT_PLANI!$K14&lt;=60,"31-60 Gün","61 Gün ve Üzeri"))))</f>
        <v/>
      </c>
      <c r="G14" s="15" t="str">
        <f aca="false">IF(ISBLANK(TAKSIT_PLANI!$A14),"",TAKSIT_PLANI!$J14)</f>
        <v/>
      </c>
    </row>
    <row r="15" customFormat="false" ht="15" hidden="false" customHeight="true" outlineLevel="0" collapsed="false">
      <c r="A15" s="15" t="str">
        <f aca="false">IF(ISBLANK(TAKSIT_PLANI!$A15),"",TAKSIT_PLANI!$B15)</f>
        <v/>
      </c>
      <c r="B15" s="24" t="str">
        <f aca="false">IF(ISBLANK(TAKSIT_PLANI!$A15),"",IFERROR(INDEX(KREDILER!$B$6:$B$1000,MATCH(TAKSIT_PLANI!$B15,KREDILER!$A$6:$A$1000,0)),""))</f>
        <v/>
      </c>
      <c r="C15" s="22" t="str">
        <f aca="false">IF(ISBLANK(TAKSIT_PLANI!$A15),"",TAKSIT_PLANI!$D15)</f>
        <v/>
      </c>
      <c r="D15" s="18" t="str">
        <f aca="false">IF(ISBLANK(TAKSIT_PLANI!$A15),"",TAKSIT_PLANI!$I15)</f>
        <v/>
      </c>
      <c r="E15" s="23" t="str">
        <f aca="false">IF(ISBLANK(TAKSIT_PLANI!$A15),"",TAKSIT_PLANI!$K15)</f>
        <v/>
      </c>
      <c r="F15" s="15" t="str">
        <f aca="false">IF(ISBLANK(TAKSIT_PLANI!$A15),"",IF(TAKSIT_PLANI!$K15&lt;0,"Vadesi Geçmiş",IF(TAKSIT_PLANI!$K15&lt;=30,"0-30 Gün",IF(TAKSIT_PLANI!$K15&lt;=60,"31-60 Gün","61 Gün ve Üzeri"))))</f>
        <v/>
      </c>
      <c r="G15" s="15" t="str">
        <f aca="false">IF(ISBLANK(TAKSIT_PLANI!$A15),"",TAKSIT_PLANI!$J15)</f>
        <v/>
      </c>
    </row>
    <row r="16" customFormat="false" ht="15" hidden="false" customHeight="true" outlineLevel="0" collapsed="false">
      <c r="A16" s="15" t="str">
        <f aca="false">IF(ISBLANK(TAKSIT_PLANI!$A16),"",TAKSIT_PLANI!$B16)</f>
        <v/>
      </c>
      <c r="B16" s="24" t="str">
        <f aca="false">IF(ISBLANK(TAKSIT_PLANI!$A16),"",IFERROR(INDEX(KREDILER!$B$6:$B$1000,MATCH(TAKSIT_PLANI!$B16,KREDILER!$A$6:$A$1000,0)),""))</f>
        <v/>
      </c>
      <c r="C16" s="22" t="str">
        <f aca="false">IF(ISBLANK(TAKSIT_PLANI!$A16),"",TAKSIT_PLANI!$D16)</f>
        <v/>
      </c>
      <c r="D16" s="18" t="str">
        <f aca="false">IF(ISBLANK(TAKSIT_PLANI!$A16),"",TAKSIT_PLANI!$I16)</f>
        <v/>
      </c>
      <c r="E16" s="23" t="str">
        <f aca="false">IF(ISBLANK(TAKSIT_PLANI!$A16),"",TAKSIT_PLANI!$K16)</f>
        <v/>
      </c>
      <c r="F16" s="15" t="str">
        <f aca="false">IF(ISBLANK(TAKSIT_PLANI!$A16),"",IF(TAKSIT_PLANI!$K16&lt;0,"Vadesi Geçmiş",IF(TAKSIT_PLANI!$K16&lt;=30,"0-30 Gün",IF(TAKSIT_PLANI!$K16&lt;=60,"31-60 Gün","61 Gün ve Üzeri"))))</f>
        <v/>
      </c>
      <c r="G16" s="15" t="str">
        <f aca="false">IF(ISBLANK(TAKSIT_PLANI!$A16),"",TAKSIT_PLANI!$J16)</f>
        <v/>
      </c>
    </row>
    <row r="17" customFormat="false" ht="15" hidden="false" customHeight="true" outlineLevel="0" collapsed="false">
      <c r="A17" s="15" t="str">
        <f aca="false">IF(ISBLANK(TAKSIT_PLANI!$A17),"",TAKSIT_PLANI!$B17)</f>
        <v/>
      </c>
      <c r="B17" s="24" t="str">
        <f aca="false">IF(ISBLANK(TAKSIT_PLANI!$A17),"",IFERROR(INDEX(KREDILER!$B$6:$B$1000,MATCH(TAKSIT_PLANI!$B17,KREDILER!$A$6:$A$1000,0)),""))</f>
        <v/>
      </c>
      <c r="C17" s="22" t="str">
        <f aca="false">IF(ISBLANK(TAKSIT_PLANI!$A17),"",TAKSIT_PLANI!$D17)</f>
        <v/>
      </c>
      <c r="D17" s="18" t="str">
        <f aca="false">IF(ISBLANK(TAKSIT_PLANI!$A17),"",TAKSIT_PLANI!$I17)</f>
        <v/>
      </c>
      <c r="E17" s="23" t="str">
        <f aca="false">IF(ISBLANK(TAKSIT_PLANI!$A17),"",TAKSIT_PLANI!$K17)</f>
        <v/>
      </c>
      <c r="F17" s="15" t="str">
        <f aca="false">IF(ISBLANK(TAKSIT_PLANI!$A17),"",IF(TAKSIT_PLANI!$K17&lt;0,"Vadesi Geçmiş",IF(TAKSIT_PLANI!$K17&lt;=30,"0-30 Gün",IF(TAKSIT_PLANI!$K17&lt;=60,"31-60 Gün","61 Gün ve Üzeri"))))</f>
        <v/>
      </c>
      <c r="G17" s="15" t="str">
        <f aca="false">IF(ISBLANK(TAKSIT_PLANI!$A17),"",TAKSIT_PLANI!$J17)</f>
        <v/>
      </c>
    </row>
    <row r="18" customFormat="false" ht="15" hidden="false" customHeight="true" outlineLevel="0" collapsed="false">
      <c r="A18" s="15" t="str">
        <f aca="false">IF(ISBLANK(TAKSIT_PLANI!$A18),"",TAKSIT_PLANI!$B18)</f>
        <v/>
      </c>
      <c r="B18" s="24" t="str">
        <f aca="false">IF(ISBLANK(TAKSIT_PLANI!$A18),"",IFERROR(INDEX(KREDILER!$B$6:$B$1000,MATCH(TAKSIT_PLANI!$B18,KREDILER!$A$6:$A$1000,0)),""))</f>
        <v/>
      </c>
      <c r="C18" s="22" t="str">
        <f aca="false">IF(ISBLANK(TAKSIT_PLANI!$A18),"",TAKSIT_PLANI!$D18)</f>
        <v/>
      </c>
      <c r="D18" s="18" t="str">
        <f aca="false">IF(ISBLANK(TAKSIT_PLANI!$A18),"",TAKSIT_PLANI!$I18)</f>
        <v/>
      </c>
      <c r="E18" s="23" t="str">
        <f aca="false">IF(ISBLANK(TAKSIT_PLANI!$A18),"",TAKSIT_PLANI!$K18)</f>
        <v/>
      </c>
      <c r="F18" s="15" t="str">
        <f aca="false">IF(ISBLANK(TAKSIT_PLANI!$A18),"",IF(TAKSIT_PLANI!$K18&lt;0,"Vadesi Geçmiş",IF(TAKSIT_PLANI!$K18&lt;=30,"0-30 Gün",IF(TAKSIT_PLANI!$K18&lt;=60,"31-60 Gün","61 Gün ve Üzeri"))))</f>
        <v/>
      </c>
      <c r="G18" s="15" t="str">
        <f aca="false">IF(ISBLANK(TAKSIT_PLANI!$A18),"",TAKSIT_PLANI!$J18)</f>
        <v/>
      </c>
    </row>
    <row r="19" customFormat="false" ht="15" hidden="false" customHeight="true" outlineLevel="0" collapsed="false">
      <c r="A19" s="15" t="str">
        <f aca="false">IF(ISBLANK(TAKSIT_PLANI!$A19),"",TAKSIT_PLANI!$B19)</f>
        <v/>
      </c>
      <c r="B19" s="24" t="str">
        <f aca="false">IF(ISBLANK(TAKSIT_PLANI!$A19),"",IFERROR(INDEX(KREDILER!$B$6:$B$1000,MATCH(TAKSIT_PLANI!$B19,KREDILER!$A$6:$A$1000,0)),""))</f>
        <v/>
      </c>
      <c r="C19" s="22" t="str">
        <f aca="false">IF(ISBLANK(TAKSIT_PLANI!$A19),"",TAKSIT_PLANI!$D19)</f>
        <v/>
      </c>
      <c r="D19" s="18" t="str">
        <f aca="false">IF(ISBLANK(TAKSIT_PLANI!$A19),"",TAKSIT_PLANI!$I19)</f>
        <v/>
      </c>
      <c r="E19" s="23" t="str">
        <f aca="false">IF(ISBLANK(TAKSIT_PLANI!$A19),"",TAKSIT_PLANI!$K19)</f>
        <v/>
      </c>
      <c r="F19" s="15" t="str">
        <f aca="false">IF(ISBLANK(TAKSIT_PLANI!$A19),"",IF(TAKSIT_PLANI!$K19&lt;0,"Vadesi Geçmiş",IF(TAKSIT_PLANI!$K19&lt;=30,"0-30 Gün",IF(TAKSIT_PLANI!$K19&lt;=60,"31-60 Gün","61 Gün ve Üzeri"))))</f>
        <v/>
      </c>
      <c r="G19" s="15" t="str">
        <f aca="false">IF(ISBLANK(TAKSIT_PLANI!$A19),"",TAKSIT_PLANI!$J19)</f>
        <v/>
      </c>
    </row>
    <row r="20" customFormat="false" ht="15" hidden="false" customHeight="true" outlineLevel="0" collapsed="false">
      <c r="A20" s="15" t="str">
        <f aca="false">IF(ISBLANK(TAKSIT_PLANI!$A20),"",TAKSIT_PLANI!$B20)</f>
        <v/>
      </c>
      <c r="B20" s="24" t="str">
        <f aca="false">IF(ISBLANK(TAKSIT_PLANI!$A20),"",IFERROR(INDEX(KREDILER!$B$6:$B$1000,MATCH(TAKSIT_PLANI!$B20,KREDILER!$A$6:$A$1000,0)),""))</f>
        <v/>
      </c>
      <c r="C20" s="22" t="str">
        <f aca="false">IF(ISBLANK(TAKSIT_PLANI!$A20),"",TAKSIT_PLANI!$D20)</f>
        <v/>
      </c>
      <c r="D20" s="18" t="str">
        <f aca="false">IF(ISBLANK(TAKSIT_PLANI!$A20),"",TAKSIT_PLANI!$I20)</f>
        <v/>
      </c>
      <c r="E20" s="23" t="str">
        <f aca="false">IF(ISBLANK(TAKSIT_PLANI!$A20),"",TAKSIT_PLANI!$K20)</f>
        <v/>
      </c>
      <c r="F20" s="15" t="str">
        <f aca="false">IF(ISBLANK(TAKSIT_PLANI!$A20),"",IF(TAKSIT_PLANI!$K20&lt;0,"Vadesi Geçmiş",IF(TAKSIT_PLANI!$K20&lt;=30,"0-30 Gün",IF(TAKSIT_PLANI!$K20&lt;=60,"31-60 Gün","61 Gün ve Üzeri"))))</f>
        <v/>
      </c>
      <c r="G20" s="15" t="str">
        <f aca="false">IF(ISBLANK(TAKSIT_PLANI!$A20),"",TAKSIT_PLANI!$J20)</f>
        <v/>
      </c>
    </row>
    <row r="21" customFormat="false" ht="15" hidden="false" customHeight="true" outlineLevel="0" collapsed="false">
      <c r="A21" s="15" t="str">
        <f aca="false">IF(ISBLANK(TAKSIT_PLANI!$A21),"",TAKSIT_PLANI!$B21)</f>
        <v/>
      </c>
      <c r="B21" s="24" t="str">
        <f aca="false">IF(ISBLANK(TAKSIT_PLANI!$A21),"",IFERROR(INDEX(KREDILER!$B$6:$B$1000,MATCH(TAKSIT_PLANI!$B21,KREDILER!$A$6:$A$1000,0)),""))</f>
        <v/>
      </c>
      <c r="C21" s="22" t="str">
        <f aca="false">IF(ISBLANK(TAKSIT_PLANI!$A21),"",TAKSIT_PLANI!$D21)</f>
        <v/>
      </c>
      <c r="D21" s="18" t="str">
        <f aca="false">IF(ISBLANK(TAKSIT_PLANI!$A21),"",TAKSIT_PLANI!$I21)</f>
        <v/>
      </c>
      <c r="E21" s="23" t="str">
        <f aca="false">IF(ISBLANK(TAKSIT_PLANI!$A21),"",TAKSIT_PLANI!$K21)</f>
        <v/>
      </c>
      <c r="F21" s="15" t="str">
        <f aca="false">IF(ISBLANK(TAKSIT_PLANI!$A21),"",IF(TAKSIT_PLANI!$K21&lt;0,"Vadesi Geçmiş",IF(TAKSIT_PLANI!$K21&lt;=30,"0-30 Gün",IF(TAKSIT_PLANI!$K21&lt;=60,"31-60 Gün","61 Gün ve Üzeri"))))</f>
        <v/>
      </c>
      <c r="G21" s="15" t="str">
        <f aca="false">IF(ISBLANK(TAKSIT_PLANI!$A21),"",TAKSIT_PLANI!$J21)</f>
        <v/>
      </c>
    </row>
    <row r="22" customFormat="false" ht="15" hidden="false" customHeight="true" outlineLevel="0" collapsed="false">
      <c r="A22" s="15" t="str">
        <f aca="false">IF(ISBLANK(TAKSIT_PLANI!$A22),"",TAKSIT_PLANI!$B22)</f>
        <v/>
      </c>
      <c r="B22" s="24" t="str">
        <f aca="false">IF(ISBLANK(TAKSIT_PLANI!$A22),"",IFERROR(INDEX(KREDILER!$B$6:$B$1000,MATCH(TAKSIT_PLANI!$B22,KREDILER!$A$6:$A$1000,0)),""))</f>
        <v/>
      </c>
      <c r="C22" s="22" t="str">
        <f aca="false">IF(ISBLANK(TAKSIT_PLANI!$A22),"",TAKSIT_PLANI!$D22)</f>
        <v/>
      </c>
      <c r="D22" s="18" t="str">
        <f aca="false">IF(ISBLANK(TAKSIT_PLANI!$A22),"",TAKSIT_PLANI!$I22)</f>
        <v/>
      </c>
      <c r="E22" s="23" t="str">
        <f aca="false">IF(ISBLANK(TAKSIT_PLANI!$A22),"",TAKSIT_PLANI!$K22)</f>
        <v/>
      </c>
      <c r="F22" s="15" t="str">
        <f aca="false">IF(ISBLANK(TAKSIT_PLANI!$A22),"",IF(TAKSIT_PLANI!$K22&lt;0,"Vadesi Geçmiş",IF(TAKSIT_PLANI!$K22&lt;=30,"0-30 Gün",IF(TAKSIT_PLANI!$K22&lt;=60,"31-60 Gün","61 Gün ve Üzeri"))))</f>
        <v/>
      </c>
      <c r="G22" s="15" t="str">
        <f aca="false">IF(ISBLANK(TAKSIT_PLANI!$A22),"",TAKSIT_PLANI!$J22)</f>
        <v/>
      </c>
    </row>
    <row r="23" customFormat="false" ht="15" hidden="false" customHeight="true" outlineLevel="0" collapsed="false">
      <c r="A23" s="15" t="str">
        <f aca="false">IF(ISBLANK(TAKSIT_PLANI!$A23),"",TAKSIT_PLANI!$B23)</f>
        <v/>
      </c>
      <c r="B23" s="24" t="str">
        <f aca="false">IF(ISBLANK(TAKSIT_PLANI!$A23),"",IFERROR(INDEX(KREDILER!$B$6:$B$1000,MATCH(TAKSIT_PLANI!$B23,KREDILER!$A$6:$A$1000,0)),""))</f>
        <v/>
      </c>
      <c r="C23" s="22" t="str">
        <f aca="false">IF(ISBLANK(TAKSIT_PLANI!$A23),"",TAKSIT_PLANI!$D23)</f>
        <v/>
      </c>
      <c r="D23" s="18" t="str">
        <f aca="false">IF(ISBLANK(TAKSIT_PLANI!$A23),"",TAKSIT_PLANI!$I23)</f>
        <v/>
      </c>
      <c r="E23" s="23" t="str">
        <f aca="false">IF(ISBLANK(TAKSIT_PLANI!$A23),"",TAKSIT_PLANI!$K23)</f>
        <v/>
      </c>
      <c r="F23" s="15" t="str">
        <f aca="false">IF(ISBLANK(TAKSIT_PLANI!$A23),"",IF(TAKSIT_PLANI!$K23&lt;0,"Vadesi Geçmiş",IF(TAKSIT_PLANI!$K23&lt;=30,"0-30 Gün",IF(TAKSIT_PLANI!$K23&lt;=60,"31-60 Gün","61 Gün ve Üzeri"))))</f>
        <v/>
      </c>
      <c r="G23" s="15" t="str">
        <f aca="false">IF(ISBLANK(TAKSIT_PLANI!$A23),"",TAKSIT_PLANI!$J23)</f>
        <v/>
      </c>
    </row>
    <row r="24" customFormat="false" ht="15" hidden="false" customHeight="true" outlineLevel="0" collapsed="false">
      <c r="A24" s="15" t="str">
        <f aca="false">IF(ISBLANK(TAKSIT_PLANI!$A24),"",TAKSIT_PLANI!$B24)</f>
        <v/>
      </c>
      <c r="B24" s="24" t="str">
        <f aca="false">IF(ISBLANK(TAKSIT_PLANI!$A24),"",IFERROR(INDEX(KREDILER!$B$6:$B$1000,MATCH(TAKSIT_PLANI!$B24,KREDILER!$A$6:$A$1000,0)),""))</f>
        <v/>
      </c>
      <c r="C24" s="22" t="str">
        <f aca="false">IF(ISBLANK(TAKSIT_PLANI!$A24),"",TAKSIT_PLANI!$D24)</f>
        <v/>
      </c>
      <c r="D24" s="18" t="str">
        <f aca="false">IF(ISBLANK(TAKSIT_PLANI!$A24),"",TAKSIT_PLANI!$I24)</f>
        <v/>
      </c>
      <c r="E24" s="23" t="str">
        <f aca="false">IF(ISBLANK(TAKSIT_PLANI!$A24),"",TAKSIT_PLANI!$K24)</f>
        <v/>
      </c>
      <c r="F24" s="15" t="str">
        <f aca="false">IF(ISBLANK(TAKSIT_PLANI!$A24),"",IF(TAKSIT_PLANI!$K24&lt;0,"Vadesi Geçmiş",IF(TAKSIT_PLANI!$K24&lt;=30,"0-30 Gün",IF(TAKSIT_PLANI!$K24&lt;=60,"31-60 Gün","61 Gün ve Üzeri"))))</f>
        <v/>
      </c>
      <c r="G24" s="15" t="str">
        <f aca="false">IF(ISBLANK(TAKSIT_PLANI!$A24),"",TAKSIT_PLANI!$J24)</f>
        <v/>
      </c>
    </row>
    <row r="25" customFormat="false" ht="15" hidden="false" customHeight="true" outlineLevel="0" collapsed="false">
      <c r="A25" s="15" t="str">
        <f aca="false">IF(ISBLANK(TAKSIT_PLANI!$A25),"",TAKSIT_PLANI!$B25)</f>
        <v/>
      </c>
      <c r="B25" s="24" t="str">
        <f aca="false">IF(ISBLANK(TAKSIT_PLANI!$A25),"",IFERROR(INDEX(KREDILER!$B$6:$B$1000,MATCH(TAKSIT_PLANI!$B25,KREDILER!$A$6:$A$1000,0)),""))</f>
        <v/>
      </c>
      <c r="C25" s="22" t="str">
        <f aca="false">IF(ISBLANK(TAKSIT_PLANI!$A25),"",TAKSIT_PLANI!$D25)</f>
        <v/>
      </c>
      <c r="D25" s="18" t="str">
        <f aca="false">IF(ISBLANK(TAKSIT_PLANI!$A25),"",TAKSIT_PLANI!$I25)</f>
        <v/>
      </c>
      <c r="E25" s="23" t="str">
        <f aca="false">IF(ISBLANK(TAKSIT_PLANI!$A25),"",TAKSIT_PLANI!$K25)</f>
        <v/>
      </c>
      <c r="F25" s="15" t="str">
        <f aca="false">IF(ISBLANK(TAKSIT_PLANI!$A25),"",IF(TAKSIT_PLANI!$K25&lt;0,"Vadesi Geçmiş",IF(TAKSIT_PLANI!$K25&lt;=30,"0-30 Gün",IF(TAKSIT_PLANI!$K25&lt;=60,"31-60 Gün","61 Gün ve Üzeri"))))</f>
        <v/>
      </c>
      <c r="G25" s="15" t="str">
        <f aca="false">IF(ISBLANK(TAKSIT_PLANI!$A25),"",TAKSIT_PLANI!$J25)</f>
        <v/>
      </c>
    </row>
    <row r="26" customFormat="false" ht="15" hidden="false" customHeight="true" outlineLevel="0" collapsed="false">
      <c r="A26" s="15" t="str">
        <f aca="false">IF(ISBLANK(TAKSIT_PLANI!$A26),"",TAKSIT_PLANI!$B26)</f>
        <v/>
      </c>
      <c r="B26" s="24" t="str">
        <f aca="false">IF(ISBLANK(TAKSIT_PLANI!$A26),"",IFERROR(INDEX(KREDILER!$B$6:$B$1000,MATCH(TAKSIT_PLANI!$B26,KREDILER!$A$6:$A$1000,0)),""))</f>
        <v/>
      </c>
      <c r="C26" s="22" t="str">
        <f aca="false">IF(ISBLANK(TAKSIT_PLANI!$A26),"",TAKSIT_PLANI!$D26)</f>
        <v/>
      </c>
      <c r="D26" s="18" t="str">
        <f aca="false">IF(ISBLANK(TAKSIT_PLANI!$A26),"",TAKSIT_PLANI!$I26)</f>
        <v/>
      </c>
      <c r="E26" s="23" t="str">
        <f aca="false">IF(ISBLANK(TAKSIT_PLANI!$A26),"",TAKSIT_PLANI!$K26)</f>
        <v/>
      </c>
      <c r="F26" s="15" t="str">
        <f aca="false">IF(ISBLANK(TAKSIT_PLANI!$A26),"",IF(TAKSIT_PLANI!$K26&lt;0,"Vadesi Geçmiş",IF(TAKSIT_PLANI!$K26&lt;=30,"0-30 Gün",IF(TAKSIT_PLANI!$K26&lt;=60,"31-60 Gün","61 Gün ve Üzeri"))))</f>
        <v/>
      </c>
      <c r="G26" s="15" t="str">
        <f aca="false">IF(ISBLANK(TAKSIT_PLANI!$A26),"",TAKSIT_PLANI!$J26)</f>
        <v/>
      </c>
    </row>
    <row r="27" customFormat="false" ht="15" hidden="false" customHeight="true" outlineLevel="0" collapsed="false">
      <c r="A27" s="15" t="str">
        <f aca="false">IF(ISBLANK(TAKSIT_PLANI!$A27),"",TAKSIT_PLANI!$B27)</f>
        <v/>
      </c>
      <c r="B27" s="24" t="str">
        <f aca="false">IF(ISBLANK(TAKSIT_PLANI!$A27),"",IFERROR(INDEX(KREDILER!$B$6:$B$1000,MATCH(TAKSIT_PLANI!$B27,KREDILER!$A$6:$A$1000,0)),""))</f>
        <v/>
      </c>
      <c r="C27" s="22" t="str">
        <f aca="false">IF(ISBLANK(TAKSIT_PLANI!$A27),"",TAKSIT_PLANI!$D27)</f>
        <v/>
      </c>
      <c r="D27" s="18" t="str">
        <f aca="false">IF(ISBLANK(TAKSIT_PLANI!$A27),"",TAKSIT_PLANI!$I27)</f>
        <v/>
      </c>
      <c r="E27" s="23" t="str">
        <f aca="false">IF(ISBLANK(TAKSIT_PLANI!$A27),"",TAKSIT_PLANI!$K27)</f>
        <v/>
      </c>
      <c r="F27" s="15" t="str">
        <f aca="false">IF(ISBLANK(TAKSIT_PLANI!$A27),"",IF(TAKSIT_PLANI!$K27&lt;0,"Vadesi Geçmiş",IF(TAKSIT_PLANI!$K27&lt;=30,"0-30 Gün",IF(TAKSIT_PLANI!$K27&lt;=60,"31-60 Gün","61 Gün ve Üzeri"))))</f>
        <v/>
      </c>
      <c r="G27" s="15" t="str">
        <f aca="false">IF(ISBLANK(TAKSIT_PLANI!$A27),"",TAKSIT_PLANI!$J27)</f>
        <v/>
      </c>
    </row>
    <row r="28" customFormat="false" ht="15" hidden="false" customHeight="true" outlineLevel="0" collapsed="false">
      <c r="A28" s="15" t="str">
        <f aca="false">IF(ISBLANK(TAKSIT_PLANI!$A28),"",TAKSIT_PLANI!$B28)</f>
        <v/>
      </c>
      <c r="B28" s="24" t="str">
        <f aca="false">IF(ISBLANK(TAKSIT_PLANI!$A28),"",IFERROR(INDEX(KREDILER!$B$6:$B$1000,MATCH(TAKSIT_PLANI!$B28,KREDILER!$A$6:$A$1000,0)),""))</f>
        <v/>
      </c>
      <c r="C28" s="22" t="str">
        <f aca="false">IF(ISBLANK(TAKSIT_PLANI!$A28),"",TAKSIT_PLANI!$D28)</f>
        <v/>
      </c>
      <c r="D28" s="18" t="str">
        <f aca="false">IF(ISBLANK(TAKSIT_PLANI!$A28),"",TAKSIT_PLANI!$I28)</f>
        <v/>
      </c>
      <c r="E28" s="23" t="str">
        <f aca="false">IF(ISBLANK(TAKSIT_PLANI!$A28),"",TAKSIT_PLANI!$K28)</f>
        <v/>
      </c>
      <c r="F28" s="15" t="str">
        <f aca="false">IF(ISBLANK(TAKSIT_PLANI!$A28),"",IF(TAKSIT_PLANI!$K28&lt;0,"Vadesi Geçmiş",IF(TAKSIT_PLANI!$K28&lt;=30,"0-30 Gün",IF(TAKSIT_PLANI!$K28&lt;=60,"31-60 Gün","61 Gün ve Üzeri"))))</f>
        <v/>
      </c>
      <c r="G28" s="15" t="str">
        <f aca="false">IF(ISBLANK(TAKSIT_PLANI!$A28),"",TAKSIT_PLANI!$J28)</f>
        <v/>
      </c>
    </row>
    <row r="29" customFormat="false" ht="15" hidden="false" customHeight="true" outlineLevel="0" collapsed="false">
      <c r="A29" s="15" t="str">
        <f aca="false">IF(ISBLANK(TAKSIT_PLANI!$A29),"",TAKSIT_PLANI!$B29)</f>
        <v/>
      </c>
      <c r="B29" s="24" t="str">
        <f aca="false">IF(ISBLANK(TAKSIT_PLANI!$A29),"",IFERROR(INDEX(KREDILER!$B$6:$B$1000,MATCH(TAKSIT_PLANI!$B29,KREDILER!$A$6:$A$1000,0)),""))</f>
        <v/>
      </c>
      <c r="C29" s="22" t="str">
        <f aca="false">IF(ISBLANK(TAKSIT_PLANI!$A29),"",TAKSIT_PLANI!$D29)</f>
        <v/>
      </c>
      <c r="D29" s="18" t="str">
        <f aca="false">IF(ISBLANK(TAKSIT_PLANI!$A29),"",TAKSIT_PLANI!$I29)</f>
        <v/>
      </c>
      <c r="E29" s="23" t="str">
        <f aca="false">IF(ISBLANK(TAKSIT_PLANI!$A29),"",TAKSIT_PLANI!$K29)</f>
        <v/>
      </c>
      <c r="F29" s="15" t="str">
        <f aca="false">IF(ISBLANK(TAKSIT_PLANI!$A29),"",IF(TAKSIT_PLANI!$K29&lt;0,"Vadesi Geçmiş",IF(TAKSIT_PLANI!$K29&lt;=30,"0-30 Gün",IF(TAKSIT_PLANI!$K29&lt;=60,"31-60 Gün","61 Gün ve Üzeri"))))</f>
        <v/>
      </c>
      <c r="G29" s="15" t="str">
        <f aca="false">IF(ISBLANK(TAKSIT_PLANI!$A29),"",TAKSIT_PLANI!$J29)</f>
        <v/>
      </c>
    </row>
    <row r="30" customFormat="false" ht="15" hidden="false" customHeight="true" outlineLevel="0" collapsed="false">
      <c r="A30" s="15" t="str">
        <f aca="false">IF(ISBLANK(TAKSIT_PLANI!$A30),"",TAKSIT_PLANI!$B30)</f>
        <v/>
      </c>
      <c r="B30" s="24" t="str">
        <f aca="false">IF(ISBLANK(TAKSIT_PLANI!$A30),"",IFERROR(INDEX(KREDILER!$B$6:$B$1000,MATCH(TAKSIT_PLANI!$B30,KREDILER!$A$6:$A$1000,0)),""))</f>
        <v/>
      </c>
      <c r="C30" s="22" t="str">
        <f aca="false">IF(ISBLANK(TAKSIT_PLANI!$A30),"",TAKSIT_PLANI!$D30)</f>
        <v/>
      </c>
      <c r="D30" s="18" t="str">
        <f aca="false">IF(ISBLANK(TAKSIT_PLANI!$A30),"",TAKSIT_PLANI!$I30)</f>
        <v/>
      </c>
      <c r="E30" s="23" t="str">
        <f aca="false">IF(ISBLANK(TAKSIT_PLANI!$A30),"",TAKSIT_PLANI!$K30)</f>
        <v/>
      </c>
      <c r="F30" s="15" t="str">
        <f aca="false">IF(ISBLANK(TAKSIT_PLANI!$A30),"",IF(TAKSIT_PLANI!$K30&lt;0,"Vadesi Geçmiş",IF(TAKSIT_PLANI!$K30&lt;=30,"0-30 Gün",IF(TAKSIT_PLANI!$K30&lt;=60,"31-60 Gün","61 Gün ve Üzeri"))))</f>
        <v/>
      </c>
      <c r="G30" s="15" t="str">
        <f aca="false">IF(ISBLANK(TAKSIT_PLANI!$A30),"",TAKSIT_PLANI!$J30)</f>
        <v/>
      </c>
    </row>
    <row r="31" customFormat="false" ht="15" hidden="false" customHeight="true" outlineLevel="0" collapsed="false">
      <c r="A31" s="15" t="str">
        <f aca="false">IF(ISBLANK(TAKSIT_PLANI!$A31),"",TAKSIT_PLANI!$B31)</f>
        <v/>
      </c>
      <c r="B31" s="24" t="str">
        <f aca="false">IF(ISBLANK(TAKSIT_PLANI!$A31),"",IFERROR(INDEX(KREDILER!$B$6:$B$1000,MATCH(TAKSIT_PLANI!$B31,KREDILER!$A$6:$A$1000,0)),""))</f>
        <v/>
      </c>
      <c r="C31" s="22" t="str">
        <f aca="false">IF(ISBLANK(TAKSIT_PLANI!$A31),"",TAKSIT_PLANI!$D31)</f>
        <v/>
      </c>
      <c r="D31" s="18" t="str">
        <f aca="false">IF(ISBLANK(TAKSIT_PLANI!$A31),"",TAKSIT_PLANI!$I31)</f>
        <v/>
      </c>
      <c r="E31" s="23" t="str">
        <f aca="false">IF(ISBLANK(TAKSIT_PLANI!$A31),"",TAKSIT_PLANI!$K31)</f>
        <v/>
      </c>
      <c r="F31" s="15" t="str">
        <f aca="false">IF(ISBLANK(TAKSIT_PLANI!$A31),"",IF(TAKSIT_PLANI!$K31&lt;0,"Vadesi Geçmiş",IF(TAKSIT_PLANI!$K31&lt;=30,"0-30 Gün",IF(TAKSIT_PLANI!$K31&lt;=60,"31-60 Gün","61 Gün ve Üzeri"))))</f>
        <v/>
      </c>
      <c r="G31" s="15" t="str">
        <f aca="false">IF(ISBLANK(TAKSIT_PLANI!$A31),"",TAKSIT_PLANI!$J31)</f>
        <v/>
      </c>
    </row>
    <row r="32" customFormat="false" ht="15" hidden="false" customHeight="true" outlineLevel="0" collapsed="false">
      <c r="A32" s="15" t="str">
        <f aca="false">IF(ISBLANK(TAKSIT_PLANI!$A32),"",TAKSIT_PLANI!$B32)</f>
        <v/>
      </c>
      <c r="B32" s="24" t="str">
        <f aca="false">IF(ISBLANK(TAKSIT_PLANI!$A32),"",IFERROR(INDEX(KREDILER!$B$6:$B$1000,MATCH(TAKSIT_PLANI!$B32,KREDILER!$A$6:$A$1000,0)),""))</f>
        <v/>
      </c>
      <c r="C32" s="22" t="str">
        <f aca="false">IF(ISBLANK(TAKSIT_PLANI!$A32),"",TAKSIT_PLANI!$D32)</f>
        <v/>
      </c>
      <c r="D32" s="18" t="str">
        <f aca="false">IF(ISBLANK(TAKSIT_PLANI!$A32),"",TAKSIT_PLANI!$I32)</f>
        <v/>
      </c>
      <c r="E32" s="23" t="str">
        <f aca="false">IF(ISBLANK(TAKSIT_PLANI!$A32),"",TAKSIT_PLANI!$K32)</f>
        <v/>
      </c>
      <c r="F32" s="15" t="str">
        <f aca="false">IF(ISBLANK(TAKSIT_PLANI!$A32),"",IF(TAKSIT_PLANI!$K32&lt;0,"Vadesi Geçmiş",IF(TAKSIT_PLANI!$K32&lt;=30,"0-30 Gün",IF(TAKSIT_PLANI!$K32&lt;=60,"31-60 Gün","61 Gün ve Üzeri"))))</f>
        <v/>
      </c>
      <c r="G32" s="15" t="str">
        <f aca="false">IF(ISBLANK(TAKSIT_PLANI!$A32),"",TAKSIT_PLANI!$J32)</f>
        <v/>
      </c>
    </row>
    <row r="33" customFormat="false" ht="15" hidden="false" customHeight="true" outlineLevel="0" collapsed="false">
      <c r="A33" s="15" t="str">
        <f aca="false">IF(ISBLANK(TAKSIT_PLANI!$A33),"",TAKSIT_PLANI!$B33)</f>
        <v/>
      </c>
      <c r="B33" s="24" t="str">
        <f aca="false">IF(ISBLANK(TAKSIT_PLANI!$A33),"",IFERROR(INDEX(KREDILER!$B$6:$B$1000,MATCH(TAKSIT_PLANI!$B33,KREDILER!$A$6:$A$1000,0)),""))</f>
        <v/>
      </c>
      <c r="C33" s="22" t="str">
        <f aca="false">IF(ISBLANK(TAKSIT_PLANI!$A33),"",TAKSIT_PLANI!$D33)</f>
        <v/>
      </c>
      <c r="D33" s="18" t="str">
        <f aca="false">IF(ISBLANK(TAKSIT_PLANI!$A33),"",TAKSIT_PLANI!$I33)</f>
        <v/>
      </c>
      <c r="E33" s="23" t="str">
        <f aca="false">IF(ISBLANK(TAKSIT_PLANI!$A33),"",TAKSIT_PLANI!$K33)</f>
        <v/>
      </c>
      <c r="F33" s="15" t="str">
        <f aca="false">IF(ISBLANK(TAKSIT_PLANI!$A33),"",IF(TAKSIT_PLANI!$K33&lt;0,"Vadesi Geçmiş",IF(TAKSIT_PLANI!$K33&lt;=30,"0-30 Gün",IF(TAKSIT_PLANI!$K33&lt;=60,"31-60 Gün","61 Gün ve Üzeri"))))</f>
        <v/>
      </c>
      <c r="G33" s="15" t="str">
        <f aca="false">IF(ISBLANK(TAKSIT_PLANI!$A33),"",TAKSIT_PLANI!$J33)</f>
        <v/>
      </c>
    </row>
    <row r="34" customFormat="false" ht="15" hidden="false" customHeight="true" outlineLevel="0" collapsed="false">
      <c r="A34" s="15" t="str">
        <f aca="false">IF(ISBLANK(TAKSIT_PLANI!$A34),"",TAKSIT_PLANI!$B34)</f>
        <v/>
      </c>
      <c r="B34" s="24" t="str">
        <f aca="false">IF(ISBLANK(TAKSIT_PLANI!$A34),"",IFERROR(INDEX(KREDILER!$B$6:$B$1000,MATCH(TAKSIT_PLANI!$B34,KREDILER!$A$6:$A$1000,0)),""))</f>
        <v/>
      </c>
      <c r="C34" s="22" t="str">
        <f aca="false">IF(ISBLANK(TAKSIT_PLANI!$A34),"",TAKSIT_PLANI!$D34)</f>
        <v/>
      </c>
      <c r="D34" s="18" t="str">
        <f aca="false">IF(ISBLANK(TAKSIT_PLANI!$A34),"",TAKSIT_PLANI!$I34)</f>
        <v/>
      </c>
      <c r="E34" s="23" t="str">
        <f aca="false">IF(ISBLANK(TAKSIT_PLANI!$A34),"",TAKSIT_PLANI!$K34)</f>
        <v/>
      </c>
      <c r="F34" s="15" t="str">
        <f aca="false">IF(ISBLANK(TAKSIT_PLANI!$A34),"",IF(TAKSIT_PLANI!$K34&lt;0,"Vadesi Geçmiş",IF(TAKSIT_PLANI!$K34&lt;=30,"0-30 Gün",IF(TAKSIT_PLANI!$K34&lt;=60,"31-60 Gün","61 Gün ve Üzeri"))))</f>
        <v/>
      </c>
      <c r="G34" s="15" t="str">
        <f aca="false">IF(ISBLANK(TAKSIT_PLANI!$A34),"",TAKSIT_PLANI!$J34)</f>
        <v/>
      </c>
    </row>
    <row r="35" customFormat="false" ht="15" hidden="false" customHeight="true" outlineLevel="0" collapsed="false">
      <c r="A35" s="15" t="str">
        <f aca="false">IF(ISBLANK(TAKSIT_PLANI!$A35),"",TAKSIT_PLANI!$B35)</f>
        <v/>
      </c>
      <c r="B35" s="24" t="str">
        <f aca="false">IF(ISBLANK(TAKSIT_PLANI!$A35),"",IFERROR(INDEX(KREDILER!$B$6:$B$1000,MATCH(TAKSIT_PLANI!$B35,KREDILER!$A$6:$A$1000,0)),""))</f>
        <v/>
      </c>
      <c r="C35" s="22" t="str">
        <f aca="false">IF(ISBLANK(TAKSIT_PLANI!$A35),"",TAKSIT_PLANI!$D35)</f>
        <v/>
      </c>
      <c r="D35" s="18" t="str">
        <f aca="false">IF(ISBLANK(TAKSIT_PLANI!$A35),"",TAKSIT_PLANI!$I35)</f>
        <v/>
      </c>
      <c r="E35" s="23" t="str">
        <f aca="false">IF(ISBLANK(TAKSIT_PLANI!$A35),"",TAKSIT_PLANI!$K35)</f>
        <v/>
      </c>
      <c r="F35" s="15" t="str">
        <f aca="false">IF(ISBLANK(TAKSIT_PLANI!$A35),"",IF(TAKSIT_PLANI!$K35&lt;0,"Vadesi Geçmiş",IF(TAKSIT_PLANI!$K35&lt;=30,"0-30 Gün",IF(TAKSIT_PLANI!$K35&lt;=60,"31-60 Gün","61 Gün ve Üzeri"))))</f>
        <v/>
      </c>
      <c r="G35" s="15" t="str">
        <f aca="false">IF(ISBLANK(TAKSIT_PLANI!$A35),"",TAKSIT_PLANI!$J35)</f>
        <v/>
      </c>
    </row>
  </sheetData>
  <sheetProtection sheet="true" password="cc3d" objects="true" scenarios="true" deleteColumns="false" deleteRows="false"/>
  <mergeCells count="1">
    <mergeCell ref="A1:AN1"/>
  </mergeCells>
  <conditionalFormatting sqref="D6:D1000">
    <cfRule type="cellIs" priority="2" operator="lessThan" aboveAverage="0" equalAverage="0" bottom="0" percent="0" rank="0" text="" dxfId="9">
      <formula>0</formula>
    </cfRule>
  </conditionalFormatting>
  <conditionalFormatting sqref="E6:E1000">
    <cfRule type="cellIs" priority="3" operator="lessThan" aboveAverage="0" equalAverage="0" bottom="0" percent="0" rank="0" text="" dxfId="12">
      <formula>0</formula>
    </cfRule>
    <cfRule type="cellIs" priority="4" operator="between" aboveAverage="0" equalAverage="0" bottom="0" percent="0" rank="0" text="" dxfId="10">
      <formula>0</formula>
      <formula>30</formula>
    </cfRule>
    <cfRule type="cellIs" priority="5" operator="greaterThan" aboveAverage="0" equalAverage="0" bottom="0" percent="0" rank="0" text="" dxfId="8">
      <formula>30</formula>
    </cfRule>
  </conditionalFormatting>
  <conditionalFormatting sqref="F6:F1000">
    <cfRule type="cellIs" priority="6" operator="equal" aboveAverage="0" equalAverage="0" bottom="0" percent="0" rank="0" text="" dxfId="12">
      <formula>"Vadesi Geçmiş"</formula>
    </cfRule>
    <cfRule type="cellIs" priority="7" operator="equal" aboveAverage="0" equalAverage="0" bottom="0" percent="0" rank="0" text="" dxfId="10">
      <formula>"0-30 Gün"</formula>
    </cfRule>
    <cfRule type="cellIs" priority="8" operator="equal" aboveAverage="0" equalAverage="0" bottom="0" percent="0" rank="0" text="" dxfId="10">
      <formula>"31-60 Gün"</formula>
    </cfRule>
    <cfRule type="cellIs" priority="9" operator="equal" aboveAverage="0" equalAverage="0" bottom="0" percent="0" rank="0" text="" dxfId="8">
      <formula>"61-90 Gün"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5"/>
    <col collapsed="false" customWidth="true" hidden="false" outlineLevel="0" max="3" min="3" style="1" width="18"/>
    <col collapsed="false" customWidth="true" hidden="false" outlineLevel="0" max="6" min="4" style="1" width="16"/>
    <col collapsed="false" customWidth="true" hidden="false" outlineLevel="0" max="8" min="7" style="1" width="18"/>
    <col collapsed="false" customWidth="true" hidden="false" outlineLevel="0" max="9" min="9" style="1" width="11"/>
    <col collapsed="false" customWidth="true" hidden="false" outlineLevel="0" max="10" min="10" style="1" width="10"/>
  </cols>
  <sheetData>
    <row r="1" customFormat="false" ht="25.5" hidden="false" customHeight="true" outlineLevel="0" collapsed="false">
      <c r="A1" s="2" t="s">
        <v>163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</row>
    <row r="3" customFormat="false" ht="105.75" hidden="false" customHeight="true" outlineLevel="0" collapsed="false">
      <c r="A3" s="11" t="s">
        <v>164</v>
      </c>
    </row>
    <row r="5" customFormat="false" ht="30" hidden="false" customHeight="true" outlineLevel="0" collapsed="false">
      <c r="A5" s="12" t="s">
        <v>149</v>
      </c>
      <c r="B5" s="12" t="s">
        <v>150</v>
      </c>
      <c r="C5" s="12" t="s">
        <v>165</v>
      </c>
      <c r="D5" s="12" t="s">
        <v>166</v>
      </c>
      <c r="E5" s="12" t="s">
        <v>167</v>
      </c>
      <c r="F5" s="12" t="s">
        <v>168</v>
      </c>
      <c r="G5" s="12" t="s">
        <v>169</v>
      </c>
      <c r="H5" s="12" t="s">
        <v>170</v>
      </c>
      <c r="I5" s="12" t="s">
        <v>171</v>
      </c>
      <c r="J5" s="12" t="s">
        <v>33</v>
      </c>
    </row>
    <row r="6" customFormat="false" ht="15" hidden="false" customHeight="true" outlineLevel="0" collapsed="false">
      <c r="A6" s="15" t="str">
        <f aca="false">IF(ISBLANK(YENI_TEKLIFLER!$A6),"",YENI_TEKLIFLER!$A6)</f>
        <v>TKL-001</v>
      </c>
      <c r="B6" s="15" t="str">
        <f aca="false">IF(ISBLANK(YENI_TEKLIFLER!$A6),"",YENI_TEKLIFLER!$B6)</f>
        <v>KRD-001</v>
      </c>
      <c r="C6" s="18" t="n">
        <f aca="false">IF(ISBLANK(YENI_TEKLIFLER!$A6),"",SUMIFS(TAKSIT_PLANI!$I$6:$I$1000,TAKSIT_PLANI!$B$6:$B$1000,YENI_TEKLIFLER!$B6,TAKSIT_PLANI!$C$6:$C$1000,1))</f>
        <v>620000</v>
      </c>
      <c r="D6" s="18" t="n">
        <f aca="false">IF(ISBLANK(YENI_TEKLIFLER!$A6),"",YENI_TEKLIFLER!$I6)</f>
        <v>286667</v>
      </c>
      <c r="E6" s="18" t="n">
        <f aca="false">IF(ISBLANK(YENI_TEKLIFLER!$A6),"",$C6-$D6)</f>
        <v>333333</v>
      </c>
      <c r="F6" s="18" t="n">
        <f aca="false">IF(ISBLANK(YENI_TEKLIFLER!$A6),"",MAX(0,$E6))</f>
        <v>333333</v>
      </c>
      <c r="G6" s="18" t="n">
        <f aca="false">IF(ISBLANK(YENI_TEKLIFLER!$A6),"",YENI_TEKLIFLER!$J6)</f>
        <v>8780000</v>
      </c>
      <c r="H6" s="18" t="n">
        <f aca="false">IF(ISBLANK(YENI_TEKLIFLER!$A6),"",INDEX(KREDILER!$H$6:$H$1000,MATCH(YENI_TEKLIFLER!$B6,KREDILER!$A$6:$A$1000,0)))</f>
        <v>8400000</v>
      </c>
      <c r="I6" s="15" t="str">
        <f aca="false">IF(ISBLANK(YENI_TEKLIFLER!$A6),"",IF($E6&gt;0,"ADAY","DEĞİL"))</f>
        <v>ADAY</v>
      </c>
      <c r="J6" s="15" t="str">
        <f aca="false">IF(ISBLANK(YENI_TEKLIFLER!$A6),"",IF(OR(ISBLANK($B6),ISBLANK($C6),ISBLANK($D6),ISBLANK($E6),ISBLANK($F6),ISBLANK($G6),ISBLANK($H6)),"EKSİK","OK"))</f>
        <v>OK</v>
      </c>
    </row>
    <row r="7" customFormat="false" ht="15" hidden="false" customHeight="true" outlineLevel="0" collapsed="false">
      <c r="A7" s="15" t="str">
        <f aca="false">IF(ISBLANK(YENI_TEKLIFLER!$A7),"",YENI_TEKLIFLER!$A7)</f>
        <v>TKL-002</v>
      </c>
      <c r="B7" s="15" t="str">
        <f aca="false">IF(ISBLANK(YENI_TEKLIFLER!$A7),"",YENI_TEKLIFLER!$B7)</f>
        <v>KRD-002</v>
      </c>
      <c r="C7" s="18" t="n">
        <f aca="false">IF(ISBLANK(YENI_TEKLIFLER!$A7),"",SUMIFS(TAKSIT_PLANI!$I$6:$I$1000,TAKSIT_PLANI!$B$6:$B$1000,YENI_TEKLIFLER!$B7,TAKSIT_PLANI!$C$6:$C$1000,1))</f>
        <v>310000</v>
      </c>
      <c r="D7" s="18" t="n">
        <f aca="false">IF(ISBLANK(YENI_TEKLIFLER!$A7),"",YENI_TEKLIFLER!$I7)</f>
        <v>147619</v>
      </c>
      <c r="E7" s="18" t="n">
        <f aca="false">IF(ISBLANK(YENI_TEKLIFLER!$A7),"",$C7-$D7)</f>
        <v>162381</v>
      </c>
      <c r="F7" s="18" t="n">
        <f aca="false">IF(ISBLANK(YENI_TEKLIFLER!$A7),"",MAX(0,$E7))</f>
        <v>162381</v>
      </c>
      <c r="G7" s="18" t="n">
        <f aca="false">IF(ISBLANK(YENI_TEKLIFLER!$A7),"",YENI_TEKLIFLER!$J7)</f>
        <v>6360000</v>
      </c>
      <c r="H7" s="18" t="n">
        <f aca="false">IF(ISBLANK(YENI_TEKLIFLER!$A7),"",INDEX(KREDILER!$H$6:$H$1000,MATCH(YENI_TEKLIFLER!$B7,KREDILER!$A$6:$A$1000,0)))</f>
        <v>6100000</v>
      </c>
      <c r="I7" s="15" t="str">
        <f aca="false">IF(ISBLANK(YENI_TEKLIFLER!$A7),"",IF($E7&gt;0,"ADAY","DEĞİL"))</f>
        <v>ADAY</v>
      </c>
      <c r="J7" s="15" t="str">
        <f aca="false">IF(ISBLANK(YENI_TEKLIFLER!$A7),"",IF(OR(ISBLANK($B7),ISBLANK($C7),ISBLANK($D7),ISBLANK($E7),ISBLANK($F7),ISBLANK($G7),ISBLANK($H7)),"EKSİK","OK"))</f>
        <v>OK</v>
      </c>
    </row>
    <row r="8" customFormat="false" ht="15" hidden="false" customHeight="true" outlineLevel="0" collapsed="false">
      <c r="A8" s="15" t="str">
        <f aca="false">IF(ISBLANK(YENI_TEKLIFLER!$A8),"",YENI_TEKLIFLER!$A8)</f>
        <v>TKL-003</v>
      </c>
      <c r="B8" s="15" t="str">
        <f aca="false">IF(ISBLANK(YENI_TEKLIFLER!$A8),"",YENI_TEKLIFLER!$B8)</f>
        <v>KRD-003</v>
      </c>
      <c r="C8" s="18" t="n">
        <f aca="false">IF(ISBLANK(YENI_TEKLIFLER!$A8),"",SUMIFS(TAKSIT_PLANI!$I$6:$I$1000,TAKSIT_PLANI!$B$6:$B$1000,YENI_TEKLIFLER!$B8,TAKSIT_PLANI!$C$6:$C$1000,1))</f>
        <v>4864</v>
      </c>
      <c r="D8" s="18" t="n">
        <f aca="false">IF(ISBLANK(YENI_TEKLIFLER!$A8),"",YENI_TEKLIFLER!$I8)</f>
        <v>7917</v>
      </c>
      <c r="E8" s="18" t="n">
        <f aca="false">IF(ISBLANK(YENI_TEKLIFLER!$A8),"",$C8-$D8)</f>
        <v>-3053</v>
      </c>
      <c r="F8" s="18" t="n">
        <f aca="false">IF(ISBLANK(YENI_TEKLIFLER!$A8),"",MAX(0,$E8))</f>
        <v>0</v>
      </c>
      <c r="G8" s="18" t="n">
        <f aca="false">IF(ISBLANK(YENI_TEKLIFLER!$A8),"",YENI_TEKLIFLER!$J8)</f>
        <v>196000</v>
      </c>
      <c r="H8" s="18" t="n">
        <f aca="false">IF(ISBLANK(YENI_TEKLIFLER!$A8),"",INDEX(KREDILER!$H$6:$H$1000,MATCH(YENI_TEKLIFLER!$B8,KREDILER!$A$6:$A$1000,0)))</f>
        <v>180000</v>
      </c>
      <c r="I8" s="15" t="str">
        <f aca="false">IF(ISBLANK(YENI_TEKLIFLER!$A8),"",IF($E8&gt;0,"ADAY","DEĞİL"))</f>
        <v>DEĞİL</v>
      </c>
      <c r="J8" s="15" t="str">
        <f aca="false">IF(ISBLANK(YENI_TEKLIFLER!$A8),"",IF(OR(ISBLANK($B8),ISBLANK($C8),ISBLANK($D8),ISBLANK($E8),ISBLANK($F8),ISBLANK($G8),ISBLANK($H8)),"EKSİK","OK"))</f>
        <v>OK</v>
      </c>
    </row>
    <row r="9" customFormat="false" ht="15" hidden="false" customHeight="true" outlineLevel="0" collapsed="false">
      <c r="A9" s="15" t="str">
        <f aca="false">IF(ISBLANK(YENI_TEKLIFLER!$A9),"",YENI_TEKLIFLER!$A9)</f>
        <v/>
      </c>
      <c r="B9" s="15" t="str">
        <f aca="false">IF(ISBLANK(YENI_TEKLIFLER!$A9),"",YENI_TEKLIFLER!$B9)</f>
        <v/>
      </c>
      <c r="C9" s="18" t="str">
        <f aca="false">IF(ISBLANK(YENI_TEKLIFLER!$A9),"",SUMIFS(TAKSIT_PLANI!$I$6:$I$1000,TAKSIT_PLANI!$B$6:$B$1000,YENI_TEKLIFLER!$B9,TAKSIT_PLANI!$C$6:$C$1000,1))</f>
        <v/>
      </c>
      <c r="D9" s="18" t="str">
        <f aca="false">IF(ISBLANK(YENI_TEKLIFLER!$A9),"",YENI_TEKLIFLER!$I9)</f>
        <v/>
      </c>
      <c r="E9" s="18" t="str">
        <f aca="false">IF(ISBLANK(YENI_TEKLIFLER!$A9),"",$C9-$D9)</f>
        <v/>
      </c>
      <c r="F9" s="18" t="str">
        <f aca="false">IF(ISBLANK(YENI_TEKLIFLER!$A9),"",MAX(0,$E9))</f>
        <v/>
      </c>
      <c r="G9" s="18" t="str">
        <f aca="false">IF(ISBLANK(YENI_TEKLIFLER!$A9),"",YENI_TEKLIFLER!$J9)</f>
        <v/>
      </c>
      <c r="H9" s="18" t="str">
        <f aca="false">IF(ISBLANK(YENI_TEKLIFLER!$A9),"",INDEX(KREDILER!$H$6:$H$1000,MATCH(YENI_TEKLIFLER!$B9,KREDILER!$A$6:$A$1000,0)))</f>
        <v/>
      </c>
      <c r="I9" s="15" t="str">
        <f aca="false">IF(ISBLANK(YENI_TEKLIFLER!$A9),"",IF($E9&gt;0,"ADAY","DEĞİL"))</f>
        <v/>
      </c>
      <c r="J9" s="15" t="str">
        <f aca="false">IF(ISBLANK(YENI_TEKLIFLER!$A9),"",IF(OR(ISBLANK($B9),ISBLANK($C9),ISBLANK($D9),ISBLANK($E9),ISBLANK($F9),ISBLANK($G9),ISBLANK($H9)),"EKSİK","OK"))</f>
        <v/>
      </c>
    </row>
    <row r="10" customFormat="false" ht="15" hidden="false" customHeight="true" outlineLevel="0" collapsed="false">
      <c r="A10" s="15" t="str">
        <f aca="false">IF(ISBLANK(YENI_TEKLIFLER!$A10),"",YENI_TEKLIFLER!$A10)</f>
        <v/>
      </c>
      <c r="B10" s="15" t="str">
        <f aca="false">IF(ISBLANK(YENI_TEKLIFLER!$A10),"",YENI_TEKLIFLER!$B10)</f>
        <v/>
      </c>
      <c r="C10" s="18" t="str">
        <f aca="false">IF(ISBLANK(YENI_TEKLIFLER!$A10),"",SUMIFS(TAKSIT_PLANI!$I$6:$I$1000,TAKSIT_PLANI!$B$6:$B$1000,YENI_TEKLIFLER!$B10,TAKSIT_PLANI!$C$6:$C$1000,1))</f>
        <v/>
      </c>
      <c r="D10" s="18" t="str">
        <f aca="false">IF(ISBLANK(YENI_TEKLIFLER!$A10),"",YENI_TEKLIFLER!$I10)</f>
        <v/>
      </c>
      <c r="E10" s="18" t="str">
        <f aca="false">IF(ISBLANK(YENI_TEKLIFLER!$A10),"",$C10-$D10)</f>
        <v/>
      </c>
      <c r="F10" s="18" t="str">
        <f aca="false">IF(ISBLANK(YENI_TEKLIFLER!$A10),"",MAX(0,$E10))</f>
        <v/>
      </c>
      <c r="G10" s="18" t="str">
        <f aca="false">IF(ISBLANK(YENI_TEKLIFLER!$A10),"",YENI_TEKLIFLER!$J10)</f>
        <v/>
      </c>
      <c r="H10" s="18" t="str">
        <f aca="false">IF(ISBLANK(YENI_TEKLIFLER!$A10),"",INDEX(KREDILER!$H$6:$H$1000,MATCH(YENI_TEKLIFLER!$B10,KREDILER!$A$6:$A$1000,0)))</f>
        <v/>
      </c>
      <c r="I10" s="15" t="str">
        <f aca="false">IF(ISBLANK(YENI_TEKLIFLER!$A10),"",IF($E10&gt;0,"ADAY","DEĞİL"))</f>
        <v/>
      </c>
      <c r="J10" s="15" t="str">
        <f aca="false">IF(ISBLANK(YENI_TEKLIFLER!$A10),"",IF(OR(ISBLANK($B10),ISBLANK($C10),ISBLANK($D10),ISBLANK($E10),ISBLANK($F10),ISBLANK($G10),ISBLANK($H10)),"EKSİK","OK"))</f>
        <v/>
      </c>
    </row>
    <row r="11" customFormat="false" ht="15" hidden="false" customHeight="true" outlineLevel="0" collapsed="false">
      <c r="A11" s="15" t="str">
        <f aca="false">IF(ISBLANK(YENI_TEKLIFLER!$A11),"",YENI_TEKLIFLER!$A11)</f>
        <v/>
      </c>
      <c r="B11" s="15" t="str">
        <f aca="false">IF(ISBLANK(YENI_TEKLIFLER!$A11),"",YENI_TEKLIFLER!$B11)</f>
        <v/>
      </c>
      <c r="C11" s="18" t="str">
        <f aca="false">IF(ISBLANK(YENI_TEKLIFLER!$A11),"",SUMIFS(TAKSIT_PLANI!$I$6:$I$1000,TAKSIT_PLANI!$B$6:$B$1000,YENI_TEKLIFLER!$B11,TAKSIT_PLANI!$C$6:$C$1000,1))</f>
        <v/>
      </c>
      <c r="D11" s="18" t="str">
        <f aca="false">IF(ISBLANK(YENI_TEKLIFLER!$A11),"",YENI_TEKLIFLER!$I11)</f>
        <v/>
      </c>
      <c r="E11" s="18" t="str">
        <f aca="false">IF(ISBLANK(YENI_TEKLIFLER!$A11),"",$C11-$D11)</f>
        <v/>
      </c>
      <c r="F11" s="18" t="str">
        <f aca="false">IF(ISBLANK(YENI_TEKLIFLER!$A11),"",MAX(0,$E11))</f>
        <v/>
      </c>
      <c r="G11" s="18" t="str">
        <f aca="false">IF(ISBLANK(YENI_TEKLIFLER!$A11),"",YENI_TEKLIFLER!$J11)</f>
        <v/>
      </c>
      <c r="H11" s="18" t="str">
        <f aca="false">IF(ISBLANK(YENI_TEKLIFLER!$A11),"",INDEX(KREDILER!$H$6:$H$1000,MATCH(YENI_TEKLIFLER!$B11,KREDILER!$A$6:$A$1000,0)))</f>
        <v/>
      </c>
      <c r="I11" s="15" t="str">
        <f aca="false">IF(ISBLANK(YENI_TEKLIFLER!$A11),"",IF($E11&gt;0,"ADAY","DEĞİL"))</f>
        <v/>
      </c>
      <c r="J11" s="15" t="str">
        <f aca="false">IF(ISBLANK(YENI_TEKLIFLER!$A11),"",IF(OR(ISBLANK($B11),ISBLANK($C11),ISBLANK($D11),ISBLANK($E11),ISBLANK($F11),ISBLANK($G11),ISBLANK($H11)),"EKSİK","OK"))</f>
        <v/>
      </c>
    </row>
    <row r="12" customFormat="false" ht="15" hidden="false" customHeight="true" outlineLevel="0" collapsed="false">
      <c r="A12" s="15" t="str">
        <f aca="false">IF(ISBLANK(YENI_TEKLIFLER!$A12),"",YENI_TEKLIFLER!$A12)</f>
        <v/>
      </c>
      <c r="B12" s="15" t="str">
        <f aca="false">IF(ISBLANK(YENI_TEKLIFLER!$A12),"",YENI_TEKLIFLER!$B12)</f>
        <v/>
      </c>
      <c r="C12" s="18" t="str">
        <f aca="false">IF(ISBLANK(YENI_TEKLIFLER!$A12),"",SUMIFS(TAKSIT_PLANI!$I$6:$I$1000,TAKSIT_PLANI!$B$6:$B$1000,YENI_TEKLIFLER!$B12,TAKSIT_PLANI!$C$6:$C$1000,1))</f>
        <v/>
      </c>
      <c r="D12" s="18" t="str">
        <f aca="false">IF(ISBLANK(YENI_TEKLIFLER!$A12),"",YENI_TEKLIFLER!$I12)</f>
        <v/>
      </c>
      <c r="E12" s="18" t="str">
        <f aca="false">IF(ISBLANK(YENI_TEKLIFLER!$A12),"",$C12-$D12)</f>
        <v/>
      </c>
      <c r="F12" s="18" t="str">
        <f aca="false">IF(ISBLANK(YENI_TEKLIFLER!$A12),"",MAX(0,$E12))</f>
        <v/>
      </c>
      <c r="G12" s="18" t="str">
        <f aca="false">IF(ISBLANK(YENI_TEKLIFLER!$A12),"",YENI_TEKLIFLER!$J12)</f>
        <v/>
      </c>
      <c r="H12" s="18" t="str">
        <f aca="false">IF(ISBLANK(YENI_TEKLIFLER!$A12),"",INDEX(KREDILER!$H$6:$H$1000,MATCH(YENI_TEKLIFLER!$B12,KREDILER!$A$6:$A$1000,0)))</f>
        <v/>
      </c>
      <c r="I12" s="15" t="str">
        <f aca="false">IF(ISBLANK(YENI_TEKLIFLER!$A12),"",IF($E12&gt;0,"ADAY","DEĞİL"))</f>
        <v/>
      </c>
      <c r="J12" s="15" t="str">
        <f aca="false">IF(ISBLANK(YENI_TEKLIFLER!$A12),"",IF(OR(ISBLANK($B12),ISBLANK($C12),ISBLANK($D12),ISBLANK($E12),ISBLANK($F12),ISBLANK($G12),ISBLANK($H12)),"EKSİK","OK"))</f>
        <v/>
      </c>
    </row>
    <row r="13" customFormat="false" ht="15" hidden="false" customHeight="true" outlineLevel="0" collapsed="false">
      <c r="A13" s="15" t="str">
        <f aca="false">IF(ISBLANK(YENI_TEKLIFLER!$A13),"",YENI_TEKLIFLER!$A13)</f>
        <v/>
      </c>
      <c r="B13" s="15" t="str">
        <f aca="false">IF(ISBLANK(YENI_TEKLIFLER!$A13),"",YENI_TEKLIFLER!$B13)</f>
        <v/>
      </c>
      <c r="C13" s="18" t="str">
        <f aca="false">IF(ISBLANK(YENI_TEKLIFLER!$A13),"",SUMIFS(TAKSIT_PLANI!$I$6:$I$1000,TAKSIT_PLANI!$B$6:$B$1000,YENI_TEKLIFLER!$B13,TAKSIT_PLANI!$C$6:$C$1000,1))</f>
        <v/>
      </c>
      <c r="D13" s="18" t="str">
        <f aca="false">IF(ISBLANK(YENI_TEKLIFLER!$A13),"",YENI_TEKLIFLER!$I13)</f>
        <v/>
      </c>
      <c r="E13" s="18" t="str">
        <f aca="false">IF(ISBLANK(YENI_TEKLIFLER!$A13),"",$C13-$D13)</f>
        <v/>
      </c>
      <c r="F13" s="18" t="str">
        <f aca="false">IF(ISBLANK(YENI_TEKLIFLER!$A13),"",MAX(0,$E13))</f>
        <v/>
      </c>
      <c r="G13" s="18" t="str">
        <f aca="false">IF(ISBLANK(YENI_TEKLIFLER!$A13),"",YENI_TEKLIFLER!$J13)</f>
        <v/>
      </c>
      <c r="H13" s="18" t="str">
        <f aca="false">IF(ISBLANK(YENI_TEKLIFLER!$A13),"",INDEX(KREDILER!$H$6:$H$1000,MATCH(YENI_TEKLIFLER!$B13,KREDILER!$A$6:$A$1000,0)))</f>
        <v/>
      </c>
      <c r="I13" s="15" t="str">
        <f aca="false">IF(ISBLANK(YENI_TEKLIFLER!$A13),"",IF($E13&gt;0,"ADAY","DEĞİL"))</f>
        <v/>
      </c>
      <c r="J13" s="15" t="str">
        <f aca="false">IF(ISBLANK(YENI_TEKLIFLER!$A13),"",IF(OR(ISBLANK($B13),ISBLANK($C13),ISBLANK($D13),ISBLANK($E13),ISBLANK($F13),ISBLANK($G13),ISBLANK($H13)),"EKSİK","OK"))</f>
        <v/>
      </c>
    </row>
    <row r="14" customFormat="false" ht="15" hidden="false" customHeight="true" outlineLevel="0" collapsed="false">
      <c r="A14" s="15" t="str">
        <f aca="false">IF(ISBLANK(YENI_TEKLIFLER!$A14),"",YENI_TEKLIFLER!$A14)</f>
        <v/>
      </c>
      <c r="B14" s="15" t="str">
        <f aca="false">IF(ISBLANK(YENI_TEKLIFLER!$A14),"",YENI_TEKLIFLER!$B14)</f>
        <v/>
      </c>
      <c r="C14" s="18" t="str">
        <f aca="false">IF(ISBLANK(YENI_TEKLIFLER!$A14),"",SUMIFS(TAKSIT_PLANI!$I$6:$I$1000,TAKSIT_PLANI!$B$6:$B$1000,YENI_TEKLIFLER!$B14,TAKSIT_PLANI!$C$6:$C$1000,1))</f>
        <v/>
      </c>
      <c r="D14" s="18" t="str">
        <f aca="false">IF(ISBLANK(YENI_TEKLIFLER!$A14),"",YENI_TEKLIFLER!$I14)</f>
        <v/>
      </c>
      <c r="E14" s="18" t="str">
        <f aca="false">IF(ISBLANK(YENI_TEKLIFLER!$A14),"",$C14-$D14)</f>
        <v/>
      </c>
      <c r="F14" s="18" t="str">
        <f aca="false">IF(ISBLANK(YENI_TEKLIFLER!$A14),"",MAX(0,$E14))</f>
        <v/>
      </c>
      <c r="G14" s="18" t="str">
        <f aca="false">IF(ISBLANK(YENI_TEKLIFLER!$A14),"",YENI_TEKLIFLER!$J14)</f>
        <v/>
      </c>
      <c r="H14" s="18" t="str">
        <f aca="false">IF(ISBLANK(YENI_TEKLIFLER!$A14),"",INDEX(KREDILER!$H$6:$H$1000,MATCH(YENI_TEKLIFLER!$B14,KREDILER!$A$6:$A$1000,0)))</f>
        <v/>
      </c>
      <c r="I14" s="15" t="str">
        <f aca="false">IF(ISBLANK(YENI_TEKLIFLER!$A14),"",IF($E14&gt;0,"ADAY","DEĞİL"))</f>
        <v/>
      </c>
      <c r="J14" s="15" t="str">
        <f aca="false">IF(ISBLANK(YENI_TEKLIFLER!$A14),"",IF(OR(ISBLANK($B14),ISBLANK($C14),ISBLANK($D14),ISBLANK($E14),ISBLANK($F14),ISBLANK($G14),ISBLANK($H14)),"EKSİK","OK"))</f>
        <v/>
      </c>
    </row>
    <row r="15" customFormat="false" ht="15" hidden="false" customHeight="true" outlineLevel="0" collapsed="false">
      <c r="A15" s="15" t="str">
        <f aca="false">IF(ISBLANK(YENI_TEKLIFLER!$A15),"",YENI_TEKLIFLER!$A15)</f>
        <v/>
      </c>
      <c r="B15" s="15" t="str">
        <f aca="false">IF(ISBLANK(YENI_TEKLIFLER!$A15),"",YENI_TEKLIFLER!$B15)</f>
        <v/>
      </c>
      <c r="C15" s="18" t="str">
        <f aca="false">IF(ISBLANK(YENI_TEKLIFLER!$A15),"",SUMIFS(TAKSIT_PLANI!$I$6:$I$1000,TAKSIT_PLANI!$B$6:$B$1000,YENI_TEKLIFLER!$B15,TAKSIT_PLANI!$C$6:$C$1000,1))</f>
        <v/>
      </c>
      <c r="D15" s="18" t="str">
        <f aca="false">IF(ISBLANK(YENI_TEKLIFLER!$A15),"",YENI_TEKLIFLER!$I15)</f>
        <v/>
      </c>
      <c r="E15" s="18" t="str">
        <f aca="false">IF(ISBLANK(YENI_TEKLIFLER!$A15),"",$C15-$D15)</f>
        <v/>
      </c>
      <c r="F15" s="18" t="str">
        <f aca="false">IF(ISBLANK(YENI_TEKLIFLER!$A15),"",MAX(0,$E15))</f>
        <v/>
      </c>
      <c r="G15" s="18" t="str">
        <f aca="false">IF(ISBLANK(YENI_TEKLIFLER!$A15),"",YENI_TEKLIFLER!$J15)</f>
        <v/>
      </c>
      <c r="H15" s="18" t="str">
        <f aca="false">IF(ISBLANK(YENI_TEKLIFLER!$A15),"",INDEX(KREDILER!$H$6:$H$1000,MATCH(YENI_TEKLIFLER!$B15,KREDILER!$A$6:$A$1000,0)))</f>
        <v/>
      </c>
      <c r="I15" s="15" t="str">
        <f aca="false">IF(ISBLANK(YENI_TEKLIFLER!$A15),"",IF($E15&gt;0,"ADAY","DEĞİL"))</f>
        <v/>
      </c>
      <c r="J15" s="15" t="str">
        <f aca="false">IF(ISBLANK(YENI_TEKLIFLER!$A15),"",IF(OR(ISBLANK($B15),ISBLANK($C15),ISBLANK($D15),ISBLANK($E15),ISBLANK($F15),ISBLANK($G15),ISBLANK($H15)),"EKSİK","OK"))</f>
        <v/>
      </c>
    </row>
    <row r="16" customFormat="false" ht="15" hidden="false" customHeight="true" outlineLevel="0" collapsed="false">
      <c r="A16" s="15" t="str">
        <f aca="false">IF(ISBLANK(YENI_TEKLIFLER!$A16),"",YENI_TEKLIFLER!$A16)</f>
        <v/>
      </c>
      <c r="B16" s="15" t="str">
        <f aca="false">IF(ISBLANK(YENI_TEKLIFLER!$A16),"",YENI_TEKLIFLER!$B16)</f>
        <v/>
      </c>
      <c r="C16" s="18" t="str">
        <f aca="false">IF(ISBLANK(YENI_TEKLIFLER!$A16),"",SUMIFS(TAKSIT_PLANI!$I$6:$I$1000,TAKSIT_PLANI!$B$6:$B$1000,YENI_TEKLIFLER!$B16,TAKSIT_PLANI!$C$6:$C$1000,1))</f>
        <v/>
      </c>
      <c r="D16" s="18" t="str">
        <f aca="false">IF(ISBLANK(YENI_TEKLIFLER!$A16),"",YENI_TEKLIFLER!$I16)</f>
        <v/>
      </c>
      <c r="E16" s="18" t="str">
        <f aca="false">IF(ISBLANK(YENI_TEKLIFLER!$A16),"",$C16-$D16)</f>
        <v/>
      </c>
      <c r="F16" s="18" t="str">
        <f aca="false">IF(ISBLANK(YENI_TEKLIFLER!$A16),"",MAX(0,$E16))</f>
        <v/>
      </c>
      <c r="G16" s="18" t="str">
        <f aca="false">IF(ISBLANK(YENI_TEKLIFLER!$A16),"",YENI_TEKLIFLER!$J16)</f>
        <v/>
      </c>
      <c r="H16" s="18" t="str">
        <f aca="false">IF(ISBLANK(YENI_TEKLIFLER!$A16),"",INDEX(KREDILER!$H$6:$H$1000,MATCH(YENI_TEKLIFLER!$B16,KREDILER!$A$6:$A$1000,0)))</f>
        <v/>
      </c>
      <c r="I16" s="15" t="str">
        <f aca="false">IF(ISBLANK(YENI_TEKLIFLER!$A16),"",IF($E16&gt;0,"ADAY","DEĞİL"))</f>
        <v/>
      </c>
      <c r="J16" s="15" t="str">
        <f aca="false">IF(ISBLANK(YENI_TEKLIFLER!$A16),"",IF(OR(ISBLANK($B16),ISBLANK($C16),ISBLANK($D16),ISBLANK($E16),ISBLANK($F16),ISBLANK($G16),ISBLANK($H16)),"EKSİK","OK"))</f>
        <v/>
      </c>
    </row>
    <row r="17" customFormat="false" ht="15" hidden="false" customHeight="true" outlineLevel="0" collapsed="false">
      <c r="A17" s="15" t="str">
        <f aca="false">IF(ISBLANK(YENI_TEKLIFLER!$A17),"",YENI_TEKLIFLER!$A17)</f>
        <v/>
      </c>
      <c r="B17" s="15" t="str">
        <f aca="false">IF(ISBLANK(YENI_TEKLIFLER!$A17),"",YENI_TEKLIFLER!$B17)</f>
        <v/>
      </c>
      <c r="C17" s="18" t="str">
        <f aca="false">IF(ISBLANK(YENI_TEKLIFLER!$A17),"",SUMIFS(TAKSIT_PLANI!$I$6:$I$1000,TAKSIT_PLANI!$B$6:$B$1000,YENI_TEKLIFLER!$B17,TAKSIT_PLANI!$C$6:$C$1000,1))</f>
        <v/>
      </c>
      <c r="D17" s="18" t="str">
        <f aca="false">IF(ISBLANK(YENI_TEKLIFLER!$A17),"",YENI_TEKLIFLER!$I17)</f>
        <v/>
      </c>
      <c r="E17" s="18" t="str">
        <f aca="false">IF(ISBLANK(YENI_TEKLIFLER!$A17),"",$C17-$D17)</f>
        <v/>
      </c>
      <c r="F17" s="18" t="str">
        <f aca="false">IF(ISBLANK(YENI_TEKLIFLER!$A17),"",MAX(0,$E17))</f>
        <v/>
      </c>
      <c r="G17" s="18" t="str">
        <f aca="false">IF(ISBLANK(YENI_TEKLIFLER!$A17),"",YENI_TEKLIFLER!$J17)</f>
        <v/>
      </c>
      <c r="H17" s="18" t="str">
        <f aca="false">IF(ISBLANK(YENI_TEKLIFLER!$A17),"",INDEX(KREDILER!$H$6:$H$1000,MATCH(YENI_TEKLIFLER!$B17,KREDILER!$A$6:$A$1000,0)))</f>
        <v/>
      </c>
      <c r="I17" s="15" t="str">
        <f aca="false">IF(ISBLANK(YENI_TEKLIFLER!$A17),"",IF($E17&gt;0,"ADAY","DEĞİL"))</f>
        <v/>
      </c>
      <c r="J17" s="15" t="str">
        <f aca="false">IF(ISBLANK(YENI_TEKLIFLER!$A17),"",IF(OR(ISBLANK($B17),ISBLANK($C17),ISBLANK($D17),ISBLANK($E17),ISBLANK($F17),ISBLANK($G17),ISBLANK($H17)),"EKSİK","OK"))</f>
        <v/>
      </c>
    </row>
    <row r="18" customFormat="false" ht="15" hidden="false" customHeight="true" outlineLevel="0" collapsed="false">
      <c r="A18" s="15" t="str">
        <f aca="false">IF(ISBLANK(YENI_TEKLIFLER!$A18),"",YENI_TEKLIFLER!$A18)</f>
        <v/>
      </c>
      <c r="B18" s="15" t="str">
        <f aca="false">IF(ISBLANK(YENI_TEKLIFLER!$A18),"",YENI_TEKLIFLER!$B18)</f>
        <v/>
      </c>
      <c r="C18" s="18" t="str">
        <f aca="false">IF(ISBLANK(YENI_TEKLIFLER!$A18),"",SUMIFS(TAKSIT_PLANI!$I$6:$I$1000,TAKSIT_PLANI!$B$6:$B$1000,YENI_TEKLIFLER!$B18,TAKSIT_PLANI!$C$6:$C$1000,1))</f>
        <v/>
      </c>
      <c r="D18" s="18" t="str">
        <f aca="false">IF(ISBLANK(YENI_TEKLIFLER!$A18),"",YENI_TEKLIFLER!$I18)</f>
        <v/>
      </c>
      <c r="E18" s="18" t="str">
        <f aca="false">IF(ISBLANK(YENI_TEKLIFLER!$A18),"",$C18-$D18)</f>
        <v/>
      </c>
      <c r="F18" s="18" t="str">
        <f aca="false">IF(ISBLANK(YENI_TEKLIFLER!$A18),"",MAX(0,$E18))</f>
        <v/>
      </c>
      <c r="G18" s="18" t="str">
        <f aca="false">IF(ISBLANK(YENI_TEKLIFLER!$A18),"",YENI_TEKLIFLER!$J18)</f>
        <v/>
      </c>
      <c r="H18" s="18" t="str">
        <f aca="false">IF(ISBLANK(YENI_TEKLIFLER!$A18),"",INDEX(KREDILER!$H$6:$H$1000,MATCH(YENI_TEKLIFLER!$B18,KREDILER!$A$6:$A$1000,0)))</f>
        <v/>
      </c>
      <c r="I18" s="15" t="str">
        <f aca="false">IF(ISBLANK(YENI_TEKLIFLER!$A18),"",IF($E18&gt;0,"ADAY","DEĞİL"))</f>
        <v/>
      </c>
      <c r="J18" s="15" t="str">
        <f aca="false">IF(ISBLANK(YENI_TEKLIFLER!$A18),"",IF(OR(ISBLANK($B18),ISBLANK($C18),ISBLANK($D18),ISBLANK($E18),ISBLANK($F18),ISBLANK($G18),ISBLANK($H18)),"EKSİK","OK"))</f>
        <v/>
      </c>
    </row>
    <row r="19" customFormat="false" ht="15" hidden="false" customHeight="true" outlineLevel="0" collapsed="false">
      <c r="A19" s="15" t="str">
        <f aca="false">IF(ISBLANK(YENI_TEKLIFLER!$A19),"",YENI_TEKLIFLER!$A19)</f>
        <v/>
      </c>
      <c r="B19" s="15" t="str">
        <f aca="false">IF(ISBLANK(YENI_TEKLIFLER!$A19),"",YENI_TEKLIFLER!$B19)</f>
        <v/>
      </c>
      <c r="C19" s="18" t="str">
        <f aca="false">IF(ISBLANK(YENI_TEKLIFLER!$A19),"",SUMIFS(TAKSIT_PLANI!$I$6:$I$1000,TAKSIT_PLANI!$B$6:$B$1000,YENI_TEKLIFLER!$B19,TAKSIT_PLANI!$C$6:$C$1000,1))</f>
        <v/>
      </c>
      <c r="D19" s="18" t="str">
        <f aca="false">IF(ISBLANK(YENI_TEKLIFLER!$A19),"",YENI_TEKLIFLER!$I19)</f>
        <v/>
      </c>
      <c r="E19" s="18" t="str">
        <f aca="false">IF(ISBLANK(YENI_TEKLIFLER!$A19),"",$C19-$D19)</f>
        <v/>
      </c>
      <c r="F19" s="18" t="str">
        <f aca="false">IF(ISBLANK(YENI_TEKLIFLER!$A19),"",MAX(0,$E19))</f>
        <v/>
      </c>
      <c r="G19" s="18" t="str">
        <f aca="false">IF(ISBLANK(YENI_TEKLIFLER!$A19),"",YENI_TEKLIFLER!$J19)</f>
        <v/>
      </c>
      <c r="H19" s="18" t="str">
        <f aca="false">IF(ISBLANK(YENI_TEKLIFLER!$A19),"",INDEX(KREDILER!$H$6:$H$1000,MATCH(YENI_TEKLIFLER!$B19,KREDILER!$A$6:$A$1000,0)))</f>
        <v/>
      </c>
      <c r="I19" s="15" t="str">
        <f aca="false">IF(ISBLANK(YENI_TEKLIFLER!$A19),"",IF($E19&gt;0,"ADAY","DEĞİL"))</f>
        <v/>
      </c>
      <c r="J19" s="15" t="str">
        <f aca="false">IF(ISBLANK(YENI_TEKLIFLER!$A19),"",IF(OR(ISBLANK($B19),ISBLANK($C19),ISBLANK($D19),ISBLANK($E19),ISBLANK($F19),ISBLANK($G19),ISBLANK($H19)),"EKSİK","OK"))</f>
        <v/>
      </c>
    </row>
    <row r="20" customFormat="false" ht="15" hidden="false" customHeight="true" outlineLevel="0" collapsed="false">
      <c r="A20" s="15" t="str">
        <f aca="false">IF(ISBLANK(YENI_TEKLIFLER!$A20),"",YENI_TEKLIFLER!$A20)</f>
        <v/>
      </c>
      <c r="B20" s="15" t="str">
        <f aca="false">IF(ISBLANK(YENI_TEKLIFLER!$A20),"",YENI_TEKLIFLER!$B20)</f>
        <v/>
      </c>
      <c r="C20" s="18" t="str">
        <f aca="false">IF(ISBLANK(YENI_TEKLIFLER!$A20),"",SUMIFS(TAKSIT_PLANI!$I$6:$I$1000,TAKSIT_PLANI!$B$6:$B$1000,YENI_TEKLIFLER!$B20,TAKSIT_PLANI!$C$6:$C$1000,1))</f>
        <v/>
      </c>
      <c r="D20" s="18" t="str">
        <f aca="false">IF(ISBLANK(YENI_TEKLIFLER!$A20),"",YENI_TEKLIFLER!$I20)</f>
        <v/>
      </c>
      <c r="E20" s="18" t="str">
        <f aca="false">IF(ISBLANK(YENI_TEKLIFLER!$A20),"",$C20-$D20)</f>
        <v/>
      </c>
      <c r="F20" s="18" t="str">
        <f aca="false">IF(ISBLANK(YENI_TEKLIFLER!$A20),"",MAX(0,$E20))</f>
        <v/>
      </c>
      <c r="G20" s="18" t="str">
        <f aca="false">IF(ISBLANK(YENI_TEKLIFLER!$A20),"",YENI_TEKLIFLER!$J20)</f>
        <v/>
      </c>
      <c r="H20" s="18" t="str">
        <f aca="false">IF(ISBLANK(YENI_TEKLIFLER!$A20),"",INDEX(KREDILER!$H$6:$H$1000,MATCH(YENI_TEKLIFLER!$B20,KREDILER!$A$6:$A$1000,0)))</f>
        <v/>
      </c>
      <c r="I20" s="15" t="str">
        <f aca="false">IF(ISBLANK(YENI_TEKLIFLER!$A20),"",IF($E20&gt;0,"ADAY","DEĞİL"))</f>
        <v/>
      </c>
      <c r="J20" s="15" t="str">
        <f aca="false">IF(ISBLANK(YENI_TEKLIFLER!$A20),"",IF(OR(ISBLANK($B20),ISBLANK($C20),ISBLANK($D20),ISBLANK($E20),ISBLANK($F20),ISBLANK($G20),ISBLANK($H20)),"EKSİK","OK"))</f>
        <v/>
      </c>
    </row>
    <row r="21" customFormat="false" ht="15" hidden="false" customHeight="true" outlineLevel="0" collapsed="false">
      <c r="A21" s="15" t="str">
        <f aca="false">IF(ISBLANK(YENI_TEKLIFLER!$A21),"",YENI_TEKLIFLER!$A21)</f>
        <v/>
      </c>
      <c r="B21" s="15" t="str">
        <f aca="false">IF(ISBLANK(YENI_TEKLIFLER!$A21),"",YENI_TEKLIFLER!$B21)</f>
        <v/>
      </c>
      <c r="C21" s="18" t="str">
        <f aca="false">IF(ISBLANK(YENI_TEKLIFLER!$A21),"",SUMIFS(TAKSIT_PLANI!$I$6:$I$1000,TAKSIT_PLANI!$B$6:$B$1000,YENI_TEKLIFLER!$B21,TAKSIT_PLANI!$C$6:$C$1000,1))</f>
        <v/>
      </c>
      <c r="D21" s="18" t="str">
        <f aca="false">IF(ISBLANK(YENI_TEKLIFLER!$A21),"",YENI_TEKLIFLER!$I21)</f>
        <v/>
      </c>
      <c r="E21" s="18" t="str">
        <f aca="false">IF(ISBLANK(YENI_TEKLIFLER!$A21),"",$C21-$D21)</f>
        <v/>
      </c>
      <c r="F21" s="18" t="str">
        <f aca="false">IF(ISBLANK(YENI_TEKLIFLER!$A21),"",MAX(0,$E21))</f>
        <v/>
      </c>
      <c r="G21" s="18" t="str">
        <f aca="false">IF(ISBLANK(YENI_TEKLIFLER!$A21),"",YENI_TEKLIFLER!$J21)</f>
        <v/>
      </c>
      <c r="H21" s="18" t="str">
        <f aca="false">IF(ISBLANK(YENI_TEKLIFLER!$A21),"",INDEX(KREDILER!$H$6:$H$1000,MATCH(YENI_TEKLIFLER!$B21,KREDILER!$A$6:$A$1000,0)))</f>
        <v/>
      </c>
      <c r="I21" s="15" t="str">
        <f aca="false">IF(ISBLANK(YENI_TEKLIFLER!$A21),"",IF($E21&gt;0,"ADAY","DEĞİL"))</f>
        <v/>
      </c>
      <c r="J21" s="15" t="str">
        <f aca="false">IF(ISBLANK(YENI_TEKLIFLER!$A21),"",IF(OR(ISBLANK($B21),ISBLANK($C21),ISBLANK($D21),ISBLANK($E21),ISBLANK($F21),ISBLANK($G21),ISBLANK($H21)),"EKSİK","OK"))</f>
        <v/>
      </c>
    </row>
    <row r="22" customFormat="false" ht="15" hidden="false" customHeight="true" outlineLevel="0" collapsed="false">
      <c r="A22" s="15" t="str">
        <f aca="false">IF(ISBLANK(YENI_TEKLIFLER!$A22),"",YENI_TEKLIFLER!$A22)</f>
        <v/>
      </c>
      <c r="B22" s="15" t="str">
        <f aca="false">IF(ISBLANK(YENI_TEKLIFLER!$A22),"",YENI_TEKLIFLER!$B22)</f>
        <v/>
      </c>
      <c r="C22" s="18" t="str">
        <f aca="false">IF(ISBLANK(YENI_TEKLIFLER!$A22),"",SUMIFS(TAKSIT_PLANI!$I$6:$I$1000,TAKSIT_PLANI!$B$6:$B$1000,YENI_TEKLIFLER!$B22,TAKSIT_PLANI!$C$6:$C$1000,1))</f>
        <v/>
      </c>
      <c r="D22" s="18" t="str">
        <f aca="false">IF(ISBLANK(YENI_TEKLIFLER!$A22),"",YENI_TEKLIFLER!$I22)</f>
        <v/>
      </c>
      <c r="E22" s="18" t="str">
        <f aca="false">IF(ISBLANK(YENI_TEKLIFLER!$A22),"",$C22-$D22)</f>
        <v/>
      </c>
      <c r="F22" s="18" t="str">
        <f aca="false">IF(ISBLANK(YENI_TEKLIFLER!$A22),"",MAX(0,$E22))</f>
        <v/>
      </c>
      <c r="G22" s="18" t="str">
        <f aca="false">IF(ISBLANK(YENI_TEKLIFLER!$A22),"",YENI_TEKLIFLER!$J22)</f>
        <v/>
      </c>
      <c r="H22" s="18" t="str">
        <f aca="false">IF(ISBLANK(YENI_TEKLIFLER!$A22),"",INDEX(KREDILER!$H$6:$H$1000,MATCH(YENI_TEKLIFLER!$B22,KREDILER!$A$6:$A$1000,0)))</f>
        <v/>
      </c>
      <c r="I22" s="15" t="str">
        <f aca="false">IF(ISBLANK(YENI_TEKLIFLER!$A22),"",IF($E22&gt;0,"ADAY","DEĞİL"))</f>
        <v/>
      </c>
      <c r="J22" s="15" t="str">
        <f aca="false">IF(ISBLANK(YENI_TEKLIFLER!$A22),"",IF(OR(ISBLANK($B22),ISBLANK($C22),ISBLANK($D22),ISBLANK($E22),ISBLANK($F22),ISBLANK($G22),ISBLANK($H22)),"EKSİK","OK"))</f>
        <v/>
      </c>
    </row>
    <row r="23" customFormat="false" ht="15" hidden="false" customHeight="true" outlineLevel="0" collapsed="false">
      <c r="A23" s="15" t="str">
        <f aca="false">IF(ISBLANK(YENI_TEKLIFLER!$A23),"",YENI_TEKLIFLER!$A23)</f>
        <v/>
      </c>
      <c r="B23" s="15" t="str">
        <f aca="false">IF(ISBLANK(YENI_TEKLIFLER!$A23),"",YENI_TEKLIFLER!$B23)</f>
        <v/>
      </c>
      <c r="C23" s="18" t="str">
        <f aca="false">IF(ISBLANK(YENI_TEKLIFLER!$A23),"",SUMIFS(TAKSIT_PLANI!$I$6:$I$1000,TAKSIT_PLANI!$B$6:$B$1000,YENI_TEKLIFLER!$B23,TAKSIT_PLANI!$C$6:$C$1000,1))</f>
        <v/>
      </c>
      <c r="D23" s="18" t="str">
        <f aca="false">IF(ISBLANK(YENI_TEKLIFLER!$A23),"",YENI_TEKLIFLER!$I23)</f>
        <v/>
      </c>
      <c r="E23" s="18" t="str">
        <f aca="false">IF(ISBLANK(YENI_TEKLIFLER!$A23),"",$C23-$D23)</f>
        <v/>
      </c>
      <c r="F23" s="18" t="str">
        <f aca="false">IF(ISBLANK(YENI_TEKLIFLER!$A23),"",MAX(0,$E23))</f>
        <v/>
      </c>
      <c r="G23" s="18" t="str">
        <f aca="false">IF(ISBLANK(YENI_TEKLIFLER!$A23),"",YENI_TEKLIFLER!$J23)</f>
        <v/>
      </c>
      <c r="H23" s="18" t="str">
        <f aca="false">IF(ISBLANK(YENI_TEKLIFLER!$A23),"",INDEX(KREDILER!$H$6:$H$1000,MATCH(YENI_TEKLIFLER!$B23,KREDILER!$A$6:$A$1000,0)))</f>
        <v/>
      </c>
      <c r="I23" s="15" t="str">
        <f aca="false">IF(ISBLANK(YENI_TEKLIFLER!$A23),"",IF($E23&gt;0,"ADAY","DEĞİL"))</f>
        <v/>
      </c>
      <c r="J23" s="15" t="str">
        <f aca="false">IF(ISBLANK(YENI_TEKLIFLER!$A23),"",IF(OR(ISBLANK($B23),ISBLANK($C23),ISBLANK($D23),ISBLANK($E23),ISBLANK($F23),ISBLANK($G23),ISBLANK($H23)),"EKSİK","OK"))</f>
        <v/>
      </c>
    </row>
    <row r="24" customFormat="false" ht="15" hidden="false" customHeight="true" outlineLevel="0" collapsed="false">
      <c r="A24" s="15" t="str">
        <f aca="false">IF(ISBLANK(YENI_TEKLIFLER!$A24),"",YENI_TEKLIFLER!$A24)</f>
        <v/>
      </c>
      <c r="B24" s="15" t="str">
        <f aca="false">IF(ISBLANK(YENI_TEKLIFLER!$A24),"",YENI_TEKLIFLER!$B24)</f>
        <v/>
      </c>
      <c r="C24" s="18" t="str">
        <f aca="false">IF(ISBLANK(YENI_TEKLIFLER!$A24),"",SUMIFS(TAKSIT_PLANI!$I$6:$I$1000,TAKSIT_PLANI!$B$6:$B$1000,YENI_TEKLIFLER!$B24,TAKSIT_PLANI!$C$6:$C$1000,1))</f>
        <v/>
      </c>
      <c r="D24" s="18" t="str">
        <f aca="false">IF(ISBLANK(YENI_TEKLIFLER!$A24),"",YENI_TEKLIFLER!$I24)</f>
        <v/>
      </c>
      <c r="E24" s="18" t="str">
        <f aca="false">IF(ISBLANK(YENI_TEKLIFLER!$A24),"",$C24-$D24)</f>
        <v/>
      </c>
      <c r="F24" s="18" t="str">
        <f aca="false">IF(ISBLANK(YENI_TEKLIFLER!$A24),"",MAX(0,$E24))</f>
        <v/>
      </c>
      <c r="G24" s="18" t="str">
        <f aca="false">IF(ISBLANK(YENI_TEKLIFLER!$A24),"",YENI_TEKLIFLER!$J24)</f>
        <v/>
      </c>
      <c r="H24" s="18" t="str">
        <f aca="false">IF(ISBLANK(YENI_TEKLIFLER!$A24),"",INDEX(KREDILER!$H$6:$H$1000,MATCH(YENI_TEKLIFLER!$B24,KREDILER!$A$6:$A$1000,0)))</f>
        <v/>
      </c>
      <c r="I24" s="15" t="str">
        <f aca="false">IF(ISBLANK(YENI_TEKLIFLER!$A24),"",IF($E24&gt;0,"ADAY","DEĞİL"))</f>
        <v/>
      </c>
      <c r="J24" s="15" t="str">
        <f aca="false">IF(ISBLANK(YENI_TEKLIFLER!$A24),"",IF(OR(ISBLANK($B24),ISBLANK($C24),ISBLANK($D24),ISBLANK($E24),ISBLANK($F24),ISBLANK($G24),ISBLANK($H24)),"EKSİK","OK"))</f>
        <v/>
      </c>
    </row>
    <row r="25" customFormat="false" ht="15" hidden="false" customHeight="true" outlineLevel="0" collapsed="false">
      <c r="A25" s="15" t="str">
        <f aca="false">IF(ISBLANK(YENI_TEKLIFLER!$A25),"",YENI_TEKLIFLER!$A25)</f>
        <v/>
      </c>
      <c r="B25" s="15" t="str">
        <f aca="false">IF(ISBLANK(YENI_TEKLIFLER!$A25),"",YENI_TEKLIFLER!$B25)</f>
        <v/>
      </c>
      <c r="C25" s="18" t="str">
        <f aca="false">IF(ISBLANK(YENI_TEKLIFLER!$A25),"",SUMIFS(TAKSIT_PLANI!$I$6:$I$1000,TAKSIT_PLANI!$B$6:$B$1000,YENI_TEKLIFLER!$B25,TAKSIT_PLANI!$C$6:$C$1000,1))</f>
        <v/>
      </c>
      <c r="D25" s="18" t="str">
        <f aca="false">IF(ISBLANK(YENI_TEKLIFLER!$A25),"",YENI_TEKLIFLER!$I25)</f>
        <v/>
      </c>
      <c r="E25" s="18" t="str">
        <f aca="false">IF(ISBLANK(YENI_TEKLIFLER!$A25),"",$C25-$D25)</f>
        <v/>
      </c>
      <c r="F25" s="18" t="str">
        <f aca="false">IF(ISBLANK(YENI_TEKLIFLER!$A25),"",MAX(0,$E25))</f>
        <v/>
      </c>
      <c r="G25" s="18" t="str">
        <f aca="false">IF(ISBLANK(YENI_TEKLIFLER!$A25),"",YENI_TEKLIFLER!$J25)</f>
        <v/>
      </c>
      <c r="H25" s="18" t="str">
        <f aca="false">IF(ISBLANK(YENI_TEKLIFLER!$A25),"",INDEX(KREDILER!$H$6:$H$1000,MATCH(YENI_TEKLIFLER!$B25,KREDILER!$A$6:$A$1000,0)))</f>
        <v/>
      </c>
      <c r="I25" s="15" t="str">
        <f aca="false">IF(ISBLANK(YENI_TEKLIFLER!$A25),"",IF($E25&gt;0,"ADAY","DEĞİL"))</f>
        <v/>
      </c>
      <c r="J25" s="15" t="str">
        <f aca="false">IF(ISBLANK(YENI_TEKLIFLER!$A25),"",IF(OR(ISBLANK($B25),ISBLANK($C25),ISBLANK($D25),ISBLANK($E25),ISBLANK($F25),ISBLANK($G25),ISBLANK($H25)),"EKSİK","OK"))</f>
        <v/>
      </c>
    </row>
    <row r="26" customFormat="false" ht="15" hidden="false" customHeight="true" outlineLevel="0" collapsed="false">
      <c r="A26" s="15" t="str">
        <f aca="false">IF(ISBLANK(YENI_TEKLIFLER!$A26),"",YENI_TEKLIFLER!$A26)</f>
        <v/>
      </c>
      <c r="B26" s="15" t="str">
        <f aca="false">IF(ISBLANK(YENI_TEKLIFLER!$A26),"",YENI_TEKLIFLER!$B26)</f>
        <v/>
      </c>
      <c r="C26" s="18" t="str">
        <f aca="false">IF(ISBLANK(YENI_TEKLIFLER!$A26),"",SUMIFS(TAKSIT_PLANI!$I$6:$I$1000,TAKSIT_PLANI!$B$6:$B$1000,YENI_TEKLIFLER!$B26,TAKSIT_PLANI!$C$6:$C$1000,1))</f>
        <v/>
      </c>
      <c r="D26" s="18" t="str">
        <f aca="false">IF(ISBLANK(YENI_TEKLIFLER!$A26),"",YENI_TEKLIFLER!$I26)</f>
        <v/>
      </c>
      <c r="E26" s="18" t="str">
        <f aca="false">IF(ISBLANK(YENI_TEKLIFLER!$A26),"",$C26-$D26)</f>
        <v/>
      </c>
      <c r="F26" s="18" t="str">
        <f aca="false">IF(ISBLANK(YENI_TEKLIFLER!$A26),"",MAX(0,$E26))</f>
        <v/>
      </c>
      <c r="G26" s="18" t="str">
        <f aca="false">IF(ISBLANK(YENI_TEKLIFLER!$A26),"",YENI_TEKLIFLER!$J26)</f>
        <v/>
      </c>
      <c r="H26" s="18" t="str">
        <f aca="false">IF(ISBLANK(YENI_TEKLIFLER!$A26),"",INDEX(KREDILER!$H$6:$H$1000,MATCH(YENI_TEKLIFLER!$B26,KREDILER!$A$6:$A$1000,0)))</f>
        <v/>
      </c>
      <c r="I26" s="15" t="str">
        <f aca="false">IF(ISBLANK(YENI_TEKLIFLER!$A26),"",IF($E26&gt;0,"ADAY","DEĞİL"))</f>
        <v/>
      </c>
      <c r="J26" s="15" t="str">
        <f aca="false">IF(ISBLANK(YENI_TEKLIFLER!$A26),"",IF(OR(ISBLANK($B26),ISBLANK($C26),ISBLANK($D26),ISBLANK($E26),ISBLANK($F26),ISBLANK($G26),ISBLANK($H26)),"EKSİK","OK"))</f>
        <v/>
      </c>
    </row>
    <row r="27" customFormat="false" ht="15" hidden="false" customHeight="true" outlineLevel="0" collapsed="false">
      <c r="A27" s="15" t="str">
        <f aca="false">IF(ISBLANK(YENI_TEKLIFLER!$A27),"",YENI_TEKLIFLER!$A27)</f>
        <v/>
      </c>
      <c r="B27" s="15" t="str">
        <f aca="false">IF(ISBLANK(YENI_TEKLIFLER!$A27),"",YENI_TEKLIFLER!$B27)</f>
        <v/>
      </c>
      <c r="C27" s="18" t="str">
        <f aca="false">IF(ISBLANK(YENI_TEKLIFLER!$A27),"",SUMIFS(TAKSIT_PLANI!$I$6:$I$1000,TAKSIT_PLANI!$B$6:$B$1000,YENI_TEKLIFLER!$B27,TAKSIT_PLANI!$C$6:$C$1000,1))</f>
        <v/>
      </c>
      <c r="D27" s="18" t="str">
        <f aca="false">IF(ISBLANK(YENI_TEKLIFLER!$A27),"",YENI_TEKLIFLER!$I27)</f>
        <v/>
      </c>
      <c r="E27" s="18" t="str">
        <f aca="false">IF(ISBLANK(YENI_TEKLIFLER!$A27),"",$C27-$D27)</f>
        <v/>
      </c>
      <c r="F27" s="18" t="str">
        <f aca="false">IF(ISBLANK(YENI_TEKLIFLER!$A27),"",MAX(0,$E27))</f>
        <v/>
      </c>
      <c r="G27" s="18" t="str">
        <f aca="false">IF(ISBLANK(YENI_TEKLIFLER!$A27),"",YENI_TEKLIFLER!$J27)</f>
        <v/>
      </c>
      <c r="H27" s="18" t="str">
        <f aca="false">IF(ISBLANK(YENI_TEKLIFLER!$A27),"",INDEX(KREDILER!$H$6:$H$1000,MATCH(YENI_TEKLIFLER!$B27,KREDILER!$A$6:$A$1000,0)))</f>
        <v/>
      </c>
      <c r="I27" s="15" t="str">
        <f aca="false">IF(ISBLANK(YENI_TEKLIFLER!$A27),"",IF($E27&gt;0,"ADAY","DEĞİL"))</f>
        <v/>
      </c>
      <c r="J27" s="15" t="str">
        <f aca="false">IF(ISBLANK(YENI_TEKLIFLER!$A27),"",IF(OR(ISBLANK($B27),ISBLANK($C27),ISBLANK($D27),ISBLANK($E27),ISBLANK($F27),ISBLANK($G27),ISBLANK($H27)),"EKSİK","OK"))</f>
        <v/>
      </c>
    </row>
    <row r="28" customFormat="false" ht="15" hidden="false" customHeight="true" outlineLevel="0" collapsed="false">
      <c r="A28" s="15" t="str">
        <f aca="false">IF(ISBLANK(YENI_TEKLIFLER!$A28),"",YENI_TEKLIFLER!$A28)</f>
        <v/>
      </c>
      <c r="B28" s="15" t="str">
        <f aca="false">IF(ISBLANK(YENI_TEKLIFLER!$A28),"",YENI_TEKLIFLER!$B28)</f>
        <v/>
      </c>
      <c r="C28" s="18" t="str">
        <f aca="false">IF(ISBLANK(YENI_TEKLIFLER!$A28),"",SUMIFS(TAKSIT_PLANI!$I$6:$I$1000,TAKSIT_PLANI!$B$6:$B$1000,YENI_TEKLIFLER!$B28,TAKSIT_PLANI!$C$6:$C$1000,1))</f>
        <v/>
      </c>
      <c r="D28" s="18" t="str">
        <f aca="false">IF(ISBLANK(YENI_TEKLIFLER!$A28),"",YENI_TEKLIFLER!$I28)</f>
        <v/>
      </c>
      <c r="E28" s="18" t="str">
        <f aca="false">IF(ISBLANK(YENI_TEKLIFLER!$A28),"",$C28-$D28)</f>
        <v/>
      </c>
      <c r="F28" s="18" t="str">
        <f aca="false">IF(ISBLANK(YENI_TEKLIFLER!$A28),"",MAX(0,$E28))</f>
        <v/>
      </c>
      <c r="G28" s="18" t="str">
        <f aca="false">IF(ISBLANK(YENI_TEKLIFLER!$A28),"",YENI_TEKLIFLER!$J28)</f>
        <v/>
      </c>
      <c r="H28" s="18" t="str">
        <f aca="false">IF(ISBLANK(YENI_TEKLIFLER!$A28),"",INDEX(KREDILER!$H$6:$H$1000,MATCH(YENI_TEKLIFLER!$B28,KREDILER!$A$6:$A$1000,0)))</f>
        <v/>
      </c>
      <c r="I28" s="15" t="str">
        <f aca="false">IF(ISBLANK(YENI_TEKLIFLER!$A28),"",IF($E28&gt;0,"ADAY","DEĞİL"))</f>
        <v/>
      </c>
      <c r="J28" s="15" t="str">
        <f aca="false">IF(ISBLANK(YENI_TEKLIFLER!$A28),"",IF(OR(ISBLANK($B28),ISBLANK($C28),ISBLANK($D28),ISBLANK($E28),ISBLANK($F28),ISBLANK($G28),ISBLANK($H28)),"EKSİK","OK"))</f>
        <v/>
      </c>
    </row>
    <row r="29" customFormat="false" ht="15" hidden="false" customHeight="true" outlineLevel="0" collapsed="false">
      <c r="A29" s="15" t="str">
        <f aca="false">IF(ISBLANK(YENI_TEKLIFLER!$A29),"",YENI_TEKLIFLER!$A29)</f>
        <v/>
      </c>
      <c r="B29" s="15" t="str">
        <f aca="false">IF(ISBLANK(YENI_TEKLIFLER!$A29),"",YENI_TEKLIFLER!$B29)</f>
        <v/>
      </c>
      <c r="C29" s="18" t="str">
        <f aca="false">IF(ISBLANK(YENI_TEKLIFLER!$A29),"",SUMIFS(TAKSIT_PLANI!$I$6:$I$1000,TAKSIT_PLANI!$B$6:$B$1000,YENI_TEKLIFLER!$B29,TAKSIT_PLANI!$C$6:$C$1000,1))</f>
        <v/>
      </c>
      <c r="D29" s="18" t="str">
        <f aca="false">IF(ISBLANK(YENI_TEKLIFLER!$A29),"",YENI_TEKLIFLER!$I29)</f>
        <v/>
      </c>
      <c r="E29" s="18" t="str">
        <f aca="false">IF(ISBLANK(YENI_TEKLIFLER!$A29),"",$C29-$D29)</f>
        <v/>
      </c>
      <c r="F29" s="18" t="str">
        <f aca="false">IF(ISBLANK(YENI_TEKLIFLER!$A29),"",MAX(0,$E29))</f>
        <v/>
      </c>
      <c r="G29" s="18" t="str">
        <f aca="false">IF(ISBLANK(YENI_TEKLIFLER!$A29),"",YENI_TEKLIFLER!$J29)</f>
        <v/>
      </c>
      <c r="H29" s="18" t="str">
        <f aca="false">IF(ISBLANK(YENI_TEKLIFLER!$A29),"",INDEX(KREDILER!$H$6:$H$1000,MATCH(YENI_TEKLIFLER!$B29,KREDILER!$A$6:$A$1000,0)))</f>
        <v/>
      </c>
      <c r="I29" s="15" t="str">
        <f aca="false">IF(ISBLANK(YENI_TEKLIFLER!$A29),"",IF($E29&gt;0,"ADAY","DEĞİL"))</f>
        <v/>
      </c>
      <c r="J29" s="15" t="str">
        <f aca="false">IF(ISBLANK(YENI_TEKLIFLER!$A29),"",IF(OR(ISBLANK($B29),ISBLANK($C29),ISBLANK($D29),ISBLANK($E29),ISBLANK($F29),ISBLANK($G29),ISBLANK($H29)),"EKSİK","OK"))</f>
        <v/>
      </c>
    </row>
    <row r="30" customFormat="false" ht="15" hidden="false" customHeight="true" outlineLevel="0" collapsed="false">
      <c r="A30" s="15" t="str">
        <f aca="false">IF(ISBLANK(YENI_TEKLIFLER!$A30),"",YENI_TEKLIFLER!$A30)</f>
        <v/>
      </c>
      <c r="B30" s="15" t="str">
        <f aca="false">IF(ISBLANK(YENI_TEKLIFLER!$A30),"",YENI_TEKLIFLER!$B30)</f>
        <v/>
      </c>
      <c r="C30" s="18" t="str">
        <f aca="false">IF(ISBLANK(YENI_TEKLIFLER!$A30),"",SUMIFS(TAKSIT_PLANI!$I$6:$I$1000,TAKSIT_PLANI!$B$6:$B$1000,YENI_TEKLIFLER!$B30,TAKSIT_PLANI!$C$6:$C$1000,1))</f>
        <v/>
      </c>
      <c r="D30" s="18" t="str">
        <f aca="false">IF(ISBLANK(YENI_TEKLIFLER!$A30),"",YENI_TEKLIFLER!$I30)</f>
        <v/>
      </c>
      <c r="E30" s="18" t="str">
        <f aca="false">IF(ISBLANK(YENI_TEKLIFLER!$A30),"",$C30-$D30)</f>
        <v/>
      </c>
      <c r="F30" s="18" t="str">
        <f aca="false">IF(ISBLANK(YENI_TEKLIFLER!$A30),"",MAX(0,$E30))</f>
        <v/>
      </c>
      <c r="G30" s="18" t="str">
        <f aca="false">IF(ISBLANK(YENI_TEKLIFLER!$A30),"",YENI_TEKLIFLER!$J30)</f>
        <v/>
      </c>
      <c r="H30" s="18" t="str">
        <f aca="false">IF(ISBLANK(YENI_TEKLIFLER!$A30),"",INDEX(KREDILER!$H$6:$H$1000,MATCH(YENI_TEKLIFLER!$B30,KREDILER!$A$6:$A$1000,0)))</f>
        <v/>
      </c>
      <c r="I30" s="15" t="str">
        <f aca="false">IF(ISBLANK(YENI_TEKLIFLER!$A30),"",IF($E30&gt;0,"ADAY","DEĞİL"))</f>
        <v/>
      </c>
      <c r="J30" s="15" t="str">
        <f aca="false">IF(ISBLANK(YENI_TEKLIFLER!$A30),"",IF(OR(ISBLANK($B30),ISBLANK($C30),ISBLANK($D30),ISBLANK($E30),ISBLANK($F30),ISBLANK($G30),ISBLANK($H30)),"EKSİK","OK"))</f>
        <v/>
      </c>
    </row>
    <row r="31" customFormat="false" ht="15" hidden="false" customHeight="true" outlineLevel="0" collapsed="false">
      <c r="A31" s="15" t="str">
        <f aca="false">IF(ISBLANK(YENI_TEKLIFLER!$A31),"",YENI_TEKLIFLER!$A31)</f>
        <v/>
      </c>
      <c r="B31" s="15" t="str">
        <f aca="false">IF(ISBLANK(YENI_TEKLIFLER!$A31),"",YENI_TEKLIFLER!$B31)</f>
        <v/>
      </c>
      <c r="C31" s="18" t="str">
        <f aca="false">IF(ISBLANK(YENI_TEKLIFLER!$A31),"",SUMIFS(TAKSIT_PLANI!$I$6:$I$1000,TAKSIT_PLANI!$B$6:$B$1000,YENI_TEKLIFLER!$B31,TAKSIT_PLANI!$C$6:$C$1000,1))</f>
        <v/>
      </c>
      <c r="D31" s="18" t="str">
        <f aca="false">IF(ISBLANK(YENI_TEKLIFLER!$A31),"",YENI_TEKLIFLER!$I31)</f>
        <v/>
      </c>
      <c r="E31" s="18" t="str">
        <f aca="false">IF(ISBLANK(YENI_TEKLIFLER!$A31),"",$C31-$D31)</f>
        <v/>
      </c>
      <c r="F31" s="18" t="str">
        <f aca="false">IF(ISBLANK(YENI_TEKLIFLER!$A31),"",MAX(0,$E31))</f>
        <v/>
      </c>
      <c r="G31" s="18" t="str">
        <f aca="false">IF(ISBLANK(YENI_TEKLIFLER!$A31),"",YENI_TEKLIFLER!$J31)</f>
        <v/>
      </c>
      <c r="H31" s="18" t="str">
        <f aca="false">IF(ISBLANK(YENI_TEKLIFLER!$A31),"",INDEX(KREDILER!$H$6:$H$1000,MATCH(YENI_TEKLIFLER!$B31,KREDILER!$A$6:$A$1000,0)))</f>
        <v/>
      </c>
      <c r="I31" s="15" t="str">
        <f aca="false">IF(ISBLANK(YENI_TEKLIFLER!$A31),"",IF($E31&gt;0,"ADAY","DEĞİL"))</f>
        <v/>
      </c>
      <c r="J31" s="15" t="str">
        <f aca="false">IF(ISBLANK(YENI_TEKLIFLER!$A31),"",IF(OR(ISBLANK($B31),ISBLANK($C31),ISBLANK($D31),ISBLANK($E31),ISBLANK($F31),ISBLANK($G31),ISBLANK($H31)),"EKSİK","OK"))</f>
        <v/>
      </c>
    </row>
    <row r="32" customFormat="false" ht="15" hidden="false" customHeight="true" outlineLevel="0" collapsed="false">
      <c r="A32" s="15" t="str">
        <f aca="false">IF(ISBLANK(YENI_TEKLIFLER!$A32),"",YENI_TEKLIFLER!$A32)</f>
        <v/>
      </c>
      <c r="B32" s="15" t="str">
        <f aca="false">IF(ISBLANK(YENI_TEKLIFLER!$A32),"",YENI_TEKLIFLER!$B32)</f>
        <v/>
      </c>
      <c r="C32" s="18" t="str">
        <f aca="false">IF(ISBLANK(YENI_TEKLIFLER!$A32),"",SUMIFS(TAKSIT_PLANI!$I$6:$I$1000,TAKSIT_PLANI!$B$6:$B$1000,YENI_TEKLIFLER!$B32,TAKSIT_PLANI!$C$6:$C$1000,1))</f>
        <v/>
      </c>
      <c r="D32" s="18" t="str">
        <f aca="false">IF(ISBLANK(YENI_TEKLIFLER!$A32),"",YENI_TEKLIFLER!$I32)</f>
        <v/>
      </c>
      <c r="E32" s="18" t="str">
        <f aca="false">IF(ISBLANK(YENI_TEKLIFLER!$A32),"",$C32-$D32)</f>
        <v/>
      </c>
      <c r="F32" s="18" t="str">
        <f aca="false">IF(ISBLANK(YENI_TEKLIFLER!$A32),"",MAX(0,$E32))</f>
        <v/>
      </c>
      <c r="G32" s="18" t="str">
        <f aca="false">IF(ISBLANK(YENI_TEKLIFLER!$A32),"",YENI_TEKLIFLER!$J32)</f>
        <v/>
      </c>
      <c r="H32" s="18" t="str">
        <f aca="false">IF(ISBLANK(YENI_TEKLIFLER!$A32),"",INDEX(KREDILER!$H$6:$H$1000,MATCH(YENI_TEKLIFLER!$B32,KREDILER!$A$6:$A$1000,0)))</f>
        <v/>
      </c>
      <c r="I32" s="15" t="str">
        <f aca="false">IF(ISBLANK(YENI_TEKLIFLER!$A32),"",IF($E32&gt;0,"ADAY","DEĞİL"))</f>
        <v/>
      </c>
      <c r="J32" s="15" t="str">
        <f aca="false">IF(ISBLANK(YENI_TEKLIFLER!$A32),"",IF(OR(ISBLANK($B32),ISBLANK($C32),ISBLANK($D32),ISBLANK($E32),ISBLANK($F32),ISBLANK($G32),ISBLANK($H32)),"EKSİK","OK"))</f>
        <v/>
      </c>
    </row>
    <row r="33" customFormat="false" ht="15" hidden="false" customHeight="true" outlineLevel="0" collapsed="false">
      <c r="A33" s="15" t="str">
        <f aca="false">IF(ISBLANK(YENI_TEKLIFLER!$A33),"",YENI_TEKLIFLER!$A33)</f>
        <v/>
      </c>
      <c r="B33" s="15" t="str">
        <f aca="false">IF(ISBLANK(YENI_TEKLIFLER!$A33),"",YENI_TEKLIFLER!$B33)</f>
        <v/>
      </c>
      <c r="C33" s="18" t="str">
        <f aca="false">IF(ISBLANK(YENI_TEKLIFLER!$A33),"",SUMIFS(TAKSIT_PLANI!$I$6:$I$1000,TAKSIT_PLANI!$B$6:$B$1000,YENI_TEKLIFLER!$B33,TAKSIT_PLANI!$C$6:$C$1000,1))</f>
        <v/>
      </c>
      <c r="D33" s="18" t="str">
        <f aca="false">IF(ISBLANK(YENI_TEKLIFLER!$A33),"",YENI_TEKLIFLER!$I33)</f>
        <v/>
      </c>
      <c r="E33" s="18" t="str">
        <f aca="false">IF(ISBLANK(YENI_TEKLIFLER!$A33),"",$C33-$D33)</f>
        <v/>
      </c>
      <c r="F33" s="18" t="str">
        <f aca="false">IF(ISBLANK(YENI_TEKLIFLER!$A33),"",MAX(0,$E33))</f>
        <v/>
      </c>
      <c r="G33" s="18" t="str">
        <f aca="false">IF(ISBLANK(YENI_TEKLIFLER!$A33),"",YENI_TEKLIFLER!$J33)</f>
        <v/>
      </c>
      <c r="H33" s="18" t="str">
        <f aca="false">IF(ISBLANK(YENI_TEKLIFLER!$A33),"",INDEX(KREDILER!$H$6:$H$1000,MATCH(YENI_TEKLIFLER!$B33,KREDILER!$A$6:$A$1000,0)))</f>
        <v/>
      </c>
      <c r="I33" s="15" t="str">
        <f aca="false">IF(ISBLANK(YENI_TEKLIFLER!$A33),"",IF($E33&gt;0,"ADAY","DEĞİL"))</f>
        <v/>
      </c>
      <c r="J33" s="15" t="str">
        <f aca="false">IF(ISBLANK(YENI_TEKLIFLER!$A33),"",IF(OR(ISBLANK($B33),ISBLANK($C33),ISBLANK($D33),ISBLANK($E33),ISBLANK($F33),ISBLANK($G33),ISBLANK($H33)),"EKSİK","OK"))</f>
        <v/>
      </c>
    </row>
    <row r="34" customFormat="false" ht="15" hidden="false" customHeight="true" outlineLevel="0" collapsed="false">
      <c r="A34" s="15" t="str">
        <f aca="false">IF(ISBLANK(YENI_TEKLIFLER!$A34),"",YENI_TEKLIFLER!$A34)</f>
        <v/>
      </c>
      <c r="B34" s="15" t="str">
        <f aca="false">IF(ISBLANK(YENI_TEKLIFLER!$A34),"",YENI_TEKLIFLER!$B34)</f>
        <v/>
      </c>
      <c r="C34" s="18" t="str">
        <f aca="false">IF(ISBLANK(YENI_TEKLIFLER!$A34),"",SUMIFS(TAKSIT_PLANI!$I$6:$I$1000,TAKSIT_PLANI!$B$6:$B$1000,YENI_TEKLIFLER!$B34,TAKSIT_PLANI!$C$6:$C$1000,1))</f>
        <v/>
      </c>
      <c r="D34" s="18" t="str">
        <f aca="false">IF(ISBLANK(YENI_TEKLIFLER!$A34),"",YENI_TEKLIFLER!$I34)</f>
        <v/>
      </c>
      <c r="E34" s="18" t="str">
        <f aca="false">IF(ISBLANK(YENI_TEKLIFLER!$A34),"",$C34-$D34)</f>
        <v/>
      </c>
      <c r="F34" s="18" t="str">
        <f aca="false">IF(ISBLANK(YENI_TEKLIFLER!$A34),"",MAX(0,$E34))</f>
        <v/>
      </c>
      <c r="G34" s="18" t="str">
        <f aca="false">IF(ISBLANK(YENI_TEKLIFLER!$A34),"",YENI_TEKLIFLER!$J34)</f>
        <v/>
      </c>
      <c r="H34" s="18" t="str">
        <f aca="false">IF(ISBLANK(YENI_TEKLIFLER!$A34),"",INDEX(KREDILER!$H$6:$H$1000,MATCH(YENI_TEKLIFLER!$B34,KREDILER!$A$6:$A$1000,0)))</f>
        <v/>
      </c>
      <c r="I34" s="15" t="str">
        <f aca="false">IF(ISBLANK(YENI_TEKLIFLER!$A34),"",IF($E34&gt;0,"ADAY","DEĞİL"))</f>
        <v/>
      </c>
      <c r="J34" s="15" t="str">
        <f aca="false">IF(ISBLANK(YENI_TEKLIFLER!$A34),"",IF(OR(ISBLANK($B34),ISBLANK($C34),ISBLANK($D34),ISBLANK($E34),ISBLANK($F34),ISBLANK($G34),ISBLANK($H34)),"EKSİK","OK"))</f>
        <v/>
      </c>
    </row>
    <row r="35" customFormat="false" ht="15" hidden="false" customHeight="true" outlineLevel="0" collapsed="false">
      <c r="A35" s="15" t="str">
        <f aca="false">IF(ISBLANK(YENI_TEKLIFLER!$A35),"",YENI_TEKLIFLER!$A35)</f>
        <v/>
      </c>
      <c r="B35" s="15" t="str">
        <f aca="false">IF(ISBLANK(YENI_TEKLIFLER!$A35),"",YENI_TEKLIFLER!$B35)</f>
        <v/>
      </c>
      <c r="C35" s="18" t="str">
        <f aca="false">IF(ISBLANK(YENI_TEKLIFLER!$A35),"",SUMIFS(TAKSIT_PLANI!$I$6:$I$1000,TAKSIT_PLANI!$B$6:$B$1000,YENI_TEKLIFLER!$B35,TAKSIT_PLANI!$C$6:$C$1000,1))</f>
        <v/>
      </c>
      <c r="D35" s="18" t="str">
        <f aca="false">IF(ISBLANK(YENI_TEKLIFLER!$A35),"",YENI_TEKLIFLER!$I35)</f>
        <v/>
      </c>
      <c r="E35" s="18" t="str">
        <f aca="false">IF(ISBLANK(YENI_TEKLIFLER!$A35),"",$C35-$D35)</f>
        <v/>
      </c>
      <c r="F35" s="18" t="str">
        <f aca="false">IF(ISBLANK(YENI_TEKLIFLER!$A35),"",MAX(0,$E35))</f>
        <v/>
      </c>
      <c r="G35" s="18" t="str">
        <f aca="false">IF(ISBLANK(YENI_TEKLIFLER!$A35),"",YENI_TEKLIFLER!$J35)</f>
        <v/>
      </c>
      <c r="H35" s="18" t="str">
        <f aca="false">IF(ISBLANK(YENI_TEKLIFLER!$A35),"",INDEX(KREDILER!$H$6:$H$1000,MATCH(YENI_TEKLIFLER!$B35,KREDILER!$A$6:$A$1000,0)))</f>
        <v/>
      </c>
      <c r="I35" s="15" t="str">
        <f aca="false">IF(ISBLANK(YENI_TEKLIFLER!$A35),"",IF($E35&gt;0,"ADAY","DEĞİL"))</f>
        <v/>
      </c>
      <c r="J35" s="15" t="str">
        <f aca="false">IF(ISBLANK(YENI_TEKLIFLER!$A35),"",IF(OR(ISBLANK($B35),ISBLANK($C35),ISBLANK($D35),ISBLANK($E35),ISBLANK($F35),ISBLANK($G35),ISBLANK($H35)),"EKSİK","OK"))</f>
        <v/>
      </c>
    </row>
  </sheetData>
  <sheetProtection sheet="true" password="cc3d" objects="true" scenarios="true" deleteColumns="false" deleteRows="false"/>
  <mergeCells count="1">
    <mergeCell ref="A1:AN1"/>
  </mergeCells>
  <conditionalFormatting sqref="F6:F1000">
    <cfRule type="cellIs" priority="2" operator="lessThanOrEqual" aboveAverage="0" equalAverage="0" bottom="0" percent="0" rank="0" text="" dxfId="10">
      <formula>0</formula>
    </cfRule>
  </conditionalFormatting>
  <conditionalFormatting sqref="G6:G1000">
    <cfRule type="cellIs" priority="3" operator="greaterThan" aboveAverage="0" equalAverage="0" bottom="0" percent="0" rank="0" text="" dxfId="8">
      <formula>0</formula>
    </cfRule>
  </conditionalFormatting>
  <conditionalFormatting sqref="I6:I1000">
    <cfRule type="cellIs" priority="4" operator="equal" aboveAverage="0" equalAverage="0" bottom="0" percent="0" rank="0" text="" dxfId="17">
      <formula>"ADAY"</formula>
    </cfRule>
    <cfRule type="cellIs" priority="5" operator="equal" aboveAverage="0" equalAverage="0" bottom="0" percent="0" rank="0" text="" dxfId="18">
      <formula>"DEĞİL"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24"/>
  </cols>
  <sheetData>
    <row r="1" customFormat="false" ht="25.5" hidden="false" customHeight="true" outlineLevel="0" collapsed="false">
      <c r="A1" s="2" t="s">
        <v>172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</row>
    <row r="3" customFormat="false" ht="15" hidden="false" customHeight="true" outlineLevel="0" collapsed="false">
      <c r="A3" s="25" t="s">
        <v>173</v>
      </c>
    </row>
    <row r="6" customFormat="false" ht="15" hidden="false" customHeight="true" outlineLevel="0" collapsed="false">
      <c r="A6" s="26" t="s">
        <v>174</v>
      </c>
      <c r="B6" s="27" t="n">
        <f aca="false">ROUND(100-(B9+B10+B11)*UyariPuanKesintisi,0)</f>
        <v>100</v>
      </c>
    </row>
    <row r="7" customFormat="false" ht="15" hidden="false" customHeight="true" outlineLevel="0" collapsed="false">
      <c r="A7" s="26" t="s">
        <v>30</v>
      </c>
      <c r="B7" s="28" t="str">
        <f aca="false">IF(B6&gt;=VeriKaliteYuksek,"SAĞLIKLI",IF(B6&gt;=VeriKaliteOrta,"İZLEME GEREKLİ","DÜZELTME GEREKLİ"))</f>
        <v>SAĞLIKLI</v>
      </c>
    </row>
    <row r="8" customFormat="false" ht="15" hidden="false" customHeight="true" outlineLevel="0" collapsed="false">
      <c r="A8" s="26" t="s">
        <v>175</v>
      </c>
      <c r="B8" s="28" t="str">
        <f aca="false">IF(B6&gt;=VeriKaliteYuksek,"UYGUN",IF(B6&gt;=VeriKaliteOrta,"İNCELE","DURDUR"))</f>
        <v>UYGUN</v>
      </c>
    </row>
    <row r="9" customFormat="false" ht="15" hidden="false" customHeight="true" outlineLevel="0" collapsed="false">
      <c r="A9" s="6" t="s">
        <v>176</v>
      </c>
      <c r="B9" s="27" t="n">
        <f aca="false">COUNTIF(BANKALAR!$I$6:$I$1000,"EKSİK")+COUNTIF(LIMITLER!$I$6:$I$1000,"EKSİK")+COUNTIF(KREDILER!$N$6:$N$1000,"EKSİK")+COUNTIF(TAKSIT_PLANI!$L$6:$L$1000,"EKSİK")</f>
        <v>0</v>
      </c>
    </row>
    <row r="10" customFormat="false" ht="15" hidden="false" customHeight="true" outlineLevel="0" collapsed="false">
      <c r="A10" s="6" t="s">
        <v>177</v>
      </c>
      <c r="B10" s="27" t="n">
        <f aca="false">COUNTIF(LIMITLER!$G$6:$G$1000,"&lt;0")+COUNTIF(KREDILER!$H$6:$H$1000,"&lt;=0")+COUNTIF(TAKSIT_PLANI!$I$6:$I$1000,"&lt;=0")</f>
        <v>0</v>
      </c>
    </row>
    <row r="11" customFormat="false" ht="15" hidden="false" customHeight="true" outlineLevel="0" collapsed="false">
      <c r="A11" s="6" t="s">
        <v>178</v>
      </c>
      <c r="B11" s="27" t="n">
        <f aca="false">COUNTIF(KREDILER!$A$6:$A$1000,KREDILER!$A$6)&gt;1</f>
        <v>0</v>
      </c>
    </row>
    <row r="12" customFormat="false" ht="15" hidden="false" customHeight="true" outlineLevel="0" collapsed="false">
      <c r="A12" s="6" t="s">
        <v>179</v>
      </c>
      <c r="B12" s="27" t="n">
        <f aca="false">COUNTA(KREDILER!$A$6:$A$1000)</f>
        <v>4</v>
      </c>
    </row>
    <row r="13" customFormat="false" ht="15" hidden="false" customHeight="true" outlineLevel="0" collapsed="false">
      <c r="A13" s="6" t="s">
        <v>180</v>
      </c>
      <c r="B13" s="27" t="n">
        <f aca="false">COUNTA(TAKSIT_PLANI!$A$6:$A$1000)</f>
        <v>6</v>
      </c>
    </row>
    <row r="14" customFormat="false" ht="15" hidden="false" customHeight="true" outlineLevel="0" collapsed="false">
      <c r="A14" s="6" t="s">
        <v>181</v>
      </c>
      <c r="B14" s="28" t="str">
        <f aca="false">IF(B9+B10+B11=0,"UYGUN","SAĞLAM DEĞİL")</f>
        <v>UYGUN</v>
      </c>
    </row>
    <row r="18" customFormat="false" ht="36.75" hidden="false" customHeight="true" outlineLevel="0" collapsed="false">
      <c r="A18" s="7" t="s">
        <v>182</v>
      </c>
    </row>
  </sheetData>
  <sheetProtection sheet="true" password="cc3d" objects="true" scenarios="true" deleteColumns="false" deleteRows="false"/>
  <mergeCells count="1">
    <mergeCell ref="A1:AN1"/>
  </mergeCells>
  <conditionalFormatting sqref="B6">
    <cfRule type="cellIs" priority="2" operator="lessThan" aboveAverage="0" equalAverage="0" bottom="0" percent="0" rank="0" text="" dxfId="12">
      <formula>50</formula>
    </cfRule>
    <cfRule type="cellIs" priority="3" operator="between" aboveAverage="0" equalAverage="0" bottom="0" percent="0" rank="0" text="" dxfId="10">
      <formula>50</formula>
      <formula>80</formula>
    </cfRule>
    <cfRule type="cellIs" priority="4" operator="greaterThanOrEqual" aboveAverage="0" equalAverage="0" bottom="0" percent="0" rank="0" text="" dxfId="8">
      <formula>80</formula>
    </cfRule>
  </conditionalFormatting>
  <conditionalFormatting sqref="B7">
    <cfRule type="cellIs" priority="5" operator="equal" aboveAverage="0" equalAverage="0" bottom="0" percent="0" rank="0" text="" dxfId="8">
      <formula>"SAĞLIKLI"</formula>
    </cfRule>
    <cfRule type="cellIs" priority="6" operator="equal" aboveAverage="0" equalAverage="0" bottom="0" percent="0" rank="0" text="" dxfId="10">
      <formula>"İZLEME GEREKLİ"</formula>
    </cfRule>
    <cfRule type="cellIs" priority="7" operator="equal" aboveAverage="0" equalAverage="0" bottom="0" percent="0" rank="0" text="" dxfId="9">
      <formula>"DÜZELTME GEREKLİ"</formula>
    </cfRule>
  </conditionalFormatting>
  <conditionalFormatting sqref="B8">
    <cfRule type="cellIs" priority="8" operator="equal" aboveAverage="0" equalAverage="0" bottom="0" percent="0" rank="0" text="" dxfId="8">
      <formula>"UYGUN"</formula>
    </cfRule>
    <cfRule type="cellIs" priority="9" operator="equal" aboveAverage="0" equalAverage="0" bottom="0" percent="0" rank="0" text="" dxfId="10">
      <formula>"İNCELE"</formula>
    </cfRule>
    <cfRule type="cellIs" priority="10" operator="equal" aboveAverage="0" equalAverage="0" bottom="0" percent="0" rank="0" text="" dxfId="12">
      <formula>"DURDUR"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5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6"/>
    <col collapsed="false" customWidth="true" hidden="false" outlineLevel="0" max="2" min="2" style="1" width="30"/>
    <col collapsed="false" customWidth="true" hidden="false" outlineLevel="0" max="3" min="3" style="1" width="95"/>
    <col collapsed="false" customWidth="true" hidden="false" outlineLevel="0" max="4" min="4" style="1" width="18"/>
  </cols>
  <sheetData>
    <row r="1" customFormat="false" ht="25.5" hidden="false" customHeight="true" outlineLevel="0" collapsed="false">
      <c r="A1" s="2" t="s">
        <v>183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9.5" hidden="false" customHeight="true" outlineLevel="0" collapsed="false">
      <c r="A2" s="29" t="s">
        <v>184</v>
      </c>
      <c r="B2" s="29"/>
      <c r="C2" s="29"/>
      <c r="D2" s="29"/>
      <c r="E2" s="29"/>
      <c r="F2" s="29"/>
      <c r="G2" s="29"/>
      <c r="H2" s="29"/>
      <c r="I2" s="29"/>
      <c r="J2" s="29"/>
      <c r="K2" s="29"/>
      <c r="L2" s="29"/>
      <c r="M2" s="29"/>
      <c r="N2" s="29"/>
      <c r="O2" s="29"/>
      <c r="P2" s="29"/>
      <c r="Q2" s="29"/>
      <c r="R2" s="29"/>
      <c r="S2" s="29"/>
      <c r="T2" s="29"/>
      <c r="U2" s="29"/>
      <c r="V2" s="29"/>
      <c r="W2" s="29"/>
      <c r="X2" s="29"/>
      <c r="Y2" s="29"/>
      <c r="Z2" s="29"/>
      <c r="AA2" s="29"/>
      <c r="AB2" s="29"/>
      <c r="AC2" s="29"/>
      <c r="AD2" s="29"/>
      <c r="AE2" s="29"/>
      <c r="AF2" s="29"/>
      <c r="AG2" s="29"/>
      <c r="AH2" s="29"/>
      <c r="AI2" s="29"/>
      <c r="AJ2" s="29"/>
      <c r="AK2" s="29"/>
      <c r="AL2" s="29"/>
      <c r="AM2" s="29"/>
      <c r="AN2" s="29"/>
    </row>
    <row r="4" customFormat="false" ht="15" hidden="false" customHeight="true" outlineLevel="0" collapsed="false">
      <c r="A4" s="30" t="s">
        <v>185</v>
      </c>
    </row>
    <row r="5" customFormat="false" ht="15" hidden="false" customHeight="true" outlineLevel="0" collapsed="false">
      <c r="A5" s="31" t="s">
        <v>186</v>
      </c>
      <c r="B5" s="32" t="n">
        <f aca="false">IFERROR(COUNTA(tblKrediler[Kredi ID]),0)</f>
        <v>4</v>
      </c>
    </row>
    <row r="6" customFormat="false" ht="15" hidden="false" customHeight="true" outlineLevel="0" collapsed="false">
      <c r="A6" s="31" t="s">
        <v>187</v>
      </c>
      <c r="B6" s="32" t="n">
        <f aca="false">IFERROR(COUNTA(tblBankalar[Banka]),0)</f>
        <v>4</v>
      </c>
    </row>
    <row r="7" customFormat="false" ht="15" hidden="false" customHeight="true" outlineLevel="0" collapsed="false">
      <c r="A7" s="31" t="s">
        <v>188</v>
      </c>
      <c r="B7" s="33" t="n">
        <f aca="false">IFERROR(SUM(tblKrediler[Anapara]),0)</f>
        <v>21900000</v>
      </c>
    </row>
    <row r="8" customFormat="false" ht="15" hidden="false" customHeight="true" outlineLevel="0" collapsed="false">
      <c r="A8" s="31" t="s">
        <v>189</v>
      </c>
      <c r="B8" s="33" t="n">
        <f aca="false">IFERROR(SUM(tblKrediler[Güncel Bakiye]),0)</f>
        <v>16880000</v>
      </c>
    </row>
    <row r="9" customFormat="false" ht="15" hidden="false" customHeight="true" outlineLevel="0" collapsed="false">
      <c r="A9" s="31" t="s">
        <v>190</v>
      </c>
      <c r="B9" s="33" t="n">
        <f aca="false">IFERROR(SUMIFS(tblKrediler[Güncel Bakiye],tblKrediler[Para Birimi],"TRY"),0)</f>
        <v>16700000</v>
      </c>
    </row>
    <row r="10" customFormat="false" ht="15" hidden="false" customHeight="true" outlineLevel="0" collapsed="false">
      <c r="A10" s="31" t="s">
        <v>191</v>
      </c>
      <c r="B10" s="33" t="n">
        <f aca="false">IFERROR(SUMIFS(tblKrediler[Güncel Bakiye],tblKrediler[Para Birimi],"USD"),0)</f>
        <v>180000</v>
      </c>
    </row>
    <row r="11" customFormat="false" ht="15" hidden="false" customHeight="true" outlineLevel="0" collapsed="false">
      <c r="A11" s="31" t="s">
        <v>192</v>
      </c>
      <c r="B11" s="33" t="n">
        <f aca="false">IFERROR(SUMIFS(tblKrediler[Güncel Bakiye],tblKrediler[Para Birimi],"EUR"),0)</f>
        <v>0</v>
      </c>
    </row>
    <row r="12" customFormat="false" ht="15" hidden="false" customHeight="true" outlineLevel="0" collapsed="false">
      <c r="A12" s="31" t="s">
        <v>193</v>
      </c>
      <c r="B12" s="33" t="n">
        <f aca="false">IFERROR(SUMIFS(tblKrediler[Güncel Bakiye],tblKrediler[Para Birimi],"&lt;&gt;TRY"),0)</f>
        <v>180000</v>
      </c>
    </row>
    <row r="13" customFormat="false" ht="15" hidden="false" customHeight="true" outlineLevel="0" collapsed="false">
      <c r="A13" s="31" t="s">
        <v>194</v>
      </c>
      <c r="B13" s="33" t="n">
        <f aca="false">IFERROR(SUM(tblTaksitPlani[Toplam Ödeme]),0)</f>
        <v>5150564</v>
      </c>
    </row>
    <row r="14" customFormat="false" ht="15" hidden="false" customHeight="true" outlineLevel="0" collapsed="false">
      <c r="A14" s="31" t="s">
        <v>195</v>
      </c>
      <c r="B14" s="33" t="n">
        <f aca="false">IFERROR(SUMIFS(tblTaksitPlani[Toplam Ödeme],tblTaksitPlani[Ödeme Durumu],"&lt;&gt;Ödendi"),0)</f>
        <v>5150564</v>
      </c>
    </row>
    <row r="15" customFormat="false" ht="15" hidden="false" customHeight="true" outlineLevel="0" collapsed="false">
      <c r="A15" s="31" t="s">
        <v>196</v>
      </c>
      <c r="B15" s="33" t="n">
        <f aca="false">IFERROR(SUMIFS(tblTaksitPlani[Toplam Ödeme],tblTaksitPlani[Ödeme Tarihi],"&gt;="&amp;RaporTarihi,tblTaksitPlani[Ödeme Tarihi],"&lt;"&amp;RaporTarihi+30,tblTaksitPlani[Ödeme Durumu],"&lt;&gt;Ödendi"),0)</f>
        <v>934864</v>
      </c>
    </row>
    <row r="16" customFormat="false" ht="15" hidden="false" customHeight="true" outlineLevel="0" collapsed="false">
      <c r="A16" s="31" t="s">
        <v>197</v>
      </c>
      <c r="B16" s="32" t="n">
        <f aca="false">IFERROR(COUNTIF(tblTaksitPlani[Kalan Gün],"&lt;0"),0)</f>
        <v>0</v>
      </c>
    </row>
    <row r="17" customFormat="false" ht="15" hidden="false" customHeight="true" outlineLevel="0" collapsed="false">
      <c r="A17" s="31" t="s">
        <v>198</v>
      </c>
      <c r="B17" s="33" t="n">
        <f aca="false">IFERROR(SUMIFS(tblTaksitPlani[Toplam Ödeme],tblTaksitPlani[Kalan Gün],"&lt;0"),0)</f>
        <v>0</v>
      </c>
    </row>
    <row r="18" customFormat="false" ht="15" hidden="false" customHeight="true" outlineLevel="0" collapsed="false">
      <c r="A18" s="31" t="s">
        <v>199</v>
      </c>
      <c r="B18" s="33" t="n">
        <f aca="false">IFERROR(SUMIFS(tblMasraflar[Tutar],tblMasraflar[Para Birimi],"TRY"),0)</f>
        <v>130000</v>
      </c>
    </row>
    <row r="19" customFormat="false" ht="15" hidden="false" customHeight="true" outlineLevel="0" collapsed="false">
      <c r="A19" s="31" t="s">
        <v>200</v>
      </c>
      <c r="B19" s="33" t="n">
        <f aca="false">IFERROR(SUMIFS(tblMasraflar[Tutar],tblMasraflar[Para Birimi],"USD"),0)</f>
        <v>1500</v>
      </c>
    </row>
    <row r="20" customFormat="false" ht="15" hidden="false" customHeight="true" outlineLevel="0" collapsed="false">
      <c r="A20" s="31" t="s">
        <v>201</v>
      </c>
      <c r="B20" s="33" t="n">
        <f aca="false">IFERROR(ABS(SUM(tblKrediler[Güncel Bakiye])-SUMIFS(tblTaksitPlani[Anapara],tblTaksitPlani[Ödeme Durumu],"&lt;&gt;Ödendi")),0)</f>
        <v>13779000</v>
      </c>
    </row>
    <row r="21" customFormat="false" ht="15" hidden="false" customHeight="true" outlineLevel="0" collapsed="false">
      <c r="A21" s="31" t="s">
        <v>202</v>
      </c>
      <c r="B21" s="33" t="n">
        <f aca="false">IFERROR(SUM(tblTeminatlar[Ekspertiz Değeri]),0)</f>
        <v>27000000</v>
      </c>
    </row>
    <row r="22" customFormat="false" ht="15" hidden="false" customHeight="true" outlineLevel="0" collapsed="false">
      <c r="A22" s="31" t="s">
        <v>66</v>
      </c>
      <c r="B22" s="33" t="n">
        <f aca="false">IFERROR(SUM(tblLimitler[Kullanılan Limit]),0)</f>
        <v>16880000</v>
      </c>
    </row>
    <row r="23" customFormat="false" ht="15" hidden="false" customHeight="true" outlineLevel="0" collapsed="false">
      <c r="A23" s="31" t="s">
        <v>67</v>
      </c>
      <c r="B23" s="33" t="n">
        <f aca="false">IFERROR(SUM(tblLimitler[Kalan Limit]),0)</f>
        <v>11370000</v>
      </c>
    </row>
    <row r="24" customFormat="false" ht="15" hidden="false" customHeight="true" outlineLevel="0" collapsed="false">
      <c r="A24" s="31" t="s">
        <v>203</v>
      </c>
      <c r="B24" s="34" t="n">
        <f aca="false">IFERROR(SUMPRODUCT(tblKrediler[Güncel Bakiye],tblKrediler[Yıllık Faiz])/MAX(1,SUM(tblKrediler[Güncel Bakiye])),0)</f>
        <v>0.329934834123223</v>
      </c>
    </row>
    <row r="26" customFormat="false" ht="15" hidden="false" customHeight="true" outlineLevel="0" collapsed="false">
      <c r="A26" s="31" t="s">
        <v>176</v>
      </c>
      <c r="B26" s="32" t="n">
        <f aca="false">KONTROLLER!$B$9</f>
        <v>0</v>
      </c>
    </row>
    <row r="27" customFormat="false" ht="15" hidden="false" customHeight="true" outlineLevel="0" collapsed="false">
      <c r="A27" s="31" t="s">
        <v>177</v>
      </c>
      <c r="B27" s="32" t="n">
        <f aca="false">KONTROLLER!$B$10</f>
        <v>0</v>
      </c>
    </row>
    <row r="28" customFormat="false" ht="15" hidden="false" customHeight="true" outlineLevel="0" collapsed="false">
      <c r="A28" s="31" t="s">
        <v>178</v>
      </c>
      <c r="B28" s="32" t="n">
        <f aca="false">KONTROLLER!$B$11</f>
        <v>0</v>
      </c>
    </row>
    <row r="29" customFormat="false" ht="15" hidden="false" customHeight="true" outlineLevel="0" collapsed="false">
      <c r="A29" s="31" t="s">
        <v>204</v>
      </c>
      <c r="B29" s="32" t="n">
        <f aca="false">IFERROR(COUNTIF(tblTaksitPlani[Kalan Gün],"&lt;0"),0)</f>
        <v>0</v>
      </c>
    </row>
    <row r="30" customFormat="false" ht="15" hidden="false" customHeight="true" outlineLevel="0" collapsed="false">
      <c r="A30" s="31" t="s">
        <v>205</v>
      </c>
      <c r="B30" s="34" t="n">
        <f aca="false">IFERROR(B20/MAX(1,B8),0)</f>
        <v>0.816291469194313</v>
      </c>
    </row>
    <row r="31" customFormat="false" ht="15" hidden="false" customHeight="true" outlineLevel="0" collapsed="false">
      <c r="A31" s="31" t="s">
        <v>174</v>
      </c>
      <c r="B31" s="32" t="n">
        <f aca="false">KONTROLLER!$B$6</f>
        <v>100</v>
      </c>
    </row>
    <row r="33" customFormat="false" ht="15" hidden="false" customHeight="true" outlineLevel="0" collapsed="false">
      <c r="A33" s="31" t="s">
        <v>206</v>
      </c>
      <c r="B33" s="32" t="n">
        <f aca="false">IFERROR(COUNTIF(tblTaksitPlani[Kalan Gün],"&lt;0"),0)</f>
        <v>0</v>
      </c>
      <c r="C33" s="35" t="str">
        <f aca="false">_xlfn.TEXTJOIN(" | ",TRUE(),"T1: Vadesi geçmiş taksit sayısı "&amp;modulT1VadeGecmis,IF(modulT1VadeGecmis&gt;0,"gecikmiş taksitler faiz ve itibar riski yaratıyor, ödeme önceliği verin","vadesi geçmiş taksit yok"))</f>
        <v>T1: Vadesi geçmiş taksit sayısı 0 | vadesi geçmiş taksit yok</v>
      </c>
    </row>
    <row r="34" customFormat="false" ht="15" hidden="false" customHeight="true" outlineLevel="0" collapsed="false">
      <c r="A34" s="31" t="s">
        <v>207</v>
      </c>
      <c r="B34" s="33" t="n">
        <f aca="false">IFERROR(SLOPE(tblTaksitPlani[Toplam Ödeme],tblTaksitPlani[Ödeme Tarihi]),0)</f>
        <v>21446.3188244694</v>
      </c>
      <c r="C34" s="35" t="str">
        <f aca="false">_xlfn.TEXTJOIN(" | ",TRUE(),"T2: Ödeme eğimi "&amp;TEXT(modulT2OdemeEgimi,"#,##0")&amp;" TL/gün",IF(modulT2OdemeEgimi&lt;0,"ödeme yoğunluğu artıyor, nakit planını gözden geçirin","ödeme yükü dengeli seyrediyor"))</f>
        <v>T2: Ödeme eğimi 21.446 TL/gün | ödeme yükü dengeli seyrediyor</v>
      </c>
    </row>
    <row r="35" customFormat="false" ht="15" hidden="false" customHeight="true" outlineLevel="0" collapsed="false">
      <c r="A35" s="31" t="s">
        <v>208</v>
      </c>
      <c r="B35" s="34" t="n">
        <f aca="false">IFERROR(MAX(SUMIFS(tblKrediler[Güncel Bakiye],tblKrediler[Banka],"Türkiye İş Bankası"),SUMIFS(tblKrediler[Güncel Bakiye],tblKrediler[Banka],"Akbank"),SUMIFS(tblKrediler[Güncel Bakiye],tblKrediler[Banka],"Garanti BBVA"),SUMIFS(tblKrediler[Güncel Bakiye],tblKrediler[Banka],"Yapı Kredi"))/MAX(1,SUM(tblKrediler[Güncel Bakiye])),0)</f>
        <v>0.627962085308057</v>
      </c>
      <c r="C35" s="35" t="str">
        <f aca="false">_xlfn.TEXTJOIN(" | ",TRUE(),"T3: En büyük bankanın borç payı %"&amp;TEXT(modulT3BorctaPareto*100,"0")&amp;"",IF(modulT3BorctaPareto&gt;0.5,"borç tek bankada yoğun, alternatif finansmanı değerlendirin","borç dağılımı görece dengeli"))</f>
        <v>T3: En büyük bankanın borç payı %63 | borç tek bankada yoğun, alternatif finansmanı değerlendirin</v>
      </c>
    </row>
    <row r="36" customFormat="false" ht="15" hidden="false" customHeight="true" outlineLevel="0" collapsed="false">
      <c r="A36" s="31" t="s">
        <v>209</v>
      </c>
      <c r="B36" s="34" t="n">
        <f aca="false">IFERROR(B15/MAX(1,B8),0)</f>
        <v>0.0553829383886256</v>
      </c>
      <c r="C36" s="35" t="str">
        <f aca="false">_xlfn.TEXTJOIN(" | ",TRUE(),"T4: 30 günlük ödeme yükü bakiyenin %"&amp;TEXT(modulT4AyFarki*100,"0.0")&amp;"'ı",IF(modulT4AyFarki&gt;0.15,"aylık yük yüksek, refinansman veya vade uzatma değerlendirin","aylık yük yönetilebilir"))</f>
        <v>T4: 30 günlük ödeme yükü bakiyenin %06'ı | aylık yük yönetilebilir</v>
      </c>
    </row>
    <row r="37" customFormat="false" ht="15" hidden="false" customHeight="true" outlineLevel="0" collapsed="false">
      <c r="A37" s="31" t="s">
        <v>210</v>
      </c>
      <c r="B37" s="33" t="n">
        <f aca="false">B20</f>
        <v>13779000</v>
      </c>
      <c r="C37" s="35" t="str">
        <f aca="false">_xlfn.TEXTJOIN(" | ",TRUE(),"T5: Anapara-ödeme planı mutabakat farkı "&amp;TEXT(modulT5MutabakatFark,"#,##0")&amp;" TL",IF(modulT5MutabakatFark&gt;0,"kayıtlar ile plan arasında fark var, taksit kayıtlarını denetleyin","mutabakat uyumlu"))</f>
        <v>T5: Anapara-ödeme planı mutabakat farkı 13.779.000 TL | kayıtlar ile plan arasında fark var, taksit kayıtlarını denetleyin</v>
      </c>
    </row>
    <row r="38" customFormat="false" ht="15" hidden="false" customHeight="true" outlineLevel="0" collapsed="false">
      <c r="A38" s="31" t="s">
        <v>211</v>
      </c>
      <c r="B38" s="32" t="n">
        <f aca="false">IFERROR(B8/MAX(1,YillikFaaliyetKari),0)</f>
        <v>2.34444444444444</v>
      </c>
      <c r="C38" s="35" t="str">
        <f aca="false">_xlfn.TEXTJOIN(" | ",TRUE(),"T6: Kaldıraç (borç/kâr) "&amp;TEXT(modulT6KaldiracOran,"0.0")&amp;"",IF(modulT6KaldiracOran&gt;KaldiracEsigi,"kaldıraç eşiğin üzerinde, borç yükü riskli","kaldıraç eşik altında"))</f>
        <v>T6: Kaldıraç (borç/kâr) 02 | kaldıraç eşik altında</v>
      </c>
    </row>
    <row r="39" customFormat="false" ht="15" hidden="false" customHeight="true" outlineLevel="0" collapsed="false">
      <c r="A39" s="31" t="s">
        <v>212</v>
      </c>
      <c r="B39" s="32" t="n">
        <f aca="false">IFERROR(MAX(tblTaksitPlani[Toplam Ödeme])/MAX(1,AVERAGE(tblTaksitPlani[Toplam Ödeme])),0)</f>
        <v>3.82758082415829</v>
      </c>
      <c r="C39" s="35" t="str">
        <f aca="false">_xlfn.TEXTJOIN(" | ",TRUE(),"O1: En yüksek taksit ortalamanın "&amp;TEXT(modulO1AnomaliOdeme,"0.0")&amp;" katı",IF(modulO1AnomaliOdeme&gt;2,"taksitler arası dengesizlik var, balon ödeme riskini izleyin","taksit dağılımı dengeli"))</f>
        <v>O1: En yüksek taksit ortalamanın 04 katı | taksitler arası dengesizlik var, balon ödeme riskini izleyin</v>
      </c>
    </row>
    <row r="40" customFormat="false" ht="15" hidden="false" customHeight="true" outlineLevel="0" collapsed="false">
      <c r="A40" s="31" t="s">
        <v>213</v>
      </c>
      <c r="B40" s="33" t="n">
        <f aca="false">IFERROR(MAX(DuyarliOran*B12,DuyarliOran*B8*B24,DuyarliOran*B15),0)</f>
        <v>556930</v>
      </c>
      <c r="C40" s="35" t="str">
        <f aca="false">_xlfn.TEXTJOIN(" | ",TRUE(),"O2: Duyarlılık değişkenlerinin en yüksek etkisi "&amp;TEXT(modulO2TornadoZirve,"#,##0")&amp;" TL",IF(modulO2TornadoZirve&gt;KARAR_MOTORU!$B$7,"tek değişken senaryoyu değiştirebilir, kur ve faiz riskini yönetin","duyarlılık etkisi sınırlı"))</f>
        <v>O2: Duyarlılık değişkenlerinin en yüksek etkisi 556.930 TL | duyarlılık etkisi sınırlı</v>
      </c>
    </row>
    <row r="41" customFormat="false" ht="15" hidden="false" customHeight="true" outlineLevel="0" collapsed="false">
      <c r="A41" s="31" t="s">
        <v>214</v>
      </c>
      <c r="B41" s="33" t="n">
        <f aca="false">IFERROR(ABS(SENARYO_DUYARLILIK!$B$6-SENARYO_DUYARLILIK!$B$7),0)</f>
        <v>3376000</v>
      </c>
      <c r="C41" s="35" t="str">
        <f aca="false">_xlfn.TEXTJOIN(" | ",TRUE(),"O3: İyimser-kötümser senaryo arası borç farkı "&amp;TEXT(modulO3SenaryoFark,"#,##0")&amp;" TL",IF(modulO3SenaryoFark&gt;KARAR_MOTORU!$B$5*0.2,"senaryo belirsizliği yüksek","senaryo aralığı kabul edilebilir"))</f>
        <v>O3: İyimser-kötümser senaryo arası borç farkı 3.376.000 TL | senaryo aralığı kabul edilebilir</v>
      </c>
    </row>
    <row r="42" customFormat="false" ht="15" hidden="false" customHeight="true" outlineLevel="0" collapsed="false">
      <c r="A42" s="31" t="s">
        <v>215</v>
      </c>
      <c r="B42" s="34" t="n">
        <f aca="false">IFERROR(AylikFaaliyetNakdi/MAX(1,KARAR_MOTORU!$B$6),0)</f>
        <v>1.3370928819593</v>
      </c>
      <c r="C42" s="35" t="str">
        <f aca="false">_xlfn.TEXTJOIN(" | ",TRUE(),"O4: DSCR "&amp;TEXT(modulO4Dscr*100,"0")&amp;"%",IF(modulO4Dscr&lt;1,"aylık nakit borç servisini karşılamıyor, likidite riski","DSCR 1 üzerinde, borç servisi karşılanıyor"))</f>
        <v>O4: DSCR 134% | DSCR 1 üzerinde, borç servisi karşılanıyor</v>
      </c>
    </row>
    <row r="43" customFormat="false" ht="15" hidden="false" customHeight="true" outlineLevel="0" collapsed="false">
      <c r="A43" s="31" t="s">
        <v>216</v>
      </c>
      <c r="B43" s="32" t="n">
        <f aca="false">IFERROR((SUMIFS(tblKrediler[Güncel Bakiye],tblKrediler[Banka],"Türkiye İş Bankası")^2+SUMIFS(tblKrediler[Güncel Bakiye],tblKrediler[Banka],"Akbank")^2+SUMIFS(tblKrediler[Güncel Bakiye],tblKrediler[Banka],"Garanti BBVA")^2+SUMIFS(tblKrediler[Güncel Bakiye],tblKrediler[Banka],"Yapı Kredi")^2)/MAX(1,SUM(tblKrediler[Güncel Bakiye])^2),0)</f>
        <v>0.525041553424227</v>
      </c>
      <c r="C43" s="35" t="str">
        <f aca="false">_xlfn.TEXTJOIN(" | ",TRUE(),"O6: Banka yoğunlaşma endeksi "&amp;TEXT(modulO6BankaHhi,"0.00")&amp;"",IF(modulO6BankaHhi&gt;0.5,"borç tek bankada yoğun, alternatif finansmanı değerlendirin","banka dağılımı dengeli"))</f>
        <v>O6: Banka yoğunlaşma endeksi 0,53 | borç tek bankada yoğun, alternatif finansmanı değerlendirin</v>
      </c>
    </row>
    <row r="44" customFormat="false" ht="15" hidden="false" customHeight="true" outlineLevel="0" collapsed="false">
      <c r="A44" s="31" t="s">
        <v>217</v>
      </c>
      <c r="B44" s="32" t="n">
        <f aca="false">KONTROLLER!$B$6</f>
        <v>100</v>
      </c>
      <c r="C44" s="35" t="str">
        <f aca="false">_xlfn.TEXTJOIN(" | ",TRUE(),"O8: Veri kalite skoru "&amp;TEXT(modulO8KaliteSkor,"0")&amp;"/100",IF(modulO8KaliteSkor&gt;=VeriKaliteYuksek,"girdi kalitesi yüksek","kalite düşük, girişleri tamamlayın"))</f>
        <v>O8: Veri kalite skoru 100/100 | girdi kalitesi yüksek</v>
      </c>
    </row>
    <row r="45" customFormat="false" ht="15" hidden="false" customHeight="true" outlineLevel="0" collapsed="false">
      <c r="A45" s="31" t="s">
        <v>218</v>
      </c>
      <c r="B45" s="33" t="n">
        <f aca="false">IFERROR(_xlfn.FORECAST.LINEAR(MAX(tblTaksitPlani[Ödeme Tarihi])+30,tblTaksitPlani[Toplam Ödeme],tblTaksitPlani[Ödeme Tarihi]),0)</f>
        <v>3764403.53404893</v>
      </c>
      <c r="C45" s="35" t="str">
        <f aca="false">_xlfn.TEXTJOIN(" | ",TRUE(),"I1: 30 gün sonrası tahmini ödeme "&amp;TEXT(modulI1OdemeTahmini,"#,##0")&amp;" TL",IF(modulI1OdemeTahmini&gt;SerbestNakit,"tahmini ödeme serbest nakdi aşıyor, önlem planı kurun","tahmini ödeme serbest nakit içinde"))</f>
        <v>I1: 30 gün sonrası tahmini ödeme 3.764.404 TL | tahmini ödeme serbest nakdi aşıyor, önlem planı kurun</v>
      </c>
    </row>
    <row r="46" customFormat="false" ht="15" hidden="false" customHeight="true" outlineLevel="0" collapsed="false">
      <c r="A46" s="31" t="s">
        <v>219</v>
      </c>
      <c r="B46" s="33" t="n">
        <f aca="false">IFERROR(_xlfn.PERCENTILE.INC(tblTaksitPlani[Toplam Ödeme],0.9),0)</f>
        <v>1952850</v>
      </c>
      <c r="C46" s="35" t="str">
        <f aca="false">_xlfn.TEXTJOIN(" | ",TRUE(),"I2: Aylık ödeme P90 "&amp;TEXT(modulI2OdemeP90,"#,##0")&amp;" TL",IF(modulI2OdemeP90&gt;KARAR_MOTORU!$B$7*1.5,"P90 seviyesi cari yükün üzerinde, tampon büyütün","P90 seviyesi yönetilebilir"))</f>
        <v>I2: Aylık ödeme P90 1.952.850 TL | P90 seviyesi cari yükün üzerinde, tampon büyütün</v>
      </c>
    </row>
    <row r="47" customFormat="false" ht="15" hidden="false" customHeight="true" outlineLevel="0" collapsed="false">
      <c r="A47" s="31" t="s">
        <v>220</v>
      </c>
      <c r="B47" s="33" t="n">
        <f aca="false">IFERROR(IF(COUNTA(tblYeniTeklifler[Teklif ID])=0,0,MAX(0,(KARAR_MOTORU!$B$6-MIN(tblYeniTeklifler[Aylık Taksit]))*12)),0)</f>
        <v>11123364</v>
      </c>
      <c r="C47" s="35" t="str">
        <f aca="false">_xlfn.TEXTJOIN(" | ",TRUE(),"I3: En iyi teklifin yıllık tasarrufu "&amp;TEXT(modulI3XirrRefinansman,"#,##0")&amp;" TL",IF(modulI3XirrRefinansman&gt;0,"refinansman teklifi değer yaratıyor, müzakeresini başlatın","anlamlı refinansman tasarrufu yok"))</f>
        <v>I3: En iyi teklifin yıllık tasarrufu 11.123.364 TL | refinansman teklifi değer yaratıyor, müzakeresini başlatın</v>
      </c>
    </row>
    <row r="48" customFormat="false" ht="15" hidden="false" customHeight="true" outlineLevel="0" collapsed="false">
      <c r="A48" s="31" t="s">
        <v>221</v>
      </c>
      <c r="B48" s="33" t="n">
        <f aca="false">IFERROR(MAX(0,B15-SerbestNakit),0)</f>
        <v>0</v>
      </c>
      <c r="C48" s="35" t="str">
        <f aca="false">_xlfn.TEXTJOIN(" | ",TRUE(),"I7: Nakit açığı köprüsü "&amp;TEXT(modulI7NakitAcigi,"#,##0")&amp;" TL",IF(modulI7NakitAcigi&gt;0,"30 günlük yük serbest nakdi aşıyor, tahsilat ve limit imkânını hızlandırın","nakit açığı yok"))</f>
        <v>I7: Nakit açığı köprüsü 0 TL | nakit açığı yok</v>
      </c>
    </row>
    <row r="51" customFormat="false" ht="19.5" hidden="false" customHeight="true" outlineLevel="0" collapsed="false">
      <c r="A51" s="29" t="s">
        <v>222</v>
      </c>
      <c r="B51" s="29"/>
      <c r="C51" s="29"/>
      <c r="D51" s="29"/>
      <c r="E51" s="29"/>
      <c r="F51" s="29"/>
      <c r="G51" s="29"/>
      <c r="H51" s="29"/>
      <c r="I51" s="29"/>
      <c r="J51" s="29"/>
      <c r="K51" s="29"/>
      <c r="L51" s="29"/>
      <c r="M51" s="29"/>
      <c r="N51" s="29"/>
      <c r="O51" s="29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9"/>
      <c r="AA51" s="29"/>
      <c r="AB51" s="29"/>
      <c r="AC51" s="29"/>
      <c r="AD51" s="29"/>
      <c r="AE51" s="29"/>
      <c r="AF51" s="29"/>
      <c r="AG51" s="29"/>
      <c r="AH51" s="29"/>
      <c r="AI51" s="29"/>
      <c r="AJ51" s="29"/>
      <c r="AK51" s="29"/>
      <c r="AL51" s="29"/>
      <c r="AM51" s="29"/>
      <c r="AN51" s="29"/>
    </row>
  </sheetData>
  <sheetProtection sheet="true" password="cc3d" objects="true" scenarios="true" deleteColumns="false" deleteRows="false"/>
  <mergeCells count="3">
    <mergeCell ref="A1:J1"/>
    <mergeCell ref="A2:AN2"/>
    <mergeCell ref="A51:AN5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8"/>
    <col collapsed="false" customWidth="true" hidden="false" outlineLevel="0" max="2" min="2" style="1" width="26"/>
  </cols>
  <sheetData>
    <row r="1" customFormat="false" ht="25.5" hidden="false" customHeight="true" outlineLevel="0" collapsed="false">
      <c r="A1" s="2" t="s">
        <v>223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</row>
    <row r="3" customFormat="false" ht="52.5" hidden="false" customHeight="true" outlineLevel="0" collapsed="false">
      <c r="A3" s="36" t="s">
        <v>224</v>
      </c>
    </row>
    <row r="5" customFormat="false" ht="15" hidden="false" customHeight="true" outlineLevel="0" collapsed="false">
      <c r="A5" s="6" t="s">
        <v>225</v>
      </c>
      <c r="B5" s="37" t="n">
        <f aca="false">SUM(KREDILER!$H$6:$H$1000)</f>
        <v>16880000</v>
      </c>
    </row>
    <row r="6" customFormat="false" ht="15" hidden="false" customHeight="true" outlineLevel="0" collapsed="false">
      <c r="A6" s="6" t="s">
        <v>226</v>
      </c>
      <c r="B6" s="37" t="n">
        <f aca="false">SUMIFS(TAKSIT_PLANI!$I$6:$I$1000,TAKSIT_PLANI!$D$6:$D$1000,"&gt;="&amp;RaporTarihi,TAKSIT_PLANI!$D$6:$D$1000,"&lt;"&amp;RaporTarihi+30)</f>
        <v>934864</v>
      </c>
    </row>
    <row r="7" customFormat="false" ht="15" hidden="false" customHeight="true" outlineLevel="0" collapsed="false">
      <c r="A7" s="6" t="s">
        <v>196</v>
      </c>
      <c r="B7" s="37" t="n">
        <f aca="false">SUMIFS(TAKSIT_PLANI!$I$6:$I$1000,TAKSIT_PLANI!$D$6:$D$1000,"&gt;="&amp;RaporTarihi,TAKSIT_PLANI!$D$6:$D$1000,"&lt;="&amp;RaporTarihi+30,TAKSIT_PLANI!$J$6:$J$1000,"&lt;&gt;Ödendi")</f>
        <v>934864</v>
      </c>
    </row>
    <row r="8" customFormat="false" ht="15" hidden="false" customHeight="true" outlineLevel="0" collapsed="false">
      <c r="A8" s="6" t="s">
        <v>227</v>
      </c>
      <c r="B8" s="37" t="n">
        <f aca="false">SUMIFS(TAKSIT_PLANI!$I$6:$I$1000,TAKSIT_PLANI!$D$6:$D$1000,"&gt;="&amp;RaporTarihi,TAKSIT_PLANI!$D$6:$D$1000,"&lt;="&amp;RaporTarihi+AYARLAR!$B$25,TAKSIT_PLANI!$J$6:$J$1000,"&lt;&gt;Ödendi")</f>
        <v>934864</v>
      </c>
    </row>
    <row r="9" customFormat="false" ht="15" hidden="false" customHeight="true" outlineLevel="0" collapsed="false">
      <c r="A9" s="6" t="s">
        <v>203</v>
      </c>
      <c r="B9" s="38" t="n">
        <f aca="false">SUMPRODUCT(KREDILER!$H$6:$H$1000,KREDILER!$I$6:$I$1000)/MAX(1,SUM(KREDILER!$H$6:$H$1000))</f>
        <v>0.329934834123223</v>
      </c>
    </row>
    <row r="10" customFormat="false" ht="15" hidden="false" customHeight="true" outlineLevel="0" collapsed="false">
      <c r="A10" s="6" t="s">
        <v>228</v>
      </c>
      <c r="B10" s="37" t="n">
        <f aca="false">SUMIFS(KREDILER!$H$6:$H$1000,KREDILER!$E$6:$E$1000,"&lt;&gt;TRY")</f>
        <v>180000</v>
      </c>
    </row>
    <row r="11" customFormat="false" ht="15" hidden="false" customHeight="true" outlineLevel="0" collapsed="false">
      <c r="A11" s="6" t="s">
        <v>229</v>
      </c>
      <c r="B11" s="27" t="n">
        <f aca="false">MAX(1,SUM(KREDILER!$H$6:$H$1000))/MAX(1,YillikFaaliyetKari)</f>
        <v>2.34444444444444</v>
      </c>
    </row>
    <row r="12" customFormat="false" ht="15" hidden="false" customHeight="true" outlineLevel="0" collapsed="false">
      <c r="A12" s="6" t="s">
        <v>230</v>
      </c>
      <c r="B12" s="38" t="n">
        <f aca="false">MAX(1,SUM(KREDILER!$H$6:$H$1000))/MAX(1,SUM(TEMINATLAR!$F$6:$F$1000))</f>
        <v>0.625185185185185</v>
      </c>
    </row>
    <row r="13" customFormat="false" ht="15" hidden="false" customHeight="true" outlineLevel="0" collapsed="false">
      <c r="A13" s="6" t="s">
        <v>231</v>
      </c>
      <c r="B13" s="38" t="n">
        <f aca="false">B6/MAX(1,AylikFaaliyetNakdi)</f>
        <v>0.7478912</v>
      </c>
    </row>
    <row r="14" customFormat="false" ht="15" hidden="false" customHeight="true" outlineLevel="0" collapsed="false">
      <c r="A14" s="6" t="s">
        <v>232</v>
      </c>
      <c r="B14" s="38" t="n">
        <f aca="false">B7/MAX(1,SerbestNakit)</f>
        <v>0.519368888888889</v>
      </c>
    </row>
    <row r="15" customFormat="false" ht="15" hidden="false" customHeight="true" outlineLevel="0" collapsed="false">
      <c r="A15" s="26" t="s">
        <v>233</v>
      </c>
      <c r="B15" s="28" t="str">
        <f aca="false">IF(COUNTA(KREDILER!$A$6:$A$1000)=0,"VERİ YOK",IF(OR(COUNTIF(KREDILER!$G$6:$G$1000,"&lt;0")&gt;0,COUNTIF(KREDILER!$H$6:$H$1000,"&lt;0")&gt;0),"İNCELE",IF(B14&gt;LikiditeEsigi,"DURDUR",IF(B10&gt;YillikDovizGeliri,"İNCELE",IF(B11&gt;KaldiracEsigi,"İNCELE","UYGUN")))))</f>
        <v>UYGUN</v>
      </c>
    </row>
    <row r="16" customFormat="false" ht="15" hidden="false" customHeight="true" outlineLevel="0" collapsed="false">
      <c r="A16" s="26" t="s">
        <v>234</v>
      </c>
      <c r="B16" s="28" t="str">
        <f aca="false">IF(B15="DURDUR","KRİTİK",IF(B15="İNCELE","YÜKSEK","DÜŞÜK"))</f>
        <v>DÜŞÜK</v>
      </c>
    </row>
    <row r="17" customFormat="false" ht="15" hidden="false" customHeight="true" outlineLevel="0" collapsed="false">
      <c r="A17" s="26" t="s">
        <v>235</v>
      </c>
      <c r="B17" s="28" t="str">
        <f aca="false">IF(B15="DURDUR","Ödeme baskısını düşürün: erken kapama, refinansman veya ek limit değerlendirin",IF(B15="İNCELE","Döviz uyumu ve kaldıraç eşiklerini gözden geçirin, aday teklifleri müzakereye alın","Borç yapısı sürdürülebilir: ödeme takvimini düzenli izleyin"))</f>
        <v>Borç yapısı sürdürülebilir: ödeme takvimini düzenli izleyin</v>
      </c>
    </row>
    <row r="18" customFormat="false" ht="15" hidden="false" customHeight="true" outlineLevel="0" collapsed="false">
      <c r="A18" s="6" t="s">
        <v>236</v>
      </c>
      <c r="B18" s="27" t="n">
        <f aca="false">COUNTIF(REFINANSMAN!$I$6:$I$1000,"ADAY")</f>
        <v>2</v>
      </c>
    </row>
    <row r="19" customFormat="false" ht="15" hidden="false" customHeight="true" outlineLevel="0" collapsed="false">
      <c r="A19" s="6" t="s">
        <v>237</v>
      </c>
      <c r="B19" s="37" t="n">
        <f aca="false">SUMIFS(REFINANSMAN!$F$6:$F$1000,REFINANSMAN!$I$6:$I$1000,"ADAY")</f>
        <v>495714</v>
      </c>
    </row>
    <row r="22" customFormat="false" ht="36.75" hidden="false" customHeight="true" outlineLevel="0" collapsed="false">
      <c r="A22" s="7" t="s">
        <v>238</v>
      </c>
    </row>
  </sheetData>
  <sheetProtection sheet="true" password="cc3d" objects="true" scenarios="true" deleteColumns="false" deleteRows="false"/>
  <mergeCells count="1">
    <mergeCell ref="A1:AN1"/>
  </mergeCells>
  <conditionalFormatting sqref="B14">
    <cfRule type="cellIs" priority="2" operator="equal" aboveAverage="0" equalAverage="0" bottom="0" percent="0" rank="0" text="" dxfId="8">
      <formula>"UYGUN"</formula>
    </cfRule>
    <cfRule type="cellIs" priority="3" operator="equal" aboveAverage="0" equalAverage="0" bottom="0" percent="0" rank="0" text="" dxfId="10">
      <formula>"İNCELE"</formula>
    </cfRule>
    <cfRule type="cellIs" priority="4" operator="equal" aboveAverage="0" equalAverage="0" bottom="0" percent="0" rank="0" text="" dxfId="12">
      <formula>"DURDUR"</formula>
    </cfRule>
  </conditionalFormatting>
  <conditionalFormatting sqref="B15">
    <cfRule type="cellIs" priority="5" operator="equal" aboveAverage="0" equalAverage="0" bottom="0" percent="0" rank="0" text="" dxfId="9">
      <formula>"KRİTİK"</formula>
    </cfRule>
    <cfRule type="cellIs" priority="6" operator="equal" aboveAverage="0" equalAverage="0" bottom="0" percent="0" rank="0" text="" dxfId="10">
      <formula>"YÜKSEK"</formula>
    </cfRule>
    <cfRule type="cellIs" priority="7" operator="equal" aboveAverage="0" equalAverage="0" bottom="0" percent="0" rank="0" text="" dxfId="19">
      <formula>"ORTA"</formula>
    </cfRule>
    <cfRule type="cellIs" priority="8" operator="equal" aboveAverage="0" equalAverage="0" bottom="0" percent="0" rank="0" text="" dxfId="8">
      <formula>"DÜŞÜK"</formula>
    </cfRule>
  </conditionalFormatting>
  <conditionalFormatting sqref="B7">
    <cfRule type="cellIs" priority="9" operator="lessThan" aboveAverage="0" equalAverage="0" bottom="0" percent="0" rank="0" text="" dxfId="12">
      <formula>0</formula>
    </cfRule>
  </conditionalFormatting>
  <conditionalFormatting sqref="B13">
    <cfRule type="cellIs" priority="10" operator="greaterThan" aboveAverage="0" equalAverage="0" bottom="0" percent="0" rank="0" text="" dxfId="9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N5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4"/>
    <col collapsed="false" customWidth="true" hidden="false" outlineLevel="0" max="2" min="2" style="1" width="26"/>
    <col collapsed="false" customWidth="true" hidden="false" outlineLevel="0" max="4" min="4" style="1" width="20"/>
    <col collapsed="false" customWidth="true" hidden="false" outlineLevel="0" max="6" min="5" style="1" width="16"/>
    <col collapsed="false" customWidth="true" hidden="false" outlineLevel="0" max="7" min="7" style="1" width="24"/>
    <col collapsed="false" customWidth="true" hidden="false" outlineLevel="0" max="8" min="8" style="1" width="18"/>
    <col collapsed="false" customWidth="true" hidden="false" outlineLevel="0" max="11" min="9" style="1" width="16"/>
  </cols>
  <sheetData>
    <row r="1" customFormat="false" ht="25.5" hidden="false" customHeight="true" outlineLevel="0" collapsed="false">
      <c r="A1" s="2" t="s">
        <v>239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</row>
    <row r="3" customFormat="false" ht="17.25" hidden="false" customHeight="true" outlineLevel="0" collapsed="false">
      <c r="A3" s="39" t="s">
        <v>240</v>
      </c>
    </row>
    <row r="5" customFormat="false" ht="15" hidden="false" customHeight="true" outlineLevel="0" collapsed="false">
      <c r="A5" s="26" t="s">
        <v>225</v>
      </c>
      <c r="B5" s="37" t="n">
        <f aca="false">KARAR_MOTORU!$B$5</f>
        <v>16880000</v>
      </c>
      <c r="D5" s="5" t="s">
        <v>241</v>
      </c>
    </row>
    <row r="6" customFormat="false" ht="15" hidden="false" customHeight="true" outlineLevel="0" collapsed="false">
      <c r="A6" s="26" t="s">
        <v>226</v>
      </c>
      <c r="B6" s="37" t="n">
        <f aca="false">KARAR_MOTORU!$B$6</f>
        <v>934864</v>
      </c>
      <c r="D6" s="10" t="s">
        <v>242</v>
      </c>
      <c r="E6" s="10"/>
      <c r="F6" s="10"/>
      <c r="G6" s="10"/>
      <c r="H6" s="10"/>
      <c r="I6" s="10"/>
      <c r="J6" s="10"/>
      <c r="K6" s="10"/>
    </row>
    <row r="7" customFormat="false" ht="15" hidden="false" customHeight="true" outlineLevel="0" collapsed="false">
      <c r="A7" s="26" t="s">
        <v>196</v>
      </c>
      <c r="B7" s="37" t="n">
        <f aca="false">KARAR_MOTORU!$B$7</f>
        <v>934864</v>
      </c>
      <c r="D7" s="10"/>
      <c r="E7" s="10"/>
      <c r="F7" s="10"/>
      <c r="G7" s="10"/>
      <c r="H7" s="10"/>
      <c r="I7" s="10"/>
      <c r="J7" s="10"/>
      <c r="K7" s="10"/>
    </row>
    <row r="8" customFormat="false" ht="15" hidden="false" customHeight="true" outlineLevel="0" collapsed="false">
      <c r="A8" s="26" t="s">
        <v>203</v>
      </c>
      <c r="B8" s="38" t="n">
        <f aca="false">KARAR_MOTORU!$B$9</f>
        <v>0.329934834123223</v>
      </c>
    </row>
    <row r="9" customFormat="false" ht="15" hidden="false" customHeight="true" outlineLevel="0" collapsed="false">
      <c r="A9" s="26" t="s">
        <v>228</v>
      </c>
      <c r="B9" s="37" t="n">
        <f aca="false">KARAR_MOTORU!$B$10</f>
        <v>180000</v>
      </c>
    </row>
    <row r="10" customFormat="false" ht="15" hidden="false" customHeight="true" outlineLevel="0" collapsed="false">
      <c r="A10" s="26" t="s">
        <v>229</v>
      </c>
      <c r="B10" s="27" t="n">
        <f aca="false">KARAR_MOTORU!$B$11</f>
        <v>2.34444444444444</v>
      </c>
    </row>
    <row r="11" customFormat="false" ht="15" hidden="false" customHeight="true" outlineLevel="0" collapsed="false">
      <c r="A11" s="26" t="s">
        <v>230</v>
      </c>
      <c r="B11" s="38" t="n">
        <f aca="false">KARAR_MOTORU!$B$12</f>
        <v>0.625185185185185</v>
      </c>
    </row>
    <row r="12" customFormat="false" ht="15" hidden="false" customHeight="true" outlineLevel="0" collapsed="false">
      <c r="A12" s="26" t="s">
        <v>174</v>
      </c>
      <c r="B12" s="27" t="n">
        <f aca="false">KONTROLLER!$B$6</f>
        <v>100</v>
      </c>
    </row>
    <row r="13" customFormat="false" ht="15" hidden="false" customHeight="true" outlineLevel="0" collapsed="false">
      <c r="A13" s="26" t="s">
        <v>171</v>
      </c>
      <c r="B13" s="28" t="str">
        <f aca="false">KARAR_MOTORU!$B$15</f>
        <v>UYGUN</v>
      </c>
    </row>
    <row r="14" customFormat="false" ht="15" hidden="false" customHeight="true" outlineLevel="0" collapsed="false">
      <c r="A14" s="26" t="s">
        <v>234</v>
      </c>
      <c r="B14" s="28" t="str">
        <f aca="false">KARAR_MOTORU!$B$16</f>
        <v>DÜŞÜK</v>
      </c>
    </row>
    <row r="19" customFormat="false" ht="15" hidden="false" customHeight="true" outlineLevel="0" collapsed="false">
      <c r="G19" s="40" t="s">
        <v>26</v>
      </c>
      <c r="H19" s="40" t="s">
        <v>243</v>
      </c>
    </row>
    <row r="20" customFormat="false" ht="15" hidden="false" customHeight="true" outlineLevel="0" collapsed="false">
      <c r="G20" s="41" t="s">
        <v>35</v>
      </c>
      <c r="H20" s="33" t="n">
        <f aca="false">SUMIFS(KREDILER!$H$6:$H$1000,KREDILER!$B$6:$B$1000,"Türkiye İş Bankası")</f>
        <v>10600000</v>
      </c>
    </row>
    <row r="21" customFormat="false" ht="15" hidden="false" customHeight="true" outlineLevel="0" collapsed="false">
      <c r="G21" s="41" t="s">
        <v>42</v>
      </c>
      <c r="H21" s="33" t="n">
        <f aca="false">SUMIFS(KREDILER!$H$6:$H$1000,KREDILER!$B$6:$B$1000,"Akbank")</f>
        <v>6100000</v>
      </c>
    </row>
    <row r="22" customFormat="false" ht="15" hidden="false" customHeight="true" outlineLevel="0" collapsed="false">
      <c r="G22" s="41" t="s">
        <v>48</v>
      </c>
      <c r="H22" s="33" t="n">
        <f aca="false">SUMIFS(KREDILER!$H$6:$H$1000,KREDILER!$B$6:$B$1000,"Garanti BBVA")</f>
        <v>180000</v>
      </c>
    </row>
    <row r="23" customFormat="false" ht="15" hidden="false" customHeight="true" outlineLevel="0" collapsed="false">
      <c r="G23" s="41" t="s">
        <v>54</v>
      </c>
      <c r="H23" s="33" t="n">
        <f aca="false">SUMIFS(KREDILER!$H$6:$H$1000,KREDILER!$B$6:$B$1000,"Yapı Kredi")</f>
        <v>0</v>
      </c>
    </row>
    <row r="25" customFormat="false" ht="15" hidden="false" customHeight="true" outlineLevel="0" collapsed="false">
      <c r="G25" s="40" t="s">
        <v>244</v>
      </c>
      <c r="H25" s="40" t="s">
        <v>245</v>
      </c>
    </row>
    <row r="26" customFormat="false" ht="15" hidden="false" customHeight="true" outlineLevel="0" collapsed="false">
      <c r="G26" s="41" t="s">
        <v>246</v>
      </c>
      <c r="H26" s="33" t="n">
        <f aca="false">SUMIFS(TAKSIT_PLANI!$I$6:$I$1000,TAKSIT_PLANI!$D$6:$D$1000,"&gt;="&amp;RaporTarihi+AYARLAR!$B$26,TAKSIT_PLANI!$D$6:$D$1000,"&lt;"&amp;RaporTarihi+AYARLAR!$B$27)</f>
        <v>934864</v>
      </c>
    </row>
    <row r="27" customFormat="false" ht="15" hidden="false" customHeight="true" outlineLevel="0" collapsed="false">
      <c r="G27" s="41" t="s">
        <v>247</v>
      </c>
      <c r="H27" s="33" t="n">
        <f aca="false">SUMIFS(TAKSIT_PLANI!$I$6:$I$1000,TAKSIT_PLANI!$D$6:$D$1000,"&gt;="&amp;RaporTarihi+AYARLAR!$B$27,TAKSIT_PLANI!$D$6:$D$1000,"&lt;"&amp;RaporTarihi+AYARLAR!$B$28)</f>
        <v>930000</v>
      </c>
    </row>
    <row r="28" customFormat="false" ht="15" hidden="false" customHeight="true" outlineLevel="0" collapsed="false">
      <c r="G28" s="41" t="s">
        <v>248</v>
      </c>
      <c r="H28" s="33" t="n">
        <f aca="false">SUMIFS(TAKSIT_PLANI!$I$6:$I$1000,TAKSIT_PLANI!$D$6:$D$1000,"&gt;="&amp;RaporTarihi+AYARLAR!$B$28,TAKSIT_PLANI!$D$6:$D$1000,"&lt;"&amp;RaporTarihi+AYARLAR!$B$29)</f>
        <v>0</v>
      </c>
    </row>
    <row r="29" customFormat="false" ht="15" hidden="false" customHeight="true" outlineLevel="0" collapsed="false">
      <c r="G29" s="41" t="s">
        <v>249</v>
      </c>
      <c r="H29" s="33" t="n">
        <f aca="false">SUMIFS(TAKSIT_PLANI!$I$6:$I$1000,TAKSIT_PLANI!$D$6:$D$1000,"&gt;="&amp;RaporTarihi+AYARLAR!$B$29,TAKSIT_PLANI!$D$6:$D$1000,"&lt;"&amp;RaporTarihi+AYARLAR!$B$30)</f>
        <v>0</v>
      </c>
    </row>
    <row r="30" customFormat="false" ht="15" hidden="false" customHeight="true" outlineLevel="0" collapsed="false">
      <c r="G30" s="41" t="s">
        <v>250</v>
      </c>
      <c r="H30" s="33" t="n">
        <f aca="false">SUMIFS(TAKSIT_PLANI!$I$6:$I$1000,TAKSIT_PLANI!$D$6:$D$1000,"&gt;="&amp;RaporTarihi+AYARLAR!$B$30,TAKSIT_PLANI!$D$6:$D$1000,"&lt;"&amp;RaporTarihi+AYARLAR!$B$31)</f>
        <v>3285700</v>
      </c>
    </row>
    <row r="31" customFormat="false" ht="15" hidden="false" customHeight="true" outlineLevel="0" collapsed="false">
      <c r="G31" s="41" t="s">
        <v>251</v>
      </c>
      <c r="H31" s="33" t="n">
        <f aca="false">SUMIFS(TAKSIT_PLANI!$I$6:$I$1000,TAKSIT_PLANI!$D$6:$D$1000,"&gt;="&amp;RaporTarihi+AYARLAR!$B$31,TAKSIT_PLANI!$D$6:$D$1000,"&lt;"&amp;RaporTarihi+AYARLAR!$B$32)</f>
        <v>0</v>
      </c>
    </row>
    <row r="32" customFormat="false" ht="15" hidden="false" customHeight="true" outlineLevel="0" collapsed="false">
      <c r="G32" s="40" t="s">
        <v>252</v>
      </c>
      <c r="H32" s="40" t="s">
        <v>245</v>
      </c>
    </row>
    <row r="33" customFormat="false" ht="15" hidden="false" customHeight="true" outlineLevel="0" collapsed="false">
      <c r="G33" s="41" t="s">
        <v>253</v>
      </c>
      <c r="H33" s="33" t="n">
        <f aca="false">SUMIFS(TAKSIT_PLANI!$I$6:$I$1000,TAKSIT_PLANI!$D$6:$D$1000,"&gt;="&amp;RaporTarihi,TAKSIT_PLANI!$D$6:$D$1000,"&lt;="&amp;RaporTarihi+AYARLAR!$B$27)</f>
        <v>934864</v>
      </c>
    </row>
    <row r="34" customFormat="false" ht="15" hidden="false" customHeight="true" outlineLevel="0" collapsed="false">
      <c r="G34" s="41" t="s">
        <v>254</v>
      </c>
      <c r="H34" s="33" t="n">
        <f aca="false">SUMIFS(TAKSIT_PLANI!$I$6:$I$1000,TAKSIT_PLANI!$D$6:$D$1000,"&gt;="&amp;RaporTarihi,TAKSIT_PLANI!$D$6:$D$1000,"&lt;="&amp;RaporTarihi+AYARLAR!$B$28)</f>
        <v>1864864</v>
      </c>
    </row>
    <row r="35" customFormat="false" ht="15" hidden="false" customHeight="true" outlineLevel="0" collapsed="false">
      <c r="G35" s="41" t="s">
        <v>255</v>
      </c>
      <c r="H35" s="33" t="n">
        <f aca="false">SUMIFS(TAKSIT_PLANI!$I$6:$I$1000,TAKSIT_PLANI!$D$6:$D$1000,"&gt;="&amp;RaporTarihi,TAKSIT_PLANI!$D$6:$D$1000,"&lt;="&amp;RaporTarihi+AYARLAR!$B$29)</f>
        <v>1864864</v>
      </c>
    </row>
    <row r="37" customFormat="false" ht="15" hidden="false" customHeight="true" outlineLevel="0" collapsed="false">
      <c r="G37" s="40" t="s">
        <v>63</v>
      </c>
      <c r="H37" s="40" t="s">
        <v>243</v>
      </c>
    </row>
    <row r="38" customFormat="false" ht="15" hidden="false" customHeight="true" outlineLevel="0" collapsed="false">
      <c r="G38" s="41" t="s">
        <v>70</v>
      </c>
      <c r="H38" s="33" t="n">
        <f aca="false">SUMIFS(KREDILER!$H$6:$H$1000,KREDILER!$D$6:$D$1000,"Taksitli Ticari Kredi")</f>
        <v>8400000</v>
      </c>
    </row>
    <row r="39" customFormat="false" ht="15" hidden="false" customHeight="true" outlineLevel="0" collapsed="false">
      <c r="G39" s="41" t="s">
        <v>73</v>
      </c>
      <c r="H39" s="33" t="n">
        <f aca="false">SUMIFS(KREDILER!$H$6:$H$1000,KREDILER!$D$6:$D$1000,"Leasing")</f>
        <v>6100000</v>
      </c>
    </row>
    <row r="40" customFormat="false" ht="15" hidden="false" customHeight="true" outlineLevel="0" collapsed="false">
      <c r="G40" s="41" t="s">
        <v>75</v>
      </c>
      <c r="H40" s="33" t="n">
        <f aca="false">SUMIFS(KREDILER!$H$6:$H$1000,KREDILER!$D$6:$D$1000,"Rotatif Kredi")</f>
        <v>180000</v>
      </c>
    </row>
    <row r="41" customFormat="false" ht="15" hidden="false" customHeight="true" outlineLevel="0" collapsed="false">
      <c r="G41" s="41" t="s">
        <v>78</v>
      </c>
      <c r="H41" s="33" t="n">
        <f aca="false">SUMIFS(KREDILER!$H$6:$H$1000,KREDILER!$D$6:$D$1000,"Spot Kredi")</f>
        <v>2200000</v>
      </c>
    </row>
    <row r="43" customFormat="false" ht="15" hidden="false" customHeight="true" outlineLevel="0" collapsed="false">
      <c r="G43" s="40" t="s">
        <v>119</v>
      </c>
      <c r="H43" s="40" t="s">
        <v>122</v>
      </c>
    </row>
    <row r="44" customFormat="false" ht="15" hidden="false" customHeight="true" outlineLevel="0" collapsed="false">
      <c r="G44" s="41" t="s">
        <v>124</v>
      </c>
      <c r="H44" s="33" t="n">
        <f aca="false">SUMIFS(MASRAF_KOMISYON!$G$6:$G$1000,MASRAF_KOMISYON!$D$6:$D$1000,"Tahsis Ücreti")</f>
        <v>60000</v>
      </c>
    </row>
    <row r="45" customFormat="false" ht="15" hidden="false" customHeight="true" outlineLevel="0" collapsed="false">
      <c r="G45" s="41" t="s">
        <v>127</v>
      </c>
      <c r="H45" s="33" t="n">
        <f aca="false">SUMIFS(MASRAF_KOMISYON!$G$6:$G$1000,MASRAF_KOMISYON!$D$6:$D$1000,"Sigorta")</f>
        <v>70000</v>
      </c>
    </row>
    <row r="46" customFormat="false" ht="15" hidden="false" customHeight="true" outlineLevel="0" collapsed="false">
      <c r="G46" s="41" t="s">
        <v>105</v>
      </c>
      <c r="H46" s="33" t="n">
        <f aca="false">SUMIFS(MASRAF_KOMISYON!$G$6:$G$1000,MASRAF_KOMISYON!$D$6:$D$1000,"Komisyon")</f>
        <v>1500</v>
      </c>
    </row>
    <row r="47" customFormat="false" ht="15" hidden="false" customHeight="true" outlineLevel="0" collapsed="false">
      <c r="G47" s="41" t="s">
        <v>256</v>
      </c>
      <c r="H47" s="33" t="n">
        <f aca="false">SUMIFS(MASRAF_KOMISYON!$G$6:$G$1000,MASRAF_KOMISYON!$D$6:$D$1000,"Diğer")</f>
        <v>0</v>
      </c>
    </row>
    <row r="49" customFormat="false" ht="15" hidden="false" customHeight="true" outlineLevel="0" collapsed="false">
      <c r="G49" s="40" t="s">
        <v>134</v>
      </c>
      <c r="H49" s="40" t="s">
        <v>257</v>
      </c>
    </row>
    <row r="50" customFormat="false" ht="15" hidden="false" customHeight="true" outlineLevel="0" collapsed="false">
      <c r="G50" s="41" t="s">
        <v>139</v>
      </c>
      <c r="H50" s="33" t="n">
        <f aca="false">SUMIFS(TEMINATLAR!$F$6:$F$1000,TEMINATLAR!$D$6:$D$1000,"Gayrimenkul İpoteği")</f>
        <v>15000000</v>
      </c>
    </row>
    <row r="51" customFormat="false" ht="15" hidden="false" customHeight="true" outlineLevel="0" collapsed="false">
      <c r="G51" s="41" t="s">
        <v>142</v>
      </c>
      <c r="H51" s="33" t="n">
        <f aca="false">SUMIFS(TEMINATLAR!$F$6:$F$1000,TEMINATLAR!$D$6:$D$1000,"Taşıt Rehni")</f>
        <v>8500000</v>
      </c>
    </row>
    <row r="52" customFormat="false" ht="15" hidden="false" customHeight="true" outlineLevel="0" collapsed="false">
      <c r="G52" s="41" t="s">
        <v>145</v>
      </c>
      <c r="H52" s="33" t="n">
        <f aca="false">SUMIFS(TEMINATLAR!$F$6:$F$1000,TEMINATLAR!$D$6:$D$1000,"Alacak Temliki")</f>
        <v>3500000</v>
      </c>
    </row>
    <row r="53" customFormat="false" ht="15" hidden="false" customHeight="true" outlineLevel="0" collapsed="false">
      <c r="G53" s="41" t="s">
        <v>256</v>
      </c>
      <c r="H53" s="33" t="n">
        <f aca="false">SUMIFS(TEMINATLAR!$F$6:$F$1000,TEMINATLAR!$D$6:$D$1000,"Diğer")</f>
        <v>0</v>
      </c>
    </row>
  </sheetData>
  <sheetProtection sheet="true" password="cc3d" objects="true" scenarios="true" deleteColumns="false" deleteRows="false"/>
  <mergeCells count="2">
    <mergeCell ref="A1:AN1"/>
    <mergeCell ref="D6:K7"/>
  </mergeCells>
  <conditionalFormatting sqref="B6">
    <cfRule type="cellIs" priority="2" operator="lessThan" aboveAverage="0" equalAverage="0" bottom="0" percent="0" rank="0" text="" dxfId="12">
      <formula>0</formula>
    </cfRule>
  </conditionalFormatting>
  <conditionalFormatting sqref="B8">
    <cfRule type="cellIs" priority="3" operator="equal" aboveAverage="0" equalAverage="0" bottom="0" percent="0" rank="0" text="" dxfId="8">
      <formula>"UYGUN"</formula>
    </cfRule>
    <cfRule type="cellIs" priority="4" operator="equal" aboveAverage="0" equalAverage="0" bottom="0" percent="0" rank="0" text="" dxfId="10">
      <formula>"İNCELE"</formula>
    </cfRule>
    <cfRule type="cellIs" priority="5" operator="equal" aboveAverage="0" equalAverage="0" bottom="0" percent="0" rank="0" text="" dxfId="9">
      <formula>"DURDUR"</formula>
    </cfRule>
  </conditionalFormatting>
  <conditionalFormatting sqref="B9">
    <cfRule type="cellIs" priority="6" operator="equal" aboveAverage="0" equalAverage="0" bottom="0" percent="0" rank="0" text="" dxfId="8">
      <formula>"DÜŞÜK"</formula>
    </cfRule>
    <cfRule type="cellIs" priority="7" operator="equal" aboveAverage="0" equalAverage="0" bottom="0" percent="0" rank="0" text="" dxfId="19">
      <formula>"ORTA"</formula>
    </cfRule>
    <cfRule type="cellIs" priority="8" operator="equal" aboveAverage="0" equalAverage="0" bottom="0" percent="0" rank="0" text="" dxfId="10">
      <formula>"YÜKSEK"</formula>
    </cfRule>
    <cfRule type="cellIs" priority="9" operator="equal" aboveAverage="0" equalAverage="0" bottom="0" percent="0" rank="0" text="" dxfId="9">
      <formula>"KRİTİK"</formula>
    </cfRule>
  </conditionalFormatting>
  <conditionalFormatting sqref="B14">
    <cfRule type="cellIs" priority="10" operator="lessThan" aboveAverage="0" equalAverage="0" bottom="0" percent="0" rank="0" text="" dxfId="9">
      <formula>0</formula>
    </cfRule>
  </conditionalFormatting>
  <conditionalFormatting sqref="B17">
    <cfRule type="cellIs" priority="11" operator="greaterThan" aboveAverage="0" equalAverage="0" bottom="0" percent="0" rank="0" text="" dxfId="9">
      <formula>0</formula>
    </cfRule>
  </conditionalFormatting>
  <printOptions headings="false" gridLines="false" gridLinesSet="true" horizontalCentered="false" verticalCentered="false"/>
  <pageMargins left="0.4" right="0.4" top="0.5" bottom="0.5" header="0.511811023622047" footer="0.5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&amp;LBanka, Kredi ve Taksit Takip Sistemi — PANO&amp;CExcelArşiv&amp;RSayfa &amp;P / &amp;N</oddFooter>
  </headerFooter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4"/>
    <col collapsed="false" customWidth="true" hidden="false" outlineLevel="0" max="3" min="2" style="1" width="18"/>
    <col collapsed="false" customWidth="true" hidden="false" outlineLevel="0" max="4" min="4" style="1" width="20"/>
  </cols>
  <sheetData>
    <row r="1" customFormat="false" ht="25.5" hidden="false" customHeight="true" outlineLevel="0" collapsed="false">
      <c r="A1" s="2" t="s">
        <v>258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</row>
    <row r="3" customFormat="false" ht="15" hidden="false" customHeight="true" outlineLevel="0" collapsed="false">
      <c r="A3" s="25" t="s">
        <v>259</v>
      </c>
    </row>
    <row r="5" customFormat="false" ht="15" hidden="false" customHeight="true" outlineLevel="0" collapsed="false">
      <c r="A5" s="6" t="s">
        <v>260</v>
      </c>
      <c r="B5" s="37" t="n">
        <f aca="false">KARAR_MOTORU!$B$5</f>
        <v>16880000</v>
      </c>
    </row>
    <row r="6" customFormat="false" ht="15" hidden="false" customHeight="true" outlineLevel="0" collapsed="false">
      <c r="A6" s="6" t="s">
        <v>261</v>
      </c>
      <c r="B6" s="37" t="n">
        <f aca="false">B5-B5*$B$11</f>
        <v>15192000</v>
      </c>
    </row>
    <row r="7" customFormat="false" ht="15" hidden="false" customHeight="true" outlineLevel="0" collapsed="false">
      <c r="A7" s="6" t="s">
        <v>262</v>
      </c>
      <c r="B7" s="37" t="n">
        <f aca="false">B5+B5*$B$11</f>
        <v>18568000</v>
      </c>
    </row>
    <row r="9" customFormat="false" ht="15" hidden="false" customHeight="true" outlineLevel="0" collapsed="false">
      <c r="A9" s="9" t="s">
        <v>263</v>
      </c>
    </row>
    <row r="10" customFormat="false" ht="15" hidden="false" customHeight="true" outlineLevel="0" collapsed="false">
      <c r="A10" s="40" t="s">
        <v>264</v>
      </c>
      <c r="B10" s="40" t="s">
        <v>265</v>
      </c>
      <c r="C10" s="40" t="s">
        <v>266</v>
      </c>
      <c r="D10" s="40" t="s">
        <v>267</v>
      </c>
    </row>
    <row r="11" customFormat="false" ht="15" hidden="false" customHeight="true" outlineLevel="0" collapsed="false">
      <c r="A11" s="6" t="s">
        <v>268</v>
      </c>
      <c r="B11" s="42" t="n">
        <v>0.1</v>
      </c>
      <c r="C11" s="18" t="n">
        <f aca="false">KARAR_MOTORU!$B$10*$B$11</f>
        <v>18000</v>
      </c>
      <c r="D11" s="18" t="n">
        <f aca="false">B5+$C$11</f>
        <v>16898000</v>
      </c>
    </row>
    <row r="12" customFormat="false" ht="15" hidden="false" customHeight="true" outlineLevel="0" collapsed="false">
      <c r="A12" s="6" t="s">
        <v>269</v>
      </c>
      <c r="B12" s="42" t="n">
        <v>0.1</v>
      </c>
      <c r="C12" s="18" t="n">
        <f aca="false">KARAR_MOTORU!$B$5*KARAR_MOTORU!$B$9*$B$12</f>
        <v>556930</v>
      </c>
      <c r="D12" s="18" t="n">
        <f aca="false">B5+$C$12</f>
        <v>17436930</v>
      </c>
    </row>
    <row r="13" customFormat="false" ht="15" hidden="false" customHeight="true" outlineLevel="0" collapsed="false">
      <c r="A13" s="6" t="s">
        <v>270</v>
      </c>
      <c r="B13" s="42" t="n">
        <v>0.1</v>
      </c>
      <c r="C13" s="18" t="n">
        <f aca="false">KARAR_MOTORU!$B$7*$B$13</f>
        <v>93486.4</v>
      </c>
      <c r="D13" s="18" t="n">
        <f aca="false">B5+$C$13</f>
        <v>16973486.4</v>
      </c>
    </row>
    <row r="15" customFormat="false" ht="15" hidden="false" customHeight="true" outlineLevel="0" collapsed="false">
      <c r="A15" s="9" t="s">
        <v>271</v>
      </c>
    </row>
    <row r="16" customFormat="false" ht="15" hidden="false" customHeight="true" outlineLevel="0" collapsed="false">
      <c r="A16" s="40" t="s">
        <v>272</v>
      </c>
      <c r="B16" s="40" t="s">
        <v>273</v>
      </c>
      <c r="C16" s="40" t="s">
        <v>274</v>
      </c>
      <c r="D16" s="40" t="s">
        <v>171</v>
      </c>
    </row>
    <row r="17" customFormat="false" ht="15" hidden="false" customHeight="true" outlineLevel="0" collapsed="false">
      <c r="A17" s="6" t="s">
        <v>275</v>
      </c>
      <c r="B17" s="18" t="n">
        <f aca="false">B7</f>
        <v>18568000</v>
      </c>
      <c r="C17" s="18" t="n">
        <f aca="false">KARAR_MOTORU!$B$7*(1+$B$13)</f>
        <v>1028350.4</v>
      </c>
      <c r="D17" s="15" t="str">
        <f aca="false">IF(C17/SerbestNakit&gt;LikiditeEsigi,"DURDUR","İNCELE")</f>
        <v>İNCELE</v>
      </c>
    </row>
    <row r="18" customFormat="false" ht="15" hidden="false" customHeight="true" outlineLevel="0" collapsed="false">
      <c r="A18" s="6" t="s">
        <v>276</v>
      </c>
      <c r="B18" s="18" t="n">
        <f aca="false">B5</f>
        <v>16880000</v>
      </c>
      <c r="C18" s="18" t="n">
        <f aca="false">KARAR_MOTORU!$B$7</f>
        <v>934864</v>
      </c>
      <c r="D18" s="15" t="str">
        <f aca="false">KARAR_MOTORU!$B$15</f>
        <v>UYGUN</v>
      </c>
    </row>
    <row r="19" customFormat="false" ht="15" hidden="false" customHeight="true" outlineLevel="0" collapsed="false">
      <c r="A19" s="6" t="s">
        <v>277</v>
      </c>
      <c r="B19" s="18" t="n">
        <f aca="false">B6</f>
        <v>15192000</v>
      </c>
      <c r="C19" s="18" t="n">
        <f aca="false">KARAR_MOTORU!$B$7*(1-$B$13)</f>
        <v>841377.6</v>
      </c>
      <c r="D19" s="15" t="str">
        <f aca="false">IF(C19/SerbestNakit&gt;LikiditeEsigi,"DURDUR","UYGUN")</f>
        <v>UYGUN</v>
      </c>
    </row>
  </sheetData>
  <sheetProtection sheet="true" password="cc3d" objects="true" scenarios="true" deleteColumns="false" deleteRows="false"/>
  <mergeCells count="1">
    <mergeCell ref="A1:AN1"/>
  </mergeCells>
  <conditionalFormatting sqref="B5">
    <cfRule type="cellIs" priority="2" operator="lessThan" aboveAverage="0" equalAverage="0" bottom="0" percent="0" rank="0" text="" dxfId="12">
      <formula>0</formula>
    </cfRule>
  </conditionalFormatting>
  <conditionalFormatting sqref="B6">
    <cfRule type="cellIs" priority="3" operator="lessThan" aboveAverage="0" equalAverage="0" bottom="0" percent="0" rank="0" text="" dxfId="9">
      <formula>0</formula>
    </cfRule>
  </conditionalFormatting>
  <conditionalFormatting sqref="B7">
    <cfRule type="cellIs" priority="4" operator="lessThan" aboveAverage="0" equalAverage="0" bottom="0" percent="0" rank="0" text="" dxfId="9">
      <formula>0</formula>
    </cfRule>
  </conditionalFormatting>
  <conditionalFormatting sqref="D14:D20">
    <cfRule type="cellIs" priority="5" operator="lessThan" aboveAverage="0" equalAverage="0" bottom="0" percent="0" rank="0" text="" dxfId="9">
      <formula>0</formula>
    </cfRule>
    <cfRule type="cellIs" priority="6" operator="greaterThan" aboveAverage="0" equalAverage="0" bottom="0" percent="0" rank="0" text="" dxfId="8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N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4"/>
    <col collapsed="false" customWidth="true" hidden="false" outlineLevel="0" max="2" min="2" style="1" width="30"/>
  </cols>
  <sheetData>
    <row r="1" customFormat="false" ht="25.5" hidden="false" customHeight="true" outlineLevel="0" collapsed="false">
      <c r="A1" s="2" t="s">
        <v>278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</row>
    <row r="3" customFormat="false" ht="19.5" hidden="false" customHeight="true" outlineLevel="0" collapsed="false">
      <c r="A3" s="8" t="s">
        <v>279</v>
      </c>
    </row>
    <row r="4" customFormat="false" ht="15" hidden="false" customHeight="true" outlineLevel="0" collapsed="false">
      <c r="A4" s="6" t="s">
        <v>280</v>
      </c>
      <c r="B4" s="43" t="n">
        <f aca="false">RaporTarihi</f>
        <v>46242</v>
      </c>
    </row>
    <row r="5" customFormat="false" ht="15" hidden="false" customHeight="true" outlineLevel="0" collapsed="false">
      <c r="A5" s="6" t="s">
        <v>281</v>
      </c>
      <c r="B5" s="15" t="str">
        <f aca="false">FirmaUnvan</f>
        <v>Örnek Anadolu Üretim ve Ticaret A.Ş.</v>
      </c>
    </row>
    <row r="6" customFormat="false" ht="15" hidden="false" customHeight="true" outlineLevel="0" collapsed="false">
      <c r="A6" s="6" t="s">
        <v>282</v>
      </c>
      <c r="B6" s="15" t="str">
        <f aca="false">RaporHazirlayan</f>
        <v>Finans Direktörü</v>
      </c>
    </row>
    <row r="8" customFormat="false" ht="15" hidden="false" customHeight="true" outlineLevel="0" collapsed="false">
      <c r="A8" s="9" t="s">
        <v>283</v>
      </c>
    </row>
    <row r="9" customFormat="false" ht="15" hidden="false" customHeight="true" outlineLevel="0" collapsed="false">
      <c r="A9" s="6" t="s">
        <v>225</v>
      </c>
      <c r="B9" s="37" t="n">
        <f aca="false">KARAR_MOTORU!$B$5</f>
        <v>16880000</v>
      </c>
    </row>
    <row r="10" customFormat="false" ht="15" hidden="false" customHeight="true" outlineLevel="0" collapsed="false">
      <c r="A10" s="6" t="s">
        <v>196</v>
      </c>
      <c r="B10" s="18" t="n">
        <f aca="false">KARAR_MOTORU!$B$7</f>
        <v>934864</v>
      </c>
    </row>
    <row r="11" customFormat="false" ht="15" hidden="false" customHeight="true" outlineLevel="0" collapsed="false">
      <c r="A11" s="6" t="s">
        <v>203</v>
      </c>
      <c r="B11" s="19" t="n">
        <f aca="false">KARAR_MOTORU!$B$9</f>
        <v>0.329934834123223</v>
      </c>
    </row>
    <row r="12" customFormat="false" ht="15" hidden="false" customHeight="true" outlineLevel="0" collapsed="false">
      <c r="A12" s="6" t="s">
        <v>171</v>
      </c>
      <c r="B12" s="28" t="str">
        <f aca="false">KARAR_MOTORU!$B$15</f>
        <v>UYGUN</v>
      </c>
    </row>
    <row r="13" customFormat="false" ht="15" hidden="false" customHeight="true" outlineLevel="0" collapsed="false">
      <c r="A13" s="6" t="s">
        <v>234</v>
      </c>
      <c r="B13" s="28" t="str">
        <f aca="false">KARAR_MOTORU!$B$16</f>
        <v>DÜŞÜK</v>
      </c>
    </row>
    <row r="14" customFormat="false" ht="27.75" hidden="false" customHeight="true" outlineLevel="0" collapsed="false">
      <c r="A14" s="6" t="s">
        <v>235</v>
      </c>
      <c r="B14" s="44" t="str">
        <f aca="false">KARAR_MOTORU!$B$17</f>
        <v>Borç yapısı sürdürülebilir: ödeme takvimini düzenli izleyin</v>
      </c>
    </row>
    <row r="16" customFormat="false" ht="15" hidden="false" customHeight="true" outlineLevel="0" collapsed="false">
      <c r="A16" s="9" t="s">
        <v>284</v>
      </c>
    </row>
    <row r="17" customFormat="false" ht="27.75" hidden="false" customHeight="true" outlineLevel="0" collapsed="false">
      <c r="A17" s="6" t="s">
        <v>285</v>
      </c>
    </row>
    <row r="18" customFormat="false" ht="27.75" hidden="false" customHeight="true" outlineLevel="0" collapsed="false">
      <c r="A18" s="6" t="s">
        <v>286</v>
      </c>
    </row>
    <row r="19" customFormat="false" ht="27.75" hidden="false" customHeight="true" outlineLevel="0" collapsed="false">
      <c r="A19" s="6" t="s">
        <v>287</v>
      </c>
    </row>
    <row r="21" customFormat="false" ht="24.75" hidden="false" customHeight="true" outlineLevel="0" collapsed="false">
      <c r="A21" s="7" t="s">
        <v>288</v>
      </c>
    </row>
  </sheetData>
  <sheetProtection sheet="true" password="cc3d" objects="true" scenarios="true" deleteColumns="false" deleteRows="false"/>
  <mergeCells count="1">
    <mergeCell ref="A1:AN1"/>
  </mergeCells>
  <printOptions headings="false" gridLines="false" gridLinesSet="true" horizontalCentered="false" verticalCentered="false"/>
  <pageMargins left="0.4" right="0.4" top="0.5" bottom="0.5" header="0.511811023622047" footer="0.5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&amp;LBanka, Kredi ve Taksit Takip Sistemi — RAPOR&amp;CExcelArşiv&amp;RSayfa &amp;P /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40"/>
    <col collapsed="false" customWidth="true" hidden="false" outlineLevel="0" max="3" min="3" style="1" width="42"/>
  </cols>
  <sheetData>
    <row r="1" customFormat="false" ht="25.5" hidden="false" customHeight="true" outlineLevel="0" collapsed="false">
      <c r="A1" s="2" t="s">
        <v>289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</row>
    <row r="3" customFormat="false" ht="45.75" hidden="false" customHeight="true" outlineLevel="0" collapsed="false">
      <c r="A3" s="11" t="s">
        <v>290</v>
      </c>
    </row>
    <row r="5" customFormat="false" ht="30" hidden="false" customHeight="true" outlineLevel="0" collapsed="false">
      <c r="A5" s="12" t="s">
        <v>291</v>
      </c>
      <c r="B5" s="12" t="s">
        <v>257</v>
      </c>
      <c r="C5" s="12" t="s">
        <v>292</v>
      </c>
    </row>
    <row r="6" customFormat="false" ht="15" hidden="false" customHeight="true" outlineLevel="0" collapsed="false">
      <c r="A6" s="41" t="s">
        <v>281</v>
      </c>
      <c r="B6" s="41" t="s">
        <v>293</v>
      </c>
      <c r="C6" s="41" t="s">
        <v>294</v>
      </c>
    </row>
    <row r="7" customFormat="false" ht="15" hidden="false" customHeight="true" outlineLevel="0" collapsed="false">
      <c r="A7" s="41" t="s">
        <v>295</v>
      </c>
      <c r="B7" s="41" t="s">
        <v>296</v>
      </c>
      <c r="C7" s="41" t="s">
        <v>297</v>
      </c>
    </row>
    <row r="8" customFormat="false" ht="15" hidden="false" customHeight="true" outlineLevel="0" collapsed="false">
      <c r="A8" s="41" t="s">
        <v>298</v>
      </c>
      <c r="B8" s="41" t="s">
        <v>299</v>
      </c>
      <c r="C8" s="41" t="s">
        <v>300</v>
      </c>
    </row>
    <row r="9" customFormat="false" ht="15" hidden="false" customHeight="true" outlineLevel="0" collapsed="false">
      <c r="A9" s="41" t="s">
        <v>301</v>
      </c>
      <c r="B9" s="41" t="s">
        <v>302</v>
      </c>
      <c r="C9" s="41" t="s">
        <v>303</v>
      </c>
    </row>
    <row r="10" customFormat="false" ht="15" hidden="false" customHeight="true" outlineLevel="0" collapsed="false">
      <c r="A10" s="41" t="s">
        <v>304</v>
      </c>
      <c r="B10" s="41" t="s">
        <v>305</v>
      </c>
      <c r="C10" s="41" t="s">
        <v>306</v>
      </c>
    </row>
    <row r="11" customFormat="false" ht="15" hidden="false" customHeight="true" outlineLevel="0" collapsed="false">
      <c r="A11" s="41" t="s">
        <v>307</v>
      </c>
      <c r="B11" s="41" t="s">
        <v>308</v>
      </c>
      <c r="C11" s="41" t="s">
        <v>309</v>
      </c>
    </row>
  </sheetData>
  <sheetProtection sheet="true" password="cc3d" objects="true" scenarios="true" deleteColumns="false" deleteRows="false"/>
  <mergeCells count="1">
    <mergeCell ref="A1:AN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0"/>
    <col collapsed="false" customWidth="true" hidden="false" outlineLevel="0" max="2" min="2" style="1" width="20"/>
    <col collapsed="false" customWidth="true" hidden="false" outlineLevel="0" max="3" min="3" style="1" width="18"/>
  </cols>
  <sheetData>
    <row r="1" customFormat="false" ht="25.5" hidden="false" customHeight="true" outlineLevel="0" collapsed="false">
      <c r="A1" s="2" t="s">
        <v>310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</row>
    <row r="3" customFormat="false" ht="15" hidden="false" customHeight="true" outlineLevel="0" collapsed="false">
      <c r="A3" s="25" t="s">
        <v>311</v>
      </c>
    </row>
    <row r="5" customFormat="false" ht="30" hidden="false" customHeight="true" outlineLevel="0" collapsed="false">
      <c r="A5" s="12" t="s">
        <v>312</v>
      </c>
      <c r="B5" s="12" t="s">
        <v>313</v>
      </c>
      <c r="C5" s="12" t="s">
        <v>30</v>
      </c>
    </row>
    <row r="6" customFormat="false" ht="15" hidden="false" customHeight="true" outlineLevel="0" collapsed="false">
      <c r="A6" s="6" t="s">
        <v>225</v>
      </c>
      <c r="B6" s="18" t="n">
        <f aca="false">KARAR_MOTORU!$B$5</f>
        <v>16880000</v>
      </c>
      <c r="C6" s="15" t="str">
        <f aca="false">IF(B6="","EKSİK","KONTROL EDİLDİ")</f>
        <v>KONTROL EDİLDİ</v>
      </c>
    </row>
    <row r="7" customFormat="false" ht="15" hidden="false" customHeight="true" outlineLevel="0" collapsed="false">
      <c r="A7" s="6" t="s">
        <v>196</v>
      </c>
      <c r="B7" s="18" t="n">
        <f aca="false">KARAR_MOTORU!$B$7</f>
        <v>934864</v>
      </c>
      <c r="C7" s="15" t="str">
        <f aca="false">IF(B7="","EKSİK","KONTROL EDİLDİ")</f>
        <v>KONTROL EDİLDİ</v>
      </c>
    </row>
    <row r="8" customFormat="false" ht="15" hidden="false" customHeight="true" outlineLevel="0" collapsed="false">
      <c r="A8" s="6" t="s">
        <v>203</v>
      </c>
      <c r="B8" s="19" t="n">
        <f aca="false">KARAR_MOTORU!$B$9</f>
        <v>0.329934834123223</v>
      </c>
      <c r="C8" s="15" t="str">
        <f aca="false">IF(B8="","EKSİK","KONTROL EDİLDİ")</f>
        <v>KONTROL EDİLDİ</v>
      </c>
    </row>
    <row r="9" customFormat="false" ht="15" hidden="false" customHeight="true" outlineLevel="0" collapsed="false">
      <c r="A9" s="6" t="s">
        <v>174</v>
      </c>
      <c r="B9" s="23" t="n">
        <f aca="false">KONTROLLER!$B$6</f>
        <v>100</v>
      </c>
      <c r="C9" s="15" t="str">
        <f aca="false">IF(B9="","EKSİK","KONTROL EDİLDİ")</f>
        <v>KONTROL EDİLDİ</v>
      </c>
    </row>
    <row r="10" customFormat="false" ht="15" hidden="false" customHeight="true" outlineLevel="0" collapsed="false">
      <c r="A10" s="6" t="s">
        <v>314</v>
      </c>
      <c r="B10" s="15" t="str">
        <f aca="false">KARAR_MOTORU!$B$15</f>
        <v>UYGUN</v>
      </c>
      <c r="C10" s="15" t="str">
        <f aca="false">IF(B10="","EKSİK","KONTROL EDİLDİ")</f>
        <v>KONTROL EDİLDİ</v>
      </c>
    </row>
    <row r="11" customFormat="false" ht="15" hidden="false" customHeight="true" outlineLevel="0" collapsed="false">
      <c r="A11" s="6" t="s">
        <v>234</v>
      </c>
      <c r="B11" s="15" t="str">
        <f aca="false">KARAR_MOTORU!$B$16</f>
        <v>DÜŞÜK</v>
      </c>
      <c r="C11" s="15" t="str">
        <f aca="false">IF(B11="","EKSİK","KONTROL EDİLDİ")</f>
        <v>KONTROL EDİLDİ</v>
      </c>
    </row>
    <row r="12" customFormat="false" ht="15" hidden="false" customHeight="true" outlineLevel="0" collapsed="false">
      <c r="A12" s="6" t="s">
        <v>236</v>
      </c>
      <c r="B12" s="23" t="n">
        <f aca="false">KARAR_MOTORU!$B$18</f>
        <v>2</v>
      </c>
      <c r="C12" s="15" t="str">
        <f aca="false">IF(B12="","EKSİK","KONTROL EDİLDİ")</f>
        <v>KONTROL EDİLDİ</v>
      </c>
    </row>
    <row r="16" customFormat="false" ht="24.75" hidden="false" customHeight="true" outlineLevel="0" collapsed="false">
      <c r="A16" s="7" t="s">
        <v>315</v>
      </c>
    </row>
  </sheetData>
  <sheetProtection sheet="true" password="cc3d" objects="true" scenarios="true" deleteColumns="false" deleteRows="false"/>
  <mergeCells count="1">
    <mergeCell ref="A1:AN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6"/>
    <col collapsed="false" customWidth="true" hidden="false" outlineLevel="0" max="4" min="3" style="0" width="14"/>
    <col collapsed="false" customWidth="true" hidden="false" outlineLevel="0" max="5" min="5" style="0" width="10"/>
    <col collapsed="false" customWidth="true" hidden="false" outlineLevel="0" max="6" min="6" style="0" width="14"/>
    <col collapsed="false" customWidth="true" hidden="false" outlineLevel="0" max="7" min="7" style="0" width="40"/>
  </cols>
  <sheetData>
    <row r="1" customFormat="false" ht="15" hidden="false" customHeight="false" outlineLevel="0" collapsed="false">
      <c r="A1" s="1" t="s">
        <v>316</v>
      </c>
    </row>
    <row r="3" customFormat="false" ht="15" hidden="false" customHeight="false" outlineLevel="0" collapsed="false">
      <c r="A3" s="1" t="s">
        <v>317</v>
      </c>
      <c r="B3" s="1" t="s">
        <v>318</v>
      </c>
      <c r="C3" s="1" t="s">
        <v>319</v>
      </c>
      <c r="D3" s="1" t="s">
        <v>320</v>
      </c>
      <c r="E3" s="1" t="s">
        <v>321</v>
      </c>
      <c r="F3" s="1" t="s">
        <v>322</v>
      </c>
      <c r="G3" s="1" t="s">
        <v>323</v>
      </c>
    </row>
    <row r="4" customFormat="false" ht="15" hidden="false" customHeight="false" outlineLevel="0" collapsed="false">
      <c r="A4" s="1" t="s">
        <v>324</v>
      </c>
      <c r="B4" s="1" t="s">
        <v>325</v>
      </c>
      <c r="C4" s="1" t="s">
        <v>326</v>
      </c>
      <c r="D4" s="1" t="s">
        <v>327</v>
      </c>
      <c r="E4" s="45" t="n">
        <v>1000</v>
      </c>
      <c r="F4" s="1" t="s">
        <v>328</v>
      </c>
      <c r="G4" s="1" t="s">
        <v>329</v>
      </c>
    </row>
    <row r="5" customFormat="false" ht="15" hidden="false" customHeight="false" outlineLevel="0" collapsed="false">
      <c r="A5" s="1" t="s">
        <v>330</v>
      </c>
      <c r="B5" s="1" t="s">
        <v>331</v>
      </c>
      <c r="C5" s="1" t="s">
        <v>326</v>
      </c>
      <c r="D5" s="1" t="s">
        <v>332</v>
      </c>
      <c r="E5" s="45" t="n">
        <v>0</v>
      </c>
      <c r="F5" s="1" t="s">
        <v>331</v>
      </c>
      <c r="G5" s="1" t="s">
        <v>333</v>
      </c>
    </row>
    <row r="6" customFormat="false" ht="15" hidden="false" customHeight="false" outlineLevel="0" collapsed="false">
      <c r="A6" s="1" t="s">
        <v>334</v>
      </c>
      <c r="B6" s="1" t="s">
        <v>335</v>
      </c>
      <c r="C6" s="1" t="s">
        <v>326</v>
      </c>
      <c r="D6" s="1" t="s">
        <v>332</v>
      </c>
      <c r="E6" s="45" t="n">
        <v>500</v>
      </c>
      <c r="F6" s="1" t="s">
        <v>336</v>
      </c>
      <c r="G6" s="1" t="s">
        <v>337</v>
      </c>
    </row>
    <row r="7" customFormat="false" ht="15" hidden="false" customHeight="false" outlineLevel="0" collapsed="false">
      <c r="A7" s="1" t="s">
        <v>338</v>
      </c>
      <c r="B7" s="1" t="s">
        <v>339</v>
      </c>
      <c r="C7" s="1" t="s">
        <v>327</v>
      </c>
      <c r="D7" s="1" t="s">
        <v>327</v>
      </c>
      <c r="E7" s="45" t="n">
        <v>250</v>
      </c>
      <c r="F7" s="1" t="s">
        <v>340</v>
      </c>
      <c r="G7" s="1" t="s">
        <v>341</v>
      </c>
    </row>
    <row r="9" customFormat="false" ht="15" hidden="false" customHeight="false" outlineLevel="0" collapsed="false">
      <c r="A9" s="1" t="s">
        <v>342</v>
      </c>
      <c r="B9" s="1" t="n">
        <f aca="false">IFERROR(COUNTIF($F$4:$F$1000,"OK"),0)</f>
        <v>1</v>
      </c>
      <c r="C9" s="1"/>
      <c r="D9" s="1"/>
      <c r="E9" s="1"/>
      <c r="F9" s="1"/>
      <c r="G9" s="1"/>
    </row>
  </sheetData>
  <sheetProtection sheet="true" password="cc3d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4"/>
    <col collapsed="false" customWidth="true" hidden="false" outlineLevel="0" max="3" min="3" style="1" width="90"/>
  </cols>
  <sheetData>
    <row r="1" customFormat="false" ht="25.5" hidden="false" customHeight="true" outlineLevel="0" collapsed="false">
      <c r="A1" s="2" t="s">
        <v>343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</row>
    <row r="3" customFormat="false" ht="15" hidden="false" customHeight="true" outlineLevel="0" collapsed="false">
      <c r="A3" s="25" t="s">
        <v>344</v>
      </c>
    </row>
    <row r="5" customFormat="false" ht="30" hidden="false" customHeight="true" outlineLevel="0" collapsed="false">
      <c r="A5" s="12" t="s">
        <v>345</v>
      </c>
      <c r="B5" s="12" t="s">
        <v>346</v>
      </c>
      <c r="C5" s="12" t="s">
        <v>89</v>
      </c>
    </row>
    <row r="6" customFormat="false" ht="15" hidden="false" customHeight="true" outlineLevel="0" collapsed="false">
      <c r="A6" s="46" t="s">
        <v>347</v>
      </c>
      <c r="B6" s="46" t="s">
        <v>348</v>
      </c>
      <c r="C6" s="41" t="s">
        <v>349</v>
      </c>
    </row>
  </sheetData>
  <sheetProtection sheet="true" password="cc3d" objects="true" scenarios="true" deleteColumns="false" deleteRows="false"/>
  <mergeCells count="1">
    <mergeCell ref="A1:AN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3"/>
    <col collapsed="false" customWidth="true" hidden="false" outlineLevel="0" max="3" min="3" style="1" width="26"/>
    <col collapsed="false" customWidth="true" hidden="false" outlineLevel="0" max="4" min="4" style="1" width="3"/>
    <col collapsed="false" customWidth="true" hidden="false" outlineLevel="0" max="5" min="5" style="1" width="14"/>
    <col collapsed="false" customWidth="true" hidden="false" outlineLevel="0" max="6" min="6" style="1" width="3"/>
    <col collapsed="false" customWidth="true" hidden="false" outlineLevel="0" max="7" min="7" style="1" width="16"/>
    <col collapsed="false" customWidth="true" hidden="false" outlineLevel="0" max="8" min="8" style="1" width="3"/>
    <col collapsed="false" customWidth="true" hidden="false" outlineLevel="0" max="9" min="9" style="1" width="16"/>
    <col collapsed="false" customWidth="true" hidden="false" outlineLevel="0" max="10" min="10" style="1" width="3"/>
    <col collapsed="false" customWidth="true" hidden="false" outlineLevel="0" max="11" min="11" style="1" width="22"/>
    <col collapsed="false" customWidth="true" hidden="false" outlineLevel="0" max="12" min="12" style="1" width="3"/>
    <col collapsed="false" customWidth="true" hidden="false" outlineLevel="0" max="13" min="13" style="1" width="14"/>
  </cols>
  <sheetData>
    <row r="1" customFormat="false" ht="25.5" hidden="false" customHeight="true" outlineLevel="0" collapsed="false">
      <c r="A1" s="2" t="s">
        <v>350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</row>
    <row r="3" customFormat="false" ht="15" hidden="false" customHeight="true" outlineLevel="0" collapsed="false">
      <c r="A3" s="25" t="s">
        <v>351</v>
      </c>
    </row>
    <row r="5" customFormat="false" ht="15" hidden="false" customHeight="true" outlineLevel="0" collapsed="false">
      <c r="A5" s="9" t="s">
        <v>352</v>
      </c>
      <c r="C5" s="9" t="s">
        <v>63</v>
      </c>
      <c r="E5" s="9" t="s">
        <v>64</v>
      </c>
      <c r="G5" s="9" t="s">
        <v>107</v>
      </c>
      <c r="I5" s="9" t="s">
        <v>119</v>
      </c>
      <c r="K5" s="9" t="s">
        <v>134</v>
      </c>
      <c r="M5" s="9" t="s">
        <v>81</v>
      </c>
    </row>
    <row r="6" customFormat="false" ht="15" hidden="false" customHeight="true" outlineLevel="0" collapsed="false">
      <c r="A6" s="46" t="s">
        <v>38</v>
      </c>
      <c r="C6" s="46" t="s">
        <v>70</v>
      </c>
      <c r="E6" s="46" t="s">
        <v>71</v>
      </c>
      <c r="G6" s="46" t="s">
        <v>353</v>
      </c>
      <c r="I6" s="46" t="s">
        <v>124</v>
      </c>
      <c r="K6" s="46" t="s">
        <v>139</v>
      </c>
      <c r="M6" s="46" t="s">
        <v>90</v>
      </c>
    </row>
    <row r="7" customFormat="false" ht="15" hidden="false" customHeight="true" outlineLevel="0" collapsed="false">
      <c r="A7" s="46" t="s">
        <v>354</v>
      </c>
      <c r="C7" s="46" t="s">
        <v>75</v>
      </c>
      <c r="E7" s="46" t="s">
        <v>76</v>
      </c>
      <c r="G7" s="46" t="s">
        <v>110</v>
      </c>
      <c r="I7" s="46" t="s">
        <v>127</v>
      </c>
      <c r="K7" s="46" t="s">
        <v>142</v>
      </c>
      <c r="M7" s="46" t="s">
        <v>92</v>
      </c>
    </row>
    <row r="8" customFormat="false" ht="15" hidden="false" customHeight="true" outlineLevel="0" collapsed="false">
      <c r="A8" s="46" t="s">
        <v>57</v>
      </c>
      <c r="C8" s="46" t="s">
        <v>78</v>
      </c>
      <c r="E8" s="46" t="s">
        <v>355</v>
      </c>
      <c r="G8" s="46" t="s">
        <v>356</v>
      </c>
      <c r="I8" s="46" t="s">
        <v>105</v>
      </c>
      <c r="K8" s="46" t="s">
        <v>145</v>
      </c>
      <c r="M8" s="46" t="s">
        <v>94</v>
      </c>
    </row>
    <row r="9" customFormat="false" ht="15" hidden="false" customHeight="true" outlineLevel="0" collapsed="false">
      <c r="C9" s="46" t="s">
        <v>73</v>
      </c>
      <c r="I9" s="46" t="s">
        <v>256</v>
      </c>
      <c r="K9" s="46" t="s">
        <v>357</v>
      </c>
      <c r="M9" s="46" t="s">
        <v>96</v>
      </c>
    </row>
    <row r="10" customFormat="false" ht="15" hidden="false" customHeight="true" outlineLevel="0" collapsed="false">
      <c r="C10" s="46" t="s">
        <v>358</v>
      </c>
    </row>
    <row r="11" customFormat="false" ht="15" hidden="false" customHeight="true" outlineLevel="0" collapsed="false">
      <c r="C11" s="46" t="s">
        <v>359</v>
      </c>
    </row>
  </sheetData>
  <sheetProtection sheet="true" password="cc3d" objects="true" scenarios="true" deleteColumns="false" deleteRows="false"/>
  <mergeCells count="1">
    <mergeCell ref="A1:AN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42"/>
    <col collapsed="false" customWidth="true" hidden="false" outlineLevel="0" max="3" min="3" style="1" width="12"/>
    <col collapsed="false" customWidth="true" hidden="false" outlineLevel="0" max="4" min="4" style="1" width="56"/>
    <col collapsed="false" customWidth="true" hidden="false" outlineLevel="0" max="5" min="5" style="1" width="20"/>
    <col collapsed="false" customWidth="true" hidden="false" outlineLevel="0" max="7" min="6" style="1" width="14"/>
    <col collapsed="false" customWidth="true" hidden="false" outlineLevel="0" max="10" min="10" style="0" width="16"/>
    <col collapsed="false" customWidth="true" hidden="false" outlineLevel="0" max="11" min="11" style="0" width="13"/>
    <col collapsed="false" customWidth="true" hidden="false" outlineLevel="0" max="12" min="12" style="0" width="28"/>
    <col collapsed="false" customWidth="true" hidden="false" outlineLevel="0" max="13" min="13" style="0" width="16"/>
    <col collapsed="false" customWidth="true" hidden="false" outlineLevel="0" max="14" min="14" style="0" width="13"/>
  </cols>
  <sheetData>
    <row r="1" customFormat="false" ht="25.5" hidden="false" customHeight="true" outlineLevel="0" collapsed="false">
      <c r="A1" s="2" t="s">
        <v>360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9.5" hidden="false" customHeight="true" outlineLevel="0" collapsed="false">
      <c r="A2" s="29" t="s">
        <v>361</v>
      </c>
      <c r="B2" s="29"/>
      <c r="C2" s="29"/>
      <c r="D2" s="29"/>
      <c r="E2" s="29"/>
      <c r="F2" s="29"/>
      <c r="G2" s="29"/>
      <c r="H2" s="29"/>
      <c r="I2" s="29"/>
      <c r="J2" s="29"/>
      <c r="K2" s="29"/>
      <c r="L2" s="29"/>
      <c r="M2" s="29"/>
      <c r="N2" s="29"/>
      <c r="O2" s="29"/>
      <c r="P2" s="29"/>
      <c r="Q2" s="29"/>
      <c r="R2" s="29"/>
      <c r="S2" s="29"/>
      <c r="T2" s="29"/>
      <c r="U2" s="29"/>
      <c r="V2" s="29"/>
      <c r="W2" s="29"/>
      <c r="X2" s="29"/>
      <c r="Y2" s="29"/>
      <c r="Z2" s="29"/>
      <c r="AA2" s="29"/>
      <c r="AB2" s="29"/>
      <c r="AC2" s="29"/>
      <c r="AD2" s="29"/>
      <c r="AE2" s="29"/>
      <c r="AF2" s="29"/>
      <c r="AG2" s="29"/>
      <c r="AH2" s="29"/>
      <c r="AI2" s="29"/>
      <c r="AJ2" s="29"/>
      <c r="AK2" s="29"/>
      <c r="AL2" s="29"/>
      <c r="AM2" s="29"/>
      <c r="AN2" s="29"/>
    </row>
    <row r="4" customFormat="false" ht="15" hidden="false" customHeight="true" outlineLevel="0" collapsed="false">
      <c r="A4" s="30" t="s">
        <v>362</v>
      </c>
    </row>
    <row r="5" customFormat="false" ht="15" hidden="false" customHeight="true" outlineLevel="0" collapsed="false">
      <c r="A5" s="31" t="s">
        <v>363</v>
      </c>
      <c r="B5" s="47" t="s">
        <v>293</v>
      </c>
      <c r="E5" s="48" t="s">
        <v>89</v>
      </c>
    </row>
    <row r="6" customFormat="false" ht="15" hidden="false" customHeight="true" outlineLevel="0" collapsed="false">
      <c r="A6" s="31" t="s">
        <v>280</v>
      </c>
      <c r="B6" s="20" t="n">
        <v>46242</v>
      </c>
      <c r="E6" s="48" t="s">
        <v>89</v>
      </c>
    </row>
    <row r="7" customFormat="false" ht="15" hidden="false" customHeight="true" outlineLevel="0" collapsed="false">
      <c r="A7" s="31" t="s">
        <v>364</v>
      </c>
      <c r="B7" s="47" t="s">
        <v>365</v>
      </c>
      <c r="E7" s="48" t="s">
        <v>89</v>
      </c>
    </row>
    <row r="8" customFormat="false" ht="15" hidden="false" customHeight="true" outlineLevel="0" collapsed="false">
      <c r="A8" s="31" t="s">
        <v>366</v>
      </c>
      <c r="B8" s="47" t="s">
        <v>347</v>
      </c>
      <c r="E8" s="48" t="s">
        <v>89</v>
      </c>
    </row>
    <row r="9" customFormat="false" ht="15" hidden="false" customHeight="true" outlineLevel="0" collapsed="false">
      <c r="A9" s="31" t="s">
        <v>367</v>
      </c>
      <c r="B9" s="47" t="s">
        <v>368</v>
      </c>
      <c r="E9" s="48" t="s">
        <v>89</v>
      </c>
    </row>
    <row r="10" customFormat="false" ht="15" hidden="false" customHeight="true" outlineLevel="0" collapsed="false">
      <c r="A10" s="31" t="s">
        <v>64</v>
      </c>
      <c r="B10" s="47" t="s">
        <v>71</v>
      </c>
      <c r="E10" s="48" t="s">
        <v>89</v>
      </c>
    </row>
    <row r="12" customFormat="false" ht="15" hidden="false" customHeight="true" outlineLevel="0" collapsed="false">
      <c r="A12" s="30" t="s">
        <v>369</v>
      </c>
    </row>
    <row r="13" customFormat="false" ht="15" hidden="false" customHeight="true" outlineLevel="0" collapsed="false">
      <c r="A13" s="49" t="s">
        <v>370</v>
      </c>
      <c r="B13" s="49" t="s">
        <v>371</v>
      </c>
      <c r="C13" s="49" t="s">
        <v>372</v>
      </c>
      <c r="D13" s="49" t="s">
        <v>373</v>
      </c>
      <c r="E13" s="49" t="s">
        <v>374</v>
      </c>
      <c r="F13" s="49" t="s">
        <v>375</v>
      </c>
      <c r="G13" s="49" t="s">
        <v>376</v>
      </c>
    </row>
    <row r="14" customFormat="false" ht="15" hidden="false" customHeight="true" outlineLevel="0" collapsed="false">
      <c r="A14" s="6" t="s">
        <v>377</v>
      </c>
      <c r="B14" s="17" t="n">
        <v>1800000</v>
      </c>
      <c r="C14" s="6" t="s">
        <v>378</v>
      </c>
      <c r="D14" s="6" t="s">
        <v>379</v>
      </c>
      <c r="E14" s="6" t="s">
        <v>380</v>
      </c>
      <c r="F14" s="6" t="s">
        <v>381</v>
      </c>
      <c r="G14" s="6" t="s">
        <v>381</v>
      </c>
    </row>
    <row r="15" customFormat="false" ht="15" hidden="false" customHeight="true" outlineLevel="0" collapsed="false">
      <c r="A15" s="6" t="s">
        <v>382</v>
      </c>
      <c r="B15" s="17" t="n">
        <v>1250000</v>
      </c>
      <c r="C15" s="6" t="s">
        <v>378</v>
      </c>
      <c r="D15" s="6" t="s">
        <v>383</v>
      </c>
      <c r="E15" s="6" t="s">
        <v>380</v>
      </c>
      <c r="F15" s="6" t="s">
        <v>381</v>
      </c>
      <c r="G15" s="6" t="s">
        <v>381</v>
      </c>
    </row>
    <row r="16" customFormat="false" ht="15" hidden="false" customHeight="true" outlineLevel="0" collapsed="false">
      <c r="A16" s="6" t="s">
        <v>384</v>
      </c>
      <c r="B16" s="17" t="n">
        <v>7200000</v>
      </c>
      <c r="C16" s="6" t="s">
        <v>378</v>
      </c>
      <c r="D16" s="6" t="s">
        <v>385</v>
      </c>
      <c r="E16" s="6" t="s">
        <v>380</v>
      </c>
      <c r="F16" s="6" t="s">
        <v>381</v>
      </c>
      <c r="G16" s="6" t="s">
        <v>381</v>
      </c>
    </row>
    <row r="17" customFormat="false" ht="15" hidden="false" customHeight="true" outlineLevel="0" collapsed="false">
      <c r="A17" s="6" t="s">
        <v>386</v>
      </c>
      <c r="B17" s="17" t="n">
        <v>1500000</v>
      </c>
      <c r="C17" s="6" t="s">
        <v>378</v>
      </c>
      <c r="D17" s="6" t="s">
        <v>387</v>
      </c>
      <c r="E17" s="6" t="s">
        <v>380</v>
      </c>
      <c r="F17" s="6" t="s">
        <v>381</v>
      </c>
      <c r="G17" s="6" t="s">
        <v>381</v>
      </c>
    </row>
    <row r="18" customFormat="false" ht="27.75" hidden="false" customHeight="true" outlineLevel="0" collapsed="false">
      <c r="A18" s="6" t="s">
        <v>388</v>
      </c>
      <c r="B18" s="21" t="n">
        <v>0.85</v>
      </c>
      <c r="C18" s="6" t="s">
        <v>389</v>
      </c>
      <c r="D18" s="6" t="s">
        <v>390</v>
      </c>
      <c r="E18" s="6" t="s">
        <v>391</v>
      </c>
      <c r="F18" s="6" t="s">
        <v>381</v>
      </c>
      <c r="G18" s="6" t="s">
        <v>381</v>
      </c>
    </row>
    <row r="19" customFormat="false" ht="15" hidden="false" customHeight="true" outlineLevel="0" collapsed="false">
      <c r="A19" s="6" t="s">
        <v>392</v>
      </c>
      <c r="B19" s="21" t="n">
        <v>1</v>
      </c>
      <c r="C19" s="6" t="s">
        <v>389</v>
      </c>
      <c r="D19" s="6" t="s">
        <v>393</v>
      </c>
      <c r="E19" s="6" t="s">
        <v>391</v>
      </c>
      <c r="F19" s="6" t="s">
        <v>381</v>
      </c>
      <c r="G19" s="6" t="s">
        <v>381</v>
      </c>
    </row>
    <row r="20" customFormat="false" ht="15" hidden="false" customHeight="true" outlineLevel="0" collapsed="false">
      <c r="A20" s="6" t="s">
        <v>394</v>
      </c>
      <c r="B20" s="14" t="n">
        <v>3</v>
      </c>
      <c r="C20" s="6" t="s">
        <v>389</v>
      </c>
      <c r="D20" s="6" t="s">
        <v>395</v>
      </c>
      <c r="E20" s="6" t="s">
        <v>391</v>
      </c>
      <c r="F20" s="6" t="s">
        <v>381</v>
      </c>
      <c r="G20" s="6" t="s">
        <v>381</v>
      </c>
    </row>
    <row r="21" customFormat="false" ht="15" hidden="false" customHeight="true" outlineLevel="0" collapsed="false">
      <c r="A21" s="6" t="s">
        <v>396</v>
      </c>
      <c r="B21" s="14" t="n">
        <v>80</v>
      </c>
      <c r="C21" s="6" t="s">
        <v>397</v>
      </c>
      <c r="D21" s="6" t="s">
        <v>398</v>
      </c>
      <c r="E21" s="6" t="s">
        <v>391</v>
      </c>
      <c r="F21" s="6" t="s">
        <v>381</v>
      </c>
      <c r="G21" s="6" t="s">
        <v>381</v>
      </c>
    </row>
    <row r="22" customFormat="false" ht="15" hidden="false" customHeight="true" outlineLevel="0" collapsed="false">
      <c r="A22" s="6" t="s">
        <v>399</v>
      </c>
      <c r="B22" s="14" t="n">
        <v>50</v>
      </c>
      <c r="C22" s="6" t="s">
        <v>397</v>
      </c>
      <c r="D22" s="6" t="s">
        <v>400</v>
      </c>
      <c r="E22" s="6" t="s">
        <v>391</v>
      </c>
      <c r="F22" s="6" t="s">
        <v>381</v>
      </c>
      <c r="G22" s="6" t="s">
        <v>381</v>
      </c>
    </row>
    <row r="23" customFormat="false" ht="15" hidden="false" customHeight="true" outlineLevel="0" collapsed="false">
      <c r="A23" s="6" t="s">
        <v>401</v>
      </c>
      <c r="B23" s="14" t="n">
        <v>10</v>
      </c>
      <c r="C23" s="6" t="s">
        <v>397</v>
      </c>
      <c r="D23" s="6" t="s">
        <v>402</v>
      </c>
      <c r="E23" s="6" t="s">
        <v>391</v>
      </c>
      <c r="F23" s="6" t="s">
        <v>381</v>
      </c>
      <c r="G23" s="6" t="s">
        <v>381</v>
      </c>
    </row>
    <row r="24" customFormat="false" ht="15" hidden="false" customHeight="true" outlineLevel="0" collapsed="false">
      <c r="A24" s="6" t="s">
        <v>403</v>
      </c>
      <c r="B24" s="21" t="n">
        <v>0.1</v>
      </c>
      <c r="C24" s="6" t="s">
        <v>389</v>
      </c>
      <c r="D24" s="6" t="s">
        <v>404</v>
      </c>
      <c r="E24" s="6" t="s">
        <v>391</v>
      </c>
      <c r="F24" s="6" t="s">
        <v>381</v>
      </c>
      <c r="G24" s="6" t="s">
        <v>381</v>
      </c>
    </row>
    <row r="25" customFormat="false" ht="15" hidden="false" customHeight="true" outlineLevel="0" collapsed="false">
      <c r="A25" s="6" t="s">
        <v>405</v>
      </c>
      <c r="B25" s="14" t="n">
        <v>12</v>
      </c>
      <c r="C25" s="6" t="s">
        <v>406</v>
      </c>
      <c r="D25" s="6" t="s">
        <v>407</v>
      </c>
      <c r="E25" s="6" t="s">
        <v>408</v>
      </c>
      <c r="F25" s="6" t="s">
        <v>381</v>
      </c>
      <c r="G25" s="6" t="s">
        <v>381</v>
      </c>
    </row>
    <row r="26" customFormat="false" ht="15" hidden="false" customHeight="true" outlineLevel="0" collapsed="false">
      <c r="A26" s="6" t="s">
        <v>409</v>
      </c>
      <c r="B26" s="14" t="n">
        <v>0</v>
      </c>
      <c r="C26" s="6" t="s">
        <v>410</v>
      </c>
      <c r="D26" s="6" t="s">
        <v>411</v>
      </c>
      <c r="E26" s="6" t="s">
        <v>408</v>
      </c>
      <c r="F26" s="6" t="s">
        <v>381</v>
      </c>
      <c r="G26" s="6" t="s">
        <v>381</v>
      </c>
    </row>
    <row r="27" customFormat="false" ht="15" hidden="false" customHeight="true" outlineLevel="0" collapsed="false">
      <c r="A27" s="6" t="s">
        <v>412</v>
      </c>
      <c r="B27" s="14" t="n">
        <v>30</v>
      </c>
      <c r="C27" s="6" t="s">
        <v>410</v>
      </c>
      <c r="D27" s="6" t="s">
        <v>413</v>
      </c>
      <c r="E27" s="6" t="s">
        <v>408</v>
      </c>
      <c r="F27" s="6" t="s">
        <v>381</v>
      </c>
      <c r="G27" s="6" t="s">
        <v>381</v>
      </c>
    </row>
    <row r="28" customFormat="false" ht="15" hidden="false" customHeight="true" outlineLevel="0" collapsed="false">
      <c r="A28" s="6" t="s">
        <v>414</v>
      </c>
      <c r="B28" s="14" t="n">
        <v>60</v>
      </c>
      <c r="C28" s="6" t="s">
        <v>410</v>
      </c>
      <c r="D28" s="6" t="s">
        <v>415</v>
      </c>
      <c r="E28" s="6" t="s">
        <v>408</v>
      </c>
      <c r="F28" s="6" t="s">
        <v>381</v>
      </c>
      <c r="G28" s="6" t="s">
        <v>381</v>
      </c>
    </row>
    <row r="29" customFormat="false" ht="15" hidden="false" customHeight="true" outlineLevel="0" collapsed="false">
      <c r="A29" s="6" t="s">
        <v>416</v>
      </c>
      <c r="B29" s="14" t="n">
        <v>90</v>
      </c>
      <c r="C29" s="6" t="s">
        <v>410</v>
      </c>
      <c r="D29" s="6" t="s">
        <v>417</v>
      </c>
      <c r="E29" s="6" t="s">
        <v>408</v>
      </c>
      <c r="F29" s="6" t="s">
        <v>381</v>
      </c>
      <c r="G29" s="6" t="s">
        <v>381</v>
      </c>
    </row>
    <row r="30" customFormat="false" ht="15" hidden="false" customHeight="true" outlineLevel="0" collapsed="false">
      <c r="A30" s="6" t="s">
        <v>418</v>
      </c>
      <c r="B30" s="14" t="n">
        <v>120</v>
      </c>
      <c r="C30" s="6" t="s">
        <v>410</v>
      </c>
      <c r="D30" s="6" t="s">
        <v>419</v>
      </c>
      <c r="E30" s="6" t="s">
        <v>408</v>
      </c>
      <c r="F30" s="6" t="s">
        <v>381</v>
      </c>
      <c r="G30" s="6" t="s">
        <v>381</v>
      </c>
    </row>
    <row r="31" customFormat="false" ht="15" hidden="false" customHeight="true" outlineLevel="0" collapsed="false">
      <c r="A31" s="6" t="s">
        <v>420</v>
      </c>
      <c r="B31" s="14" t="n">
        <v>150</v>
      </c>
      <c r="C31" s="6" t="s">
        <v>410</v>
      </c>
      <c r="D31" s="6" t="s">
        <v>421</v>
      </c>
      <c r="E31" s="6" t="s">
        <v>408</v>
      </c>
      <c r="F31" s="6" t="s">
        <v>381</v>
      </c>
      <c r="G31" s="6" t="s">
        <v>381</v>
      </c>
    </row>
    <row r="32" customFormat="false" ht="15" hidden="false" customHeight="true" outlineLevel="0" collapsed="false">
      <c r="A32" s="6" t="s">
        <v>422</v>
      </c>
      <c r="B32" s="14" t="n">
        <v>180</v>
      </c>
      <c r="C32" s="6" t="s">
        <v>410</v>
      </c>
      <c r="D32" s="6" t="s">
        <v>423</v>
      </c>
      <c r="E32" s="6" t="s">
        <v>408</v>
      </c>
      <c r="F32" s="6" t="s">
        <v>381</v>
      </c>
      <c r="G32" s="6" t="s">
        <v>381</v>
      </c>
    </row>
    <row r="34" customFormat="false" ht="15" hidden="false" customHeight="false" outlineLevel="0" collapsed="false">
      <c r="J34" s="1" t="s">
        <v>424</v>
      </c>
      <c r="K34" s="1" t="s">
        <v>425</v>
      </c>
      <c r="L34" s="1" t="s">
        <v>426</v>
      </c>
      <c r="M34" s="1" t="s">
        <v>427</v>
      </c>
      <c r="N34" s="1" t="s">
        <v>428</v>
      </c>
    </row>
    <row r="35" customFormat="false" ht="15" hidden="false" customHeight="false" outlineLevel="0" collapsed="false">
      <c r="J35" s="1" t="s">
        <v>429</v>
      </c>
      <c r="K35" s="1" t="s">
        <v>326</v>
      </c>
      <c r="L35" s="1" t="s">
        <v>430</v>
      </c>
      <c r="M35" s="1" t="s">
        <v>327</v>
      </c>
      <c r="N35" s="1" t="s">
        <v>431</v>
      </c>
    </row>
    <row r="36" customFormat="false" ht="15" hidden="false" customHeight="false" outlineLevel="0" collapsed="false">
      <c r="J36" s="1" t="s">
        <v>429</v>
      </c>
      <c r="K36" s="1" t="s">
        <v>327</v>
      </c>
      <c r="L36" s="1" t="s">
        <v>432</v>
      </c>
      <c r="M36" s="1" t="s">
        <v>332</v>
      </c>
      <c r="N36" s="1" t="s">
        <v>431</v>
      </c>
    </row>
    <row r="37" customFormat="false" ht="15" hidden="false" customHeight="false" outlineLevel="0" collapsed="false">
      <c r="J37" s="1" t="s">
        <v>429</v>
      </c>
      <c r="K37" s="1" t="s">
        <v>332</v>
      </c>
      <c r="L37" s="1" t="s">
        <v>433</v>
      </c>
      <c r="M37" s="1" t="s">
        <v>434</v>
      </c>
      <c r="N37" s="1" t="s">
        <v>435</v>
      </c>
    </row>
    <row r="38" customFormat="false" ht="15" hidden="false" customHeight="false" outlineLevel="0" collapsed="false">
      <c r="J38" s="1" t="s">
        <v>429</v>
      </c>
      <c r="K38" s="1" t="s">
        <v>336</v>
      </c>
      <c r="L38" s="1" t="s">
        <v>436</v>
      </c>
      <c r="M38" s="1" t="s">
        <v>434</v>
      </c>
      <c r="N38" s="1" t="s">
        <v>435</v>
      </c>
    </row>
  </sheetData>
  <sheetProtection sheet="true" password="cc3d" objects="true" scenarios="true" deleteColumns="false" deleteRows="false"/>
  <mergeCells count="2">
    <mergeCell ref="A1:J1"/>
    <mergeCell ref="A2:AN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H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80"/>
  </cols>
  <sheetData>
    <row r="1" customFormat="false" ht="25.5" hidden="false" customHeight="true" outlineLevel="0" collapsed="false">
      <c r="A1" s="2" t="s">
        <v>437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</row>
    <row r="3" customFormat="false" ht="15" hidden="false" customHeight="true" outlineLevel="0" collapsed="false">
      <c r="A3" s="25" t="s">
        <v>438</v>
      </c>
    </row>
    <row r="5" customFormat="false" ht="15" hidden="false" customHeight="true" outlineLevel="0" collapsed="false">
      <c r="A5" s="9" t="s">
        <v>439</v>
      </c>
    </row>
    <row r="6" customFormat="false" ht="25.5" hidden="false" customHeight="true" outlineLevel="0" collapsed="false">
      <c r="A6" s="10" t="s">
        <v>440</v>
      </c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  <c r="AG6" s="10"/>
      <c r="AH6" s="10"/>
      <c r="AI6" s="10"/>
      <c r="AJ6" s="10"/>
      <c r="AK6" s="10"/>
      <c r="AL6" s="10"/>
      <c r="AM6" s="10"/>
      <c r="AN6" s="10"/>
      <c r="AO6" s="10"/>
      <c r="AP6" s="10"/>
      <c r="AQ6" s="10"/>
      <c r="AR6" s="10"/>
      <c r="AS6" s="10"/>
      <c r="AT6" s="10"/>
      <c r="AU6" s="10"/>
      <c r="AV6" s="10"/>
      <c r="AW6" s="10"/>
      <c r="AX6" s="10"/>
      <c r="AY6" s="10"/>
      <c r="AZ6" s="10"/>
      <c r="BA6" s="10"/>
      <c r="BB6" s="10"/>
      <c r="BC6" s="10"/>
      <c r="BD6" s="10"/>
      <c r="BE6" s="10"/>
      <c r="BF6" s="10"/>
      <c r="BG6" s="10"/>
      <c r="BH6" s="10"/>
    </row>
    <row r="7" customFormat="false" ht="15" hidden="false" customHeight="true" outlineLevel="0" collapsed="false">
      <c r="A7" s="9" t="s">
        <v>441</v>
      </c>
    </row>
    <row r="8" customFormat="false" ht="25.5" hidden="false" customHeight="true" outlineLevel="0" collapsed="false">
      <c r="A8" s="10" t="s">
        <v>442</v>
      </c>
      <c r="B8" s="10"/>
      <c r="C8" s="10"/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  <c r="AE8" s="10"/>
      <c r="AF8" s="10"/>
      <c r="AG8" s="10"/>
      <c r="AH8" s="10"/>
      <c r="AI8" s="10"/>
      <c r="AJ8" s="10"/>
      <c r="AK8" s="10"/>
      <c r="AL8" s="10"/>
      <c r="AM8" s="10"/>
      <c r="AN8" s="10"/>
      <c r="AO8" s="10"/>
      <c r="AP8" s="10"/>
      <c r="AQ8" s="10"/>
      <c r="AR8" s="10"/>
      <c r="AS8" s="10"/>
      <c r="AT8" s="10"/>
      <c r="AU8" s="10"/>
      <c r="AV8" s="10"/>
      <c r="AW8" s="10"/>
      <c r="AX8" s="10"/>
      <c r="AY8" s="10"/>
      <c r="AZ8" s="10"/>
      <c r="BA8" s="10"/>
      <c r="BB8" s="10"/>
      <c r="BC8" s="10"/>
      <c r="BD8" s="10"/>
      <c r="BE8" s="10"/>
      <c r="BF8" s="10"/>
      <c r="BG8" s="10"/>
      <c r="BH8" s="10"/>
    </row>
    <row r="9" customFormat="false" ht="15" hidden="false" customHeight="true" outlineLevel="0" collapsed="false">
      <c r="A9" s="9" t="s">
        <v>443</v>
      </c>
    </row>
    <row r="10" customFormat="false" ht="25.5" hidden="false" customHeight="true" outlineLevel="0" collapsed="false">
      <c r="A10" s="10" t="s">
        <v>444</v>
      </c>
      <c r="B10" s="10"/>
      <c r="C10" s="10"/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  <c r="AE10" s="10"/>
      <c r="AF10" s="10"/>
      <c r="AG10" s="10"/>
      <c r="AH10" s="10"/>
      <c r="AI10" s="10"/>
      <c r="AJ10" s="10"/>
      <c r="AK10" s="10"/>
      <c r="AL10" s="10"/>
      <c r="AM10" s="10"/>
      <c r="AN10" s="10"/>
      <c r="AO10" s="10"/>
      <c r="AP10" s="10"/>
      <c r="AQ10" s="10"/>
      <c r="AR10" s="10"/>
      <c r="AS10" s="10"/>
      <c r="AT10" s="10"/>
      <c r="AU10" s="10"/>
      <c r="AV10" s="10"/>
      <c r="AW10" s="10"/>
      <c r="AX10" s="10"/>
      <c r="AY10" s="10"/>
      <c r="AZ10" s="10"/>
      <c r="BA10" s="10"/>
      <c r="BB10" s="10"/>
      <c r="BC10" s="10"/>
      <c r="BD10" s="10"/>
      <c r="BE10" s="10"/>
      <c r="BF10" s="10"/>
      <c r="BG10" s="10"/>
      <c r="BH10" s="10"/>
    </row>
    <row r="11" customFormat="false" ht="15" hidden="false" customHeight="true" outlineLevel="0" collapsed="false">
      <c r="A11" s="9" t="s">
        <v>445</v>
      </c>
    </row>
    <row r="12" customFormat="false" ht="25.5" hidden="false" customHeight="true" outlineLevel="0" collapsed="false">
      <c r="A12" s="10" t="s">
        <v>446</v>
      </c>
      <c r="B12" s="10"/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  <c r="AA12" s="10"/>
      <c r="AB12" s="10"/>
      <c r="AC12" s="10"/>
      <c r="AD12" s="10"/>
      <c r="AE12" s="10"/>
      <c r="AF12" s="10"/>
      <c r="AG12" s="10"/>
      <c r="AH12" s="10"/>
      <c r="AI12" s="10"/>
      <c r="AJ12" s="10"/>
      <c r="AK12" s="10"/>
      <c r="AL12" s="10"/>
      <c r="AM12" s="10"/>
      <c r="AN12" s="10"/>
      <c r="AO12" s="10"/>
      <c r="AP12" s="10"/>
      <c r="AQ12" s="10"/>
      <c r="AR12" s="10"/>
      <c r="AS12" s="10"/>
      <c r="AT12" s="10"/>
      <c r="AU12" s="10"/>
      <c r="AV12" s="10"/>
      <c r="AW12" s="10"/>
      <c r="AX12" s="10"/>
      <c r="AY12" s="10"/>
      <c r="AZ12" s="10"/>
      <c r="BA12" s="10"/>
      <c r="BB12" s="10"/>
      <c r="BC12" s="10"/>
      <c r="BD12" s="10"/>
      <c r="BE12" s="10"/>
      <c r="BF12" s="10"/>
      <c r="BG12" s="10"/>
      <c r="BH12" s="10"/>
    </row>
    <row r="13" customFormat="false" ht="15" hidden="false" customHeight="true" outlineLevel="0" collapsed="false">
      <c r="A13" s="9" t="s">
        <v>447</v>
      </c>
    </row>
    <row r="14" customFormat="false" ht="25.5" hidden="false" customHeight="true" outlineLevel="0" collapsed="false">
      <c r="A14" s="10" t="s">
        <v>448</v>
      </c>
      <c r="B14" s="10"/>
      <c r="C14" s="10"/>
      <c r="D14" s="10"/>
      <c r="E14" s="10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  <c r="AA14" s="10"/>
      <c r="AB14" s="10"/>
      <c r="AC14" s="10"/>
      <c r="AD14" s="10"/>
      <c r="AE14" s="10"/>
      <c r="AF14" s="10"/>
      <c r="AG14" s="10"/>
      <c r="AH14" s="10"/>
      <c r="AI14" s="10"/>
      <c r="AJ14" s="10"/>
      <c r="AK14" s="10"/>
      <c r="AL14" s="10"/>
      <c r="AM14" s="10"/>
      <c r="AN14" s="10"/>
      <c r="AO14" s="10"/>
      <c r="AP14" s="10"/>
      <c r="AQ14" s="10"/>
      <c r="AR14" s="10"/>
      <c r="AS14" s="10"/>
      <c r="AT14" s="10"/>
      <c r="AU14" s="10"/>
      <c r="AV14" s="10"/>
      <c r="AW14" s="10"/>
      <c r="AX14" s="10"/>
      <c r="AY14" s="10"/>
      <c r="AZ14" s="10"/>
      <c r="BA14" s="10"/>
      <c r="BB14" s="10"/>
      <c r="BC14" s="10"/>
      <c r="BD14" s="10"/>
      <c r="BE14" s="10"/>
      <c r="BF14" s="10"/>
      <c r="BG14" s="10"/>
      <c r="BH14" s="10"/>
    </row>
    <row r="15" customFormat="false" ht="15" hidden="false" customHeight="true" outlineLevel="0" collapsed="false">
      <c r="A15" s="9" t="s">
        <v>449</v>
      </c>
    </row>
    <row r="16" customFormat="false" ht="25.5" hidden="false" customHeight="true" outlineLevel="0" collapsed="false">
      <c r="A16" s="10" t="s">
        <v>450</v>
      </c>
      <c r="B16" s="10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F16" s="10"/>
      <c r="AG16" s="10"/>
      <c r="AH16" s="10"/>
      <c r="AI16" s="10"/>
      <c r="AJ16" s="10"/>
      <c r="AK16" s="10"/>
      <c r="AL16" s="10"/>
      <c r="AM16" s="10"/>
      <c r="AN16" s="10"/>
      <c r="AO16" s="10"/>
      <c r="AP16" s="10"/>
      <c r="AQ16" s="10"/>
      <c r="AR16" s="10"/>
      <c r="AS16" s="10"/>
      <c r="AT16" s="10"/>
      <c r="AU16" s="10"/>
      <c r="AV16" s="10"/>
      <c r="AW16" s="10"/>
      <c r="AX16" s="10"/>
      <c r="AY16" s="10"/>
      <c r="AZ16" s="10"/>
      <c r="BA16" s="10"/>
      <c r="BB16" s="10"/>
      <c r="BC16" s="10"/>
      <c r="BD16" s="10"/>
      <c r="BE16" s="10"/>
      <c r="BF16" s="10"/>
      <c r="BG16" s="10"/>
      <c r="BH16" s="10"/>
    </row>
    <row r="17" customFormat="false" ht="15" hidden="false" customHeight="true" outlineLevel="0" collapsed="false">
      <c r="A17" s="9" t="s">
        <v>451</v>
      </c>
    </row>
    <row r="18" customFormat="false" ht="25.5" hidden="false" customHeight="true" outlineLevel="0" collapsed="false">
      <c r="A18" s="10" t="s">
        <v>452</v>
      </c>
      <c r="B18" s="10"/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  <c r="AF18" s="10"/>
      <c r="AG18" s="10"/>
      <c r="AH18" s="10"/>
      <c r="AI18" s="10"/>
      <c r="AJ18" s="10"/>
      <c r="AK18" s="10"/>
      <c r="AL18" s="10"/>
      <c r="AM18" s="10"/>
      <c r="AN18" s="10"/>
      <c r="AO18" s="10"/>
      <c r="AP18" s="10"/>
      <c r="AQ18" s="10"/>
      <c r="AR18" s="10"/>
      <c r="AS18" s="10"/>
      <c r="AT18" s="10"/>
      <c r="AU18" s="10"/>
      <c r="AV18" s="10"/>
      <c r="AW18" s="10"/>
      <c r="AX18" s="10"/>
      <c r="AY18" s="10"/>
      <c r="AZ18" s="10"/>
      <c r="BA18" s="10"/>
      <c r="BB18" s="10"/>
      <c r="BC18" s="10"/>
      <c r="BD18" s="10"/>
      <c r="BE18" s="10"/>
      <c r="BF18" s="10"/>
      <c r="BG18" s="10"/>
      <c r="BH18" s="10"/>
    </row>
    <row r="19" customFormat="false" ht="15" hidden="false" customHeight="true" outlineLevel="0" collapsed="false">
      <c r="A19" s="9" t="s">
        <v>453</v>
      </c>
    </row>
    <row r="20" customFormat="false" ht="25.5" hidden="false" customHeight="true" outlineLevel="0" collapsed="false">
      <c r="A20" s="10" t="s">
        <v>454</v>
      </c>
      <c r="B20" s="10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  <c r="AE20" s="10"/>
      <c r="AF20" s="10"/>
      <c r="AG20" s="10"/>
      <c r="AH20" s="10"/>
      <c r="AI20" s="10"/>
      <c r="AJ20" s="10"/>
      <c r="AK20" s="10"/>
      <c r="AL20" s="10"/>
      <c r="AM20" s="10"/>
      <c r="AN20" s="10"/>
      <c r="AO20" s="10"/>
      <c r="AP20" s="10"/>
      <c r="AQ20" s="10"/>
      <c r="AR20" s="10"/>
      <c r="AS20" s="10"/>
      <c r="AT20" s="10"/>
      <c r="AU20" s="10"/>
      <c r="AV20" s="10"/>
      <c r="AW20" s="10"/>
      <c r="AX20" s="10"/>
      <c r="AY20" s="10"/>
      <c r="AZ20" s="10"/>
      <c r="BA20" s="10"/>
      <c r="BB20" s="10"/>
      <c r="BC20" s="10"/>
      <c r="BD20" s="10"/>
      <c r="BE20" s="10"/>
      <c r="BF20" s="10"/>
      <c r="BG20" s="10"/>
      <c r="BH20" s="10"/>
    </row>
    <row r="21" customFormat="false" ht="15" hidden="false" customHeight="true" outlineLevel="0" collapsed="false">
      <c r="A21" s="9" t="s">
        <v>455</v>
      </c>
    </row>
    <row r="22" customFormat="false" ht="25.5" hidden="false" customHeight="true" outlineLevel="0" collapsed="false">
      <c r="A22" s="10" t="s">
        <v>456</v>
      </c>
      <c r="B22" s="10"/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0"/>
      <c r="AD22" s="10"/>
      <c r="AE22" s="10"/>
      <c r="AF22" s="10"/>
      <c r="AG22" s="10"/>
      <c r="AH22" s="10"/>
      <c r="AI22" s="10"/>
      <c r="AJ22" s="10"/>
      <c r="AK22" s="10"/>
      <c r="AL22" s="10"/>
      <c r="AM22" s="10"/>
      <c r="AN22" s="10"/>
      <c r="AO22" s="10"/>
      <c r="AP22" s="10"/>
      <c r="AQ22" s="10"/>
      <c r="AR22" s="10"/>
      <c r="AS22" s="10"/>
      <c r="AT22" s="10"/>
      <c r="AU22" s="10"/>
      <c r="AV22" s="10"/>
      <c r="AW22" s="10"/>
      <c r="AX22" s="10"/>
      <c r="AY22" s="10"/>
      <c r="AZ22" s="10"/>
      <c r="BA22" s="10"/>
      <c r="BB22" s="10"/>
      <c r="BC22" s="10"/>
      <c r="BD22" s="10"/>
      <c r="BE22" s="10"/>
      <c r="BF22" s="10"/>
      <c r="BG22" s="10"/>
      <c r="BH22" s="10"/>
    </row>
  </sheetData>
  <sheetProtection sheet="true" password="cc3d" objects="true" scenarios="true" deleteColumns="false" deleteRows="false"/>
  <mergeCells count="10">
    <mergeCell ref="A1:AN1"/>
    <mergeCell ref="A6:BH6"/>
    <mergeCell ref="A8:BH8"/>
    <mergeCell ref="A10:BH10"/>
    <mergeCell ref="A12:BH12"/>
    <mergeCell ref="A14:BH14"/>
    <mergeCell ref="A16:BH16"/>
    <mergeCell ref="A18:BH18"/>
    <mergeCell ref="A20:BH20"/>
    <mergeCell ref="A22:BH2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LibreOffice/26.2.5.2$MacOSX_AARCH64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2026-08-10T01:12:06Z</dcterms:created>
  <dc:creator>openpyxl</dc:creator>
  <dc:description/>
  <dc:language>tr-TR</dc:language>
  <cp:lastModifiedBy/>
  <dcterms:modified xsi:type="dcterms:W3CDTF">2026-08-12T11:07:51Z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