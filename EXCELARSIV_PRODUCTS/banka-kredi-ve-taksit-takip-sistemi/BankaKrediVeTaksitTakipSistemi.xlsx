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7.xml" ContentType="application/vnd.openxmlformats-officedocument.spreadsheetml.worksheet+xml"/>
  <Override PartName="/xl/comments/comment9.xml" ContentType="application/vnd.openxmlformats-officedocument.spreadsheetml.comments+xml"/>
  <Override PartName="/xl/tables/table8.xml" ContentType="application/vnd.openxmlformats-officedocument.spreadsheetml.table+xml"/>
  <Override PartName="/xl/worksheets/sheet28.xml" ContentType="application/vnd.openxmlformats-officedocument.spreadsheetml.worksheet+xml"/>
  <Override PartName="/xl/comments/comment10.xml" ContentType="application/vnd.openxmlformats-officedocument.spreadsheetml.comments+xml"/>
  <Override PartName="/xl/tables/table9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REFINANSMAN" sheetId="10" state="visible" r:id="rId10"/>
    <sheet xmlns:r="http://schemas.openxmlformats.org/officeDocument/2006/relationships" name="MOTOR" sheetId="11" state="visible" r:id="rId11"/>
    <sheet xmlns:r="http://schemas.openxmlformats.org/officeDocument/2006/relationships" name="KARAR_MOTORU" sheetId="12" state="visible" r:id="rId12"/>
    <sheet xmlns:r="http://schemas.openxmlformats.org/officeDocument/2006/relationships" name="SENARYO_DUYARLILIK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00_BASLANGIC" sheetId="18" state="visible" r:id="rId18"/>
    <sheet xmlns:r="http://schemas.openxmlformats.org/officeDocument/2006/relationships" name="01_YURUTME_CEKIRDEGI" sheetId="19" state="visible" r:id="rId19"/>
    <sheet xmlns:r="http://schemas.openxmlformats.org/officeDocument/2006/relationships" name="02_KONTROL_LISTESI" sheetId="20" state="visible" r:id="rId20"/>
    <sheet xmlns:r="http://schemas.openxmlformats.org/officeDocument/2006/relationships" name="03_GORSEL_TASARIM" sheetId="21" state="visible" r:id="rId21"/>
    <sheet xmlns:r="http://schemas.openxmlformats.org/officeDocument/2006/relationships" name="04_MUHASEBE_THP" sheetId="22" state="visible" r:id="rId22"/>
    <sheet xmlns:r="http://schemas.openxmlformats.org/officeDocument/2006/relationships" name="05_KARAR_SATIS" sheetId="23" state="visible" r:id="rId23"/>
    <sheet xmlns:r="http://schemas.openxmlformats.org/officeDocument/2006/relationships" name="KAPAK" sheetId="24" state="visible" r:id="rId24"/>
    <sheet xmlns:r="http://schemas.openxmlformats.org/officeDocument/2006/relationships" name="HIZLI_BASLANGIC" sheetId="25" state="visible" r:id="rId25"/>
    <sheet xmlns:r="http://schemas.openxmlformats.org/officeDocument/2006/relationships" name="MASRAF_KOMISYON" sheetId="26" state="visible" r:id="rId26"/>
    <sheet xmlns:r="http://schemas.openxmlformats.org/officeDocument/2006/relationships" name="TEMINATLAR" sheetId="27" state="visible" r:id="rId27"/>
    <sheet xmlns:r="http://schemas.openxmlformats.org/officeDocument/2006/relationships" name="YENI_TEKLIFLER" sheetId="28" state="visible" r:id="rId28"/>
    <sheet xmlns:r="http://schemas.openxmlformats.org/officeDocument/2006/relationships" name="ORNEK_VERI" sheetId="29" state="visible" r:id="rId29"/>
    <sheet xmlns:r="http://schemas.openxmlformats.org/officeDocument/2006/relationships" name="TESTLER" sheetId="30" state="visible" r:id="rId30"/>
    <sheet xmlns:r="http://schemas.openxmlformats.org/officeDocument/2006/relationships" name="AKIS" sheetId="31" state="visible" r:id="rId31"/>
    <sheet xmlns:r="http://schemas.openxmlformats.org/officeDocument/2006/relationships" name="DEGISIKLIK_KAYDI" sheetId="32" state="visible" r:id="rId32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3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</fonts>
  <fills count="35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</fills>
  <borders count="45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ables/table7.xml><?xml version="1.0" encoding="utf-8"?>
<table xmlns="http://schemas.openxmlformats.org/spreadsheetml/2006/main" id="7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8.xml><?xml version="1.0" encoding="utf-8"?>
<table xmlns="http://schemas.openxmlformats.org/spreadsheetml/2006/main" id="8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9.xml><?xml version="1.0" encoding="utf-8"?>
<table xmlns="http://schemas.openxmlformats.org/spreadsheetml/2006/main" id="9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#REFINANSMAN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13"/>
  <sheetViews>
    <sheetView showGridLines="0" workbookViewId="0">
      <selection activeCell="A1" sqref="A1"/>
    </sheetView>
  </sheetViews>
  <sheetFormatPr baseColWidth="8" defaultRowHeight="15"/>
  <cols>
    <col width="4" customWidth="1" style="50" min="1" max="1"/>
    <col width="4" customWidth="1" style="50" min="2" max="2"/>
    <col width="14.5" customWidth="1" style="50" min="3" max="3"/>
    <col width="14.5" customWidth="1" style="50" min="4" max="4"/>
    <col width="14.5" customWidth="1" style="50" min="5" max="5"/>
    <col width="3.8" customWidth="1" style="50" min="6" max="6"/>
    <col width="3.8" customWidth="1" style="50" min="7" max="7"/>
    <col width="3.8" customWidth="1" style="50" min="8" max="8"/>
    <col width="14.5" customWidth="1" style="50" min="9" max="9"/>
    <col width="14.5" customWidth="1" style="50" min="10" max="10"/>
    <col width="14.5" customWidth="1" style="50" min="11" max="11"/>
    <col width="3.8" customWidth="1" style="50" min="12" max="12"/>
    <col width="3.8" customWidth="1" style="50" min="13" max="13"/>
    <col width="3.8" customWidth="1" style="50" min="14" max="14"/>
    <col width="14.5" customWidth="1" style="50" min="15" max="15"/>
    <col width="14.5" customWidth="1" style="50" min="16" max="16"/>
    <col width="14.5" customWidth="1" style="50" min="17" max="17"/>
    <col width="3.8" customWidth="1" style="50" min="18" max="18"/>
  </cols>
  <sheetData>
    <row r="1" ht="12" customHeight="1" s="50"/>
    <row r="2" ht="42" customHeight="1" s="50">
      <c r="B2" s="235" t="inlineStr">
        <is>
          <t>KULLANIM KILAVUZU &amp; SİSTEM BAŞLANGICI</t>
        </is>
      </c>
    </row>
    <row r="3" ht="8" customHeight="1" s="50"/>
    <row r="4" ht="22" customHeight="1" s="50">
      <c r="B4" s="236" t="inlineStr">
        <is>
          <t>Banka, Kredi ve Taksit Takip Sistemi — C-Level Borç Portföyü ve Likidite Karar Kokpiti</t>
        </is>
      </c>
    </row>
    <row r="5" ht="18" customHeight="1" s="50">
      <c r="B5" s="237" t="inlineStr">
        <is>
          <t>Hedef Kitle: KOBİ Sahipleri, CFO, Finans Direktörleri ve Hazine Yöneticileri · VUK 185-198 &amp; TTK 64 Tam Uyumlu</t>
        </is>
      </c>
    </row>
    <row r="6" ht="14" customHeight="1" s="50">
      <c r="C6" s="238" t="n"/>
      <c r="D6" s="238" t="n"/>
      <c r="E6" s="238" t="n"/>
      <c r="I6" s="238" t="n"/>
      <c r="J6" s="238" t="n"/>
      <c r="K6" s="238" t="n"/>
      <c r="O6" s="238" t="n"/>
      <c r="P6" s="238" t="n"/>
      <c r="Q6" s="238" t="n"/>
    </row>
    <row r="7" ht="28" customHeight="1" s="50">
      <c r="C7" s="239" t="inlineStr">
        <is>
          <t>EĞİTİM VE SİSTEM MİMARİSİ</t>
        </is>
      </c>
      <c r="D7" s="238" t="n"/>
      <c r="E7" s="238" t="n"/>
      <c r="I7" s="239" t="inlineStr">
        <is>
          <t>VERİ GİRİŞİ &amp; ENTEGRASYON</t>
        </is>
      </c>
      <c r="J7" s="238" t="n"/>
      <c r="K7" s="238" t="n"/>
      <c r="O7" s="239" t="inlineStr">
        <is>
          <t>YÖNETİM &amp; STRES TESTİ</t>
        </is>
      </c>
      <c r="P7" s="238" t="n"/>
      <c r="Q7" s="238" t="n"/>
    </row>
    <row r="8" ht="6" customHeight="1" s="50">
      <c r="C8" s="238" t="n"/>
      <c r="D8" s="238" t="n"/>
      <c r="E8" s="238" t="n"/>
      <c r="I8" s="238" t="n"/>
      <c r="J8" s="238" t="n"/>
      <c r="K8" s="238" t="n"/>
      <c r="O8" s="238" t="n"/>
      <c r="P8" s="238" t="n"/>
      <c r="Q8" s="238" t="n"/>
    </row>
    <row r="9" ht="20" customHeight="1" s="50">
      <c r="C9" s="240" t="inlineStr">
        <is>
          <t>Bu sistem; banka kredi limitlerinizi, yaklaşan taksitlerinizi, nakit akış baskısını ve refinansman (borç yapılandırma) avantajlarını tek merkezden yönetmek üzere tasarlanmıştır. Tüm formüller canlıdır.</t>
        </is>
      </c>
      <c r="D9" s="290" t="n"/>
      <c r="E9" s="291" t="n"/>
      <c r="I9" s="240" t="inlineStr">
        <is>
          <t>Girişler sekmesinden veya BANKALAR, LIMITLER, KREDILER sayfalarından portföyünüzü tanımlayın. TAKSIT_PLANI üzerinden nakit akışını izleyin. Sarı dolgulu alanlar kullanıcı girdisidir.</t>
        </is>
      </c>
      <c r="J9" s="290" t="n"/>
      <c r="K9" s="291" t="n"/>
      <c r="O9" s="240" t="inlineStr">
        <is>
          <t>YÖNETİM_RAPORU sayfası; kur şokları, faiz artışları ve -%20 nakit akışı stres senaryolarında borçlanma sürdürülebilirliğini ve refinansman XIRR kazançlarını otomatik modeller.</t>
        </is>
      </c>
      <c r="P9" s="290" t="n"/>
      <c r="Q9" s="291" t="n"/>
    </row>
    <row r="10" ht="20" customHeight="1" s="50">
      <c r="C10" s="292" t="n"/>
      <c r="E10" s="293" t="n"/>
      <c r="I10" s="292" t="n"/>
      <c r="K10" s="293" t="n"/>
      <c r="O10" s="292" t="n"/>
      <c r="Q10" s="293" t="n"/>
    </row>
    <row r="11" ht="20" customHeight="1" s="50">
      <c r="C11" s="292" t="n"/>
      <c r="E11" s="293" t="n"/>
      <c r="I11" s="292" t="n"/>
      <c r="K11" s="293" t="n"/>
      <c r="O11" s="292" t="n"/>
      <c r="Q11" s="293" t="n"/>
    </row>
    <row r="12" ht="20" customHeight="1" s="50">
      <c r="C12" s="294" t="n"/>
      <c r="D12" s="295" t="n"/>
      <c r="E12" s="296" t="n"/>
      <c r="I12" s="294" t="n"/>
      <c r="J12" s="295" t="n"/>
      <c r="K12" s="296" t="n"/>
      <c r="O12" s="294" t="n"/>
      <c r="P12" s="295" t="n"/>
      <c r="Q12" s="296" t="n"/>
    </row>
    <row r="13" ht="32" customHeight="1" s="50">
      <c r="C13" s="241" t="inlineStr">
        <is>
          <t>▶ CANLI KOKPİTE GİT (#PANO!A1)</t>
        </is>
      </c>
      <c r="D13" s="252" t="n"/>
      <c r="E13" s="253" t="n"/>
      <c r="I13" s="241" t="inlineStr">
        <is>
          <t>📋 GİRİŞLERİ DÜZENLE (#GİRDİLER!A1)</t>
        </is>
      </c>
      <c r="J13" s="252" t="n"/>
      <c r="K13" s="253" t="n"/>
      <c r="O13" s="241" t="inlineStr">
        <is>
          <t>📊 YÖNETİM RAPORUNU AÇ (#YÖNETİM_RAPORU!A1)</t>
        </is>
      </c>
      <c r="P13" s="252" t="n"/>
      <c r="Q13" s="253" t="n"/>
    </row>
    <row r="14" ht="12" customHeight="1" s="50"/>
  </sheetData>
  <mergeCells count="6">
    <mergeCell ref="C13:E13"/>
    <mergeCell ref="I13:K13"/>
    <mergeCell ref="O13:Q13"/>
    <mergeCell ref="C9:E12"/>
    <mergeCell ref="I9:K12"/>
    <mergeCell ref="O9:Q12"/>
  </mergeCells>
  <hyperlinks>
    <hyperlink xmlns:r="http://schemas.openxmlformats.org/officeDocument/2006/relationships" ref="C13" r:id="rId1"/>
    <hyperlink xmlns:r="http://schemas.openxmlformats.org/officeDocument/2006/relationships" ref="I13" r:id="rId2"/>
    <hyperlink xmlns:r="http://schemas.openxmlformats.org/officeDocument/2006/relationships" ref="O13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14" customWidth="1" style="50" min="8" max="8"/>
    <col width="14" customWidth="1" style="50" min="9" max="9"/>
    <col width="10" customWidth="1" style="50" min="10" max="10"/>
    <col width="14" customWidth="1" style="50" min="11" max="11"/>
    <col width="14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242" t="inlineStr">
        <is>
          <t>BANKA, KREDİ VE TAKSİT YÖNETİM MERKEZİ</t>
        </is>
      </c>
      <c r="L2" s="125" t="inlineStr">
        <is>
          <t>Dönem: 2026 / Tam ▼</t>
        </is>
      </c>
      <c r="M2" s="126" t="inlineStr">
        <is>
          <t>★ DOĞRULANMIŞ</t>
        </is>
      </c>
    </row>
    <row r="3" ht="18" customHeight="1" s="50">
      <c r="B3" s="237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128" t="inlineStr">
        <is>
          <t>TOPLAM KREDİ PORTFÖYÜ</t>
        </is>
      </c>
      <c r="C5" s="129" t="n"/>
      <c r="D5" s="130" t="inlineStr">
        <is>
          <t>CANLI BAKİYE</t>
        </is>
      </c>
      <c r="E5" s="131" t="inlineStr">
        <is>
          <t>AYLIK BORÇ SERVİSİ (30 GÜN)</t>
        </is>
      </c>
      <c r="F5" s="129" t="n"/>
      <c r="G5" s="132" t="inlineStr">
        <is>
          <t>ÖDEME BASKISI</t>
        </is>
      </c>
      <c r="H5" s="128" t="inlineStr">
        <is>
          <t>REFİNANSMAN AYLIK RAHATLAMA</t>
        </is>
      </c>
      <c r="I5" s="129" t="n"/>
      <c r="J5" s="133">
        <f>KARAR_MOTORU!B18&amp;" ADAY"</f>
        <v/>
      </c>
      <c r="K5" s="134" t="inlineStr">
        <is>
          <t>BORÇLANMA SÜRDÜRÜLEBİLİRLİĞİ</t>
        </is>
      </c>
      <c r="L5" s="129" t="n"/>
      <c r="M5" s="130">
        <f>KARAR_MOTORU!B16</f>
        <v/>
      </c>
    </row>
    <row r="6" ht="6" customHeight="1" s="50">
      <c r="B6" s="135" t="n"/>
      <c r="C6" s="129" t="n"/>
      <c r="D6" s="129" t="n"/>
      <c r="E6" s="136" t="n"/>
      <c r="F6" s="129" t="n"/>
      <c r="G6" s="129" t="n"/>
      <c r="H6" s="135" t="n"/>
      <c r="I6" s="129" t="n"/>
      <c r="J6" s="129" t="n"/>
      <c r="K6" s="137" t="n"/>
      <c r="L6" s="129" t="n"/>
      <c r="M6" s="129" t="n"/>
    </row>
    <row r="7" ht="34" customHeight="1" s="50">
      <c r="B7" s="297">
        <f>KARAR_MOTORU!B5</f>
        <v/>
      </c>
      <c r="C7" s="129" t="n"/>
      <c r="D7" s="129" t="n"/>
      <c r="E7" s="298">
        <f>KARAR_MOTORU!B7</f>
        <v/>
      </c>
      <c r="F7" s="129" t="n"/>
      <c r="G7" s="129" t="n"/>
      <c r="H7" s="299">
        <f>KARAR_MOTORU!B19</f>
        <v/>
      </c>
      <c r="I7" s="129" t="n"/>
      <c r="J7" s="129" t="n"/>
      <c r="K7" s="300">
        <f>KARAR_MOTORU!B15</f>
        <v/>
      </c>
      <c r="L7" s="129" t="n"/>
      <c r="M7" s="129" t="n"/>
    </row>
    <row r="8" ht="6" customHeight="1" s="50">
      <c r="B8" s="135" t="n"/>
      <c r="C8" s="129" t="n"/>
      <c r="D8" s="129" t="n"/>
      <c r="E8" s="136" t="n"/>
      <c r="F8" s="129" t="n"/>
      <c r="G8" s="129" t="n"/>
      <c r="H8" s="135" t="n"/>
      <c r="I8" s="129" t="n"/>
      <c r="J8" s="129" t="n"/>
      <c r="K8" s="137" t="n"/>
      <c r="L8" s="129" t="n"/>
      <c r="M8" s="129" t="n"/>
    </row>
    <row r="9" ht="20" customHeight="1" s="50">
      <c r="B9" s="141" t="inlineStr">
        <is>
          <t>↑ Aktif portföy risk hacmi</t>
        </is>
      </c>
      <c r="C9" s="129" t="n"/>
      <c r="D9" s="129" t="n"/>
      <c r="E9" s="142" t="inlineStr">
        <is>
          <t>● 30 gün içinde vadesi gelen taksitler</t>
        </is>
      </c>
      <c r="F9" s="129" t="n"/>
      <c r="G9" s="129" t="n"/>
      <c r="H9" s="141" t="inlineStr">
        <is>
          <t>✓ Yapılandırma ile aylık nakit kazanımı</t>
        </is>
      </c>
      <c r="I9" s="129" t="n"/>
      <c r="J9" s="129" t="n"/>
      <c r="K9" s="246">
        <f>KARAR_MOTORU!B17</f>
        <v/>
      </c>
      <c r="L9" s="129" t="n"/>
      <c r="M9" s="129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TOPLA(I15:I18)</f>
        <v/>
      </c>
      <c r="J19" s="230">
        <f>TOPLA(J15:J18)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3">
    <mergeCell ref="K26:M27"/>
    <mergeCell ref="K24:M25"/>
    <mergeCell ref="F26:I27"/>
  </mergeCells>
  <hyperlinks>
    <hyperlink xmlns:r="http://schemas.openxmlformats.org/officeDocument/2006/relationships" ref="K26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TOPLA(E6:E15)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188" t="inlineStr">
        <is>
          <t>BANKA, KREDİ VE TAKSİT TAKİP SİSTEMİ — FİNANSAL STRES TESTİ</t>
        </is>
      </c>
    </row>
    <row r="3" ht="18" customHeight="1" s="50">
      <c r="B3" s="189" t="inlineStr">
        <is>
          <t>Yönetim Kurulu ve Hazine Komitesi için Borç Servisi ve Likidite Dayanıklılık Raporu</t>
        </is>
      </c>
    </row>
    <row r="4" ht="20" customHeight="1" s="50">
      <c r="B4" s="190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191" t="inlineStr">
        <is>
          <t>SENARYO A: KÖTÜMSER (STRES TESTİ -%20)</t>
        </is>
      </c>
      <c r="C6" s="252" t="n"/>
      <c r="D6" s="252" t="n"/>
      <c r="E6" s="252" t="n"/>
      <c r="F6" s="253" t="n"/>
      <c r="H6" s="192" t="inlineStr">
        <is>
          <t>SENARYO B: BAZ MODEL (HEDEFLENEN)</t>
        </is>
      </c>
      <c r="I6" s="252" t="n"/>
      <c r="J6" s="252" t="n"/>
      <c r="K6" s="252" t="n"/>
      <c r="L6" s="253" t="n"/>
    </row>
    <row r="7" ht="8" customHeight="1" s="50">
      <c r="B7" s="129" t="n"/>
      <c r="C7" s="129" t="n"/>
      <c r="D7" s="129" t="n"/>
      <c r="E7" s="129" t="n"/>
      <c r="F7" s="129" t="n"/>
      <c r="H7" s="129" t="n"/>
      <c r="I7" s="129" t="n"/>
      <c r="J7" s="129" t="n"/>
      <c r="K7" s="129" t="n"/>
      <c r="L7" s="129" t="n"/>
    </row>
    <row r="8" ht="22" customHeight="1" s="50">
      <c r="B8" s="193" t="inlineStr">
        <is>
          <t>Faaliyet Nakit Akışı Daralması:</t>
        </is>
      </c>
      <c r="C8" s="129" t="n"/>
      <c r="D8" s="129" t="n"/>
      <c r="E8" s="194" t="inlineStr">
        <is>
          <t>-%20.0 (Kriz Modeli)</t>
        </is>
      </c>
      <c r="F8" s="129" t="n"/>
      <c r="H8" s="193" t="inlineStr">
        <is>
          <t>Planlanan Borç Karşılama:</t>
        </is>
      </c>
      <c r="I8" s="129" t="n"/>
      <c r="J8" s="129" t="n"/>
      <c r="K8" s="195" t="inlineStr">
        <is>
          <t>%100.0 (Tam Bütçe)</t>
        </is>
      </c>
      <c r="L8" s="129" t="n"/>
    </row>
    <row r="9" ht="22" customHeight="1" s="50">
      <c r="B9" s="193" t="inlineStr">
        <is>
          <t>Mevcut 30 Günlük Borç Servisi:</t>
        </is>
      </c>
      <c r="C9" s="129" t="n"/>
      <c r="D9" s="129" t="n"/>
      <c r="E9" s="232">
        <f>KARAR_MOTORU!B7</f>
        <v/>
      </c>
      <c r="F9" s="129" t="n"/>
      <c r="H9" s="193" t="inlineStr">
        <is>
          <t>Aylık Refinansman Tasarrufu:</t>
        </is>
      </c>
      <c r="I9" s="129" t="n"/>
      <c r="J9" s="129" t="n"/>
      <c r="K9" s="232">
        <f>KARAR_MOTORU!B19</f>
        <v/>
      </c>
      <c r="L9" s="129" t="n"/>
    </row>
    <row r="10" ht="22" customHeight="1" s="50">
      <c r="B10" s="193" t="inlineStr">
        <is>
          <t>Stres Altında Serbest Nakit:</t>
        </is>
      </c>
      <c r="C10" s="129" t="n"/>
      <c r="D10" s="129" t="n"/>
      <c r="E10" s="233">
        <f>SerbestNakit*0.8</f>
        <v/>
      </c>
      <c r="F10" s="129" t="n"/>
      <c r="H10" s="193" t="inlineStr">
        <is>
          <t>Konsolide Serbest Nakit:</t>
        </is>
      </c>
      <c r="I10" s="129" t="n"/>
      <c r="J10" s="129" t="n"/>
      <c r="K10" s="233">
        <f>SerbestNakit</f>
        <v/>
      </c>
      <c r="L10" s="129" t="n"/>
    </row>
    <row r="11" ht="22" customHeight="1" s="50">
      <c r="B11" s="193" t="inlineStr">
        <is>
          <t>Stres Altında Likidite Baskısı:</t>
        </is>
      </c>
      <c r="C11" s="129" t="n"/>
      <c r="D11" s="129" t="n"/>
      <c r="E11" s="234">
        <f>YUVARLA(KARAR_MOTORU!B7/MAX(1,SerbestNakit*0.8); 2)</f>
        <v/>
      </c>
      <c r="F11" s="129" t="n"/>
      <c r="H11" s="193" t="inlineStr">
        <is>
          <t>Baz Model Likidite Baskısı:</t>
        </is>
      </c>
      <c r="I11" s="129" t="n"/>
      <c r="J11" s="129" t="n"/>
      <c r="K11" s="197">
        <f>YUVARLA(KARAR_MOTORU!B14; 2)</f>
        <v/>
      </c>
      <c r="L11" s="129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4" customHeight="1" s="50">
      <c r="A1" s="305" t="inlineStr">
        <is>
          <t>BANKALAR — KURUMSAL BANKA VE BORÇ YÖNETİMİ</t>
        </is>
      </c>
    </row>
    <row r="2" ht="6" customHeight="1" s="50"/>
    <row r="3" ht="20" customHeight="1" s="50">
      <c r="A3" s="306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4" customHeight="1" s="50">
      <c r="A1" s="305" t="inlineStr">
        <is>
          <t>LIMITLER — KURUMSAL BANKA VE BORÇ YÖNETİMİ</t>
        </is>
      </c>
    </row>
    <row r="2" ht="6" customHeight="1" s="50"/>
    <row r="3" ht="20" customHeight="1" s="50">
      <c r="A3" s="306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4" customHeight="1" s="50">
      <c r="A1" s="305" t="inlineStr">
        <is>
          <t>KREDILER — KURUMSAL BANKA VE BORÇ YÖNETİMİ</t>
        </is>
      </c>
    </row>
    <row r="2" ht="6" customHeight="1" s="50"/>
    <row r="3" ht="20" customHeight="1" s="50">
      <c r="A3" s="306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4" customHeight="1" s="50">
      <c r="A1" s="305" t="inlineStr">
        <is>
          <t>TAKSIT_PLANI — KURUMSAL BANKA VE BORÇ YÖNETİMİ</t>
        </is>
      </c>
    </row>
    <row r="2" ht="6" customHeight="1" s="50"/>
    <row r="3" ht="20" customHeight="1" s="50">
      <c r="A3" s="306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4" customHeight="1" s="50">
      <c r="A1" s="305" t="inlineStr">
        <is>
          <t>ODEME_TAKVIMI — KURUMSAL BANKA VE BORÇ YÖNETİMİ</t>
        </is>
      </c>
    </row>
    <row r="2" ht="6" customHeight="1" s="50"/>
    <row r="3" ht="20" customHeight="1" s="50">
      <c r="A3" s="306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4" customHeight="1" s="50">
      <c r="A1" s="305" t="inlineStr">
        <is>
          <t>REFINANSMAN — KURUMSAL BANKA VE BORÇ YÖNETİMİ</t>
        </is>
      </c>
    </row>
    <row r="2" ht="6" customHeight="1" s="50"/>
    <row r="3" ht="20" customHeight="1" s="50">
      <c r="A3" s="306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25.5" customHeight="1" s="50">
      <c r="A1" s="77" t="inlineStr">
        <is>
          <t>KARAR MOTORU — BANKA, KREDİ VE TAKSİT TAKİP SİSTEMİ</t>
        </is>
      </c>
    </row>
    <row r="3" ht="52.5" customHeight="1" s="50">
      <c r="A3" s="110" t="inlineStr">
        <is>
          <t>KARAR MOTORU — borç yükü, yaklaşan taksit ve öncelikli aksiyon</t>
        </is>
      </c>
    </row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25.5" customHeight="1" s="50">
      <c r="A1" s="77" t="inlineStr">
        <is>
          <t>SENARYO DUYARLILIK — BANKA, KREDİ VE TAKSİT TAKİP SİSTEMİ</t>
        </is>
      </c>
    </row>
    <row r="3" ht="15" customHeight="1" s="50">
      <c r="A3" s="99" t="inlineStr">
        <is>
          <t>SENARYO VE DUYARLILIK ANALİZİ</t>
        </is>
      </c>
    </row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25.5" customHeight="1" s="50">
      <c r="A1" s="77" t="inlineStr">
        <is>
          <t>KONTROLLER — BANKA, KREDİ VE TAKSİT TAKİP SİSTEMİ</t>
        </is>
      </c>
    </row>
    <row r="3" ht="15" customHeight="1" s="50">
      <c r="A3" s="99" t="inlineStr">
        <is>
          <t>VERİ KALİTESİ VE SİSTEM SAĞLIĞI</t>
        </is>
      </c>
    </row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25.5" customHeight="1" s="50">
      <c r="A1" s="77" t="inlineStr">
        <is>
          <t>AYARLAR — BANKA, KREDİ VE TAKSİT TAKİP SİSTEMİ</t>
        </is>
      </c>
    </row>
    <row r="2" ht="19.5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5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25.5" customHeight="1" s="50">
      <c r="A1" s="77" t="inlineStr">
        <is>
          <t>LISTELER — BANKA, KREDİ VE TAKSİT TAKİP SİSTEMİ</t>
        </is>
      </c>
    </row>
    <row r="3" ht="15" customHeight="1" s="50">
      <c r="A3" s="99" t="inlineStr">
        <is>
          <t>AÇILIR LİSTE KAYNAKLARI</t>
        </is>
      </c>
    </row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24" customHeight="1" s="50">
      <c r="A1" s="77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25.5" customHeight="1" s="50">
      <c r="A1" s="77" t="inlineStr">
        <is>
          <t>HIZLI BASLANGIC — BANKA, KREDİ VE TAKSİT TAKİP SİSTEMİ</t>
        </is>
      </c>
    </row>
    <row r="3" ht="19.5" customHeight="1" s="50">
      <c r="A3" s="83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2:BH12"/>
    <mergeCell ref="A9:BH9"/>
    <mergeCell ref="A1:AN1"/>
    <mergeCell ref="A6:BH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25.5" customHeight="1" s="50">
      <c r="A1" s="77" t="inlineStr">
        <is>
          <t>MASRAF KOMISYON — BANKA, KREDİ VE TAKSİT TAKİP SİSTEMİ</t>
        </is>
      </c>
    </row>
    <row r="3" ht="150" customHeight="1" s="50">
      <c r="A3" s="85" t="inlineStr">
        <is>
          <t>MASRAF VE KOMİSYONLAR — tahsis, sigorta, komisyon ve diğer finansman maliyetleri.</t>
        </is>
      </c>
    </row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25.5" customHeight="1" s="50">
      <c r="A1" s="77" t="inlineStr">
        <is>
          <t>TEMINATLAR — BANKA, KREDİ VE TAKSİT TAKİP SİSTEMİ</t>
        </is>
      </c>
    </row>
    <row r="3" ht="90.75" customHeight="1" s="50">
      <c r="A3" s="85" t="inlineStr">
        <is>
          <t>TEMİNAT YÖNETİMİ — değer, geçerlilik ve kredi bağlantısı.</t>
        </is>
      </c>
    </row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25.5" customHeight="1" s="50">
      <c r="A1" s="77" t="inlineStr">
        <is>
          <t>YENI TEKLIFLER — BANKA, KREDİ VE TAKSİT TAKİP SİSTEMİ</t>
        </is>
      </c>
    </row>
    <row r="3" ht="135.75" customHeight="1" s="50">
      <c r="A3" s="85" t="inlineStr">
        <is>
          <t>YENİ KREDİ TEKLİFLERİ — tutar, faiz, masraf ve aylık taksit karşılaştırması.</t>
        </is>
      </c>
    </row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25.5" customHeight="1" s="50">
      <c r="A1" s="77" t="inlineStr">
        <is>
          <t>ORNEK VERI — BANKA, KREDİ VE TAKSİT TAKİP SİSTEMİ</t>
        </is>
      </c>
    </row>
    <row r="3" ht="45.75" customHeight="1" s="50">
      <c r="A3" s="85" t="inlineStr">
        <is>
          <t>ÖRNEK VERİ — otomasyon ve içe aktarma için yapı</t>
        </is>
      </c>
    </row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25.5" customHeight="1" s="50">
      <c r="A1" s="77" t="inlineStr">
        <is>
          <t>TESTLER — BANKA, KREDİ VE TAKSİT TAKİP SİSTEMİ</t>
        </is>
      </c>
    </row>
    <row r="3" ht="15" customHeight="1" s="50">
      <c r="A3" s="99" t="inlineStr">
        <is>
          <t>SİSTEM TESTLERİ VE DENETİM KAYDI</t>
        </is>
      </c>
    </row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15" customHeight="1" s="50">
      <c r="A1" s="76" t="inlineStr">
        <is>
          <t>AKIS — BankaKrediVeTaksitTakipSistemi</t>
        </is>
      </c>
    </row>
    <row r="3" ht="15" customHeight="1" s="50">
      <c r="A3" s="76" t="inlineStr">
        <is>
          <t>islem_id</t>
        </is>
      </c>
      <c r="B3" s="76" t="inlineStr">
        <is>
          <t>kaynak_kart_id</t>
        </is>
      </c>
      <c r="C3" s="76" t="inlineStr">
        <is>
          <t>onceki_durum</t>
        </is>
      </c>
      <c r="D3" s="76" t="inlineStr">
        <is>
          <t>yeni_durum</t>
        </is>
      </c>
      <c r="E3" s="76" t="inlineStr">
        <is>
          <t>tutar</t>
        </is>
      </c>
      <c r="F3" s="76" t="inlineStr">
        <is>
          <t>bayrak</t>
        </is>
      </c>
      <c r="G3" s="76" t="inlineStr">
        <is>
          <t>not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25.5" customHeight="1" s="50">
      <c r="A1" s="77" t="inlineStr">
        <is>
          <t>DEGISIKLIK KAYDI — BANKA, KREDİ VE TAKSİT TAKİP SİSTEMİ</t>
        </is>
      </c>
    </row>
    <row r="3" ht="15" customHeight="1" s="50">
      <c r="A3" s="99" t="inlineStr">
        <is>
          <t>DEĞİŞİKLİK KAYDI</t>
        </is>
      </c>
    </row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2026-09-25T18:30:17Z</dcterms:modified>
  <cp:revision>0</cp:revision>
</cp:coreProperties>
</file>