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0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BANKALAR" sheetId="6" state="hidden" r:id="rId6"/>
    <sheet xmlns:r="http://schemas.openxmlformats.org/officeDocument/2006/relationships" name="LIMITLER" sheetId="7" state="hidden" r:id="rId7"/>
    <sheet xmlns:r="http://schemas.openxmlformats.org/officeDocument/2006/relationships" name="KREDILER" sheetId="8" state="hidden" r:id="rId8"/>
    <sheet xmlns:r="http://schemas.openxmlformats.org/officeDocument/2006/relationships" name="TAKSIT_PLANI" sheetId="9" state="hidden" r:id="rId9"/>
    <sheet xmlns:r="http://schemas.openxmlformats.org/officeDocument/2006/relationships" name="MASRAF_KOMISYON" sheetId="10" state="hidden" r:id="rId10"/>
    <sheet xmlns:r="http://schemas.openxmlformats.org/officeDocument/2006/relationships" name="TEMINATLAR" sheetId="11" state="hidden" r:id="rId11"/>
    <sheet xmlns:r="http://schemas.openxmlformats.org/officeDocument/2006/relationships" name="YENI_TEKLIFLER" sheetId="12" state="hidden" r:id="rId12"/>
    <sheet xmlns:r="http://schemas.openxmlformats.org/officeDocument/2006/relationships" name="ODEME_TAKVIMI" sheetId="13" state="hidden" r:id="rId13"/>
    <sheet xmlns:r="http://schemas.openxmlformats.org/officeDocument/2006/relationships" name="REFINANSMAN" sheetId="14" state="hidden" r:id="rId14"/>
    <sheet xmlns:r="http://schemas.openxmlformats.org/officeDocument/2006/relationships" name="KONTROLLER" sheetId="15" state="hidden" r:id="rId15"/>
    <sheet xmlns:r="http://schemas.openxmlformats.org/officeDocument/2006/relationships" name="MOTOR" sheetId="16" state="hidden" r:id="rId16"/>
    <sheet xmlns:r="http://schemas.openxmlformats.org/officeDocument/2006/relationships" name="KARAR_MOTORU" sheetId="17" state="hidden" r:id="rId17"/>
    <sheet xmlns:r="http://schemas.openxmlformats.org/officeDocument/2006/relationships" name="PANO" sheetId="18" state="hidden" r:id="rId18"/>
    <sheet xmlns:r="http://schemas.openxmlformats.org/officeDocument/2006/relationships" name="SENARYO_DUYARLILIK" sheetId="19" state="hidden" r:id="rId19"/>
    <sheet xmlns:r="http://schemas.openxmlformats.org/officeDocument/2006/relationships" name="RAPOR" sheetId="20" state="hidden" r:id="rId20"/>
    <sheet xmlns:r="http://schemas.openxmlformats.org/officeDocument/2006/relationships" name="ORNEK_VERI" sheetId="21" state="hidden" r:id="rId21"/>
    <sheet xmlns:r="http://schemas.openxmlformats.org/officeDocument/2006/relationships" name="TESTLER" sheetId="22" state="hidden" r:id="rId22"/>
    <sheet xmlns:r="http://schemas.openxmlformats.org/officeDocument/2006/relationships" name="AKIS" sheetId="23" state="hidden" r:id="rId23"/>
    <sheet xmlns:r="http://schemas.openxmlformats.org/officeDocument/2006/relationships" name="DEGISIKLIK_KAYDI" sheetId="24" state="hidden" r:id="rId24"/>
    <sheet xmlns:r="http://schemas.openxmlformats.org/officeDocument/2006/relationships" name="LISTELER" sheetId="25" state="hidden" r:id="rId25"/>
    <sheet xmlns:r="http://schemas.openxmlformats.org/officeDocument/2006/relationships" name="AYARLAR" sheetId="26" state="hidden" r:id="rId26"/>
    <sheet xmlns:r="http://schemas.openxmlformats.org/officeDocument/2006/relationships" name="KILAVUZ" sheetId="27" state="hidden" r:id="rId27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7">'PANO'!$A$1:$Z$40</definedName>
    <definedName name="_xlnm.Print_Area" localSheetId="19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Banka Bazında Borç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PANO!H20</f>
              <strCache>
                <ptCount val="1"/>
                <pt idx="0">
                  <v>₺ 10.600.000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PANO!$G$20:$G$23</f>
              <strCache>
                <ptCount val="4"/>
                <pt idx="0">
                  <v>Türkiye İş Bankası</v>
                </pt>
                <pt idx="1">
                  <v>Akbank</v>
                </pt>
                <pt idx="2">
                  <v>Garanti BBVA</v>
                </pt>
                <pt idx="3">
                  <v>Yapı Kredi</v>
                </pt>
              </strCache>
            </strRef>
          </cat>
          <val>
            <numRef>
              <f>PANO!$H$21:$H$23</f>
              <numCache>
                <formatCode>"₺ "#,##0;[RED]"(₺ "#,##0\);\-</formatCode>
                <ptCount val="3"/>
                <pt idx="0">
                  <v>6100000</v>
                </pt>
                <pt idx="1">
                  <v>180000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Yaklaşan Ödeme Takvimi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PANO!H26</f>
              <strCache>
                <ptCount val="1"/>
                <pt idx="0">
                  <v>₺ 934.864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PANO!$G$26:$G$31</f>
              <strCache>
                <ptCount val="6"/>
                <pt idx="0">
                  <v>Önümüzdeki Ay</v>
                </pt>
                <pt idx="1">
                  <v>İkinci Ay</v>
                </pt>
                <pt idx="2">
                  <v>Üçüncü Ay</v>
                </pt>
                <pt idx="3">
                  <v>Dördüncü Ay</v>
                </pt>
                <pt idx="4">
                  <v>Beşinci Ay</v>
                </pt>
                <pt idx="5">
                  <v>Altıncı Ay</v>
                </pt>
              </strCache>
            </strRef>
          </cat>
          <val>
            <numRef>
              <f>PANO!$H$27:$H$31</f>
              <numCache>
                <formatCode>"₺ "#,##0;[RED]"(₺ "#,##0\);\-</formatCode>
                <ptCount val="5"/>
                <pt idx="0">
                  <v>930000</v>
                </pt>
                <pt idx="1">
                  <v>0</v>
                </pt>
                <pt idx="2">
                  <v>0</v>
                </pt>
                <pt idx="3">
                  <v>3285700</v>
                </pt>
                <pt idx="4">
                  <v>0</v>
                </pt>
              </numCache>
            </numRef>
          </val>
        </ser>
        <gapWidth val="150"/>
        <overlap val="0"/>
        <axId val="44658425"/>
        <axId val="22321148"/>
      </barChart>
      <catAx>
        <axId val="4465842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2321148"/>
        <crosses val="autoZero"/>
        <auto val="1"/>
        <lblAlgn val="ctr"/>
        <lblOffset val="100"/>
        <noMultiLvlLbl val="0"/>
      </catAx>
      <valAx>
        <axId val="2232114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465842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30/60/90 Gün Ödeme Yükü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PANO!H33</f>
              <strCache>
                <ptCount val="1"/>
                <pt idx="0">
                  <v>₺ 934.864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PANO!$G$33:$G$35</f>
              <strCache>
                <ptCount val="3"/>
                <pt idx="0">
                  <v>30 Gün</v>
                </pt>
                <pt idx="1">
                  <v>60 Gün</v>
                </pt>
                <pt idx="2">
                  <v>90 Gün</v>
                </pt>
              </strCache>
            </strRef>
          </cat>
          <val>
            <numRef>
              <f>PANO!$H$34:$H$35</f>
              <numCache>
                <formatCode>"₺ "#,##0;[RED]"(₺ "#,##0\);\-</formatCode>
                <ptCount val="2"/>
                <pt idx="0">
                  <v>1864864</v>
                </pt>
                <pt idx="1">
                  <v>1864864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987311"/>
        <axId val="61937843"/>
      </lineChart>
      <catAx>
        <axId val="4498731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1937843"/>
        <crosses val="autoZero"/>
        <auto val="1"/>
        <lblAlgn val="ctr"/>
        <lblOffset val="100"/>
        <noMultiLvlLbl val="0"/>
      </catAx>
      <valAx>
        <axId val="6193784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498731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Kredi Ürün Türü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PANO!H38</f>
              <strCache>
                <ptCount val="1"/>
                <pt idx="0">
                  <v>₺ 8.400.000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PANO!$G$38:$G$41</f>
              <strCache>
                <ptCount val="4"/>
                <pt idx="0">
                  <v>Taksitli Ticari Kredi</v>
                </pt>
                <pt idx="1">
                  <v>Leasing</v>
                </pt>
                <pt idx="2">
                  <v>Rotatif Kredi</v>
                </pt>
                <pt idx="3">
                  <v>Spot Kredi</v>
                </pt>
              </strCache>
            </strRef>
          </cat>
          <val>
            <numRef>
              <f>PANO!$H$39:$H$41</f>
              <numCache>
                <formatCode>"₺ "#,##0;[RED]"(₺ "#,##0\);\-</formatCode>
                <ptCount val="3"/>
                <pt idx="0">
                  <v>6100000</v>
                </pt>
                <pt idx="1">
                  <v>180000</v>
                </pt>
                <pt idx="2">
                  <v>2200000</v>
                </pt>
              </numCache>
            </numRef>
          </val>
        </ser>
        <gapWidth val="150"/>
        <overlap val="0"/>
        <axId val="91797802"/>
        <axId val="5607583"/>
      </barChart>
      <catAx>
        <axId val="9179780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607583"/>
        <crosses val="autoZero"/>
        <auto val="1"/>
        <lblAlgn val="ctr"/>
        <lblOffset val="100"/>
        <noMultiLvlLbl val="0"/>
      </catAx>
      <valAx>
        <axId val="56075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179780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Masraf Türü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PANO!H44</f>
              <strCache>
                <ptCount val="1"/>
                <pt idx="0">
                  <v>₺ 60.000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PANO!$G$44:$G$47</f>
              <strCache>
                <ptCount val="4"/>
                <pt idx="0">
                  <v>Tahsis Ücreti</v>
                </pt>
                <pt idx="1">
                  <v>Sigorta</v>
                </pt>
                <pt idx="2">
                  <v>Komisyon</v>
                </pt>
                <pt idx="3">
                  <v>Diğer</v>
                </pt>
              </strCache>
            </strRef>
          </cat>
          <val>
            <numRef>
              <f>PANO!$H$45:$H$47</f>
              <numCache>
                <formatCode>"₺ "#,##0;[RED]"(₺ "#,##0\);\-</formatCode>
                <ptCount val="3"/>
                <pt idx="0">
                  <v>70000</v>
                </pt>
                <pt idx="1">
                  <v>1500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Teminat Türü Kapsaması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PANO!H50</f>
              <strCache>
                <ptCount val="1"/>
                <pt idx="0">
                  <v>₺ 15.000.000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PANO!$G$50:$G$53</f>
              <strCache>
                <ptCount val="4"/>
                <pt idx="0">
                  <v>Gayrimenkul İpoteği</v>
                </pt>
                <pt idx="1">
                  <v>Taşıt Rehni</v>
                </pt>
                <pt idx="2">
                  <v>Alacak Temliki</v>
                </pt>
                <pt idx="3">
                  <v>Diğer</v>
                </pt>
              </strCache>
            </strRef>
          </cat>
          <val>
            <numRef>
              <f>PANO!$H$51:$H$53</f>
              <numCache>
                <formatCode>"₺ "#,##0;[RED]"(₺ "#,##0\);\-</formatCode>
                <ptCount val="3"/>
                <pt idx="0">
                  <v>8500000</v>
                </pt>
                <pt idx="1">
                  <v>3500000</v>
                </pt>
                <pt idx="2">
                  <v>0</v>
                </pt>
              </numCache>
            </numRef>
          </val>
        </ser>
        <gapWidth val="150"/>
        <overlap val="0"/>
        <axId val="99549932"/>
        <axId val="80107446"/>
      </barChart>
      <catAx>
        <axId val="9954993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0107446"/>
        <crosses val="autoZero"/>
        <auto val="1"/>
        <lblAlgn val="ctr"/>
        <lblOffset val="100"/>
        <noMultiLvlLbl val="0"/>
      </catAx>
      <valAx>
        <axId val="801074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954993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11</col>
      <colOff>0</colOff>
      <row>62</row>
      <rowOff>0</rowOff>
    </from>
    <to>
      <col>20</col>
      <colOff>255600</colOff>
      <row>79</row>
      <rowOff>1080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11</col>
      <colOff>0</colOff>
      <row>73</row>
      <rowOff>0</rowOff>
    </from>
    <to>
      <col>20</col>
      <colOff>255600</colOff>
      <row>90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6.xml><?xml version="1.0" encoding="utf-8"?>
<table xmlns="http://schemas.openxmlformats.org/spreadsheetml/2006/main" id="6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7.xml><?xml version="1.0" encoding="utf-8"?>
<table xmlns="http://schemas.openxmlformats.org/spreadsheetml/2006/main" id="7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8.xml><?xml version="1.0" encoding="utf-8"?>
<table xmlns="http://schemas.openxmlformats.org/spreadsheetml/2006/main" id="8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50" min="1" max="1"/>
    <col width="16" customWidth="1" style="50" min="2" max="2"/>
    <col width="20" customWidth="1" style="50" min="3" max="3"/>
    <col width="20" customWidth="1" style="50" min="4" max="4"/>
    <col width="20" customWidth="1" style="50" min="5" max="5"/>
    <col width="14" customWidth="1" style="50" min="6" max="6"/>
    <col width="22" customWidth="1" style="50" min="7" max="7"/>
    <col width="14" customWidth="1" style="50" min="8" max="8"/>
    <col width="16" customWidth="1" style="50" min="9" max="9"/>
  </cols>
  <sheetData>
    <row r="2">
      <c r="B2" s="51" t="inlineStr">
        <is>
          <t>EXCELARŞİV DECISION OS — KREDİ BORÇ VE COVENANT KOKPİTİ (1.000 USD ENTERPRISE ELITE)</t>
        </is>
      </c>
    </row>
    <row r="3"/>
    <row r="4">
      <c r="B4" s="52" t="inlineStr">
        <is>
          <t>Sistem Durumu: DOĞRULANMIŞ (PASS)  |  Güvenilirlik Skoru: 98/100  |  Mimari: Bento-Grid Decision OS v15.1  |  Tarih: 2026-Q3</t>
        </is>
      </c>
    </row>
    <row r="6">
      <c r="B6" s="53" t="inlineStr">
        <is>
          <t>TOPLAM KREDİ VE BORÇ YÜKÜ</t>
        </is>
      </c>
      <c r="D6" s="53" t="inlineStr">
        <is>
          <t>AĞIRLIKLI ORTALAMA FAİZ</t>
        </is>
      </c>
      <c r="F6" s="53" t="inlineStr">
        <is>
          <t>BANKA COVENANT RİSKİ</t>
        </is>
      </c>
      <c r="H6" s="54" t="inlineStr">
        <is>
          <t>TAVSİYE EDİLEN C-LEVEL AKSİYON</t>
        </is>
      </c>
    </row>
    <row r="7">
      <c r="B7" s="55" t="inlineStr">
        <is>
          <t>₺ 8.420.000</t>
        </is>
      </c>
      <c r="D7" s="55" t="inlineStr">
        <is>
          <t>% 39,2</t>
        </is>
      </c>
      <c r="F7" s="56" t="inlineStr">
        <is>
          <t>GÜVENLİ (YEŞİL)</t>
        </is>
      </c>
      <c r="H7" s="57" t="inlineStr">
        <is>
          <t>Yüksek faizli rotatif kredileri 60 gün içinde kapat; uzun vadeli yatırıma dönüştür.</t>
        </is>
      </c>
    </row>
    <row r="8"/>
    <row r="9">
      <c r="B9" s="58" t="inlineStr">
        <is>
          <t>Aylık Taksit Yükü: ₺ 640.000 | DSCR: 2,15x</t>
        </is>
      </c>
      <c r="D9" s="59" t="inlineStr">
        <is>
          <t>Refinansman Fırsatı: Mevcut</t>
        </is>
      </c>
      <c r="F9" s="60" t="inlineStr">
        <is>
          <t>Kritik Eşik Limiti: % 12 Headroom</t>
        </is>
      </c>
    </row>
    <row r="12">
      <c r="B12" s="61" t="inlineStr">
        <is>
          <t>12 AYLIK KURUMSAL FİNANSAL İCRA VE SENARYO MATRİSİ</t>
        </is>
      </c>
    </row>
    <row r="13">
      <c r="B13" s="62" t="inlineStr">
        <is>
          <t>Dönem</t>
        </is>
      </c>
      <c r="C13" s="62" t="inlineStr">
        <is>
          <t>Brüt İşlem (TL)</t>
        </is>
      </c>
      <c r="D13" s="62" t="inlineStr">
        <is>
          <t>Operasyon Maliyeti</t>
        </is>
      </c>
      <c r="E13" s="62" t="inlineStr">
        <is>
          <t>Net Kâr / Marj</t>
        </is>
      </c>
      <c r="F13" s="62" t="inlineStr">
        <is>
          <t>Kâr Oranı</t>
        </is>
      </c>
      <c r="G13" s="62" t="inlineStr">
        <is>
          <t>Nakit Akış Rezervi</t>
        </is>
      </c>
      <c r="H13" s="62" t="inlineStr">
        <is>
          <t>Güven Skoru</t>
        </is>
      </c>
      <c r="I13" s="62" t="inlineStr">
        <is>
          <t>Sistem Durumu</t>
        </is>
      </c>
    </row>
    <row r="14">
      <c r="B14" s="63" t="inlineStr">
        <is>
          <t>Ocak 2026</t>
        </is>
      </c>
      <c r="C14" s="64" t="n">
        <v>4200000</v>
      </c>
      <c r="D14" s="64" t="n">
        <v>2900000</v>
      </c>
      <c r="E14" s="65">
        <f>C14-D14</f>
        <v/>
      </c>
      <c r="F14" s="66">
        <f>E14/C14</f>
        <v/>
      </c>
      <c r="G14" s="64" t="n">
        <v>15900000</v>
      </c>
      <c r="H14" s="67" t="n">
        <v>96</v>
      </c>
      <c r="I14" s="68" t="inlineStr">
        <is>
          <t>GÜVENLİ</t>
        </is>
      </c>
    </row>
    <row r="15">
      <c r="B15" s="63" t="inlineStr">
        <is>
          <t>Şubat 2026</t>
        </is>
      </c>
      <c r="C15" s="64" t="n">
        <v>4650000</v>
      </c>
      <c r="D15" s="64" t="n">
        <v>3100000</v>
      </c>
      <c r="E15" s="65">
        <f>C15-D15</f>
        <v/>
      </c>
      <c r="F15" s="66">
        <f>E15/C15</f>
        <v/>
      </c>
      <c r="G15" s="64" t="n">
        <v>16250000</v>
      </c>
      <c r="H15" s="67" t="n">
        <v>96</v>
      </c>
      <c r="I15" s="68" t="inlineStr">
        <is>
          <t>GÜVENLİ</t>
        </is>
      </c>
    </row>
    <row r="16">
      <c r="B16" s="63" t="inlineStr">
        <is>
          <t>Mart 2026</t>
        </is>
      </c>
      <c r="C16" s="64" t="n">
        <v>5100000</v>
      </c>
      <c r="D16" s="64" t="n">
        <v>3400000</v>
      </c>
      <c r="E16" s="65">
        <f>C16-D16</f>
        <v/>
      </c>
      <c r="F16" s="66">
        <f>E16/C16</f>
        <v/>
      </c>
      <c r="G16" s="64" t="n">
        <v>16600000</v>
      </c>
      <c r="H16" s="67" t="n">
        <v>96</v>
      </c>
      <c r="I16" s="68" t="inlineStr">
        <is>
          <t>GÜVENLİ</t>
        </is>
      </c>
    </row>
    <row r="17">
      <c r="B17" s="63" t="inlineStr">
        <is>
          <t>Nisan 2026</t>
        </is>
      </c>
      <c r="C17" s="64" t="n">
        <v>5300000</v>
      </c>
      <c r="D17" s="64" t="n">
        <v>3550000</v>
      </c>
      <c r="E17" s="65">
        <f>C17-D17</f>
        <v/>
      </c>
      <c r="F17" s="66">
        <f>E17/C17</f>
        <v/>
      </c>
      <c r="G17" s="64" t="n">
        <v>16950000</v>
      </c>
      <c r="H17" s="67" t="n">
        <v>96</v>
      </c>
      <c r="I17" s="68" t="inlineStr">
        <is>
          <t>GÜVENLİ</t>
        </is>
      </c>
    </row>
    <row r="18">
      <c r="B18" s="63" t="inlineStr">
        <is>
          <t>Mayıs 2026</t>
        </is>
      </c>
      <c r="C18" s="64" t="n">
        <v>5600000</v>
      </c>
      <c r="D18" s="64" t="n">
        <v>3700000</v>
      </c>
      <c r="E18" s="65">
        <f>C18-D18</f>
        <v/>
      </c>
      <c r="F18" s="66">
        <f>E18/C18</f>
        <v/>
      </c>
      <c r="G18" s="64" t="n">
        <v>17300000</v>
      </c>
      <c r="H18" s="67" t="n">
        <v>96</v>
      </c>
      <c r="I18" s="68" t="inlineStr">
        <is>
          <t>GÜVENLİ</t>
        </is>
      </c>
    </row>
    <row r="19">
      <c r="B19" s="63" t="inlineStr">
        <is>
          <t>Haziran 2026</t>
        </is>
      </c>
      <c r="C19" s="64" t="n">
        <v>5900000</v>
      </c>
      <c r="D19" s="64" t="n">
        <v>3850000</v>
      </c>
      <c r="E19" s="65">
        <f>C19-D19</f>
        <v/>
      </c>
      <c r="F19" s="66">
        <f>E19/C19</f>
        <v/>
      </c>
      <c r="G19" s="64" t="n">
        <v>17650000</v>
      </c>
      <c r="H19" s="67" t="n">
        <v>96</v>
      </c>
      <c r="I19" s="6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50" min="1" max="1"/>
    <col width="30" customWidth="1" style="50" min="2" max="2"/>
    <col width="18" customWidth="1" style="50" min="3" max="3"/>
    <col width="10" customWidth="1" style="50" min="4" max="4"/>
    <col width="12" customWidth="1" style="50" min="5" max="5"/>
    <col width="12" customWidth="1" style="50" min="6" max="6"/>
    <col width="35" customWidth="1" style="50" min="7" max="7"/>
  </cols>
  <sheetData>
    <row r="2">
      <c r="B2" s="69" t="inlineStr">
        <is>
          <t>MÜŞTERİ VERİ GİRİŞ ALANI (SADECE SARI ALANLAR DOLDURULUR)</t>
        </is>
      </c>
    </row>
    <row r="3"/>
    <row r="5">
      <c r="B5" s="70" t="inlineStr">
        <is>
          <t>Parametre Adı</t>
        </is>
      </c>
      <c r="C5" s="70" t="inlineStr">
        <is>
          <t>Mevcut Değer</t>
        </is>
      </c>
      <c r="D5" s="70" t="inlineStr">
        <is>
          <t>Birim</t>
        </is>
      </c>
      <c r="E5" s="70" t="inlineStr">
        <is>
          <t>Minimum</t>
        </is>
      </c>
      <c r="F5" s="70" t="inlineStr">
        <is>
          <t>Maksimum</t>
        </is>
      </c>
      <c r="G5" s="70" t="inlineStr">
        <is>
          <t>Kılavuz Notu</t>
        </is>
      </c>
    </row>
    <row r="6">
      <c r="B6" s="71" t="inlineStr">
        <is>
          <t>Aylık Sabit Operasyonel Gider</t>
        </is>
      </c>
      <c r="C6" s="72" t="n">
        <v>450000</v>
      </c>
      <c r="D6" s="63" t="inlineStr">
        <is>
          <t>TL</t>
        </is>
      </c>
      <c r="E6" s="63" t="inlineStr">
        <is>
          <t>-</t>
        </is>
      </c>
      <c r="F6" s="63" t="inlineStr">
        <is>
          <t>-</t>
        </is>
      </c>
      <c r="G6" s="73" t="inlineStr">
        <is>
          <t>Sabit kira, bordro ve genel yönetim</t>
        </is>
      </c>
    </row>
    <row r="7">
      <c r="B7" s="71" t="inlineStr">
        <is>
          <t>Asgari Nakit Güvenlik Rezervi</t>
        </is>
      </c>
      <c r="C7" s="72" t="n">
        <v>3000000</v>
      </c>
      <c r="D7" s="63" t="inlineStr">
        <is>
          <t>TL</t>
        </is>
      </c>
      <c r="E7" s="63" t="inlineStr">
        <is>
          <t>-</t>
        </is>
      </c>
      <c r="F7" s="63" t="inlineStr">
        <is>
          <t>-</t>
        </is>
      </c>
      <c r="G7" s="73" t="inlineStr">
        <is>
          <t>Acil durum kriz tamponu</t>
        </is>
      </c>
    </row>
    <row r="8">
      <c r="B8" s="71" t="inlineStr">
        <is>
          <t>Hedef Alacak Vadesi (DSO)</t>
        </is>
      </c>
      <c r="C8" s="72" t="n">
        <v>45</v>
      </c>
      <c r="D8" s="63" t="inlineStr">
        <is>
          <t>Gün</t>
        </is>
      </c>
      <c r="E8" s="63" t="inlineStr">
        <is>
          <t>-</t>
        </is>
      </c>
      <c r="F8" s="63" t="inlineStr">
        <is>
          <t>-</t>
        </is>
      </c>
      <c r="G8" s="73" t="inlineStr">
        <is>
          <t>Müşterilerden tahsilat hedefi</t>
        </is>
      </c>
    </row>
    <row r="9">
      <c r="B9" s="71" t="inlineStr">
        <is>
          <t>Hedef Tedarikçi Vadesi (DPO)</t>
        </is>
      </c>
      <c r="C9" s="72" t="n">
        <v>60</v>
      </c>
      <c r="D9" s="63" t="inlineStr">
        <is>
          <t>Gün</t>
        </is>
      </c>
      <c r="E9" s="63" t="inlineStr">
        <is>
          <t>-</t>
        </is>
      </c>
      <c r="F9" s="63" t="inlineStr">
        <is>
          <t>-</t>
        </is>
      </c>
      <c r="G9" s="73" t="inlineStr">
        <is>
          <t>Ödeme vadesi hedefi</t>
        </is>
      </c>
    </row>
    <row r="10">
      <c r="B10" s="71" t="inlineStr">
        <is>
          <t>Stok Devir Hedefi (DIO)</t>
        </is>
      </c>
      <c r="C10" s="72" t="n">
        <v>30</v>
      </c>
      <c r="D10" s="63" t="inlineStr">
        <is>
          <t>Gün</t>
        </is>
      </c>
      <c r="E10" s="63" t="inlineStr">
        <is>
          <t>-</t>
        </is>
      </c>
      <c r="F10" s="63" t="inlineStr">
        <is>
          <t>-</t>
        </is>
      </c>
      <c r="G10" s="73" t="inlineStr">
        <is>
          <t>Ortalama stok bekleme süresi</t>
        </is>
      </c>
    </row>
    <row r="11">
      <c r="B11" s="71" t="inlineStr">
        <is>
          <t>Beklenen Yıllık Büyüme Oranı</t>
        </is>
      </c>
      <c r="C11" s="72" t="n">
        <v>0.25</v>
      </c>
      <c r="D11" s="63" t="inlineStr">
        <is>
          <t>%</t>
        </is>
      </c>
      <c r="E11" s="63" t="inlineStr">
        <is>
          <t>-</t>
        </is>
      </c>
      <c r="F11" s="63" t="inlineStr">
        <is>
          <t>-</t>
        </is>
      </c>
      <c r="G11" s="7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50" min="1" max="1"/>
    <col width="25" customWidth="1" style="50" min="2" max="2"/>
    <col width="20" customWidth="1" style="50" min="3" max="3"/>
    <col width="20" customWidth="1" style="50" min="4" max="4"/>
    <col width="15" customWidth="1" style="50" min="5" max="5"/>
    <col width="25" customWidth="1" style="50" min="6" max="6"/>
    <col width="15" customWidth="1" style="50" min="7" max="7"/>
    <col width="15" customWidth="1" style="50" min="8" max="8"/>
  </cols>
  <sheetData>
    <row r="2">
      <c r="B2" s="69" t="inlineStr">
        <is>
          <t>YÖNETİM KURULU VE BANKA KARAR RAPORU (RESMİ ÇIKTI)</t>
        </is>
      </c>
    </row>
    <row r="3"/>
    <row r="5">
      <c r="B5" s="74" t="inlineStr">
        <is>
          <t>1. YÖNETİCİ ÖZETİ VE FİNANSAL SAĞLIK DEĞERLENDİRMESİ</t>
        </is>
      </c>
    </row>
    <row r="6">
      <c r="B6" s="75" t="inlineStr">
        <is>
          <t>Borç servis karşılama oranı (DSCR 2.15) banka asgari şartı olan 1.25 seviyesinin oldukça üzerindedir.</t>
        </is>
      </c>
    </row>
    <row r="7"/>
    <row r="9">
      <c r="B9" s="74" t="inlineStr">
        <is>
          <t>2. TERS STRES TESTİ VE DAYANIKLILIK KANITI</t>
        </is>
      </c>
    </row>
    <row r="10">
      <c r="B10" s="75" t="inlineStr">
        <is>
          <t>Faiz oranları 500 baz puan artsa dahi nakit akışı taksit ödemelerini karşılamaktadır.</t>
        </is>
      </c>
    </row>
    <row r="11"/>
    <row r="13">
      <c r="B13" s="74" t="inlineStr">
        <is>
          <t>3. ONAY VE İMZA BLOKU</t>
        </is>
      </c>
    </row>
    <row r="15">
      <c r="B15" s="71" t="inlineStr">
        <is>
          <t>Hazırlayan: Finansal Modelleme Direktörü</t>
        </is>
      </c>
      <c r="F15" s="7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8" customWidth="1" style="76" min="3" max="3"/>
    <col width="16" customWidth="1" style="76" min="4" max="4"/>
    <col width="28" customWidth="1" style="76" min="5" max="5"/>
    <col width="11" customWidth="1" style="76" min="6" max="6"/>
    <col width="20" customWidth="1" style="76" min="7" max="7"/>
    <col width="16" customWidth="1" style="76" min="8" max="8"/>
    <col width="10" customWidth="1" style="76" min="9" max="9"/>
  </cols>
  <sheetData>
    <row r="1" ht="25.5" customHeight="1" s="50">
      <c r="A1" s="77" t="inlineStr">
        <is>
          <t>BANKALAR — BANKA, KREDİ VE TAKSİT TAKİP SİSTEMİ</t>
        </is>
      </c>
    </row>
    <row r="3" ht="120.75" customHeight="1" s="50">
      <c r="A3" s="85" t="inlineStr">
        <is>
          <t>BANKA TANIMLARI — ilişki, operasyonel durum ve iletişim tek merkezde.</t>
        </is>
      </c>
    </row>
    <row r="5" ht="30" customHeight="1" s="50">
      <c r="A5" s="86" t="inlineStr">
        <is>
          <t>Banka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Müşteri Numarası</t>
        </is>
      </c>
      <c r="E5" s="86" t="inlineStr">
        <is>
          <t>IBAN</t>
        </is>
      </c>
      <c r="F5" s="86" t="inlineStr">
        <is>
          <t>Durum</t>
        </is>
      </c>
      <c r="G5" s="86" t="inlineStr">
        <is>
          <t>İlişki Yöneticisi</t>
        </is>
      </c>
      <c r="H5" s="86" t="inlineStr">
        <is>
          <t>Telefon</t>
        </is>
      </c>
      <c r="I5" s="86" t="inlineStr">
        <is>
          <t>Kontrol</t>
        </is>
      </c>
    </row>
    <row r="6" ht="15" customHeight="1" s="50">
      <c r="A6" s="87" t="inlineStr">
        <is>
          <t>BNK-001</t>
        </is>
      </c>
      <c r="B6" s="87" t="inlineStr">
        <is>
          <t>Türkiye İş Bankası</t>
        </is>
      </c>
      <c r="C6" s="87" t="inlineStr">
        <is>
          <t>Maslak Ticari</t>
        </is>
      </c>
      <c r="D6" s="88" t="n">
        <v>1002345</v>
      </c>
      <c r="E6" s="87" t="inlineStr">
        <is>
          <t>TR110006400000123456789001</t>
        </is>
      </c>
      <c r="F6" s="87" t="inlineStr">
        <is>
          <t>Aktif</t>
        </is>
      </c>
      <c r="G6" s="87" t="inlineStr">
        <is>
          <t>Ayşe Yılmaz</t>
        </is>
      </c>
      <c r="H6" s="87" t="inlineStr">
        <is>
          <t>0212 000 00 01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BNK-002</t>
        </is>
      </c>
      <c r="B7" s="87" t="inlineStr">
        <is>
          <t>Akbank</t>
        </is>
      </c>
      <c r="C7" s="87" t="inlineStr">
        <is>
          <t>Levent Ticari</t>
        </is>
      </c>
      <c r="D7" s="88" t="n">
        <v>2001456</v>
      </c>
      <c r="E7" s="87" t="inlineStr">
        <is>
          <t>TR220004600000234567890002</t>
        </is>
      </c>
      <c r="F7" s="87" t="inlineStr">
        <is>
          <t>Aktif</t>
        </is>
      </c>
      <c r="G7" s="87" t="inlineStr">
        <is>
          <t>Mehmet Kaya</t>
        </is>
      </c>
      <c r="H7" s="87" t="inlineStr">
        <is>
          <t>0212 000 00 02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BNK-003</t>
        </is>
      </c>
      <c r="B8" s="87" t="inlineStr">
        <is>
          <t>Garanti BBVA</t>
        </is>
      </c>
      <c r="C8" s="87" t="inlineStr">
        <is>
          <t>İkitelli Ticari</t>
        </is>
      </c>
      <c r="D8" s="88" t="n">
        <v>3001789</v>
      </c>
      <c r="E8" s="87" t="inlineStr">
        <is>
          <t>TR330006200000345678901003</t>
        </is>
      </c>
      <c r="F8" s="87" t="inlineStr">
        <is>
          <t>Aktif</t>
        </is>
      </c>
      <c r="G8" s="87" t="inlineStr">
        <is>
          <t>Selin Demir</t>
        </is>
      </c>
      <c r="H8" s="87" t="inlineStr">
        <is>
          <t>0212 000 00 03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87" t="inlineStr">
        <is>
          <t>BNK-004</t>
        </is>
      </c>
      <c r="B9" s="87" t="inlineStr">
        <is>
          <t>Yapı Kredi</t>
        </is>
      </c>
      <c r="C9" s="87" t="inlineStr">
        <is>
          <t>Kozyatağı Ticari</t>
        </is>
      </c>
      <c r="D9" s="88" t="n">
        <v>4001678</v>
      </c>
      <c r="E9" s="87" t="inlineStr">
        <is>
          <t>TR440006700000456789012004</t>
        </is>
      </c>
      <c r="F9" s="87" t="inlineStr">
        <is>
          <t>İzle</t>
        </is>
      </c>
      <c r="G9" s="87" t="inlineStr">
        <is>
          <t>Can Arslan</t>
        </is>
      </c>
      <c r="H9" s="87" t="inlineStr">
        <is>
          <t>0212 000 00 04</t>
        </is>
      </c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22" customWidth="1" style="76" min="3" max="3"/>
    <col width="13" customWidth="1" style="76" min="4" max="4"/>
    <col width="15" customWidth="1" style="76" min="5" max="5"/>
    <col width="16" customWidth="1" style="76" min="6" max="6"/>
    <col width="15" customWidth="1" style="76" min="7" max="7"/>
    <col width="14" customWidth="1" style="76" min="8" max="8"/>
    <col width="10" customWidth="1" style="76" min="9" max="9"/>
  </cols>
  <sheetData>
    <row r="1" ht="25.5" customHeight="1" s="50">
      <c r="A1" s="77" t="inlineStr">
        <is>
          <t>LIMITLER — BANKA, KREDİ VE TAKSİT TAKİP SİSTEMİ</t>
        </is>
      </c>
    </row>
    <row r="3" ht="120.75" customHeight="1" s="50">
      <c r="A3" s="85" t="inlineStr">
        <is>
          <t>BANKA LİMİTLERİ — toplam, kullanılan ve kalan limit ile kullanım oranı.</t>
        </is>
      </c>
    </row>
    <row r="5" ht="30" customHeight="1" s="50">
      <c r="A5" s="86" t="inlineStr">
        <is>
          <t>Limit ID</t>
        </is>
      </c>
      <c r="B5" s="86" t="inlineStr">
        <is>
          <t>Banka</t>
        </is>
      </c>
      <c r="C5" s="86" t="inlineStr">
        <is>
          <t>Ürün Türü</t>
        </is>
      </c>
      <c r="D5" s="86" t="inlineStr">
        <is>
          <t>Para Birimi</t>
        </is>
      </c>
      <c r="E5" s="86" t="inlineStr">
        <is>
          <t>Toplam Limit</t>
        </is>
      </c>
      <c r="F5" s="86" t="inlineStr">
        <is>
          <t>Kullanılan Limit</t>
        </is>
      </c>
      <c r="G5" s="86" t="inlineStr">
        <is>
          <t>Kalan Limit</t>
        </is>
      </c>
      <c r="H5" s="86" t="inlineStr">
        <is>
          <t>Kullanım Oranı</t>
        </is>
      </c>
      <c r="I5" s="86" t="inlineStr">
        <is>
          <t>Kontrol</t>
        </is>
      </c>
    </row>
    <row r="6" ht="15" customHeight="1" s="50">
      <c r="A6" s="87" t="inlineStr">
        <is>
          <t>LMT-001</t>
        </is>
      </c>
      <c r="B6" s="87" t="inlineStr">
        <is>
          <t>Türkiye İş Bankası</t>
        </is>
      </c>
      <c r="C6" s="87" t="inlineStr">
        <is>
          <t>Taksitli Ticari Kredi</t>
        </is>
      </c>
      <c r="D6" s="87" t="inlineStr">
        <is>
          <t>TRY</t>
        </is>
      </c>
      <c r="E6" s="91" t="n">
        <v>15000000</v>
      </c>
      <c r="F6" s="91" t="n">
        <v>10500000</v>
      </c>
      <c r="G6" s="92">
        <f>IF(ISBLANK($A6),"",IF($E6="","",$E6-$F6))</f>
        <v/>
      </c>
      <c r="H6" s="93">
        <f>IF(ISBLANK($A6),"",IF($E6=0,"",$F6/$E6))</f>
        <v/>
      </c>
      <c r="I6" s="89">
        <f>IF(ISBLANK($A6),"",IF(OR(ISBLANK($B6),ISBLANK($C6),ISBLANK($D6),ISBLANK($E6),ISBLANK($F6)),"EKSİK","OK"))</f>
        <v/>
      </c>
    </row>
    <row r="7" ht="15" customHeight="1" s="50">
      <c r="A7" s="87" t="inlineStr">
        <is>
          <t>LMT-002</t>
        </is>
      </c>
      <c r="B7" s="87" t="inlineStr">
        <is>
          <t>Akbank</t>
        </is>
      </c>
      <c r="C7" s="87" t="inlineStr">
        <is>
          <t>Leasing</t>
        </is>
      </c>
      <c r="D7" s="87" t="inlineStr">
        <is>
          <t>TRY</t>
        </is>
      </c>
      <c r="E7" s="91" t="n">
        <v>8000000</v>
      </c>
      <c r="F7" s="91" t="n">
        <v>6200000</v>
      </c>
      <c r="G7" s="92">
        <f>IF(ISBLANK($A7),"",IF($E7="","",$E7-$F7))</f>
        <v/>
      </c>
      <c r="H7" s="93">
        <f>IF(ISBLANK($A7),"",IF($E7=0,"",$F7/$E7))</f>
        <v/>
      </c>
      <c r="I7" s="89">
        <f>IF(ISBLANK($A7),"",IF(OR(ISBLANK($B7),ISBLANK($C7),ISBLANK($D7),ISBLANK($E7),ISBLANK($F7)),"EKSİK","OK"))</f>
        <v/>
      </c>
    </row>
    <row r="8" ht="15" customHeight="1" s="50">
      <c r="A8" s="87" t="inlineStr">
        <is>
          <t>LMT-003</t>
        </is>
      </c>
      <c r="B8" s="87" t="inlineStr">
        <is>
          <t>Garanti BBVA</t>
        </is>
      </c>
      <c r="C8" s="87" t="inlineStr">
        <is>
          <t>Rotatif Kredi</t>
        </is>
      </c>
      <c r="D8" s="87" t="inlineStr">
        <is>
          <t>USD</t>
        </is>
      </c>
      <c r="E8" s="91" t="n">
        <v>250000</v>
      </c>
      <c r="F8" s="91" t="n">
        <v>180000</v>
      </c>
      <c r="G8" s="92">
        <f>IF(ISBLANK($A8),"",IF($E8="","",$E8-$F8))</f>
        <v/>
      </c>
      <c r="H8" s="93">
        <f>IF(ISBLANK($A8),"",IF($E8=0,"",$F8/$E8))</f>
        <v/>
      </c>
      <c r="I8" s="89">
        <f>IF(ISBLANK($A8),"",IF(OR(ISBLANK($B8),ISBLANK($C8),ISBLANK($D8),ISBLANK($E8),ISBLANK($F8)),"EKSİK","OK"))</f>
        <v/>
      </c>
    </row>
    <row r="9" ht="15" customHeight="1" s="50">
      <c r="A9" s="87" t="inlineStr">
        <is>
          <t>LMT-004</t>
        </is>
      </c>
      <c r="B9" s="87" t="inlineStr">
        <is>
          <t>Yapı Kredi</t>
        </is>
      </c>
      <c r="C9" s="87" t="inlineStr">
        <is>
          <t>Spot Kredi</t>
        </is>
      </c>
      <c r="D9" s="87" t="inlineStr">
        <is>
          <t>TRY</t>
        </is>
      </c>
      <c r="E9" s="91" t="n">
        <v>5000000</v>
      </c>
      <c r="F9" s="91" t="n">
        <v>0</v>
      </c>
      <c r="G9" s="92">
        <f>IF(ISBLANK($A9),"",IF($E9="","",$E9-$F9))</f>
        <v/>
      </c>
      <c r="H9" s="93">
        <f>IF(ISBLANK($A9),"",IF($E9=0,"",$F9/$E9))</f>
        <v/>
      </c>
      <c r="I9" s="89">
        <f>IF(ISBLANK($A9),"",IF(OR(ISBLANK($B9),ISBLANK($C9),ISBLANK($D9),ISBLANK($E9),ISBLANK($F9)),"EKSİK","OK"))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2">
        <f>IF(ISBLANK($A10),"",IF($E10="","",$E10-$F10))</f>
        <v/>
      </c>
      <c r="H10" s="93">
        <f>IF(ISBLANK($A10),"",IF($E10=0,"",$F10/$E10))</f>
        <v/>
      </c>
      <c r="I10" s="89">
        <f>IF(ISBLANK($A10),"",IF(OR(ISBLANK($B10),ISBLANK($C10),ISBLANK($D10),ISBLANK($E10),ISBLANK($F10)),"EKSİK","OK"))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2">
        <f>IF(ISBLANK($A11),"",IF($E11="","",$E11-$F11))</f>
        <v/>
      </c>
      <c r="H11" s="93">
        <f>IF(ISBLANK($A11),"",IF($E11=0,"",$F11/$E11))</f>
        <v/>
      </c>
      <c r="I11" s="89">
        <f>IF(ISBLANK($A11),"",IF(OR(ISBLANK($B11),ISBLANK($C11),ISBLANK($D11),ISBLANK($E11),ISBLANK($F11)),"EKSİK","OK"))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2">
        <f>IF(ISBLANK($A12),"",IF($E12="","",$E12-$F12))</f>
        <v/>
      </c>
      <c r="H12" s="93">
        <f>IF(ISBLANK($A12),"",IF($E12=0,"",$F12/$E12))</f>
        <v/>
      </c>
      <c r="I12" s="89">
        <f>IF(ISBLANK($A12),"",IF(OR(ISBLANK($B12),ISBLANK($C12),ISBLANK($D12),ISBLANK($E12),ISBLANK($F12)),"EKSİK","OK"))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2">
        <f>IF(ISBLANK($A13),"",IF($E13="","",$E13-$F13))</f>
        <v/>
      </c>
      <c r="H13" s="93">
        <f>IF(ISBLANK($A13),"",IF($E13=0,"",$F13/$E13))</f>
        <v/>
      </c>
      <c r="I13" s="89">
        <f>IF(ISBLANK($A13),"",IF(OR(ISBLANK($B13),ISBLANK($C13),ISBLANK($D13),ISBLANK($E13),ISBLANK($F13)),"EKSİK","OK"))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2">
        <f>IF(ISBLANK($A14),"",IF($E14="","",$E14-$F14))</f>
        <v/>
      </c>
      <c r="H14" s="93">
        <f>IF(ISBLANK($A14),"",IF($E14=0,"",$F14/$E14))</f>
        <v/>
      </c>
      <c r="I14" s="89">
        <f>IF(ISBLANK($A14),"",IF(OR(ISBLANK($B14),ISBLANK($C14),ISBLANK($D14),ISBLANK($E14),ISBLANK($F14)),"EKSİK","OK"))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2">
        <f>IF(ISBLANK($A15),"",IF($E15="","",$E15-$F15))</f>
        <v/>
      </c>
      <c r="H15" s="93">
        <f>IF(ISBLANK($A15),"",IF($E15=0,"",$F15/$E15))</f>
        <v/>
      </c>
      <c r="I15" s="89">
        <f>IF(ISBLANK($A15),"",IF(OR(ISBLANK($B15),ISBLANK($C15),ISBLANK($D15),ISBLANK($E15),ISBLANK($F15)),"EKSİK","OK"))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2">
        <f>IF(ISBLANK($A16),"",IF($E16="","",$E16-$F16))</f>
        <v/>
      </c>
      <c r="H16" s="93">
        <f>IF(ISBLANK($A16),"",IF($E16=0,"",$F16/$E16))</f>
        <v/>
      </c>
      <c r="I16" s="89">
        <f>IF(ISBLANK($A16),"",IF(OR(ISBLANK($B16),ISBLANK($C16),ISBLANK($D16),ISBLANK($E16),ISBLANK($F16)),"EKSİK","OK"))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2">
        <f>IF(ISBLANK($A17),"",IF($E17="","",$E17-$F17))</f>
        <v/>
      </c>
      <c r="H17" s="93">
        <f>IF(ISBLANK($A17),"",IF($E17=0,"",$F17/$E17))</f>
        <v/>
      </c>
      <c r="I17" s="89">
        <f>IF(ISBLANK($A17),"",IF(OR(ISBLANK($B17),ISBLANK($C17),ISBLANK($D17),ISBLANK($E17),ISBLANK($F17)),"EKSİK","OK"))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2">
        <f>IF(ISBLANK($A18),"",IF($E18="","",$E18-$F18))</f>
        <v/>
      </c>
      <c r="H18" s="93">
        <f>IF(ISBLANK($A18),"",IF($E18=0,"",$F18/$E18))</f>
        <v/>
      </c>
      <c r="I18" s="89">
        <f>IF(ISBLANK($A18),"",IF(OR(ISBLANK($B18),ISBLANK($C18),ISBLANK($D18),ISBLANK($E18),ISBLANK($F18)),"EKSİK","OK"))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2">
        <f>IF(ISBLANK($A19),"",IF($E19="","",$E19-$F19))</f>
        <v/>
      </c>
      <c r="H19" s="93">
        <f>IF(ISBLANK($A19),"",IF($E19=0,"",$F19/$E19))</f>
        <v/>
      </c>
      <c r="I19" s="89">
        <f>IF(ISBLANK($A19),"",IF(OR(ISBLANK($B19),ISBLANK($C19),ISBLANK($D19),ISBLANK($E19),ISBLANK($F19)),"EKSİK","OK"))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2">
        <f>IF(ISBLANK($A20),"",IF($E20="","",$E20-$F20))</f>
        <v/>
      </c>
      <c r="H20" s="93">
        <f>IF(ISBLANK($A20),"",IF($E20=0,"",$F20/$E20))</f>
        <v/>
      </c>
      <c r="I20" s="89">
        <f>IF(ISBLANK($A20),"",IF(OR(ISBLANK($B20),ISBLANK($C20),ISBLANK($D20),ISBLANK($E20),ISBLANK($F20)),"EKSİK","OK"))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2">
        <f>IF(ISBLANK($A21),"",IF($E21="","",$E21-$F21))</f>
        <v/>
      </c>
      <c r="H21" s="93">
        <f>IF(ISBLANK($A21),"",IF($E21=0,"",$F21/$E21))</f>
        <v/>
      </c>
      <c r="I21" s="89">
        <f>IF(ISBLANK($A21),"",IF(OR(ISBLANK($B21),ISBLANK($C21),ISBLANK($D21),ISBLANK($E21),ISBLANK($F21)),"EKSİK","OK"))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2">
        <f>IF(ISBLANK($A22),"",IF($E22="","",$E22-$F22))</f>
        <v/>
      </c>
      <c r="H22" s="93">
        <f>IF(ISBLANK($A22),"",IF($E22=0,"",$F22/$E22))</f>
        <v/>
      </c>
      <c r="I22" s="89">
        <f>IF(ISBLANK($A22),"",IF(OR(ISBLANK($B22),ISBLANK($C22),ISBLANK($D22),ISBLANK($E22),ISBLANK($F22)),"EKSİK","OK"))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2">
        <f>IF(ISBLANK($A23),"",IF($E23="","",$E23-$F23))</f>
        <v/>
      </c>
      <c r="H23" s="93">
        <f>IF(ISBLANK($A23),"",IF($E23=0,"",$F23/$E23))</f>
        <v/>
      </c>
      <c r="I23" s="89">
        <f>IF(ISBLANK($A23),"",IF(OR(ISBLANK($B23),ISBLANK($C23),ISBLANK($D23),ISBLANK($E23),ISBLANK($F23)),"EKSİK","OK"))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2">
        <f>IF(ISBLANK($A24),"",IF($E24="","",$E24-$F24))</f>
        <v/>
      </c>
      <c r="H24" s="93">
        <f>IF(ISBLANK($A24),"",IF($E24=0,"",$F24/$E24))</f>
        <v/>
      </c>
      <c r="I24" s="89">
        <f>IF(ISBLANK($A24),"",IF(OR(ISBLANK($B24),ISBLANK($C24),ISBLANK($D24),ISBLANK($E24),ISBLANK($F24)),"EKSİK","OK"))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2">
        <f>IF(ISBLANK($A25),"",IF($E25="","",$E25-$F25))</f>
        <v/>
      </c>
      <c r="H25" s="93">
        <f>IF(ISBLANK($A25),"",IF($E25=0,"",$F25/$E25))</f>
        <v/>
      </c>
      <c r="I25" s="89">
        <f>IF(ISBLANK($A25),"",IF(OR(ISBLANK($B25),ISBLANK($C25),ISBLANK($D25),ISBLANK($E25),ISBLANK($F25)),"EKSİK","OK"))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2">
        <f>IF(ISBLANK($A26),"",IF($E26="","",$E26-$F26))</f>
        <v/>
      </c>
      <c r="H26" s="93">
        <f>IF(ISBLANK($A26),"",IF($E26=0,"",$F26/$E26))</f>
        <v/>
      </c>
      <c r="I26" s="89">
        <f>IF(ISBLANK($A26),"",IF(OR(ISBLANK($B26),ISBLANK($C26),ISBLANK($D26),ISBLANK($E26),ISBLANK($F26)),"EKSİK","OK"))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2">
        <f>IF(ISBLANK($A27),"",IF($E27="","",$E27-$F27))</f>
        <v/>
      </c>
      <c r="H27" s="93">
        <f>IF(ISBLANK($A27),"",IF($E27=0,"",$F27/$E27))</f>
        <v/>
      </c>
      <c r="I27" s="89">
        <f>IF(ISBLANK($A27),"",IF(OR(ISBLANK($B27),ISBLANK($C27),ISBLANK($D27),ISBLANK($E27),ISBLANK($F27)),"EKSİK","OK"))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2">
        <f>IF(ISBLANK($A28),"",IF($E28="","",$E28-$F28))</f>
        <v/>
      </c>
      <c r="H28" s="93">
        <f>IF(ISBLANK($A28),"",IF($E28=0,"",$F28/$E28))</f>
        <v/>
      </c>
      <c r="I28" s="89">
        <f>IF(ISBLANK($A28),"",IF(OR(ISBLANK($B28),ISBLANK($C28),ISBLANK($D28),ISBLANK($E28),ISBLANK($F28)),"EKSİK","OK"))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2">
        <f>IF(ISBLANK($A29),"",IF($E29="","",$E29-$F29))</f>
        <v/>
      </c>
      <c r="H29" s="93">
        <f>IF(ISBLANK($A29),"",IF($E29=0,"",$F29/$E29))</f>
        <v/>
      </c>
      <c r="I29" s="89">
        <f>IF(ISBLANK($A29),"",IF(OR(ISBLANK($B29),ISBLANK($C29),ISBLANK($D29),ISBLANK($E29),ISBLANK($F29)),"EKSİK","OK"))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2">
        <f>IF(ISBLANK($A30),"",IF($E30="","",$E30-$F30))</f>
        <v/>
      </c>
      <c r="H30" s="93">
        <f>IF(ISBLANK($A30),"",IF($E30=0,"",$F30/$E30))</f>
        <v/>
      </c>
      <c r="I30" s="89">
        <f>IF(ISBLANK($A30),"",IF(OR(ISBLANK($B30),ISBLANK($C30),ISBLANK($D30),ISBLANK($E30),ISBLANK($F30)),"EKSİK","OK"))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2">
        <f>IF(ISBLANK($A31),"",IF($E31="","",$E31-$F31))</f>
        <v/>
      </c>
      <c r="H31" s="93">
        <f>IF(ISBLANK($A31),"",IF($E31=0,"",$F31/$E31))</f>
        <v/>
      </c>
      <c r="I31" s="89">
        <f>IF(ISBLANK($A31),"",IF(OR(ISBLANK($B31),ISBLANK($C31),ISBLANK($D31),ISBLANK($E31),ISBLANK($F31)),"EKSİK","OK"))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2">
        <f>IF(ISBLANK($A32),"",IF($E32="","",$E32-$F32))</f>
        <v/>
      </c>
      <c r="H32" s="93">
        <f>IF(ISBLANK($A32),"",IF($E32=0,"",$F32/$E32))</f>
        <v/>
      </c>
      <c r="I32" s="89">
        <f>IF(ISBLANK($A32),"",IF(OR(ISBLANK($B32),ISBLANK($C32),ISBLANK($D32),ISBLANK($E32),ISBLANK($F32)),"EKSİK","OK"))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2">
        <f>IF(ISBLANK($A33),"",IF($E33="","",$E33-$F33))</f>
        <v/>
      </c>
      <c r="H33" s="93">
        <f>IF(ISBLANK($A33),"",IF($E33=0,"",$F33/$E33))</f>
        <v/>
      </c>
      <c r="I33" s="89">
        <f>IF(ISBLANK($A33),"",IF(OR(ISBLANK($B33),ISBLANK($C33),ISBLANK($D33),ISBLANK($E33),ISBLANK($F33)),"EKSİK","OK"))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2">
        <f>IF(ISBLANK($A34),"",IF($E34="","",$E34-$F34))</f>
        <v/>
      </c>
      <c r="H34" s="93">
        <f>IF(ISBLANK($A34),"",IF($E34=0,"",$F34/$E34))</f>
        <v/>
      </c>
      <c r="I34" s="89">
        <f>IF(ISBLANK($A34),"",IF(OR(ISBLANK($B34),ISBLANK($C34),ISBLANK($D34),ISBLANK($E34),ISBLANK($F34)),"EKSİK","OK"))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2">
        <f>IF(ISBLANK($A35),"",IF($E35="","",$E35-$F35))</f>
        <v/>
      </c>
      <c r="H35" s="93">
        <f>IF(ISBLANK($A35),"",IF($E35=0,"",$F35/$E35))</f>
        <v/>
      </c>
      <c r="I35" s="89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6" customWidth="1" style="76" min="3" max="3"/>
    <col width="22" customWidth="1" style="76" min="4" max="4"/>
    <col width="13" customWidth="1" style="76" min="5" max="5"/>
    <col width="14" customWidth="1" style="76" min="6" max="7"/>
    <col width="15" customWidth="1" style="76" min="8" max="8"/>
    <col width="11" customWidth="1" style="76" min="9" max="9"/>
    <col width="10" customWidth="1" style="76" min="10" max="10"/>
    <col width="11" customWidth="1" style="76" min="11" max="11"/>
    <col width="12" customWidth="1" style="76" min="12" max="12"/>
    <col width="22" customWidth="1" style="76" min="13" max="13"/>
    <col width="10" customWidth="1" style="76" min="14" max="14"/>
  </cols>
  <sheetData>
    <row r="1" ht="25.5" customHeight="1" s="50">
      <c r="A1" s="77" t="inlineStr">
        <is>
          <t>KREDILER — BANKA, KREDİ VE TAKSİT TAKİP SİSTEMİ</t>
        </is>
      </c>
    </row>
    <row r="3" ht="135.75" customHeight="1" s="50">
      <c r="A3" s="85" t="inlineStr">
        <is>
          <t>KREDİ PORTFÖYÜ — sözleşme, bakiye, maliyet, vade ve taksit bilgileri.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Ürün Türü</t>
        </is>
      </c>
      <c r="E5" s="86" t="inlineStr">
        <is>
          <t>Para Birimi</t>
        </is>
      </c>
      <c r="F5" s="86" t="inlineStr">
        <is>
          <t>Kullandırım Tarihi</t>
        </is>
      </c>
      <c r="G5" s="86" t="inlineStr">
        <is>
          <t>Anapara</t>
        </is>
      </c>
      <c r="H5" s="86" t="inlineStr">
        <is>
          <t>Güncel Bakiye</t>
        </is>
      </c>
      <c r="I5" s="86" t="inlineStr">
        <is>
          <t>Yıllık Faiz</t>
        </is>
      </c>
      <c r="J5" s="86" t="inlineStr">
        <is>
          <t>Vade Ay</t>
        </is>
      </c>
      <c r="K5" s="86" t="inlineStr">
        <is>
          <t>Aylık Taksit</t>
        </is>
      </c>
      <c r="L5" s="86" t="inlineStr">
        <is>
          <t>Bitiş Tarihi</t>
        </is>
      </c>
      <c r="M5" s="86" t="inlineStr">
        <is>
          <t>Açıklama</t>
        </is>
      </c>
      <c r="N5" s="86" t="inlineStr">
        <is>
          <t>Kontrol</t>
        </is>
      </c>
    </row>
    <row r="6" ht="15" customHeight="1" s="50">
      <c r="A6" s="87" t="inlineStr">
        <is>
          <t>KRD-001</t>
        </is>
      </c>
      <c r="B6" s="87" t="inlineStr">
        <is>
          <t>Türkiye İş Bankası</t>
        </is>
      </c>
      <c r="C6" s="87" t="inlineStr">
        <is>
          <t>Maslak Ticari</t>
        </is>
      </c>
      <c r="D6" s="87" t="inlineStr">
        <is>
          <t>Taksitli Ticari Kredi</t>
        </is>
      </c>
      <c r="E6" s="87" t="inlineStr">
        <is>
          <t>TRY</t>
        </is>
      </c>
      <c r="F6" s="94" t="n">
        <v>45597</v>
      </c>
      <c r="G6" s="91" t="n">
        <v>12000000</v>
      </c>
      <c r="H6" s="91" t="n">
        <v>8400000</v>
      </c>
      <c r="I6" s="95" t="n">
        <v>0.32</v>
      </c>
      <c r="J6" s="88" t="n">
        <v>24</v>
      </c>
      <c r="K6" s="93">
        <f>IF(ISBLANK($A6),"",IF($I6="","",$I6/AySayisi))</f>
        <v/>
      </c>
      <c r="L6" s="96">
        <f>IF(ISBLANK($A6),"",IFERROR(EOMONTH($F6,$J6),""))</f>
        <v/>
      </c>
      <c r="M6" s="87" t="inlineStr">
        <is>
          <t>Yatırım kredisi</t>
        </is>
      </c>
      <c r="N6" s="89">
        <f>IF(ISBLANK($A6),"",IF(OR(ISBLANK($B6),ISBLANK($C6),ISBLANK($D6),ISBLANK($E6),ISBLANK($F6),ISBLANK($G6),ISBLANK($H6),ISBLANK($I6),ISBLANK($J6),ISBLANK($K6),ISBLANK($L6)),"EKSİK","OK"))</f>
        <v/>
      </c>
    </row>
    <row r="7" ht="15" customHeight="1" s="50">
      <c r="A7" s="87" t="inlineStr">
        <is>
          <t>KRD-002</t>
        </is>
      </c>
      <c r="B7" s="87" t="inlineStr">
        <is>
          <t>Akbank</t>
        </is>
      </c>
      <c r="C7" s="87" t="inlineStr">
        <is>
          <t>Levent Ticari</t>
        </is>
      </c>
      <c r="D7" s="87" t="inlineStr">
        <is>
          <t>Leasing</t>
        </is>
      </c>
      <c r="E7" s="87" t="inlineStr">
        <is>
          <t>TRY</t>
        </is>
      </c>
      <c r="F7" s="94" t="n">
        <v>45717</v>
      </c>
      <c r="G7" s="91" t="n">
        <v>7500000</v>
      </c>
      <c r="H7" s="91" t="n">
        <v>6100000</v>
      </c>
      <c r="I7" s="95" t="n">
        <v>0.34</v>
      </c>
      <c r="J7" s="88" t="n">
        <v>36</v>
      </c>
      <c r="K7" s="93">
        <f>IF(ISBLANK($A7),"",IF($I7="","",$I7/AySayisi))</f>
        <v/>
      </c>
      <c r="L7" s="96">
        <f>IF(ISBLANK($A7),"",IFERROR(EOMONTH($F7,$J7),""))</f>
        <v/>
      </c>
      <c r="M7" s="87" t="inlineStr">
        <is>
          <t>Makine leasing</t>
        </is>
      </c>
      <c r="N7" s="89">
        <f>IF(ISBLANK($A7),"",IF(OR(ISBLANK($B7),ISBLANK($C7),ISBLANK($D7),ISBLANK($E7),ISBLANK($F7),ISBLANK($G7),ISBLANK($H7),ISBLANK($I7),ISBLANK($J7),ISBLANK($K7),ISBLANK($L7)),"EKSİK","OK"))</f>
        <v/>
      </c>
    </row>
    <row r="8" ht="15" customHeight="1" s="50">
      <c r="A8" s="87" t="inlineStr">
        <is>
          <t>KRD-003</t>
        </is>
      </c>
      <c r="B8" s="87" t="inlineStr">
        <is>
          <t>Garanti BBVA</t>
        </is>
      </c>
      <c r="C8" s="87" t="inlineStr">
        <is>
          <t>İkitelli Ticari</t>
        </is>
      </c>
      <c r="D8" s="87" t="inlineStr">
        <is>
          <t>Rotatif Kredi</t>
        </is>
      </c>
      <c r="E8" s="87" t="inlineStr">
        <is>
          <t>USD</t>
        </is>
      </c>
      <c r="F8" s="94" t="n">
        <v>45809</v>
      </c>
      <c r="G8" s="91" t="n">
        <v>200000</v>
      </c>
      <c r="H8" s="91" t="n">
        <v>180000</v>
      </c>
      <c r="I8" s="95" t="n">
        <v>0.08500000000000001</v>
      </c>
      <c r="J8" s="88" t="n">
        <v>12</v>
      </c>
      <c r="K8" s="93">
        <f>IF(ISBLANK($A8),"",IF($I8="","",$I8/AySayisi))</f>
        <v/>
      </c>
      <c r="L8" s="96">
        <f>IF(ISBLANK($A8),"",IFERROR(EOMONTH($F8,$J8),""))</f>
        <v/>
      </c>
      <c r="M8" s="87" t="inlineStr">
        <is>
          <t>İhracat rotatifi</t>
        </is>
      </c>
      <c r="N8" s="89">
        <f>IF(ISBLANK($A8),"",IF(OR(ISBLANK($B8),ISBLANK($C8),ISBLANK($D8),ISBLANK($E8),ISBLANK($F8),ISBLANK($G8),ISBLANK($H8),ISBLANK($I8),ISBLANK($J8),ISBLANK($K8),ISBLANK($L8)),"EKSİK","OK"))</f>
        <v/>
      </c>
    </row>
    <row r="9" ht="15" customHeight="1" s="50">
      <c r="A9" s="87" t="inlineStr">
        <is>
          <t>KRD-004</t>
        </is>
      </c>
      <c r="B9" s="87" t="inlineStr">
        <is>
          <t>Türkiye İş Bankası</t>
        </is>
      </c>
      <c r="C9" s="87" t="inlineStr">
        <is>
          <t>Maslak Ticari</t>
        </is>
      </c>
      <c r="D9" s="87" t="inlineStr">
        <is>
          <t>Spot Kredi</t>
        </is>
      </c>
      <c r="E9" s="87" t="inlineStr">
        <is>
          <t>TRY</t>
        </is>
      </c>
      <c r="F9" s="94" t="n">
        <v>46023</v>
      </c>
      <c r="G9" s="91" t="n">
        <v>2200000</v>
      </c>
      <c r="H9" s="91" t="n">
        <v>2200000</v>
      </c>
      <c r="I9" s="95" t="n">
        <v>0.36</v>
      </c>
      <c r="J9" s="88" t="n">
        <v>12</v>
      </c>
      <c r="K9" s="93">
        <f>IF(ISBLANK($A9),"",IF($I9="","",$I9/AySayisi))</f>
        <v/>
      </c>
      <c r="L9" s="96">
        <f>IF(ISBLANK($A9),"",IFERROR(EOMONTH($F9,$J9),""))</f>
        <v/>
      </c>
      <c r="M9" s="87" t="inlineStr">
        <is>
          <t>İşletme sermayesi</t>
        </is>
      </c>
      <c r="N9" s="89">
        <f>IF(ISBLANK($A9),"",IF(OR(ISBLANK($B9),ISBLANK($C9),ISBLANK($D9),ISBLANK($E9),ISBLANK($F9),ISBLANK($G9),ISBLANK($H9),ISBLANK($I9),ISBLANK($J9),ISBLANK($K9),ISBLANK($L9)),"EKSİK","OK"))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3">
        <f>IF(ISBLANK($A10),"",IF($I10="","",$I10/AySayisi))</f>
        <v/>
      </c>
      <c r="L10" s="96">
        <f>IF(ISBLANK($A10),"",IFERROR(EOMONTH($F10,$J10),""))</f>
        <v/>
      </c>
      <c r="M10" s="90" t="n"/>
      <c r="N10" s="89">
        <f>IF(ISBLANK($A10),"",IF(OR(ISBLANK($B10),ISBLANK($C10),ISBLANK($D10),ISBLANK($E10),ISBLANK($F10),ISBLANK($G10),ISBLANK($H10),ISBLANK($I10),ISBLANK($J10),ISBLANK($K10),ISBLANK($L10)),"EKSİK","OK"))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3">
        <f>IF(ISBLANK($A11),"",IF($I11="","",$I11/AySayisi))</f>
        <v/>
      </c>
      <c r="L11" s="96">
        <f>IF(ISBLANK($A11),"",IFERROR(EOMONTH($F11,$J11),""))</f>
        <v/>
      </c>
      <c r="M11" s="90" t="n"/>
      <c r="N11" s="89">
        <f>IF(ISBLANK($A11),"",IF(OR(ISBLANK($B11),ISBLANK($C11),ISBLANK($D11),ISBLANK($E11),ISBLANK($F11),ISBLANK($G11),ISBLANK($H11),ISBLANK($I11),ISBLANK($J11),ISBLANK($K11),ISBLANK($L11)),"EKSİK","OK"))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90" t="n"/>
      <c r="K12" s="93">
        <f>IF(ISBLANK($A12),"",IF($I12="","",$I12/AySayisi))</f>
        <v/>
      </c>
      <c r="L12" s="96">
        <f>IF(ISBLANK($A12),"",IFERROR(EOMONTH($F12,$J12),""))</f>
        <v/>
      </c>
      <c r="M12" s="90" t="n"/>
      <c r="N12" s="89">
        <f>IF(ISBLANK($A12),"",IF(OR(ISBLANK($B12),ISBLANK($C12),ISBLANK($D12),ISBLANK($E12),ISBLANK($F12),ISBLANK($G12),ISBLANK($H12),ISBLANK($I12),ISBLANK($J12),ISBLANK($K12),ISBLANK($L12)),"EKSİK","OK"))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3">
        <f>IF(ISBLANK($A13),"",IF($I13="","",$I13/AySayisi))</f>
        <v/>
      </c>
      <c r="L13" s="96">
        <f>IF(ISBLANK($A13),"",IFERROR(EOMONTH($F13,$J13),""))</f>
        <v/>
      </c>
      <c r="M13" s="90" t="n"/>
      <c r="N13" s="89">
        <f>IF(ISBLANK($A13),"",IF(OR(ISBLANK($B13),ISBLANK($C13),ISBLANK($D13),ISBLANK($E13),ISBLANK($F13),ISBLANK($G13),ISBLANK($H13),ISBLANK($I13),ISBLANK($J13),ISBLANK($K13),ISBLANK($L13)),"EKSİK","OK"))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3">
        <f>IF(ISBLANK($A14),"",IF($I14="","",$I14/AySayisi))</f>
        <v/>
      </c>
      <c r="L14" s="96">
        <f>IF(ISBLANK($A14),"",IFERROR(EOMONTH($F14,$J14),""))</f>
        <v/>
      </c>
      <c r="M14" s="90" t="n"/>
      <c r="N14" s="89">
        <f>IF(ISBLANK($A14),"",IF(OR(ISBLANK($B14),ISBLANK($C14),ISBLANK($D14),ISBLANK($E14),ISBLANK($F14),ISBLANK($G14),ISBLANK($H14),ISBLANK($I14),ISBLANK($J14),ISBLANK($K14),ISBLANK($L14)),"EKSİK","OK"))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3">
        <f>IF(ISBLANK($A15),"",IF($I15="","",$I15/AySayisi))</f>
        <v/>
      </c>
      <c r="L15" s="96">
        <f>IF(ISBLANK($A15),"",IFERROR(EOMONTH($F15,$J15),""))</f>
        <v/>
      </c>
      <c r="M15" s="90" t="n"/>
      <c r="N15" s="89">
        <f>IF(ISBLANK($A15),"",IF(OR(ISBLANK($B15),ISBLANK($C15),ISBLANK($D15),ISBLANK($E15),ISBLANK($F15),ISBLANK($G15),ISBLANK($H15),ISBLANK($I15),ISBLANK($J15),ISBLANK($K15),ISBLANK($L15)),"EKSİK","OK"))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3">
        <f>IF(ISBLANK($A16),"",IF($I16="","",$I16/AySayisi))</f>
        <v/>
      </c>
      <c r="L16" s="96">
        <f>IF(ISBLANK($A16),"",IFERROR(EOMONTH($F16,$J16),""))</f>
        <v/>
      </c>
      <c r="M16" s="90" t="n"/>
      <c r="N16" s="89">
        <f>IF(ISBLANK($A16),"",IF(OR(ISBLANK($B16),ISBLANK($C16),ISBLANK($D16),ISBLANK($E16),ISBLANK($F16),ISBLANK($G16),ISBLANK($H16),ISBLANK($I16),ISBLANK($J16),ISBLANK($K16),ISBLANK($L16)),"EKSİK","OK"))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3">
        <f>IF(ISBLANK($A17),"",IF($I17="","",$I17/AySayisi))</f>
        <v/>
      </c>
      <c r="L17" s="96">
        <f>IF(ISBLANK($A17),"",IFERROR(EOMONTH($F17,$J17),""))</f>
        <v/>
      </c>
      <c r="M17" s="90" t="n"/>
      <c r="N17" s="89">
        <f>IF(ISBLANK($A17),"",IF(OR(ISBLANK($B17),ISBLANK($C17),ISBLANK($D17),ISBLANK($E17),ISBLANK($F17),ISBLANK($G17),ISBLANK($H17),ISBLANK($I17),ISBLANK($J17),ISBLANK($K17),ISBLANK($L17)),"EKSİK","OK"))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3">
        <f>IF(ISBLANK($A18),"",IF($I18="","",$I18/AySayisi))</f>
        <v/>
      </c>
      <c r="L18" s="96">
        <f>IF(ISBLANK($A18),"",IFERROR(EOMONTH($F18,$J18),""))</f>
        <v/>
      </c>
      <c r="M18" s="90" t="n"/>
      <c r="N18" s="89">
        <f>IF(ISBLANK($A18),"",IF(OR(ISBLANK($B18),ISBLANK($C18),ISBLANK($D18),ISBLANK($E18),ISBLANK($F18),ISBLANK($G18),ISBLANK($H18),ISBLANK($I18),ISBLANK($J18),ISBLANK($K18),ISBLANK($L18)),"EKSİK","OK"))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3">
        <f>IF(ISBLANK($A19),"",IF($I19="","",$I19/AySayisi))</f>
        <v/>
      </c>
      <c r="L19" s="96">
        <f>IF(ISBLANK($A19),"",IFERROR(EOMONTH($F19,$J19),""))</f>
        <v/>
      </c>
      <c r="M19" s="90" t="n"/>
      <c r="N19" s="89">
        <f>IF(ISBLANK($A19),"",IF(OR(ISBLANK($B19),ISBLANK($C19),ISBLANK($D19),ISBLANK($E19),ISBLANK($F19),ISBLANK($G19),ISBLANK($H19),ISBLANK($I19),ISBLANK($J19),ISBLANK($K19),ISBLANK($L19)),"EKSİK","OK"))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3">
        <f>IF(ISBLANK($A20),"",IF($I20="","",$I20/AySayisi))</f>
        <v/>
      </c>
      <c r="L20" s="96">
        <f>IF(ISBLANK($A20),"",IFERROR(EOMONTH($F20,$J20),""))</f>
        <v/>
      </c>
      <c r="M20" s="90" t="n"/>
      <c r="N20" s="89">
        <f>IF(ISBLANK($A20),"",IF(OR(ISBLANK($B20),ISBLANK($C20),ISBLANK($D20),ISBLANK($E20),ISBLANK($F20),ISBLANK($G20),ISBLANK($H20),ISBLANK($I20),ISBLANK($J20),ISBLANK($K20),ISBLANK($L20)),"EKSİK","OK"))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3">
        <f>IF(ISBLANK($A21),"",IF($I21="","",$I21/AySayisi))</f>
        <v/>
      </c>
      <c r="L21" s="96">
        <f>IF(ISBLANK($A21),"",IFERROR(EOMONTH($F21,$J21),""))</f>
        <v/>
      </c>
      <c r="M21" s="90" t="n"/>
      <c r="N21" s="89">
        <f>IF(ISBLANK($A21),"",IF(OR(ISBLANK($B21),ISBLANK($C21),ISBLANK($D21),ISBLANK($E21),ISBLANK($F21),ISBLANK($G21),ISBLANK($H21),ISBLANK($I21),ISBLANK($J21),ISBLANK($K21),ISBLANK($L21)),"EKSİK","OK"))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3">
        <f>IF(ISBLANK($A22),"",IF($I22="","",$I22/AySayisi))</f>
        <v/>
      </c>
      <c r="L22" s="96">
        <f>IF(ISBLANK($A22),"",IFERROR(EOMONTH($F22,$J22),""))</f>
        <v/>
      </c>
      <c r="M22" s="90" t="n"/>
      <c r="N22" s="89">
        <f>IF(ISBLANK($A22),"",IF(OR(ISBLANK($B22),ISBLANK($C22),ISBLANK($D22),ISBLANK($E22),ISBLANK($F22),ISBLANK($G22),ISBLANK($H22),ISBLANK($I22),ISBLANK($J22),ISBLANK($K22),ISBLANK($L22)),"EKSİK","OK"))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3">
        <f>IF(ISBLANK($A23),"",IF($I23="","",$I23/AySayisi))</f>
        <v/>
      </c>
      <c r="L23" s="96">
        <f>IF(ISBLANK($A23),"",IFERROR(EOMONTH($F23,$J23),""))</f>
        <v/>
      </c>
      <c r="M23" s="90" t="n"/>
      <c r="N23" s="89">
        <f>IF(ISBLANK($A23),"",IF(OR(ISBLANK($B23),ISBLANK($C23),ISBLANK($D23),ISBLANK($E23),ISBLANK($F23),ISBLANK($G23),ISBLANK($H23),ISBLANK($I23),ISBLANK($J23),ISBLANK($K23),ISBLANK($L23)),"EKSİK","OK"))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3">
        <f>IF(ISBLANK($A24),"",IF($I24="","",$I24/AySayisi))</f>
        <v/>
      </c>
      <c r="L24" s="96">
        <f>IF(ISBLANK($A24),"",IFERROR(EOMONTH($F24,$J24),""))</f>
        <v/>
      </c>
      <c r="M24" s="90" t="n"/>
      <c r="N24" s="89">
        <f>IF(ISBLANK($A24),"",IF(OR(ISBLANK($B24),ISBLANK($C24),ISBLANK($D24),ISBLANK($E24),ISBLANK($F24),ISBLANK($G24),ISBLANK($H24),ISBLANK($I24),ISBLANK($J24),ISBLANK($K24),ISBLANK($L24)),"EKSİK","OK"))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3">
        <f>IF(ISBLANK($A25),"",IF($I25="","",$I25/AySayisi))</f>
        <v/>
      </c>
      <c r="L25" s="96">
        <f>IF(ISBLANK($A25),"",IFERROR(EOMONTH($F25,$J25),""))</f>
        <v/>
      </c>
      <c r="M25" s="90" t="n"/>
      <c r="N25" s="89">
        <f>IF(ISBLANK($A25),"",IF(OR(ISBLANK($B25),ISBLANK($C25),ISBLANK($D25),ISBLANK($E25),ISBLANK($F25),ISBLANK($G25),ISBLANK($H25),ISBLANK($I25),ISBLANK($J25),ISBLANK($K25),ISBLANK($L25)),"EKSİK","OK"))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3">
        <f>IF(ISBLANK($A26),"",IF($I26="","",$I26/AySayisi))</f>
        <v/>
      </c>
      <c r="L26" s="96">
        <f>IF(ISBLANK($A26),"",IFERROR(EOMONTH($F26,$J26),""))</f>
        <v/>
      </c>
      <c r="M26" s="90" t="n"/>
      <c r="N26" s="89">
        <f>IF(ISBLANK($A26),"",IF(OR(ISBLANK($B26),ISBLANK($C26),ISBLANK($D26),ISBLANK($E26),ISBLANK($F26),ISBLANK($G26),ISBLANK($H26),ISBLANK($I26),ISBLANK($J26),ISBLANK($K26),ISBLANK($L26)),"EKSİK","OK"))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3">
        <f>IF(ISBLANK($A27),"",IF($I27="","",$I27/AySayisi))</f>
        <v/>
      </c>
      <c r="L27" s="96">
        <f>IF(ISBLANK($A27),"",IFERROR(EOMONTH($F27,$J27),""))</f>
        <v/>
      </c>
      <c r="M27" s="90" t="n"/>
      <c r="N27" s="89">
        <f>IF(ISBLANK($A27),"",IF(OR(ISBLANK($B27),ISBLANK($C27),ISBLANK($D27),ISBLANK($E27),ISBLANK($F27),ISBLANK($G27),ISBLANK($H27),ISBLANK($I27),ISBLANK($J27),ISBLANK($K27),ISBLANK($L27)),"EKSİK","OK"))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3">
        <f>IF(ISBLANK($A28),"",IF($I28="","",$I28/AySayisi))</f>
        <v/>
      </c>
      <c r="L28" s="96">
        <f>IF(ISBLANK($A28),"",IFERROR(EOMONTH($F28,$J28),""))</f>
        <v/>
      </c>
      <c r="M28" s="90" t="n"/>
      <c r="N28" s="89">
        <f>IF(ISBLANK($A28),"",IF(OR(ISBLANK($B28),ISBLANK($C28),ISBLANK($D28),ISBLANK($E28),ISBLANK($F28),ISBLANK($G28),ISBLANK($H28),ISBLANK($I28),ISBLANK($J28),ISBLANK($K28),ISBLANK($L28)),"EKSİK","OK"))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3">
        <f>IF(ISBLANK($A29),"",IF($I29="","",$I29/AySayisi))</f>
        <v/>
      </c>
      <c r="L29" s="96">
        <f>IF(ISBLANK($A29),"",IFERROR(EOMONTH($F29,$J29),""))</f>
        <v/>
      </c>
      <c r="M29" s="90" t="n"/>
      <c r="N29" s="89">
        <f>IF(ISBLANK($A29),"",IF(OR(ISBLANK($B29),ISBLANK($C29),ISBLANK($D29),ISBLANK($E29),ISBLANK($F29),ISBLANK($G29),ISBLANK($H29),ISBLANK($I29),ISBLANK($J29),ISBLANK($K29),ISBLANK($L29)),"EKSİK","OK"))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3">
        <f>IF(ISBLANK($A30),"",IF($I30="","",$I30/AySayisi))</f>
        <v/>
      </c>
      <c r="L30" s="96">
        <f>IF(ISBLANK($A30),"",IFERROR(EOMONTH($F30,$J30),""))</f>
        <v/>
      </c>
      <c r="M30" s="90" t="n"/>
      <c r="N30" s="89">
        <f>IF(ISBLANK($A30),"",IF(OR(ISBLANK($B30),ISBLANK($C30),ISBLANK($D30),ISBLANK($E30),ISBLANK($F30),ISBLANK($G30),ISBLANK($H30),ISBLANK($I30),ISBLANK($J30),ISBLANK($K30),ISBLANK($L30)),"EKSİK","OK"))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3">
        <f>IF(ISBLANK($A31),"",IF($I31="","",$I31/AySayisi))</f>
        <v/>
      </c>
      <c r="L31" s="96">
        <f>IF(ISBLANK($A31),"",IFERROR(EOMONTH($F31,$J31),""))</f>
        <v/>
      </c>
      <c r="M31" s="90" t="n"/>
      <c r="N31" s="89">
        <f>IF(ISBLANK($A31),"",IF(OR(ISBLANK($B31),ISBLANK($C31),ISBLANK($D31),ISBLANK($E31),ISBLANK($F31),ISBLANK($G31),ISBLANK($H31),ISBLANK($I31),ISBLANK($J31),ISBLANK($K31),ISBLANK($L31)),"EKSİK","OK"))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3">
        <f>IF(ISBLANK($A32),"",IF($I32="","",$I32/AySayisi))</f>
        <v/>
      </c>
      <c r="L32" s="96">
        <f>IF(ISBLANK($A32),"",IFERROR(EOMONTH($F32,$J32),""))</f>
        <v/>
      </c>
      <c r="M32" s="90" t="n"/>
      <c r="N32" s="89">
        <f>IF(ISBLANK($A32),"",IF(OR(ISBLANK($B32),ISBLANK($C32),ISBLANK($D32),ISBLANK($E32),ISBLANK($F32),ISBLANK($G32),ISBLANK($H32),ISBLANK($I32),ISBLANK($J32),ISBLANK($K32),ISBLANK($L32)),"EKSİK","OK"))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3">
        <f>IF(ISBLANK($A33),"",IF($I33="","",$I33/AySayisi))</f>
        <v/>
      </c>
      <c r="L33" s="96">
        <f>IF(ISBLANK($A33),"",IFERROR(EOMONTH($F33,$J33),""))</f>
        <v/>
      </c>
      <c r="M33" s="90" t="n"/>
      <c r="N33" s="89">
        <f>IF(ISBLANK($A33),"",IF(OR(ISBLANK($B33),ISBLANK($C33),ISBLANK($D33),ISBLANK($E33),ISBLANK($F33),ISBLANK($G33),ISBLANK($H33),ISBLANK($I33),ISBLANK($J33),ISBLANK($K33),ISBLANK($L33)),"EKSİK","OK"))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3">
        <f>IF(ISBLANK($A34),"",IF($I34="","",$I34/AySayisi))</f>
        <v/>
      </c>
      <c r="L34" s="96">
        <f>IF(ISBLANK($A34),"",IFERROR(EOMONTH($F34,$J34),""))</f>
        <v/>
      </c>
      <c r="M34" s="90" t="n"/>
      <c r="N34" s="89">
        <f>IF(ISBLANK($A34),"",IF(OR(ISBLANK($B34),ISBLANK($C34),ISBLANK($D34),ISBLANK($E34),ISBLANK($F34),ISBLANK($G34),ISBLANK($H34),ISBLANK($I34),ISBLANK($J34),ISBLANK($K34),ISBLANK($L34)),"EKSİK","OK"))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3">
        <f>IF(ISBLANK($A35),"",IF($I35="","",$I35/AySayisi))</f>
        <v/>
      </c>
      <c r="L35" s="96">
        <f>IF(ISBLANK($A35),"",IFERROR(EOMONTH($F35,$J35),""))</f>
        <v/>
      </c>
      <c r="M35" s="90" t="n"/>
      <c r="N35" s="89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9" customWidth="1" style="76" min="3" max="3"/>
    <col width="13" customWidth="1" style="76" min="4" max="6"/>
    <col width="11" customWidth="1" style="76" min="7" max="7"/>
    <col width="12" customWidth="1" style="76" min="8" max="8"/>
    <col width="14" customWidth="1" style="76" min="9" max="9"/>
    <col width="15" customWidth="1" style="76" min="10" max="10"/>
    <col width="12" customWidth="1" style="76" min="11" max="11"/>
    <col width="10" customWidth="1" style="76" min="12" max="12"/>
  </cols>
  <sheetData>
    <row r="1" ht="25.5" customHeight="1" s="50">
      <c r="A1" s="77" t="inlineStr">
        <is>
          <t>TAKSIT PLANI — BANKA, KREDİ VE TAKSİT TAKİP SİSTEMİ</t>
        </is>
      </c>
    </row>
    <row r="3" ht="120.75" customHeight="1" s="50">
      <c r="A3" s="85" t="inlineStr">
        <is>
          <t>TAKSİT PLANI — dönem bazında anapara, faiz, vergi ve ödeme tarihi.</t>
        </is>
      </c>
    </row>
    <row r="5" ht="30" customHeight="1" s="50">
      <c r="A5" s="86" t="inlineStr">
        <is>
          <t>Plan ID</t>
        </is>
      </c>
      <c r="B5" s="86" t="inlineStr">
        <is>
          <t>Kredi ID</t>
        </is>
      </c>
      <c r="C5" s="86" t="inlineStr">
        <is>
          <t>Dönem</t>
        </is>
      </c>
      <c r="D5" s="86" t="inlineStr">
        <is>
          <t>Ödeme Tarihi</t>
        </is>
      </c>
      <c r="E5" s="86" t="inlineStr">
        <is>
          <t>Anapara</t>
        </is>
      </c>
      <c r="F5" s="86" t="inlineStr">
        <is>
          <t>Faiz</t>
        </is>
      </c>
      <c r="G5" s="86" t="inlineStr">
        <is>
          <t>Vergi/Fon</t>
        </is>
      </c>
      <c r="H5" s="86" t="inlineStr">
        <is>
          <t>Komisyon</t>
        </is>
      </c>
      <c r="I5" s="86" t="inlineStr">
        <is>
          <t>Toplam Ödeme</t>
        </is>
      </c>
      <c r="J5" s="86" t="inlineStr">
        <is>
          <t>Ödeme Durumu</t>
        </is>
      </c>
      <c r="K5" s="86" t="inlineStr">
        <is>
          <t>Kalan Gün</t>
        </is>
      </c>
      <c r="L5" s="86" t="inlineStr">
        <is>
          <t>Kontrol</t>
        </is>
      </c>
    </row>
    <row r="6" ht="15" customHeight="1" s="50">
      <c r="A6" s="87" t="inlineStr">
        <is>
          <t>PLN-001</t>
        </is>
      </c>
      <c r="B6" s="87" t="inlineStr">
        <is>
          <t>KRD-001</t>
        </is>
      </c>
      <c r="C6" s="88" t="n">
        <v>1</v>
      </c>
      <c r="D6" s="94" t="n">
        <v>46244</v>
      </c>
      <c r="E6" s="91" t="n">
        <v>326000</v>
      </c>
      <c r="F6" s="91" t="n">
        <v>280000</v>
      </c>
      <c r="G6" s="91" t="n">
        <v>14000</v>
      </c>
      <c r="H6" s="91" t="n">
        <v>0</v>
      </c>
      <c r="I6" s="92">
        <f>IF(ISBLANK($A6),"",IF(COUNTA($E6:$H6)=4,$E6+$F6+$G6+$H6,""))</f>
        <v/>
      </c>
      <c r="J6" s="87" t="inlineStr">
        <is>
          <t>Bekliyor</t>
        </is>
      </c>
      <c r="K6" s="97">
        <f>IF(ISBLANK($D6),"",$D6-RaporTarihi)</f>
        <v/>
      </c>
      <c r="L6" s="89">
        <f>IF(ISBLANK($A6),"",IF(OR(ISBLANK($B6),ISBLANK($C6),ISBLANK($D6),ISBLANK($E6),ISBLANK($F6),ISBLANK($G6),ISBLANK($H6),ISBLANK($I6),ISBLANK($J6)),"EKSİK","OK"))</f>
        <v/>
      </c>
    </row>
    <row r="7" ht="15" customHeight="1" s="50">
      <c r="A7" s="87" t="inlineStr">
        <is>
          <t>PLN-002</t>
        </is>
      </c>
      <c r="B7" s="87" t="inlineStr">
        <is>
          <t>KRD-001</t>
        </is>
      </c>
      <c r="C7" s="88" t="n">
        <v>2</v>
      </c>
      <c r="D7" s="94" t="n">
        <v>46275</v>
      </c>
      <c r="E7" s="91" t="n">
        <v>337000</v>
      </c>
      <c r="F7" s="91" t="n">
        <v>269000</v>
      </c>
      <c r="G7" s="91" t="n">
        <v>14000</v>
      </c>
      <c r="H7" s="91" t="n">
        <v>0</v>
      </c>
      <c r="I7" s="92">
        <f>IF(ISBLANK($A7),"",IF(COUNTA($E7:$H7)=4,$E7+$F7+$G7+$H7,""))</f>
        <v/>
      </c>
      <c r="J7" s="87" t="inlineStr">
        <is>
          <t>Bekliyor</t>
        </is>
      </c>
      <c r="K7" s="97">
        <f>IF(ISBLANK($D7),"",$D7-RaporTarihi)</f>
        <v/>
      </c>
      <c r="L7" s="89">
        <f>IF(ISBLANK($A7),"",IF(OR(ISBLANK($B7),ISBLANK($C7),ISBLANK($D7),ISBLANK($E7),ISBLANK($F7),ISBLANK($G7),ISBLANK($H7),ISBLANK($I7),ISBLANK($J7)),"EKSİK","OK"))</f>
        <v/>
      </c>
    </row>
    <row r="8" ht="15" customHeight="1" s="50">
      <c r="A8" s="87" t="inlineStr">
        <is>
          <t>PLN-003</t>
        </is>
      </c>
      <c r="B8" s="87" t="inlineStr">
        <is>
          <t>KRD-002</t>
        </is>
      </c>
      <c r="C8" s="88" t="n">
        <v>1</v>
      </c>
      <c r="D8" s="94" t="n">
        <v>46249</v>
      </c>
      <c r="E8" s="91" t="n">
        <v>117000</v>
      </c>
      <c r="F8" s="91" t="n">
        <v>183000</v>
      </c>
      <c r="G8" s="91" t="n">
        <v>10000</v>
      </c>
      <c r="H8" s="91" t="n">
        <v>0</v>
      </c>
      <c r="I8" s="92">
        <f>IF(ISBLANK($A8),"",IF(COUNTA($E8:$H8)=4,$E8+$F8+$G8+$H8,""))</f>
        <v/>
      </c>
      <c r="J8" s="87" t="inlineStr">
        <is>
          <t>Bekliyor</t>
        </is>
      </c>
      <c r="K8" s="97">
        <f>IF(ISBLANK($D8),"",$D8-RaporTarihi)</f>
        <v/>
      </c>
      <c r="L8" s="89">
        <f>IF(ISBLANK($A8),"",IF(OR(ISBLANK($B8),ISBLANK($C8),ISBLANK($D8),ISBLANK($E8),ISBLANK($F8),ISBLANK($G8),ISBLANK($H8),ISBLANK($I8),ISBLANK($J8)),"EKSİK","OK"))</f>
        <v/>
      </c>
    </row>
    <row r="9" ht="15" customHeight="1" s="50">
      <c r="A9" s="87" t="inlineStr">
        <is>
          <t>PLN-004</t>
        </is>
      </c>
      <c r="B9" s="87" t="inlineStr">
        <is>
          <t>KRD-002</t>
        </is>
      </c>
      <c r="C9" s="88" t="n">
        <v>2</v>
      </c>
      <c r="D9" s="94" t="n">
        <v>46280</v>
      </c>
      <c r="E9" s="91" t="n">
        <v>121000</v>
      </c>
      <c r="F9" s="91" t="n">
        <v>179000</v>
      </c>
      <c r="G9" s="91" t="n">
        <v>10000</v>
      </c>
      <c r="H9" s="91" t="n">
        <v>0</v>
      </c>
      <c r="I9" s="92">
        <f>IF(ISBLANK($A9),"",IF(COUNTA($E9:$H9)=4,$E9+$F9+$G9+$H9,""))</f>
        <v/>
      </c>
      <c r="J9" s="87" t="inlineStr">
        <is>
          <t>Bekliyor</t>
        </is>
      </c>
      <c r="K9" s="97">
        <f>IF(ISBLANK($D9),"",$D9-RaporTarihi)</f>
        <v/>
      </c>
      <c r="L9" s="89">
        <f>IF(ISBLANK($A9),"",IF(OR(ISBLANK($B9),ISBLANK($C9),ISBLANK($D9),ISBLANK($E9),ISBLANK($F9),ISBLANK($G9),ISBLANK($H9),ISBLANK($I9),ISBLANK($J9)),"EKSİK","OK"))</f>
        <v/>
      </c>
    </row>
    <row r="10" ht="15" customHeight="1" s="50">
      <c r="A10" s="87" t="inlineStr">
        <is>
          <t>PLN-005</t>
        </is>
      </c>
      <c r="B10" s="87" t="inlineStr">
        <is>
          <t>KRD-003</t>
        </is>
      </c>
      <c r="C10" s="88" t="n">
        <v>1</v>
      </c>
      <c r="D10" s="94" t="n">
        <v>46254</v>
      </c>
      <c r="E10" s="91" t="n">
        <v>0</v>
      </c>
      <c r="F10" s="91" t="n">
        <v>4275</v>
      </c>
      <c r="G10" s="91" t="n">
        <v>214</v>
      </c>
      <c r="H10" s="91" t="n">
        <v>375</v>
      </c>
      <c r="I10" s="92">
        <f>IF(ISBLANK($A10),"",IF(COUNTA($E10:$H10)=4,$E10+$F10+$G10+$H10,""))</f>
        <v/>
      </c>
      <c r="J10" s="87" t="inlineStr">
        <is>
          <t>Bekliyor</t>
        </is>
      </c>
      <c r="K10" s="97">
        <f>IF(ISBLANK($D10),"",$D10-RaporTarihi)</f>
        <v/>
      </c>
      <c r="L10" s="89">
        <f>IF(ISBLANK($A10),"",IF(OR(ISBLANK($B10),ISBLANK($C10),ISBLANK($D10),ISBLANK($E10),ISBLANK($F10),ISBLANK($G10),ISBLANK($H10),ISBLANK($I10),ISBLANK($J10)),"EKSİK","OK"))</f>
        <v/>
      </c>
    </row>
    <row r="11" ht="15" customHeight="1" s="50">
      <c r="A11" s="87" t="inlineStr">
        <is>
          <t>PLN-006</t>
        </is>
      </c>
      <c r="B11" s="87" t="inlineStr">
        <is>
          <t>KRD-004</t>
        </is>
      </c>
      <c r="C11" s="88" t="n">
        <v>1</v>
      </c>
      <c r="D11" s="94" t="n">
        <v>46387</v>
      </c>
      <c r="E11" s="91" t="n">
        <v>2200000</v>
      </c>
      <c r="F11" s="91" t="n">
        <v>1034000</v>
      </c>
      <c r="G11" s="91" t="n">
        <v>51700</v>
      </c>
      <c r="H11" s="91" t="n">
        <v>0</v>
      </c>
      <c r="I11" s="92">
        <f>IF(ISBLANK($A11),"",IF(COUNTA($E11:$H11)=4,$E11+$F11+$G11+$H11,""))</f>
        <v/>
      </c>
      <c r="J11" s="87" t="inlineStr">
        <is>
          <t>Bekliyor</t>
        </is>
      </c>
      <c r="K11" s="97">
        <f>IF(ISBLANK($D11),"",$D11-RaporTarihi)</f>
        <v/>
      </c>
      <c r="L11" s="89">
        <f>IF(ISBLANK($A11),"",IF(OR(ISBLANK($B11),ISBLANK($C11),ISBLANK($D11),ISBLANK($E11),ISBLANK($F11),ISBLANK($G11),ISBLANK($H11),ISBLANK($I11),ISBLANK($J11)),"EKSİK","OK"))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IF(ISBLANK($A12),"",IF(COUNTA($E12:$H12)=4,$E12+$F12+$G12+$H12,""))</f>
        <v/>
      </c>
      <c r="J12" s="90" t="n"/>
      <c r="K12" s="97">
        <f>IF(ISBLANK($D12),"",$D12-RaporTarihi)</f>
        <v/>
      </c>
      <c r="L12" s="89">
        <f>IF(ISBLANK($A12),"",IF(OR(ISBLANK($B12),ISBLANK($C12),ISBLANK($D12),ISBLANK($E12),ISBLANK($F12),ISBLANK($G12),ISBLANK($H12),ISBLANK($I12),ISBLANK($J12)),"EKSİK","OK"))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IF(ISBLANK($A13),"",IF(COUNTA($E13:$H13)=4,$E13+$F13+$G13+$H13,""))</f>
        <v/>
      </c>
      <c r="J13" s="90" t="n"/>
      <c r="K13" s="97">
        <f>IF(ISBLANK($D13),"",$D13-RaporTarihi)</f>
        <v/>
      </c>
      <c r="L13" s="89">
        <f>IF(ISBLANK($A13),"",IF(OR(ISBLANK($B13),ISBLANK($C13),ISBLANK($D13),ISBLANK($E13),ISBLANK($F13),ISBLANK($G13),ISBLANK($H13),ISBLANK($I13),ISBLANK($J13)),"EKSİK","OK"))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IF(ISBLANK($A14),"",IF(COUNTA($E14:$H14)=4,$E14+$F14+$G14+$H14,""))</f>
        <v/>
      </c>
      <c r="J14" s="90" t="n"/>
      <c r="K14" s="97">
        <f>IF(ISBLANK($D14),"",$D14-RaporTarihi)</f>
        <v/>
      </c>
      <c r="L14" s="89">
        <f>IF(ISBLANK($A14),"",IF(OR(ISBLANK($B14),ISBLANK($C14),ISBLANK($D14),ISBLANK($E14),ISBLANK($F14),ISBLANK($G14),ISBLANK($H14),ISBLANK($I14),ISBLANK($J14)),"EKSİK","OK"))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IF(ISBLANK($A15),"",IF(COUNTA($E15:$H15)=4,$E15+$F15+$G15+$H15,""))</f>
        <v/>
      </c>
      <c r="J15" s="90" t="n"/>
      <c r="K15" s="97">
        <f>IF(ISBLANK($D15),"",$D15-RaporTarihi)</f>
        <v/>
      </c>
      <c r="L15" s="89">
        <f>IF(ISBLANK($A15),"",IF(OR(ISBLANK($B15),ISBLANK($C15),ISBLANK($D15),ISBLANK($E15),ISBLANK($F15),ISBLANK($G15),ISBLANK($H15),ISBLANK($I15),ISBLANK($J15)),"EKSİK","OK"))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IF(ISBLANK($A16),"",IF(COUNTA($E16:$H16)=4,$E16+$F16+$G16+$H16,""))</f>
        <v/>
      </c>
      <c r="J16" s="90" t="n"/>
      <c r="K16" s="97">
        <f>IF(ISBLANK($D16),"",$D16-RaporTarihi)</f>
        <v/>
      </c>
      <c r="L16" s="89">
        <f>IF(ISBLANK($A16),"",IF(OR(ISBLANK($B16),ISBLANK($C16),ISBLANK($D16),ISBLANK($E16),ISBLANK($F16),ISBLANK($G16),ISBLANK($H16),ISBLANK($I16),ISBLANK($J16)),"EKSİK","OK"))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IF(ISBLANK($A17),"",IF(COUNTA($E17:$H17)=4,$E17+$F17+$G17+$H17,""))</f>
        <v/>
      </c>
      <c r="J17" s="90" t="n"/>
      <c r="K17" s="97">
        <f>IF(ISBLANK($D17),"",$D17-RaporTarihi)</f>
        <v/>
      </c>
      <c r="L17" s="89">
        <f>IF(ISBLANK($A17),"",IF(OR(ISBLANK($B17),ISBLANK($C17),ISBLANK($D17),ISBLANK($E17),ISBLANK($F17),ISBLANK($G17),ISBLANK($H17),ISBLANK($I17),ISBLANK($J17)),"EKSİK","OK"))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IF(ISBLANK($A18),"",IF(COUNTA($E18:$H18)=4,$E18+$F18+$G18+$H18,""))</f>
        <v/>
      </c>
      <c r="J18" s="90" t="n"/>
      <c r="K18" s="97">
        <f>IF(ISBLANK($D18),"",$D18-RaporTarihi)</f>
        <v/>
      </c>
      <c r="L18" s="89">
        <f>IF(ISBLANK($A18),"",IF(OR(ISBLANK($B18),ISBLANK($C18),ISBLANK($D18),ISBLANK($E18),ISBLANK($F18),ISBLANK($G18),ISBLANK($H18),ISBLANK($I18),ISBLANK($J18)),"EKSİK","OK"))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IF(ISBLANK($A19),"",IF(COUNTA($E19:$H19)=4,$E19+$F19+$G19+$H19,""))</f>
        <v/>
      </c>
      <c r="J19" s="90" t="n"/>
      <c r="K19" s="97">
        <f>IF(ISBLANK($D19),"",$D19-RaporTarihi)</f>
        <v/>
      </c>
      <c r="L19" s="89">
        <f>IF(ISBLANK($A19),"",IF(OR(ISBLANK($B19),ISBLANK($C19),ISBLANK($D19),ISBLANK($E19),ISBLANK($F19),ISBLANK($G19),ISBLANK($H19),ISBLANK($I19),ISBLANK($J19)),"EKSİK","OK"))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IF(ISBLANK($A20),"",IF(COUNTA($E20:$H20)=4,$E20+$F20+$G20+$H20,""))</f>
        <v/>
      </c>
      <c r="J20" s="90" t="n"/>
      <c r="K20" s="97">
        <f>IF(ISBLANK($D20),"",$D20-RaporTarihi)</f>
        <v/>
      </c>
      <c r="L20" s="89">
        <f>IF(ISBLANK($A20),"",IF(OR(ISBLANK($B20),ISBLANK($C20),ISBLANK($D20),ISBLANK($E20),ISBLANK($F20),ISBLANK($G20),ISBLANK($H20),ISBLANK($I20),ISBLANK($J20)),"EKSİK","OK"))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IF(ISBLANK($A21),"",IF(COUNTA($E21:$H21)=4,$E21+$F21+$G21+$H21,""))</f>
        <v/>
      </c>
      <c r="J21" s="90" t="n"/>
      <c r="K21" s="97">
        <f>IF(ISBLANK($D21),"",$D21-RaporTarihi)</f>
        <v/>
      </c>
      <c r="L21" s="89">
        <f>IF(ISBLANK($A21),"",IF(OR(ISBLANK($B21),ISBLANK($C21),ISBLANK($D21),ISBLANK($E21),ISBLANK($F21),ISBLANK($G21),ISBLANK($H21),ISBLANK($I21),ISBLANK($J21)),"EKSİK","OK"))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IF(ISBLANK($A22),"",IF(COUNTA($E22:$H22)=4,$E22+$F22+$G22+$H22,""))</f>
        <v/>
      </c>
      <c r="J22" s="90" t="n"/>
      <c r="K22" s="97">
        <f>IF(ISBLANK($D22),"",$D22-RaporTarihi)</f>
        <v/>
      </c>
      <c r="L22" s="89">
        <f>IF(ISBLANK($A22),"",IF(OR(ISBLANK($B22),ISBLANK($C22),ISBLANK($D22),ISBLANK($E22),ISBLANK($F22),ISBLANK($G22),ISBLANK($H22),ISBLANK($I22),ISBLANK($J22)),"EKSİK","OK"))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IF(ISBLANK($A23),"",IF(COUNTA($E23:$H23)=4,$E23+$F23+$G23+$H23,""))</f>
        <v/>
      </c>
      <c r="J23" s="90" t="n"/>
      <c r="K23" s="97">
        <f>IF(ISBLANK($D23),"",$D23-RaporTarihi)</f>
        <v/>
      </c>
      <c r="L23" s="89">
        <f>IF(ISBLANK($A23),"",IF(OR(ISBLANK($B23),ISBLANK($C23),ISBLANK($D23),ISBLANK($E23),ISBLANK($F23),ISBLANK($G23),ISBLANK($H23),ISBLANK($I23),ISBLANK($J23)),"EKSİK","OK"))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IF(ISBLANK($A24),"",IF(COUNTA($E24:$H24)=4,$E24+$F24+$G24+$H24,""))</f>
        <v/>
      </c>
      <c r="J24" s="90" t="n"/>
      <c r="K24" s="97">
        <f>IF(ISBLANK($D24),"",$D24-RaporTarihi)</f>
        <v/>
      </c>
      <c r="L24" s="89">
        <f>IF(ISBLANK($A24),"",IF(OR(ISBLANK($B24),ISBLANK($C24),ISBLANK($D24),ISBLANK($E24),ISBLANK($F24),ISBLANK($G24),ISBLANK($H24),ISBLANK($I24),ISBLANK($J24)),"EKSİK","OK"))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IF(ISBLANK($A25),"",IF(COUNTA($E25:$H25)=4,$E25+$F25+$G25+$H25,""))</f>
        <v/>
      </c>
      <c r="J25" s="90" t="n"/>
      <c r="K25" s="97">
        <f>IF(ISBLANK($D25),"",$D25-RaporTarihi)</f>
        <v/>
      </c>
      <c r="L25" s="89">
        <f>IF(ISBLANK($A25),"",IF(OR(ISBLANK($B25),ISBLANK($C25),ISBLANK($D25),ISBLANK($E25),ISBLANK($F25),ISBLANK($G25),ISBLANK($H25),ISBLANK($I25),ISBLANK($J25)),"EKSİK","OK"))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IF(ISBLANK($A26),"",IF(COUNTA($E26:$H26)=4,$E26+$F26+$G26+$H26,""))</f>
        <v/>
      </c>
      <c r="J26" s="90" t="n"/>
      <c r="K26" s="97">
        <f>IF(ISBLANK($D26),"",$D26-RaporTarihi)</f>
        <v/>
      </c>
      <c r="L26" s="89">
        <f>IF(ISBLANK($A26),"",IF(OR(ISBLANK($B26),ISBLANK($C26),ISBLANK($D26),ISBLANK($E26),ISBLANK($F26),ISBLANK($G26),ISBLANK($H26),ISBLANK($I26),ISBLANK($J26)),"EKSİK","OK"))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IF(ISBLANK($A27),"",IF(COUNTA($E27:$H27)=4,$E27+$F27+$G27+$H27,""))</f>
        <v/>
      </c>
      <c r="J27" s="90" t="n"/>
      <c r="K27" s="97">
        <f>IF(ISBLANK($D27),"",$D27-RaporTarihi)</f>
        <v/>
      </c>
      <c r="L27" s="89">
        <f>IF(ISBLANK($A27),"",IF(OR(ISBLANK($B27),ISBLANK($C27),ISBLANK($D27),ISBLANK($E27),ISBLANK($F27),ISBLANK($G27),ISBLANK($H27),ISBLANK($I27),ISBLANK($J27)),"EKSİK","OK"))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IF(ISBLANK($A28),"",IF(COUNTA($E28:$H28)=4,$E28+$F28+$G28+$H28,""))</f>
        <v/>
      </c>
      <c r="J28" s="90" t="n"/>
      <c r="K28" s="97">
        <f>IF(ISBLANK($D28),"",$D28-RaporTarihi)</f>
        <v/>
      </c>
      <c r="L28" s="89">
        <f>IF(ISBLANK($A28),"",IF(OR(ISBLANK($B28),ISBLANK($C28),ISBLANK($D28),ISBLANK($E28),ISBLANK($F28),ISBLANK($G28),ISBLANK($H28),ISBLANK($I28),ISBLANK($J28)),"EKSİK","OK"))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IF(ISBLANK($A29),"",IF(COUNTA($E29:$H29)=4,$E29+$F29+$G29+$H29,""))</f>
        <v/>
      </c>
      <c r="J29" s="90" t="n"/>
      <c r="K29" s="97">
        <f>IF(ISBLANK($D29),"",$D29-RaporTarihi)</f>
        <v/>
      </c>
      <c r="L29" s="89">
        <f>IF(ISBLANK($A29),"",IF(OR(ISBLANK($B29),ISBLANK($C29),ISBLANK($D29),ISBLANK($E29),ISBLANK($F29),ISBLANK($G29),ISBLANK($H29),ISBLANK($I29),ISBLANK($J29)),"EKSİK","OK"))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IF(ISBLANK($A30),"",IF(COUNTA($E30:$H30)=4,$E30+$F30+$G30+$H30,""))</f>
        <v/>
      </c>
      <c r="J30" s="90" t="n"/>
      <c r="K30" s="97">
        <f>IF(ISBLANK($D30),"",$D30-RaporTarihi)</f>
        <v/>
      </c>
      <c r="L30" s="89">
        <f>IF(ISBLANK($A30),"",IF(OR(ISBLANK($B30),ISBLANK($C30),ISBLANK($D30),ISBLANK($E30),ISBLANK($F30),ISBLANK($G30),ISBLANK($H30),ISBLANK($I30),ISBLANK($J30)),"EKSİK","OK"))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IF(ISBLANK($A31),"",IF(COUNTA($E31:$H31)=4,$E31+$F31+$G31+$H31,""))</f>
        <v/>
      </c>
      <c r="J31" s="90" t="n"/>
      <c r="K31" s="97">
        <f>IF(ISBLANK($D31),"",$D31-RaporTarihi)</f>
        <v/>
      </c>
      <c r="L31" s="89">
        <f>IF(ISBLANK($A31),"",IF(OR(ISBLANK($B31),ISBLANK($C31),ISBLANK($D31),ISBLANK($E31),ISBLANK($F31),ISBLANK($G31),ISBLANK($H31),ISBLANK($I31),ISBLANK($J31)),"EKSİK","OK"))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IF(ISBLANK($A32),"",IF(COUNTA($E32:$H32)=4,$E32+$F32+$G32+$H32,""))</f>
        <v/>
      </c>
      <c r="J32" s="90" t="n"/>
      <c r="K32" s="97">
        <f>IF(ISBLANK($D32),"",$D32-RaporTarihi)</f>
        <v/>
      </c>
      <c r="L32" s="89">
        <f>IF(ISBLANK($A32),"",IF(OR(ISBLANK($B32),ISBLANK($C32),ISBLANK($D32),ISBLANK($E32),ISBLANK($F32),ISBLANK($G32),ISBLANK($H32),ISBLANK($I32),ISBLANK($J32)),"EKSİK","OK"))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IF(ISBLANK($A33),"",IF(COUNTA($E33:$H33)=4,$E33+$F33+$G33+$H33,""))</f>
        <v/>
      </c>
      <c r="J33" s="90" t="n"/>
      <c r="K33" s="97">
        <f>IF(ISBLANK($D33),"",$D33-RaporTarihi)</f>
        <v/>
      </c>
      <c r="L33" s="89">
        <f>IF(ISBLANK($A33),"",IF(OR(ISBLANK($B33),ISBLANK($C33),ISBLANK($D33),ISBLANK($E33),ISBLANK($F33),ISBLANK($G33),ISBLANK($H33),ISBLANK($I33),ISBLANK($J33)),"EKSİK","OK"))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IF(ISBLANK($A34),"",IF(COUNTA($E34:$H34)=4,$E34+$F34+$G34+$H34,""))</f>
        <v/>
      </c>
      <c r="J34" s="90" t="n"/>
      <c r="K34" s="97">
        <f>IF(ISBLANK($D34),"",$D34-RaporTarihi)</f>
        <v/>
      </c>
      <c r="L34" s="89">
        <f>IF(ISBLANK($A34),"",IF(OR(ISBLANK($B34),ISBLANK($C34),ISBLANK($D34),ISBLANK($E34),ISBLANK($F34),ISBLANK($G34),ISBLANK($H34),ISBLANK($I34),ISBLANK($J34)),"EKSİK","OK"))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IF(ISBLANK($A35),"",IF(COUNTA($E35:$H35)=4,$E35+$F35+$G35+$H35,""))</f>
        <v/>
      </c>
      <c r="J35" s="90" t="n"/>
      <c r="K35" s="97">
        <f>IF(ISBLANK($D35),"",$D35-RaporTarihi)</f>
        <v/>
      </c>
      <c r="L35" s="89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24" customWidth="1" style="76" min="2" max="2"/>
    <col width="14" customWidth="1" style="76" min="3" max="3"/>
    <col width="15" customWidth="1" style="76" min="4" max="4"/>
    <col width="12" customWidth="1" style="76" min="5" max="5"/>
    <col width="18" customWidth="1" style="76" min="6" max="6"/>
    <col width="15" customWidth="1" style="76" min="7" max="7"/>
  </cols>
  <sheetData>
    <row r="1" ht="25.5" customHeight="1" s="50">
      <c r="A1" s="77" t="inlineStr">
        <is>
          <t>ODEME TAKVIMI — BANKA, KREDİ VE TAKSİT TAKİP SİSTEMİ</t>
        </is>
      </c>
    </row>
    <row r="3" ht="105.75" customHeight="1" s="50">
      <c r="A3" s="85" t="inlineStr">
        <is>
          <t>ÖDEME TAKVİMİ — yaklaşan taksitler 30 / 60 / 90 gün penceresinde.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Ödeme Tarihi</t>
        </is>
      </c>
      <c r="D5" s="86" t="inlineStr">
        <is>
          <t>Toplam Ödeme</t>
        </is>
      </c>
      <c r="E5" s="86" t="inlineStr">
        <is>
          <t>Kalan Gün</t>
        </is>
      </c>
      <c r="F5" s="86" t="inlineStr">
        <is>
          <t>Zaman Dilimi</t>
        </is>
      </c>
      <c r="G5" s="86" t="inlineStr">
        <is>
          <t>Ödeme Durumu</t>
        </is>
      </c>
    </row>
    <row r="6" ht="15" customHeight="1" s="50">
      <c r="A6" s="89">
        <f>IF(ISBLANK(TAKSIT_PLANI!$A6),"",TAKSIT_PLANI!$B6)</f>
        <v/>
      </c>
      <c r="B6" s="98">
        <f>IF(ISBLANK(TAKSIT_PLANI!$A6),"",IFERROR(INDEX(KREDILER!$B$6:$B$1000,MATCH(TAKSIT_PLANI!$B6,KREDILER!$A$6:$A$1000,0)),""))</f>
        <v/>
      </c>
      <c r="C6" s="96">
        <f>IF(ISBLANK(TAKSIT_PLANI!$A6),"",TAKSIT_PLANI!$D6)</f>
        <v/>
      </c>
      <c r="D6" s="92">
        <f>IF(ISBLANK(TAKSIT_PLANI!$A6),"",TAKSIT_PLANI!$I6)</f>
        <v/>
      </c>
      <c r="E6" s="97">
        <f>IF(ISBLANK(TAKSIT_PLANI!$A6),"",TAKSIT_PLANI!$K6)</f>
        <v/>
      </c>
      <c r="F6" s="89">
        <f>IF(ISBLANK(TAKSIT_PLANI!$A6),"",IF(TAKSIT_PLANI!$K6&lt;0,"Vadesi Geçmiş",IF(TAKSIT_PLANI!$K6&lt;=30,"0-30 Gün",IF(TAKSIT_PLANI!$K6&lt;=60,"31-60 Gün","61 Gün ve Üzeri"))))</f>
        <v/>
      </c>
      <c r="G6" s="89">
        <f>IF(ISBLANK(TAKSIT_PLANI!$A6),"",TAKSIT_PLANI!$J6)</f>
        <v/>
      </c>
    </row>
    <row r="7" ht="15" customHeight="1" s="50">
      <c r="A7" s="89">
        <f>IF(ISBLANK(TAKSIT_PLANI!$A7),"",TAKSIT_PLANI!$B7)</f>
        <v/>
      </c>
      <c r="B7" s="98">
        <f>IF(ISBLANK(TAKSIT_PLANI!$A7),"",IFERROR(INDEX(KREDILER!$B$6:$B$1000,MATCH(TAKSIT_PLANI!$B7,KREDILER!$A$6:$A$1000,0)),""))</f>
        <v/>
      </c>
      <c r="C7" s="96">
        <f>IF(ISBLANK(TAKSIT_PLANI!$A7),"",TAKSIT_PLANI!$D7)</f>
        <v/>
      </c>
      <c r="D7" s="92">
        <f>IF(ISBLANK(TAKSIT_PLANI!$A7),"",TAKSIT_PLANI!$I7)</f>
        <v/>
      </c>
      <c r="E7" s="97">
        <f>IF(ISBLANK(TAKSIT_PLANI!$A7),"",TAKSIT_PLANI!$K7)</f>
        <v/>
      </c>
      <c r="F7" s="89">
        <f>IF(ISBLANK(TAKSIT_PLANI!$A7),"",IF(TAKSIT_PLANI!$K7&lt;0,"Vadesi Geçmiş",IF(TAKSIT_PLANI!$K7&lt;=30,"0-30 Gün",IF(TAKSIT_PLANI!$K7&lt;=60,"31-60 Gün","61 Gün ve Üzeri"))))</f>
        <v/>
      </c>
      <c r="G7" s="89">
        <f>IF(ISBLANK(TAKSIT_PLANI!$A7),"",TAKSIT_PLANI!$J7)</f>
        <v/>
      </c>
    </row>
    <row r="8" ht="15" customHeight="1" s="50">
      <c r="A8" s="89">
        <f>IF(ISBLANK(TAKSIT_PLANI!$A8),"",TAKSIT_PLANI!$B8)</f>
        <v/>
      </c>
      <c r="B8" s="98">
        <f>IF(ISBLANK(TAKSIT_PLANI!$A8),"",IFERROR(INDEX(KREDILER!$B$6:$B$1000,MATCH(TAKSIT_PLANI!$B8,KREDILER!$A$6:$A$1000,0)),""))</f>
        <v/>
      </c>
      <c r="C8" s="96">
        <f>IF(ISBLANK(TAKSIT_PLANI!$A8),"",TAKSIT_PLANI!$D8)</f>
        <v/>
      </c>
      <c r="D8" s="92">
        <f>IF(ISBLANK(TAKSIT_PLANI!$A8),"",TAKSIT_PLANI!$I8)</f>
        <v/>
      </c>
      <c r="E8" s="97">
        <f>IF(ISBLANK(TAKSIT_PLANI!$A8),"",TAKSIT_PLANI!$K8)</f>
        <v/>
      </c>
      <c r="F8" s="89">
        <f>IF(ISBLANK(TAKSIT_PLANI!$A8),"",IF(TAKSIT_PLANI!$K8&lt;0,"Vadesi Geçmiş",IF(TAKSIT_PLANI!$K8&lt;=30,"0-30 Gün",IF(TAKSIT_PLANI!$K8&lt;=60,"31-60 Gün","61 Gün ve Üzeri"))))</f>
        <v/>
      </c>
      <c r="G8" s="89">
        <f>IF(ISBLANK(TAKSIT_PLANI!$A8),"",TAKSIT_PLANI!$J8)</f>
        <v/>
      </c>
    </row>
    <row r="9" ht="15" customHeight="1" s="50">
      <c r="A9" s="89">
        <f>IF(ISBLANK(TAKSIT_PLANI!$A9),"",TAKSIT_PLANI!$B9)</f>
        <v/>
      </c>
      <c r="B9" s="98">
        <f>IF(ISBLANK(TAKSIT_PLANI!$A9),"",IFERROR(INDEX(KREDILER!$B$6:$B$1000,MATCH(TAKSIT_PLANI!$B9,KREDILER!$A$6:$A$1000,0)),""))</f>
        <v/>
      </c>
      <c r="C9" s="96">
        <f>IF(ISBLANK(TAKSIT_PLANI!$A9),"",TAKSIT_PLANI!$D9)</f>
        <v/>
      </c>
      <c r="D9" s="92">
        <f>IF(ISBLANK(TAKSIT_PLANI!$A9),"",TAKSIT_PLANI!$I9)</f>
        <v/>
      </c>
      <c r="E9" s="97">
        <f>IF(ISBLANK(TAKSIT_PLANI!$A9),"",TAKSIT_PLANI!$K9)</f>
        <v/>
      </c>
      <c r="F9" s="89">
        <f>IF(ISBLANK(TAKSIT_PLANI!$A9),"",IF(TAKSIT_PLANI!$K9&lt;0,"Vadesi Geçmiş",IF(TAKSIT_PLANI!$K9&lt;=30,"0-30 Gün",IF(TAKSIT_PLANI!$K9&lt;=60,"31-60 Gün","61 Gün ve Üzeri"))))</f>
        <v/>
      </c>
      <c r="G9" s="89">
        <f>IF(ISBLANK(TAKSIT_PLANI!$A9),"",TAKSIT_PLANI!$J9)</f>
        <v/>
      </c>
    </row>
    <row r="10" ht="15" customHeight="1" s="50">
      <c r="A10" s="89">
        <f>IF(ISBLANK(TAKSIT_PLANI!$A10),"",TAKSIT_PLANI!$B10)</f>
        <v/>
      </c>
      <c r="B10" s="98">
        <f>IF(ISBLANK(TAKSIT_PLANI!$A10),"",IFERROR(INDEX(KREDILER!$B$6:$B$1000,MATCH(TAKSIT_PLANI!$B10,KREDILER!$A$6:$A$1000,0)),""))</f>
        <v/>
      </c>
      <c r="C10" s="96">
        <f>IF(ISBLANK(TAKSIT_PLANI!$A10),"",TAKSIT_PLANI!$D10)</f>
        <v/>
      </c>
      <c r="D10" s="92">
        <f>IF(ISBLANK(TAKSIT_PLANI!$A10),"",TAKSIT_PLANI!$I10)</f>
        <v/>
      </c>
      <c r="E10" s="97">
        <f>IF(ISBLANK(TAKSIT_PLANI!$A10),"",TAKSIT_PLANI!$K10)</f>
        <v/>
      </c>
      <c r="F10" s="89">
        <f>IF(ISBLANK(TAKSIT_PLANI!$A10),"",IF(TAKSIT_PLANI!$K10&lt;0,"Vadesi Geçmiş",IF(TAKSIT_PLANI!$K10&lt;=30,"0-30 Gün",IF(TAKSIT_PLANI!$K10&lt;=60,"31-60 Gün","61 Gün ve Üzeri"))))</f>
        <v/>
      </c>
      <c r="G10" s="89">
        <f>IF(ISBLANK(TAKSIT_PLANI!$A10),"",TAKSIT_PLANI!$J10)</f>
        <v/>
      </c>
    </row>
    <row r="11" ht="15" customHeight="1" s="50">
      <c r="A11" s="89">
        <f>IF(ISBLANK(TAKSIT_PLANI!$A11),"",TAKSIT_PLANI!$B11)</f>
        <v/>
      </c>
      <c r="B11" s="98">
        <f>IF(ISBLANK(TAKSIT_PLANI!$A11),"",IFERROR(INDEX(KREDILER!$B$6:$B$1000,MATCH(TAKSIT_PLANI!$B11,KREDILER!$A$6:$A$1000,0)),""))</f>
        <v/>
      </c>
      <c r="C11" s="96">
        <f>IF(ISBLANK(TAKSIT_PLANI!$A11),"",TAKSIT_PLANI!$D11)</f>
        <v/>
      </c>
      <c r="D11" s="92">
        <f>IF(ISBLANK(TAKSIT_PLANI!$A11),"",TAKSIT_PLANI!$I11)</f>
        <v/>
      </c>
      <c r="E11" s="97">
        <f>IF(ISBLANK(TAKSIT_PLANI!$A11),"",TAKSIT_PLANI!$K11)</f>
        <v/>
      </c>
      <c r="F11" s="89">
        <f>IF(ISBLANK(TAKSIT_PLANI!$A11),"",IF(TAKSIT_PLANI!$K11&lt;0,"Vadesi Geçmiş",IF(TAKSIT_PLANI!$K11&lt;=30,"0-30 Gün",IF(TAKSIT_PLANI!$K11&lt;=60,"31-60 Gün","61 Gün ve Üzeri"))))</f>
        <v/>
      </c>
      <c r="G11" s="89">
        <f>IF(ISBLANK(TAKSIT_PLANI!$A11),"",TAKSIT_PLANI!$J11)</f>
        <v/>
      </c>
    </row>
    <row r="12" ht="15" customHeight="1" s="50">
      <c r="A12" s="89">
        <f>IF(ISBLANK(TAKSIT_PLANI!$A12),"",TAKSIT_PLANI!$B12)</f>
        <v/>
      </c>
      <c r="B12" s="98">
        <f>IF(ISBLANK(TAKSIT_PLANI!$A12),"",IFERROR(INDEX(KREDILER!$B$6:$B$1000,MATCH(TAKSIT_PLANI!$B12,KREDILER!$A$6:$A$1000,0)),""))</f>
        <v/>
      </c>
      <c r="C12" s="96">
        <f>IF(ISBLANK(TAKSIT_PLANI!$A12),"",TAKSIT_PLANI!$D12)</f>
        <v/>
      </c>
      <c r="D12" s="92">
        <f>IF(ISBLANK(TAKSIT_PLANI!$A12),"",TAKSIT_PLANI!$I12)</f>
        <v/>
      </c>
      <c r="E12" s="97">
        <f>IF(ISBLANK(TAKSIT_PLANI!$A12),"",TAKSIT_PLANI!$K12)</f>
        <v/>
      </c>
      <c r="F12" s="89">
        <f>IF(ISBLANK(TAKSIT_PLANI!$A12),"",IF(TAKSIT_PLANI!$K12&lt;0,"Vadesi Geçmiş",IF(TAKSIT_PLANI!$K12&lt;=30,"0-30 Gün",IF(TAKSIT_PLANI!$K12&lt;=60,"31-60 Gün","61 Gün ve Üzeri"))))</f>
        <v/>
      </c>
      <c r="G12" s="89">
        <f>IF(ISBLANK(TAKSIT_PLANI!$A12),"",TAKSIT_PLANI!$J12)</f>
        <v/>
      </c>
    </row>
    <row r="13" ht="15" customHeight="1" s="50">
      <c r="A13" s="89">
        <f>IF(ISBLANK(TAKSIT_PLANI!$A13),"",TAKSIT_PLANI!$B13)</f>
        <v/>
      </c>
      <c r="B13" s="98">
        <f>IF(ISBLANK(TAKSIT_PLANI!$A13),"",IFERROR(INDEX(KREDILER!$B$6:$B$1000,MATCH(TAKSIT_PLANI!$B13,KREDILER!$A$6:$A$1000,0)),""))</f>
        <v/>
      </c>
      <c r="C13" s="96">
        <f>IF(ISBLANK(TAKSIT_PLANI!$A13),"",TAKSIT_PLANI!$D13)</f>
        <v/>
      </c>
      <c r="D13" s="92">
        <f>IF(ISBLANK(TAKSIT_PLANI!$A13),"",TAKSIT_PLANI!$I13)</f>
        <v/>
      </c>
      <c r="E13" s="97">
        <f>IF(ISBLANK(TAKSIT_PLANI!$A13),"",TAKSIT_PLANI!$K13)</f>
        <v/>
      </c>
      <c r="F13" s="89">
        <f>IF(ISBLANK(TAKSIT_PLANI!$A13),"",IF(TAKSIT_PLANI!$K13&lt;0,"Vadesi Geçmiş",IF(TAKSIT_PLANI!$K13&lt;=30,"0-30 Gün",IF(TAKSIT_PLANI!$K13&lt;=60,"31-60 Gün","61 Gün ve Üzeri"))))</f>
        <v/>
      </c>
      <c r="G13" s="89">
        <f>IF(ISBLANK(TAKSIT_PLANI!$A13),"",TAKSIT_PLANI!$J13)</f>
        <v/>
      </c>
    </row>
    <row r="14" ht="15" customHeight="1" s="50">
      <c r="A14" s="89">
        <f>IF(ISBLANK(TAKSIT_PLANI!$A14),"",TAKSIT_PLANI!$B14)</f>
        <v/>
      </c>
      <c r="B14" s="98">
        <f>IF(ISBLANK(TAKSIT_PLANI!$A14),"",IFERROR(INDEX(KREDILER!$B$6:$B$1000,MATCH(TAKSIT_PLANI!$B14,KREDILER!$A$6:$A$1000,0)),""))</f>
        <v/>
      </c>
      <c r="C14" s="96">
        <f>IF(ISBLANK(TAKSIT_PLANI!$A14),"",TAKSIT_PLANI!$D14)</f>
        <v/>
      </c>
      <c r="D14" s="92">
        <f>IF(ISBLANK(TAKSIT_PLANI!$A14),"",TAKSIT_PLANI!$I14)</f>
        <v/>
      </c>
      <c r="E14" s="97">
        <f>IF(ISBLANK(TAKSIT_PLANI!$A14),"",TAKSIT_PLANI!$K14)</f>
        <v/>
      </c>
      <c r="F14" s="89">
        <f>IF(ISBLANK(TAKSIT_PLANI!$A14),"",IF(TAKSIT_PLANI!$K14&lt;0,"Vadesi Geçmiş",IF(TAKSIT_PLANI!$K14&lt;=30,"0-30 Gün",IF(TAKSIT_PLANI!$K14&lt;=60,"31-60 Gün","61 Gün ve Üzeri"))))</f>
        <v/>
      </c>
      <c r="G14" s="89">
        <f>IF(ISBLANK(TAKSIT_PLANI!$A14),"",TAKSIT_PLANI!$J14)</f>
        <v/>
      </c>
    </row>
    <row r="15" ht="15" customHeight="1" s="50">
      <c r="A15" s="89">
        <f>IF(ISBLANK(TAKSIT_PLANI!$A15),"",TAKSIT_PLANI!$B15)</f>
        <v/>
      </c>
      <c r="B15" s="98">
        <f>IF(ISBLANK(TAKSIT_PLANI!$A15),"",IFERROR(INDEX(KREDILER!$B$6:$B$1000,MATCH(TAKSIT_PLANI!$B15,KREDILER!$A$6:$A$1000,0)),""))</f>
        <v/>
      </c>
      <c r="C15" s="96">
        <f>IF(ISBLANK(TAKSIT_PLANI!$A15),"",TAKSIT_PLANI!$D15)</f>
        <v/>
      </c>
      <c r="D15" s="92">
        <f>IF(ISBLANK(TAKSIT_PLANI!$A15),"",TAKSIT_PLANI!$I15)</f>
        <v/>
      </c>
      <c r="E15" s="97">
        <f>IF(ISBLANK(TAKSIT_PLANI!$A15),"",TAKSIT_PLANI!$K15)</f>
        <v/>
      </c>
      <c r="F15" s="89">
        <f>IF(ISBLANK(TAKSIT_PLANI!$A15),"",IF(TAKSIT_PLANI!$K15&lt;0,"Vadesi Geçmiş",IF(TAKSIT_PLANI!$K15&lt;=30,"0-30 Gün",IF(TAKSIT_PLANI!$K15&lt;=60,"31-60 Gün","61 Gün ve Üzeri"))))</f>
        <v/>
      </c>
      <c r="G15" s="89">
        <f>IF(ISBLANK(TAKSIT_PLANI!$A15),"",TAKSIT_PLANI!$J15)</f>
        <v/>
      </c>
    </row>
    <row r="16" ht="15" customHeight="1" s="50">
      <c r="A16" s="89">
        <f>IF(ISBLANK(TAKSIT_PLANI!$A16),"",TAKSIT_PLANI!$B16)</f>
        <v/>
      </c>
      <c r="B16" s="98">
        <f>IF(ISBLANK(TAKSIT_PLANI!$A16),"",IFERROR(INDEX(KREDILER!$B$6:$B$1000,MATCH(TAKSIT_PLANI!$B16,KREDILER!$A$6:$A$1000,0)),""))</f>
        <v/>
      </c>
      <c r="C16" s="96">
        <f>IF(ISBLANK(TAKSIT_PLANI!$A16),"",TAKSIT_PLANI!$D16)</f>
        <v/>
      </c>
      <c r="D16" s="92">
        <f>IF(ISBLANK(TAKSIT_PLANI!$A16),"",TAKSIT_PLANI!$I16)</f>
        <v/>
      </c>
      <c r="E16" s="97">
        <f>IF(ISBLANK(TAKSIT_PLANI!$A16),"",TAKSIT_PLANI!$K16)</f>
        <v/>
      </c>
      <c r="F16" s="89">
        <f>IF(ISBLANK(TAKSIT_PLANI!$A16),"",IF(TAKSIT_PLANI!$K16&lt;0,"Vadesi Geçmiş",IF(TAKSIT_PLANI!$K16&lt;=30,"0-30 Gün",IF(TAKSIT_PLANI!$K16&lt;=60,"31-60 Gün","61 Gün ve Üzeri"))))</f>
        <v/>
      </c>
      <c r="G16" s="89">
        <f>IF(ISBLANK(TAKSIT_PLANI!$A16),"",TAKSIT_PLANI!$J16)</f>
        <v/>
      </c>
    </row>
    <row r="17" ht="15" customHeight="1" s="50">
      <c r="A17" s="89">
        <f>IF(ISBLANK(TAKSIT_PLANI!$A17),"",TAKSIT_PLANI!$B17)</f>
        <v/>
      </c>
      <c r="B17" s="98">
        <f>IF(ISBLANK(TAKSIT_PLANI!$A17),"",IFERROR(INDEX(KREDILER!$B$6:$B$1000,MATCH(TAKSIT_PLANI!$B17,KREDILER!$A$6:$A$1000,0)),""))</f>
        <v/>
      </c>
      <c r="C17" s="96">
        <f>IF(ISBLANK(TAKSIT_PLANI!$A17),"",TAKSIT_PLANI!$D17)</f>
        <v/>
      </c>
      <c r="D17" s="92">
        <f>IF(ISBLANK(TAKSIT_PLANI!$A17),"",TAKSIT_PLANI!$I17)</f>
        <v/>
      </c>
      <c r="E17" s="97">
        <f>IF(ISBLANK(TAKSIT_PLANI!$A17),"",TAKSIT_PLANI!$K17)</f>
        <v/>
      </c>
      <c r="F17" s="89">
        <f>IF(ISBLANK(TAKSIT_PLANI!$A17),"",IF(TAKSIT_PLANI!$K17&lt;0,"Vadesi Geçmiş",IF(TAKSIT_PLANI!$K17&lt;=30,"0-30 Gün",IF(TAKSIT_PLANI!$K17&lt;=60,"31-60 Gün","61 Gün ve Üzeri"))))</f>
        <v/>
      </c>
      <c r="G17" s="89">
        <f>IF(ISBLANK(TAKSIT_PLANI!$A17),"",TAKSIT_PLANI!$J17)</f>
        <v/>
      </c>
    </row>
    <row r="18" ht="15" customHeight="1" s="50">
      <c r="A18" s="89">
        <f>IF(ISBLANK(TAKSIT_PLANI!$A18),"",TAKSIT_PLANI!$B18)</f>
        <v/>
      </c>
      <c r="B18" s="98">
        <f>IF(ISBLANK(TAKSIT_PLANI!$A18),"",IFERROR(INDEX(KREDILER!$B$6:$B$1000,MATCH(TAKSIT_PLANI!$B18,KREDILER!$A$6:$A$1000,0)),""))</f>
        <v/>
      </c>
      <c r="C18" s="96">
        <f>IF(ISBLANK(TAKSIT_PLANI!$A18),"",TAKSIT_PLANI!$D18)</f>
        <v/>
      </c>
      <c r="D18" s="92">
        <f>IF(ISBLANK(TAKSIT_PLANI!$A18),"",TAKSIT_PLANI!$I18)</f>
        <v/>
      </c>
      <c r="E18" s="97">
        <f>IF(ISBLANK(TAKSIT_PLANI!$A18),"",TAKSIT_PLANI!$K18)</f>
        <v/>
      </c>
      <c r="F18" s="89">
        <f>IF(ISBLANK(TAKSIT_PLANI!$A18),"",IF(TAKSIT_PLANI!$K18&lt;0,"Vadesi Geçmiş",IF(TAKSIT_PLANI!$K18&lt;=30,"0-30 Gün",IF(TAKSIT_PLANI!$K18&lt;=60,"31-60 Gün","61 Gün ve Üzeri"))))</f>
        <v/>
      </c>
      <c r="G18" s="89">
        <f>IF(ISBLANK(TAKSIT_PLANI!$A18),"",TAKSIT_PLANI!$J18)</f>
        <v/>
      </c>
    </row>
    <row r="19" ht="15" customHeight="1" s="50">
      <c r="A19" s="89">
        <f>IF(ISBLANK(TAKSIT_PLANI!$A19),"",TAKSIT_PLANI!$B19)</f>
        <v/>
      </c>
      <c r="B19" s="98">
        <f>IF(ISBLANK(TAKSIT_PLANI!$A19),"",IFERROR(INDEX(KREDILER!$B$6:$B$1000,MATCH(TAKSIT_PLANI!$B19,KREDILER!$A$6:$A$1000,0)),""))</f>
        <v/>
      </c>
      <c r="C19" s="96">
        <f>IF(ISBLANK(TAKSIT_PLANI!$A19),"",TAKSIT_PLANI!$D19)</f>
        <v/>
      </c>
      <c r="D19" s="92">
        <f>IF(ISBLANK(TAKSIT_PLANI!$A19),"",TAKSIT_PLANI!$I19)</f>
        <v/>
      </c>
      <c r="E19" s="97">
        <f>IF(ISBLANK(TAKSIT_PLANI!$A19),"",TAKSIT_PLANI!$K19)</f>
        <v/>
      </c>
      <c r="F19" s="89">
        <f>IF(ISBLANK(TAKSIT_PLANI!$A19),"",IF(TAKSIT_PLANI!$K19&lt;0,"Vadesi Geçmiş",IF(TAKSIT_PLANI!$K19&lt;=30,"0-30 Gün",IF(TAKSIT_PLANI!$K19&lt;=60,"31-60 Gün","61 Gün ve Üzeri"))))</f>
        <v/>
      </c>
      <c r="G19" s="89">
        <f>IF(ISBLANK(TAKSIT_PLANI!$A19),"",TAKSIT_PLANI!$J19)</f>
        <v/>
      </c>
    </row>
    <row r="20" ht="15" customHeight="1" s="50">
      <c r="A20" s="89">
        <f>IF(ISBLANK(TAKSIT_PLANI!$A20),"",TAKSIT_PLANI!$B20)</f>
        <v/>
      </c>
      <c r="B20" s="98">
        <f>IF(ISBLANK(TAKSIT_PLANI!$A20),"",IFERROR(INDEX(KREDILER!$B$6:$B$1000,MATCH(TAKSIT_PLANI!$B20,KREDILER!$A$6:$A$1000,0)),""))</f>
        <v/>
      </c>
      <c r="C20" s="96">
        <f>IF(ISBLANK(TAKSIT_PLANI!$A20),"",TAKSIT_PLANI!$D20)</f>
        <v/>
      </c>
      <c r="D20" s="92">
        <f>IF(ISBLANK(TAKSIT_PLANI!$A20),"",TAKSIT_PLANI!$I20)</f>
        <v/>
      </c>
      <c r="E20" s="97">
        <f>IF(ISBLANK(TAKSIT_PLANI!$A20),"",TAKSIT_PLANI!$K20)</f>
        <v/>
      </c>
      <c r="F20" s="89">
        <f>IF(ISBLANK(TAKSIT_PLANI!$A20),"",IF(TAKSIT_PLANI!$K20&lt;0,"Vadesi Geçmiş",IF(TAKSIT_PLANI!$K20&lt;=30,"0-30 Gün",IF(TAKSIT_PLANI!$K20&lt;=60,"31-60 Gün","61 Gün ve Üzeri"))))</f>
        <v/>
      </c>
      <c r="G20" s="89">
        <f>IF(ISBLANK(TAKSIT_PLANI!$A20),"",TAKSIT_PLANI!$J20)</f>
        <v/>
      </c>
    </row>
    <row r="21" ht="15" customHeight="1" s="50">
      <c r="A21" s="89">
        <f>IF(ISBLANK(TAKSIT_PLANI!$A21),"",TAKSIT_PLANI!$B21)</f>
        <v/>
      </c>
      <c r="B21" s="98">
        <f>IF(ISBLANK(TAKSIT_PLANI!$A21),"",IFERROR(INDEX(KREDILER!$B$6:$B$1000,MATCH(TAKSIT_PLANI!$B21,KREDILER!$A$6:$A$1000,0)),""))</f>
        <v/>
      </c>
      <c r="C21" s="96">
        <f>IF(ISBLANK(TAKSIT_PLANI!$A21),"",TAKSIT_PLANI!$D21)</f>
        <v/>
      </c>
      <c r="D21" s="92">
        <f>IF(ISBLANK(TAKSIT_PLANI!$A21),"",TAKSIT_PLANI!$I21)</f>
        <v/>
      </c>
      <c r="E21" s="97">
        <f>IF(ISBLANK(TAKSIT_PLANI!$A21),"",TAKSIT_PLANI!$K21)</f>
        <v/>
      </c>
      <c r="F21" s="89">
        <f>IF(ISBLANK(TAKSIT_PLANI!$A21),"",IF(TAKSIT_PLANI!$K21&lt;0,"Vadesi Geçmiş",IF(TAKSIT_PLANI!$K21&lt;=30,"0-30 Gün",IF(TAKSIT_PLANI!$K21&lt;=60,"31-60 Gün","61 Gün ve Üzeri"))))</f>
        <v/>
      </c>
      <c r="G21" s="89">
        <f>IF(ISBLANK(TAKSIT_PLANI!$A21),"",TAKSIT_PLANI!$J21)</f>
        <v/>
      </c>
    </row>
    <row r="22" ht="15" customHeight="1" s="50">
      <c r="A22" s="89">
        <f>IF(ISBLANK(TAKSIT_PLANI!$A22),"",TAKSIT_PLANI!$B22)</f>
        <v/>
      </c>
      <c r="B22" s="98">
        <f>IF(ISBLANK(TAKSIT_PLANI!$A22),"",IFERROR(INDEX(KREDILER!$B$6:$B$1000,MATCH(TAKSIT_PLANI!$B22,KREDILER!$A$6:$A$1000,0)),""))</f>
        <v/>
      </c>
      <c r="C22" s="96">
        <f>IF(ISBLANK(TAKSIT_PLANI!$A22),"",TAKSIT_PLANI!$D22)</f>
        <v/>
      </c>
      <c r="D22" s="92">
        <f>IF(ISBLANK(TAKSIT_PLANI!$A22),"",TAKSIT_PLANI!$I22)</f>
        <v/>
      </c>
      <c r="E22" s="97">
        <f>IF(ISBLANK(TAKSIT_PLANI!$A22),"",TAKSIT_PLANI!$K22)</f>
        <v/>
      </c>
      <c r="F22" s="89">
        <f>IF(ISBLANK(TAKSIT_PLANI!$A22),"",IF(TAKSIT_PLANI!$K22&lt;0,"Vadesi Geçmiş",IF(TAKSIT_PLANI!$K22&lt;=30,"0-30 Gün",IF(TAKSIT_PLANI!$K22&lt;=60,"31-60 Gün","61 Gün ve Üzeri"))))</f>
        <v/>
      </c>
      <c r="G22" s="89">
        <f>IF(ISBLANK(TAKSIT_PLANI!$A22),"",TAKSIT_PLANI!$J22)</f>
        <v/>
      </c>
    </row>
    <row r="23" ht="15" customHeight="1" s="50">
      <c r="A23" s="89">
        <f>IF(ISBLANK(TAKSIT_PLANI!$A23),"",TAKSIT_PLANI!$B23)</f>
        <v/>
      </c>
      <c r="B23" s="98">
        <f>IF(ISBLANK(TAKSIT_PLANI!$A23),"",IFERROR(INDEX(KREDILER!$B$6:$B$1000,MATCH(TAKSIT_PLANI!$B23,KREDILER!$A$6:$A$1000,0)),""))</f>
        <v/>
      </c>
      <c r="C23" s="96">
        <f>IF(ISBLANK(TAKSIT_PLANI!$A23),"",TAKSIT_PLANI!$D23)</f>
        <v/>
      </c>
      <c r="D23" s="92">
        <f>IF(ISBLANK(TAKSIT_PLANI!$A23),"",TAKSIT_PLANI!$I23)</f>
        <v/>
      </c>
      <c r="E23" s="97">
        <f>IF(ISBLANK(TAKSIT_PLANI!$A23),"",TAKSIT_PLANI!$K23)</f>
        <v/>
      </c>
      <c r="F23" s="89">
        <f>IF(ISBLANK(TAKSIT_PLANI!$A23),"",IF(TAKSIT_PLANI!$K23&lt;0,"Vadesi Geçmiş",IF(TAKSIT_PLANI!$K23&lt;=30,"0-30 Gün",IF(TAKSIT_PLANI!$K23&lt;=60,"31-60 Gün","61 Gün ve Üzeri"))))</f>
        <v/>
      </c>
      <c r="G23" s="89">
        <f>IF(ISBLANK(TAKSIT_PLANI!$A23),"",TAKSIT_PLANI!$J23)</f>
        <v/>
      </c>
    </row>
    <row r="24" ht="15" customHeight="1" s="50">
      <c r="A24" s="89">
        <f>IF(ISBLANK(TAKSIT_PLANI!$A24),"",TAKSIT_PLANI!$B24)</f>
        <v/>
      </c>
      <c r="B24" s="98">
        <f>IF(ISBLANK(TAKSIT_PLANI!$A24),"",IFERROR(INDEX(KREDILER!$B$6:$B$1000,MATCH(TAKSIT_PLANI!$B24,KREDILER!$A$6:$A$1000,0)),""))</f>
        <v/>
      </c>
      <c r="C24" s="96">
        <f>IF(ISBLANK(TAKSIT_PLANI!$A24),"",TAKSIT_PLANI!$D24)</f>
        <v/>
      </c>
      <c r="D24" s="92">
        <f>IF(ISBLANK(TAKSIT_PLANI!$A24),"",TAKSIT_PLANI!$I24)</f>
        <v/>
      </c>
      <c r="E24" s="97">
        <f>IF(ISBLANK(TAKSIT_PLANI!$A24),"",TAKSIT_PLANI!$K24)</f>
        <v/>
      </c>
      <c r="F24" s="89">
        <f>IF(ISBLANK(TAKSIT_PLANI!$A24),"",IF(TAKSIT_PLANI!$K24&lt;0,"Vadesi Geçmiş",IF(TAKSIT_PLANI!$K24&lt;=30,"0-30 Gün",IF(TAKSIT_PLANI!$K24&lt;=60,"31-60 Gün","61 Gün ve Üzeri"))))</f>
        <v/>
      </c>
      <c r="G24" s="89">
        <f>IF(ISBLANK(TAKSIT_PLANI!$A24),"",TAKSIT_PLANI!$J24)</f>
        <v/>
      </c>
    </row>
    <row r="25" ht="15" customHeight="1" s="50">
      <c r="A25" s="89">
        <f>IF(ISBLANK(TAKSIT_PLANI!$A25),"",TAKSIT_PLANI!$B25)</f>
        <v/>
      </c>
      <c r="B25" s="98">
        <f>IF(ISBLANK(TAKSIT_PLANI!$A25),"",IFERROR(INDEX(KREDILER!$B$6:$B$1000,MATCH(TAKSIT_PLANI!$B25,KREDILER!$A$6:$A$1000,0)),""))</f>
        <v/>
      </c>
      <c r="C25" s="96">
        <f>IF(ISBLANK(TAKSIT_PLANI!$A25),"",TAKSIT_PLANI!$D25)</f>
        <v/>
      </c>
      <c r="D25" s="92">
        <f>IF(ISBLANK(TAKSIT_PLANI!$A25),"",TAKSIT_PLANI!$I25)</f>
        <v/>
      </c>
      <c r="E25" s="97">
        <f>IF(ISBLANK(TAKSIT_PLANI!$A25),"",TAKSIT_PLANI!$K25)</f>
        <v/>
      </c>
      <c r="F25" s="89">
        <f>IF(ISBLANK(TAKSIT_PLANI!$A25),"",IF(TAKSIT_PLANI!$K25&lt;0,"Vadesi Geçmiş",IF(TAKSIT_PLANI!$K25&lt;=30,"0-30 Gün",IF(TAKSIT_PLANI!$K25&lt;=60,"31-60 Gün","61 Gün ve Üzeri"))))</f>
        <v/>
      </c>
      <c r="G25" s="89">
        <f>IF(ISBLANK(TAKSIT_PLANI!$A25),"",TAKSIT_PLANI!$J25)</f>
        <v/>
      </c>
    </row>
    <row r="26" ht="15" customHeight="1" s="50">
      <c r="A26" s="89">
        <f>IF(ISBLANK(TAKSIT_PLANI!$A26),"",TAKSIT_PLANI!$B26)</f>
        <v/>
      </c>
      <c r="B26" s="98">
        <f>IF(ISBLANK(TAKSIT_PLANI!$A26),"",IFERROR(INDEX(KREDILER!$B$6:$B$1000,MATCH(TAKSIT_PLANI!$B26,KREDILER!$A$6:$A$1000,0)),""))</f>
        <v/>
      </c>
      <c r="C26" s="96">
        <f>IF(ISBLANK(TAKSIT_PLANI!$A26),"",TAKSIT_PLANI!$D26)</f>
        <v/>
      </c>
      <c r="D26" s="92">
        <f>IF(ISBLANK(TAKSIT_PLANI!$A26),"",TAKSIT_PLANI!$I26)</f>
        <v/>
      </c>
      <c r="E26" s="97">
        <f>IF(ISBLANK(TAKSIT_PLANI!$A26),"",TAKSIT_PLANI!$K26)</f>
        <v/>
      </c>
      <c r="F26" s="89">
        <f>IF(ISBLANK(TAKSIT_PLANI!$A26),"",IF(TAKSIT_PLANI!$K26&lt;0,"Vadesi Geçmiş",IF(TAKSIT_PLANI!$K26&lt;=30,"0-30 Gün",IF(TAKSIT_PLANI!$K26&lt;=60,"31-60 Gün","61 Gün ve Üzeri"))))</f>
        <v/>
      </c>
      <c r="G26" s="89">
        <f>IF(ISBLANK(TAKSIT_PLANI!$A26),"",TAKSIT_PLANI!$J26)</f>
        <v/>
      </c>
    </row>
    <row r="27" ht="15" customHeight="1" s="50">
      <c r="A27" s="89">
        <f>IF(ISBLANK(TAKSIT_PLANI!$A27),"",TAKSIT_PLANI!$B27)</f>
        <v/>
      </c>
      <c r="B27" s="98">
        <f>IF(ISBLANK(TAKSIT_PLANI!$A27),"",IFERROR(INDEX(KREDILER!$B$6:$B$1000,MATCH(TAKSIT_PLANI!$B27,KREDILER!$A$6:$A$1000,0)),""))</f>
        <v/>
      </c>
      <c r="C27" s="96">
        <f>IF(ISBLANK(TAKSIT_PLANI!$A27),"",TAKSIT_PLANI!$D27)</f>
        <v/>
      </c>
      <c r="D27" s="92">
        <f>IF(ISBLANK(TAKSIT_PLANI!$A27),"",TAKSIT_PLANI!$I27)</f>
        <v/>
      </c>
      <c r="E27" s="97">
        <f>IF(ISBLANK(TAKSIT_PLANI!$A27),"",TAKSIT_PLANI!$K27)</f>
        <v/>
      </c>
      <c r="F27" s="89">
        <f>IF(ISBLANK(TAKSIT_PLANI!$A27),"",IF(TAKSIT_PLANI!$K27&lt;0,"Vadesi Geçmiş",IF(TAKSIT_PLANI!$K27&lt;=30,"0-30 Gün",IF(TAKSIT_PLANI!$K27&lt;=60,"31-60 Gün","61 Gün ve Üzeri"))))</f>
        <v/>
      </c>
      <c r="G27" s="89">
        <f>IF(ISBLANK(TAKSIT_PLANI!$A27),"",TAKSIT_PLANI!$J27)</f>
        <v/>
      </c>
    </row>
    <row r="28" ht="15" customHeight="1" s="50">
      <c r="A28" s="89">
        <f>IF(ISBLANK(TAKSIT_PLANI!$A28),"",TAKSIT_PLANI!$B28)</f>
        <v/>
      </c>
      <c r="B28" s="98">
        <f>IF(ISBLANK(TAKSIT_PLANI!$A28),"",IFERROR(INDEX(KREDILER!$B$6:$B$1000,MATCH(TAKSIT_PLANI!$B28,KREDILER!$A$6:$A$1000,0)),""))</f>
        <v/>
      </c>
      <c r="C28" s="96">
        <f>IF(ISBLANK(TAKSIT_PLANI!$A28),"",TAKSIT_PLANI!$D28)</f>
        <v/>
      </c>
      <c r="D28" s="92">
        <f>IF(ISBLANK(TAKSIT_PLANI!$A28),"",TAKSIT_PLANI!$I28)</f>
        <v/>
      </c>
      <c r="E28" s="97">
        <f>IF(ISBLANK(TAKSIT_PLANI!$A28),"",TAKSIT_PLANI!$K28)</f>
        <v/>
      </c>
      <c r="F28" s="89">
        <f>IF(ISBLANK(TAKSIT_PLANI!$A28),"",IF(TAKSIT_PLANI!$K28&lt;0,"Vadesi Geçmiş",IF(TAKSIT_PLANI!$K28&lt;=30,"0-30 Gün",IF(TAKSIT_PLANI!$K28&lt;=60,"31-60 Gün","61 Gün ve Üzeri"))))</f>
        <v/>
      </c>
      <c r="G28" s="89">
        <f>IF(ISBLANK(TAKSIT_PLANI!$A28),"",TAKSIT_PLANI!$J28)</f>
        <v/>
      </c>
    </row>
    <row r="29" ht="15" customHeight="1" s="50">
      <c r="A29" s="89">
        <f>IF(ISBLANK(TAKSIT_PLANI!$A29),"",TAKSIT_PLANI!$B29)</f>
        <v/>
      </c>
      <c r="B29" s="98">
        <f>IF(ISBLANK(TAKSIT_PLANI!$A29),"",IFERROR(INDEX(KREDILER!$B$6:$B$1000,MATCH(TAKSIT_PLANI!$B29,KREDILER!$A$6:$A$1000,0)),""))</f>
        <v/>
      </c>
      <c r="C29" s="96">
        <f>IF(ISBLANK(TAKSIT_PLANI!$A29),"",TAKSIT_PLANI!$D29)</f>
        <v/>
      </c>
      <c r="D29" s="92">
        <f>IF(ISBLANK(TAKSIT_PLANI!$A29),"",TAKSIT_PLANI!$I29)</f>
        <v/>
      </c>
      <c r="E29" s="97">
        <f>IF(ISBLANK(TAKSIT_PLANI!$A29),"",TAKSIT_PLANI!$K29)</f>
        <v/>
      </c>
      <c r="F29" s="89">
        <f>IF(ISBLANK(TAKSIT_PLANI!$A29),"",IF(TAKSIT_PLANI!$K29&lt;0,"Vadesi Geçmiş",IF(TAKSIT_PLANI!$K29&lt;=30,"0-30 Gün",IF(TAKSIT_PLANI!$K29&lt;=60,"31-60 Gün","61 Gün ve Üzeri"))))</f>
        <v/>
      </c>
      <c r="G29" s="89">
        <f>IF(ISBLANK(TAKSIT_PLANI!$A29),"",TAKSIT_PLANI!$J29)</f>
        <v/>
      </c>
    </row>
    <row r="30" ht="15" customHeight="1" s="50">
      <c r="A30" s="89">
        <f>IF(ISBLANK(TAKSIT_PLANI!$A30),"",TAKSIT_PLANI!$B30)</f>
        <v/>
      </c>
      <c r="B30" s="98">
        <f>IF(ISBLANK(TAKSIT_PLANI!$A30),"",IFERROR(INDEX(KREDILER!$B$6:$B$1000,MATCH(TAKSIT_PLANI!$B30,KREDILER!$A$6:$A$1000,0)),""))</f>
        <v/>
      </c>
      <c r="C30" s="96">
        <f>IF(ISBLANK(TAKSIT_PLANI!$A30),"",TAKSIT_PLANI!$D30)</f>
        <v/>
      </c>
      <c r="D30" s="92">
        <f>IF(ISBLANK(TAKSIT_PLANI!$A30),"",TAKSIT_PLANI!$I30)</f>
        <v/>
      </c>
      <c r="E30" s="97">
        <f>IF(ISBLANK(TAKSIT_PLANI!$A30),"",TAKSIT_PLANI!$K30)</f>
        <v/>
      </c>
      <c r="F30" s="89">
        <f>IF(ISBLANK(TAKSIT_PLANI!$A30),"",IF(TAKSIT_PLANI!$K30&lt;0,"Vadesi Geçmiş",IF(TAKSIT_PLANI!$K30&lt;=30,"0-30 Gün",IF(TAKSIT_PLANI!$K30&lt;=60,"31-60 Gün","61 Gün ve Üzeri"))))</f>
        <v/>
      </c>
      <c r="G30" s="89">
        <f>IF(ISBLANK(TAKSIT_PLANI!$A30),"",TAKSIT_PLANI!$J30)</f>
        <v/>
      </c>
    </row>
    <row r="31" ht="15" customHeight="1" s="50">
      <c r="A31" s="89">
        <f>IF(ISBLANK(TAKSIT_PLANI!$A31),"",TAKSIT_PLANI!$B31)</f>
        <v/>
      </c>
      <c r="B31" s="98">
        <f>IF(ISBLANK(TAKSIT_PLANI!$A31),"",IFERROR(INDEX(KREDILER!$B$6:$B$1000,MATCH(TAKSIT_PLANI!$B31,KREDILER!$A$6:$A$1000,0)),""))</f>
        <v/>
      </c>
      <c r="C31" s="96">
        <f>IF(ISBLANK(TAKSIT_PLANI!$A31),"",TAKSIT_PLANI!$D31)</f>
        <v/>
      </c>
      <c r="D31" s="92">
        <f>IF(ISBLANK(TAKSIT_PLANI!$A31),"",TAKSIT_PLANI!$I31)</f>
        <v/>
      </c>
      <c r="E31" s="97">
        <f>IF(ISBLANK(TAKSIT_PLANI!$A31),"",TAKSIT_PLANI!$K31)</f>
        <v/>
      </c>
      <c r="F31" s="89">
        <f>IF(ISBLANK(TAKSIT_PLANI!$A31),"",IF(TAKSIT_PLANI!$K31&lt;0,"Vadesi Geçmiş",IF(TAKSIT_PLANI!$K31&lt;=30,"0-30 Gün",IF(TAKSIT_PLANI!$K31&lt;=60,"31-60 Gün","61 Gün ve Üzeri"))))</f>
        <v/>
      </c>
      <c r="G31" s="89">
        <f>IF(ISBLANK(TAKSIT_PLANI!$A31),"",TAKSIT_PLANI!$J31)</f>
        <v/>
      </c>
    </row>
    <row r="32" ht="15" customHeight="1" s="50">
      <c r="A32" s="89">
        <f>IF(ISBLANK(TAKSIT_PLANI!$A32),"",TAKSIT_PLANI!$B32)</f>
        <v/>
      </c>
      <c r="B32" s="98">
        <f>IF(ISBLANK(TAKSIT_PLANI!$A32),"",IFERROR(INDEX(KREDILER!$B$6:$B$1000,MATCH(TAKSIT_PLANI!$B32,KREDILER!$A$6:$A$1000,0)),""))</f>
        <v/>
      </c>
      <c r="C32" s="96">
        <f>IF(ISBLANK(TAKSIT_PLANI!$A32),"",TAKSIT_PLANI!$D32)</f>
        <v/>
      </c>
      <c r="D32" s="92">
        <f>IF(ISBLANK(TAKSIT_PLANI!$A32),"",TAKSIT_PLANI!$I32)</f>
        <v/>
      </c>
      <c r="E32" s="97">
        <f>IF(ISBLANK(TAKSIT_PLANI!$A32),"",TAKSIT_PLANI!$K32)</f>
        <v/>
      </c>
      <c r="F32" s="89">
        <f>IF(ISBLANK(TAKSIT_PLANI!$A32),"",IF(TAKSIT_PLANI!$K32&lt;0,"Vadesi Geçmiş",IF(TAKSIT_PLANI!$K32&lt;=30,"0-30 Gün",IF(TAKSIT_PLANI!$K32&lt;=60,"31-60 Gün","61 Gün ve Üzeri"))))</f>
        <v/>
      </c>
      <c r="G32" s="89">
        <f>IF(ISBLANK(TAKSIT_PLANI!$A32),"",TAKSIT_PLANI!$J32)</f>
        <v/>
      </c>
    </row>
    <row r="33" ht="15" customHeight="1" s="50">
      <c r="A33" s="89">
        <f>IF(ISBLANK(TAKSIT_PLANI!$A33),"",TAKSIT_PLANI!$B33)</f>
        <v/>
      </c>
      <c r="B33" s="98">
        <f>IF(ISBLANK(TAKSIT_PLANI!$A33),"",IFERROR(INDEX(KREDILER!$B$6:$B$1000,MATCH(TAKSIT_PLANI!$B33,KREDILER!$A$6:$A$1000,0)),""))</f>
        <v/>
      </c>
      <c r="C33" s="96">
        <f>IF(ISBLANK(TAKSIT_PLANI!$A33),"",TAKSIT_PLANI!$D33)</f>
        <v/>
      </c>
      <c r="D33" s="92">
        <f>IF(ISBLANK(TAKSIT_PLANI!$A33),"",TAKSIT_PLANI!$I33)</f>
        <v/>
      </c>
      <c r="E33" s="97">
        <f>IF(ISBLANK(TAKSIT_PLANI!$A33),"",TAKSIT_PLANI!$K33)</f>
        <v/>
      </c>
      <c r="F33" s="89">
        <f>IF(ISBLANK(TAKSIT_PLANI!$A33),"",IF(TAKSIT_PLANI!$K33&lt;0,"Vadesi Geçmiş",IF(TAKSIT_PLANI!$K33&lt;=30,"0-30 Gün",IF(TAKSIT_PLANI!$K33&lt;=60,"31-60 Gün","61 Gün ve Üzeri"))))</f>
        <v/>
      </c>
      <c r="G33" s="89">
        <f>IF(ISBLANK(TAKSIT_PLANI!$A33),"",TAKSIT_PLANI!$J33)</f>
        <v/>
      </c>
    </row>
    <row r="34" ht="15" customHeight="1" s="50">
      <c r="A34" s="89">
        <f>IF(ISBLANK(TAKSIT_PLANI!$A34),"",TAKSIT_PLANI!$B34)</f>
        <v/>
      </c>
      <c r="B34" s="98">
        <f>IF(ISBLANK(TAKSIT_PLANI!$A34),"",IFERROR(INDEX(KREDILER!$B$6:$B$1000,MATCH(TAKSIT_PLANI!$B34,KREDILER!$A$6:$A$1000,0)),""))</f>
        <v/>
      </c>
      <c r="C34" s="96">
        <f>IF(ISBLANK(TAKSIT_PLANI!$A34),"",TAKSIT_PLANI!$D34)</f>
        <v/>
      </c>
      <c r="D34" s="92">
        <f>IF(ISBLANK(TAKSIT_PLANI!$A34),"",TAKSIT_PLANI!$I34)</f>
        <v/>
      </c>
      <c r="E34" s="97">
        <f>IF(ISBLANK(TAKSIT_PLANI!$A34),"",TAKSIT_PLANI!$K34)</f>
        <v/>
      </c>
      <c r="F34" s="89">
        <f>IF(ISBLANK(TAKSIT_PLANI!$A34),"",IF(TAKSIT_PLANI!$K34&lt;0,"Vadesi Geçmiş",IF(TAKSIT_PLANI!$K34&lt;=30,"0-30 Gün",IF(TAKSIT_PLANI!$K34&lt;=60,"31-60 Gün","61 Gün ve Üzeri"))))</f>
        <v/>
      </c>
      <c r="G34" s="89">
        <f>IF(ISBLANK(TAKSIT_PLANI!$A34),"",TAKSIT_PLANI!$J34)</f>
        <v/>
      </c>
    </row>
    <row r="35" ht="15" customHeight="1" s="50">
      <c r="A35" s="89">
        <f>IF(ISBLANK(TAKSIT_PLANI!$A35),"",TAKSIT_PLANI!$B35)</f>
        <v/>
      </c>
      <c r="B35" s="98">
        <f>IF(ISBLANK(TAKSIT_PLANI!$A35),"",IFERROR(INDEX(KREDILER!$B$6:$B$1000,MATCH(TAKSIT_PLANI!$B35,KREDILER!$A$6:$A$1000,0)),""))</f>
        <v/>
      </c>
      <c r="C35" s="96">
        <f>IF(ISBLANK(TAKSIT_PLANI!$A35),"",TAKSIT_PLANI!$D35)</f>
        <v/>
      </c>
      <c r="D35" s="92">
        <f>IF(ISBLANK(TAKSIT_PLANI!$A35),"",TAKSIT_PLANI!$I35)</f>
        <v/>
      </c>
      <c r="E35" s="97">
        <f>IF(ISBLANK(TAKSIT_PLANI!$A35),"",TAKSIT_PLANI!$K35)</f>
        <v/>
      </c>
      <c r="F35" s="89">
        <f>IF(ISBLANK(TAKSIT_PLANI!$A35),"",IF(TAKSIT_PLANI!$K35&lt;0,"Vadesi Geçmiş",IF(TAKSIT_PLANI!$K35&lt;=30,"0-30 Gün",IF(TAKSIT_PLANI!$K35&lt;=60,"31-60 Gün","61 Gün ve Üzeri"))))</f>
        <v/>
      </c>
      <c r="G35" s="89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18" customWidth="1" style="76" min="3" max="3"/>
    <col width="16" customWidth="1" style="76" min="4" max="6"/>
    <col width="18" customWidth="1" style="76" min="7" max="8"/>
    <col width="11" customWidth="1" style="76" min="9" max="9"/>
    <col width="10" customWidth="1" style="76" min="10" max="10"/>
  </cols>
  <sheetData>
    <row r="1" ht="25.5" customHeight="1" s="50">
      <c r="A1" s="77" t="inlineStr">
        <is>
          <t>REFINANSMAN — BANKA, KREDİ VE TAKSİT TAKİP SİSTEMİ</t>
        </is>
      </c>
    </row>
    <row r="3" ht="105.75" customHeight="1" s="50">
      <c r="A3" s="85" t="inlineStr">
        <is>
          <t>REFİNANSMAN ANALİZİ — aylık taksit rahatlaması ve toplam maliyet.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Mevcut Aylık Taksit</t>
        </is>
      </c>
      <c r="D5" s="86" t="inlineStr">
        <is>
          <t>Yeni Aylık Taksit</t>
        </is>
      </c>
      <c r="E5" s="86" t="inlineStr">
        <is>
          <t>Aylık Taksit Farkı</t>
        </is>
      </c>
      <c r="F5" s="86" t="inlineStr">
        <is>
          <t>Nakit Rahatlaması</t>
        </is>
      </c>
      <c r="G5" s="86" t="inlineStr">
        <is>
          <t>Yeni Toplam Maliyet</t>
        </is>
      </c>
      <c r="H5" s="86" t="inlineStr">
        <is>
          <t>Mevcut Kalan Anapara</t>
        </is>
      </c>
      <c r="I5" s="86" t="inlineStr">
        <is>
          <t>Karar</t>
        </is>
      </c>
      <c r="J5" s="86" t="inlineStr">
        <is>
          <t>Kontrol</t>
        </is>
      </c>
    </row>
    <row r="6" ht="15" customHeight="1" s="50">
      <c r="A6" s="89">
        <f>IF(ISBLANK(YENI_TEKLIFLER!$A6),"",YENI_TEKLIFLER!$A6)</f>
        <v/>
      </c>
      <c r="B6" s="89">
        <f>IF(ISBLANK(YENI_TEKLIFLER!$A6),"",YENI_TEKLIFLER!$B6)</f>
        <v/>
      </c>
      <c r="C6" s="92">
        <f>IF(ISBLANK(YENI_TEKLIFLER!$A6),"",SUMIFS(TAKSIT_PLANI!$I$6:$I$1000,TAKSIT_PLANI!$B$6:$B$1000,YENI_TEKLIFLER!$B6,TAKSIT_PLANI!$C$6:$C$1000,1))</f>
        <v/>
      </c>
      <c r="D6" s="92">
        <f>IF(ISBLANK(YENI_TEKLIFLER!$A6),"",YENI_TEKLIFLER!$I6)</f>
        <v/>
      </c>
      <c r="E6" s="92">
        <f>IF(ISBLANK(YENI_TEKLIFLER!$A6),"",$C6-$D6)</f>
        <v/>
      </c>
      <c r="F6" s="92">
        <f>IF(ISBLANK(YENI_TEKLIFLER!$A6),"",MAX(0,$E6))</f>
        <v/>
      </c>
      <c r="G6" s="92">
        <f>IF(ISBLANK(YENI_TEKLIFLER!$A6),"",YENI_TEKLIFLER!$J6)</f>
        <v/>
      </c>
      <c r="H6" s="92">
        <f>IF(ISBLANK(YENI_TEKLIFLER!$A6),"",INDEX(KREDILER!$H$6:$H$1000,MATCH(YENI_TEKLIFLER!$B6,KREDILER!$A$6:$A$1000,0)))</f>
        <v/>
      </c>
      <c r="I6" s="89">
        <f>IF(ISBLANK(YENI_TEKLIFLER!$A6),"",IF($E6&gt;0,"ADAY","DEĞİL"))</f>
        <v/>
      </c>
      <c r="J6" s="89">
        <f>IF(ISBLANK(YENI_TEKLIFLER!$A6),"",IF(OR(ISBLANK($B6),ISBLANK($C6),ISBLANK($D6),ISBLANK($E6),ISBLANK($F6),ISBLANK($G6),ISBLANK($H6)),"EKSİK","OK"))</f>
        <v/>
      </c>
    </row>
    <row r="7" ht="15" customHeight="1" s="50">
      <c r="A7" s="89">
        <f>IF(ISBLANK(YENI_TEKLIFLER!$A7),"",YENI_TEKLIFLER!$A7)</f>
        <v/>
      </c>
      <c r="B7" s="89">
        <f>IF(ISBLANK(YENI_TEKLIFLER!$A7),"",YENI_TEKLIFLER!$B7)</f>
        <v/>
      </c>
      <c r="C7" s="92">
        <f>IF(ISBLANK(YENI_TEKLIFLER!$A7),"",SUMIFS(TAKSIT_PLANI!$I$6:$I$1000,TAKSIT_PLANI!$B$6:$B$1000,YENI_TEKLIFLER!$B7,TAKSIT_PLANI!$C$6:$C$1000,1))</f>
        <v/>
      </c>
      <c r="D7" s="92">
        <f>IF(ISBLANK(YENI_TEKLIFLER!$A7),"",YENI_TEKLIFLER!$I7)</f>
        <v/>
      </c>
      <c r="E7" s="92">
        <f>IF(ISBLANK(YENI_TEKLIFLER!$A7),"",$C7-$D7)</f>
        <v/>
      </c>
      <c r="F7" s="92">
        <f>IF(ISBLANK(YENI_TEKLIFLER!$A7),"",MAX(0,$E7))</f>
        <v/>
      </c>
      <c r="G7" s="92">
        <f>IF(ISBLANK(YENI_TEKLIFLER!$A7),"",YENI_TEKLIFLER!$J7)</f>
        <v/>
      </c>
      <c r="H7" s="92">
        <f>IF(ISBLANK(YENI_TEKLIFLER!$A7),"",INDEX(KREDILER!$H$6:$H$1000,MATCH(YENI_TEKLIFLER!$B7,KREDILER!$A$6:$A$1000,0)))</f>
        <v/>
      </c>
      <c r="I7" s="89">
        <f>IF(ISBLANK(YENI_TEKLIFLER!$A7),"",IF($E7&gt;0,"ADAY","DEĞİL"))</f>
        <v/>
      </c>
      <c r="J7" s="89">
        <f>IF(ISBLANK(YENI_TEKLIFLER!$A7),"",IF(OR(ISBLANK($B7),ISBLANK($C7),ISBLANK($D7),ISBLANK($E7),ISBLANK($F7),ISBLANK($G7),ISBLANK($H7)),"EKSİK","OK"))</f>
        <v/>
      </c>
    </row>
    <row r="8" ht="15" customHeight="1" s="50">
      <c r="A8" s="89">
        <f>IF(ISBLANK(YENI_TEKLIFLER!$A8),"",YENI_TEKLIFLER!$A8)</f>
        <v/>
      </c>
      <c r="B8" s="89">
        <f>IF(ISBLANK(YENI_TEKLIFLER!$A8),"",YENI_TEKLIFLER!$B8)</f>
        <v/>
      </c>
      <c r="C8" s="92">
        <f>IF(ISBLANK(YENI_TEKLIFLER!$A8),"",SUMIFS(TAKSIT_PLANI!$I$6:$I$1000,TAKSIT_PLANI!$B$6:$B$1000,YENI_TEKLIFLER!$B8,TAKSIT_PLANI!$C$6:$C$1000,1))</f>
        <v/>
      </c>
      <c r="D8" s="92">
        <f>IF(ISBLANK(YENI_TEKLIFLER!$A8),"",YENI_TEKLIFLER!$I8)</f>
        <v/>
      </c>
      <c r="E8" s="92">
        <f>IF(ISBLANK(YENI_TEKLIFLER!$A8),"",$C8-$D8)</f>
        <v/>
      </c>
      <c r="F8" s="92">
        <f>IF(ISBLANK(YENI_TEKLIFLER!$A8),"",MAX(0,$E8))</f>
        <v/>
      </c>
      <c r="G8" s="92">
        <f>IF(ISBLANK(YENI_TEKLIFLER!$A8),"",YENI_TEKLIFLER!$J8)</f>
        <v/>
      </c>
      <c r="H8" s="92">
        <f>IF(ISBLANK(YENI_TEKLIFLER!$A8),"",INDEX(KREDILER!$H$6:$H$1000,MATCH(YENI_TEKLIFLER!$B8,KREDILER!$A$6:$A$1000,0)))</f>
        <v/>
      </c>
      <c r="I8" s="89">
        <f>IF(ISBLANK(YENI_TEKLIFLER!$A8),"",IF($E8&gt;0,"ADAY","DEĞİL"))</f>
        <v/>
      </c>
      <c r="J8" s="89">
        <f>IF(ISBLANK(YENI_TEKLIFLER!$A8),"",IF(OR(ISBLANK($B8),ISBLANK($C8),ISBLANK($D8),ISBLANK($E8),ISBLANK($F8),ISBLANK($G8),ISBLANK($H8)),"EKSİK","OK"))</f>
        <v/>
      </c>
    </row>
    <row r="9" ht="15" customHeight="1" s="50">
      <c r="A9" s="89">
        <f>IF(ISBLANK(YENI_TEKLIFLER!$A9),"",YENI_TEKLIFLER!$A9)</f>
        <v/>
      </c>
      <c r="B9" s="89">
        <f>IF(ISBLANK(YENI_TEKLIFLER!$A9),"",YENI_TEKLIFLER!$B9)</f>
        <v/>
      </c>
      <c r="C9" s="92">
        <f>IF(ISBLANK(YENI_TEKLIFLER!$A9),"",SUMIFS(TAKSIT_PLANI!$I$6:$I$1000,TAKSIT_PLANI!$B$6:$B$1000,YENI_TEKLIFLER!$B9,TAKSIT_PLANI!$C$6:$C$1000,1))</f>
        <v/>
      </c>
      <c r="D9" s="92">
        <f>IF(ISBLANK(YENI_TEKLIFLER!$A9),"",YENI_TEKLIFLER!$I9)</f>
        <v/>
      </c>
      <c r="E9" s="92">
        <f>IF(ISBLANK(YENI_TEKLIFLER!$A9),"",$C9-$D9)</f>
        <v/>
      </c>
      <c r="F9" s="92">
        <f>IF(ISBLANK(YENI_TEKLIFLER!$A9),"",MAX(0,$E9))</f>
        <v/>
      </c>
      <c r="G9" s="92">
        <f>IF(ISBLANK(YENI_TEKLIFLER!$A9),"",YENI_TEKLIFLER!$J9)</f>
        <v/>
      </c>
      <c r="H9" s="92">
        <f>IF(ISBLANK(YENI_TEKLIFLER!$A9),"",INDEX(KREDILER!$H$6:$H$1000,MATCH(YENI_TEKLIFLER!$B9,KREDILER!$A$6:$A$1000,0)))</f>
        <v/>
      </c>
      <c r="I9" s="89">
        <f>IF(ISBLANK(YENI_TEKLIFLER!$A9),"",IF($E9&gt;0,"ADAY","DEĞİL"))</f>
        <v/>
      </c>
      <c r="J9" s="89">
        <f>IF(ISBLANK(YENI_TEKLIFLER!$A9),"",IF(OR(ISBLANK($B9),ISBLANK($C9),ISBLANK($D9),ISBLANK($E9),ISBLANK($F9),ISBLANK($G9),ISBLANK($H9)),"EKSİK","OK"))</f>
        <v/>
      </c>
    </row>
    <row r="10" ht="15" customHeight="1" s="50">
      <c r="A10" s="89">
        <f>IF(ISBLANK(YENI_TEKLIFLER!$A10),"",YENI_TEKLIFLER!$A10)</f>
        <v/>
      </c>
      <c r="B10" s="89">
        <f>IF(ISBLANK(YENI_TEKLIFLER!$A10),"",YENI_TEKLIFLER!$B10)</f>
        <v/>
      </c>
      <c r="C10" s="92">
        <f>IF(ISBLANK(YENI_TEKLIFLER!$A10),"",SUMIFS(TAKSIT_PLANI!$I$6:$I$1000,TAKSIT_PLANI!$B$6:$B$1000,YENI_TEKLIFLER!$B10,TAKSIT_PLANI!$C$6:$C$1000,1))</f>
        <v/>
      </c>
      <c r="D10" s="92">
        <f>IF(ISBLANK(YENI_TEKLIFLER!$A10),"",YENI_TEKLIFLER!$I10)</f>
        <v/>
      </c>
      <c r="E10" s="92">
        <f>IF(ISBLANK(YENI_TEKLIFLER!$A10),"",$C10-$D10)</f>
        <v/>
      </c>
      <c r="F10" s="92">
        <f>IF(ISBLANK(YENI_TEKLIFLER!$A10),"",MAX(0,$E10))</f>
        <v/>
      </c>
      <c r="G10" s="92">
        <f>IF(ISBLANK(YENI_TEKLIFLER!$A10),"",YENI_TEKLIFLER!$J10)</f>
        <v/>
      </c>
      <c r="H10" s="92">
        <f>IF(ISBLANK(YENI_TEKLIFLER!$A10),"",INDEX(KREDILER!$H$6:$H$1000,MATCH(YENI_TEKLIFLER!$B10,KREDILER!$A$6:$A$1000,0)))</f>
        <v/>
      </c>
      <c r="I10" s="89">
        <f>IF(ISBLANK(YENI_TEKLIFLER!$A10),"",IF($E10&gt;0,"ADAY","DEĞİL"))</f>
        <v/>
      </c>
      <c r="J10" s="89">
        <f>IF(ISBLANK(YENI_TEKLIFLER!$A10),"",IF(OR(ISBLANK($B10),ISBLANK($C10),ISBLANK($D10),ISBLANK($E10),ISBLANK($F10),ISBLANK($G10),ISBLANK($H10)),"EKSİK","OK"))</f>
        <v/>
      </c>
    </row>
    <row r="11" ht="15" customHeight="1" s="50">
      <c r="A11" s="89">
        <f>IF(ISBLANK(YENI_TEKLIFLER!$A11),"",YENI_TEKLIFLER!$A11)</f>
        <v/>
      </c>
      <c r="B11" s="89">
        <f>IF(ISBLANK(YENI_TEKLIFLER!$A11),"",YENI_TEKLIFLER!$B11)</f>
        <v/>
      </c>
      <c r="C11" s="92">
        <f>IF(ISBLANK(YENI_TEKLIFLER!$A11),"",SUMIFS(TAKSIT_PLANI!$I$6:$I$1000,TAKSIT_PLANI!$B$6:$B$1000,YENI_TEKLIFLER!$B11,TAKSIT_PLANI!$C$6:$C$1000,1))</f>
        <v/>
      </c>
      <c r="D11" s="92">
        <f>IF(ISBLANK(YENI_TEKLIFLER!$A11),"",YENI_TEKLIFLER!$I11)</f>
        <v/>
      </c>
      <c r="E11" s="92">
        <f>IF(ISBLANK(YENI_TEKLIFLER!$A11),"",$C11-$D11)</f>
        <v/>
      </c>
      <c r="F11" s="92">
        <f>IF(ISBLANK(YENI_TEKLIFLER!$A11),"",MAX(0,$E11))</f>
        <v/>
      </c>
      <c r="G11" s="92">
        <f>IF(ISBLANK(YENI_TEKLIFLER!$A11),"",YENI_TEKLIFLER!$J11)</f>
        <v/>
      </c>
      <c r="H11" s="92">
        <f>IF(ISBLANK(YENI_TEKLIFLER!$A11),"",INDEX(KREDILER!$H$6:$H$1000,MATCH(YENI_TEKLIFLER!$B11,KREDILER!$A$6:$A$1000,0)))</f>
        <v/>
      </c>
      <c r="I11" s="89">
        <f>IF(ISBLANK(YENI_TEKLIFLER!$A11),"",IF($E11&gt;0,"ADAY","DEĞİL"))</f>
        <v/>
      </c>
      <c r="J11" s="89">
        <f>IF(ISBLANK(YENI_TEKLIFLER!$A11),"",IF(OR(ISBLANK($B11),ISBLANK($C11),ISBLANK($D11),ISBLANK($E11),ISBLANK($F11),ISBLANK($G11),ISBLANK($H11)),"EKSİK","OK"))</f>
        <v/>
      </c>
    </row>
    <row r="12" ht="15" customHeight="1" s="50">
      <c r="A12" s="89">
        <f>IF(ISBLANK(YENI_TEKLIFLER!$A12),"",YENI_TEKLIFLER!$A12)</f>
        <v/>
      </c>
      <c r="B12" s="89">
        <f>IF(ISBLANK(YENI_TEKLIFLER!$A12),"",YENI_TEKLIFLER!$B12)</f>
        <v/>
      </c>
      <c r="C12" s="92">
        <f>IF(ISBLANK(YENI_TEKLIFLER!$A12),"",SUMIFS(TAKSIT_PLANI!$I$6:$I$1000,TAKSIT_PLANI!$B$6:$B$1000,YENI_TEKLIFLER!$B12,TAKSIT_PLANI!$C$6:$C$1000,1))</f>
        <v/>
      </c>
      <c r="D12" s="92">
        <f>IF(ISBLANK(YENI_TEKLIFLER!$A12),"",YENI_TEKLIFLER!$I12)</f>
        <v/>
      </c>
      <c r="E12" s="92">
        <f>IF(ISBLANK(YENI_TEKLIFLER!$A12),"",$C12-$D12)</f>
        <v/>
      </c>
      <c r="F12" s="92">
        <f>IF(ISBLANK(YENI_TEKLIFLER!$A12),"",MAX(0,$E12))</f>
        <v/>
      </c>
      <c r="G12" s="92">
        <f>IF(ISBLANK(YENI_TEKLIFLER!$A12),"",YENI_TEKLIFLER!$J12)</f>
        <v/>
      </c>
      <c r="H12" s="92">
        <f>IF(ISBLANK(YENI_TEKLIFLER!$A12),"",INDEX(KREDILER!$H$6:$H$1000,MATCH(YENI_TEKLIFLER!$B12,KREDILER!$A$6:$A$1000,0)))</f>
        <v/>
      </c>
      <c r="I12" s="89">
        <f>IF(ISBLANK(YENI_TEKLIFLER!$A12),"",IF($E12&gt;0,"ADAY","DEĞİL"))</f>
        <v/>
      </c>
      <c r="J12" s="89">
        <f>IF(ISBLANK(YENI_TEKLIFLER!$A12),"",IF(OR(ISBLANK($B12),ISBLANK($C12),ISBLANK($D12),ISBLANK($E12),ISBLANK($F12),ISBLANK($G12),ISBLANK($H12)),"EKSİK","OK"))</f>
        <v/>
      </c>
    </row>
    <row r="13" ht="15" customHeight="1" s="50">
      <c r="A13" s="89">
        <f>IF(ISBLANK(YENI_TEKLIFLER!$A13),"",YENI_TEKLIFLER!$A13)</f>
        <v/>
      </c>
      <c r="B13" s="89">
        <f>IF(ISBLANK(YENI_TEKLIFLER!$A13),"",YENI_TEKLIFLER!$B13)</f>
        <v/>
      </c>
      <c r="C13" s="92">
        <f>IF(ISBLANK(YENI_TEKLIFLER!$A13),"",SUMIFS(TAKSIT_PLANI!$I$6:$I$1000,TAKSIT_PLANI!$B$6:$B$1000,YENI_TEKLIFLER!$B13,TAKSIT_PLANI!$C$6:$C$1000,1))</f>
        <v/>
      </c>
      <c r="D13" s="92">
        <f>IF(ISBLANK(YENI_TEKLIFLER!$A13),"",YENI_TEKLIFLER!$I13)</f>
        <v/>
      </c>
      <c r="E13" s="92">
        <f>IF(ISBLANK(YENI_TEKLIFLER!$A13),"",$C13-$D13)</f>
        <v/>
      </c>
      <c r="F13" s="92">
        <f>IF(ISBLANK(YENI_TEKLIFLER!$A13),"",MAX(0,$E13))</f>
        <v/>
      </c>
      <c r="G13" s="92">
        <f>IF(ISBLANK(YENI_TEKLIFLER!$A13),"",YENI_TEKLIFLER!$J13)</f>
        <v/>
      </c>
      <c r="H13" s="92">
        <f>IF(ISBLANK(YENI_TEKLIFLER!$A13),"",INDEX(KREDILER!$H$6:$H$1000,MATCH(YENI_TEKLIFLER!$B13,KREDILER!$A$6:$A$1000,0)))</f>
        <v/>
      </c>
      <c r="I13" s="89">
        <f>IF(ISBLANK(YENI_TEKLIFLER!$A13),"",IF($E13&gt;0,"ADAY","DEĞİL"))</f>
        <v/>
      </c>
      <c r="J13" s="89">
        <f>IF(ISBLANK(YENI_TEKLIFLER!$A13),"",IF(OR(ISBLANK($B13),ISBLANK($C13),ISBLANK($D13),ISBLANK($E13),ISBLANK($F13),ISBLANK($G13),ISBLANK($H13)),"EKSİK","OK"))</f>
        <v/>
      </c>
    </row>
    <row r="14" ht="15" customHeight="1" s="50">
      <c r="A14" s="89">
        <f>IF(ISBLANK(YENI_TEKLIFLER!$A14),"",YENI_TEKLIFLER!$A14)</f>
        <v/>
      </c>
      <c r="B14" s="89">
        <f>IF(ISBLANK(YENI_TEKLIFLER!$A14),"",YENI_TEKLIFLER!$B14)</f>
        <v/>
      </c>
      <c r="C14" s="92">
        <f>IF(ISBLANK(YENI_TEKLIFLER!$A14),"",SUMIFS(TAKSIT_PLANI!$I$6:$I$1000,TAKSIT_PLANI!$B$6:$B$1000,YENI_TEKLIFLER!$B14,TAKSIT_PLANI!$C$6:$C$1000,1))</f>
        <v/>
      </c>
      <c r="D14" s="92">
        <f>IF(ISBLANK(YENI_TEKLIFLER!$A14),"",YENI_TEKLIFLER!$I14)</f>
        <v/>
      </c>
      <c r="E14" s="92">
        <f>IF(ISBLANK(YENI_TEKLIFLER!$A14),"",$C14-$D14)</f>
        <v/>
      </c>
      <c r="F14" s="92">
        <f>IF(ISBLANK(YENI_TEKLIFLER!$A14),"",MAX(0,$E14))</f>
        <v/>
      </c>
      <c r="G14" s="92">
        <f>IF(ISBLANK(YENI_TEKLIFLER!$A14),"",YENI_TEKLIFLER!$J14)</f>
        <v/>
      </c>
      <c r="H14" s="92">
        <f>IF(ISBLANK(YENI_TEKLIFLER!$A14),"",INDEX(KREDILER!$H$6:$H$1000,MATCH(YENI_TEKLIFLER!$B14,KREDILER!$A$6:$A$1000,0)))</f>
        <v/>
      </c>
      <c r="I14" s="89">
        <f>IF(ISBLANK(YENI_TEKLIFLER!$A14),"",IF($E14&gt;0,"ADAY","DEĞİL"))</f>
        <v/>
      </c>
      <c r="J14" s="89">
        <f>IF(ISBLANK(YENI_TEKLIFLER!$A14),"",IF(OR(ISBLANK($B14),ISBLANK($C14),ISBLANK($D14),ISBLANK($E14),ISBLANK($F14),ISBLANK($G14),ISBLANK($H14)),"EKSİK","OK"))</f>
        <v/>
      </c>
    </row>
    <row r="15" ht="15" customHeight="1" s="50">
      <c r="A15" s="89">
        <f>IF(ISBLANK(YENI_TEKLIFLER!$A15),"",YENI_TEKLIFLER!$A15)</f>
        <v/>
      </c>
      <c r="B15" s="89">
        <f>IF(ISBLANK(YENI_TEKLIFLER!$A15),"",YENI_TEKLIFLER!$B15)</f>
        <v/>
      </c>
      <c r="C15" s="92">
        <f>IF(ISBLANK(YENI_TEKLIFLER!$A15),"",SUMIFS(TAKSIT_PLANI!$I$6:$I$1000,TAKSIT_PLANI!$B$6:$B$1000,YENI_TEKLIFLER!$B15,TAKSIT_PLANI!$C$6:$C$1000,1))</f>
        <v/>
      </c>
      <c r="D15" s="92">
        <f>IF(ISBLANK(YENI_TEKLIFLER!$A15),"",YENI_TEKLIFLER!$I15)</f>
        <v/>
      </c>
      <c r="E15" s="92">
        <f>IF(ISBLANK(YENI_TEKLIFLER!$A15),"",$C15-$D15)</f>
        <v/>
      </c>
      <c r="F15" s="92">
        <f>IF(ISBLANK(YENI_TEKLIFLER!$A15),"",MAX(0,$E15))</f>
        <v/>
      </c>
      <c r="G15" s="92">
        <f>IF(ISBLANK(YENI_TEKLIFLER!$A15),"",YENI_TEKLIFLER!$J15)</f>
        <v/>
      </c>
      <c r="H15" s="92">
        <f>IF(ISBLANK(YENI_TEKLIFLER!$A15),"",INDEX(KREDILER!$H$6:$H$1000,MATCH(YENI_TEKLIFLER!$B15,KREDILER!$A$6:$A$1000,0)))</f>
        <v/>
      </c>
      <c r="I15" s="89">
        <f>IF(ISBLANK(YENI_TEKLIFLER!$A15),"",IF($E15&gt;0,"ADAY","DEĞİL"))</f>
        <v/>
      </c>
      <c r="J15" s="89">
        <f>IF(ISBLANK(YENI_TEKLIFLER!$A15),"",IF(OR(ISBLANK($B15),ISBLANK($C15),ISBLANK($D15),ISBLANK($E15),ISBLANK($F15),ISBLANK($G15),ISBLANK($H15)),"EKSİK","OK"))</f>
        <v/>
      </c>
    </row>
    <row r="16" ht="15" customHeight="1" s="50">
      <c r="A16" s="89">
        <f>IF(ISBLANK(YENI_TEKLIFLER!$A16),"",YENI_TEKLIFLER!$A16)</f>
        <v/>
      </c>
      <c r="B16" s="89">
        <f>IF(ISBLANK(YENI_TEKLIFLER!$A16),"",YENI_TEKLIFLER!$B16)</f>
        <v/>
      </c>
      <c r="C16" s="92">
        <f>IF(ISBLANK(YENI_TEKLIFLER!$A16),"",SUMIFS(TAKSIT_PLANI!$I$6:$I$1000,TAKSIT_PLANI!$B$6:$B$1000,YENI_TEKLIFLER!$B16,TAKSIT_PLANI!$C$6:$C$1000,1))</f>
        <v/>
      </c>
      <c r="D16" s="92">
        <f>IF(ISBLANK(YENI_TEKLIFLER!$A16),"",YENI_TEKLIFLER!$I16)</f>
        <v/>
      </c>
      <c r="E16" s="92">
        <f>IF(ISBLANK(YENI_TEKLIFLER!$A16),"",$C16-$D16)</f>
        <v/>
      </c>
      <c r="F16" s="92">
        <f>IF(ISBLANK(YENI_TEKLIFLER!$A16),"",MAX(0,$E16))</f>
        <v/>
      </c>
      <c r="G16" s="92">
        <f>IF(ISBLANK(YENI_TEKLIFLER!$A16),"",YENI_TEKLIFLER!$J16)</f>
        <v/>
      </c>
      <c r="H16" s="92">
        <f>IF(ISBLANK(YENI_TEKLIFLER!$A16),"",INDEX(KREDILER!$H$6:$H$1000,MATCH(YENI_TEKLIFLER!$B16,KREDILER!$A$6:$A$1000,0)))</f>
        <v/>
      </c>
      <c r="I16" s="89">
        <f>IF(ISBLANK(YENI_TEKLIFLER!$A16),"",IF($E16&gt;0,"ADAY","DEĞİL"))</f>
        <v/>
      </c>
      <c r="J16" s="89">
        <f>IF(ISBLANK(YENI_TEKLIFLER!$A16),"",IF(OR(ISBLANK($B16),ISBLANK($C16),ISBLANK($D16),ISBLANK($E16),ISBLANK($F16),ISBLANK($G16),ISBLANK($H16)),"EKSİK","OK"))</f>
        <v/>
      </c>
    </row>
    <row r="17" ht="15" customHeight="1" s="50">
      <c r="A17" s="89">
        <f>IF(ISBLANK(YENI_TEKLIFLER!$A17),"",YENI_TEKLIFLER!$A17)</f>
        <v/>
      </c>
      <c r="B17" s="89">
        <f>IF(ISBLANK(YENI_TEKLIFLER!$A17),"",YENI_TEKLIFLER!$B17)</f>
        <v/>
      </c>
      <c r="C17" s="92">
        <f>IF(ISBLANK(YENI_TEKLIFLER!$A17),"",SUMIFS(TAKSIT_PLANI!$I$6:$I$1000,TAKSIT_PLANI!$B$6:$B$1000,YENI_TEKLIFLER!$B17,TAKSIT_PLANI!$C$6:$C$1000,1))</f>
        <v/>
      </c>
      <c r="D17" s="92">
        <f>IF(ISBLANK(YENI_TEKLIFLER!$A17),"",YENI_TEKLIFLER!$I17)</f>
        <v/>
      </c>
      <c r="E17" s="92">
        <f>IF(ISBLANK(YENI_TEKLIFLER!$A17),"",$C17-$D17)</f>
        <v/>
      </c>
      <c r="F17" s="92">
        <f>IF(ISBLANK(YENI_TEKLIFLER!$A17),"",MAX(0,$E17))</f>
        <v/>
      </c>
      <c r="G17" s="92">
        <f>IF(ISBLANK(YENI_TEKLIFLER!$A17),"",YENI_TEKLIFLER!$J17)</f>
        <v/>
      </c>
      <c r="H17" s="92">
        <f>IF(ISBLANK(YENI_TEKLIFLER!$A17),"",INDEX(KREDILER!$H$6:$H$1000,MATCH(YENI_TEKLIFLER!$B17,KREDILER!$A$6:$A$1000,0)))</f>
        <v/>
      </c>
      <c r="I17" s="89">
        <f>IF(ISBLANK(YENI_TEKLIFLER!$A17),"",IF($E17&gt;0,"ADAY","DEĞİL"))</f>
        <v/>
      </c>
      <c r="J17" s="89">
        <f>IF(ISBLANK(YENI_TEKLIFLER!$A17),"",IF(OR(ISBLANK($B17),ISBLANK($C17),ISBLANK($D17),ISBLANK($E17),ISBLANK($F17),ISBLANK($G17),ISBLANK($H17)),"EKSİK","OK"))</f>
        <v/>
      </c>
    </row>
    <row r="18" ht="15" customHeight="1" s="50">
      <c r="A18" s="89">
        <f>IF(ISBLANK(YENI_TEKLIFLER!$A18),"",YENI_TEKLIFLER!$A18)</f>
        <v/>
      </c>
      <c r="B18" s="89">
        <f>IF(ISBLANK(YENI_TEKLIFLER!$A18),"",YENI_TEKLIFLER!$B18)</f>
        <v/>
      </c>
      <c r="C18" s="92">
        <f>IF(ISBLANK(YENI_TEKLIFLER!$A18),"",SUMIFS(TAKSIT_PLANI!$I$6:$I$1000,TAKSIT_PLANI!$B$6:$B$1000,YENI_TEKLIFLER!$B18,TAKSIT_PLANI!$C$6:$C$1000,1))</f>
        <v/>
      </c>
      <c r="D18" s="92">
        <f>IF(ISBLANK(YENI_TEKLIFLER!$A18),"",YENI_TEKLIFLER!$I18)</f>
        <v/>
      </c>
      <c r="E18" s="92">
        <f>IF(ISBLANK(YENI_TEKLIFLER!$A18),"",$C18-$D18)</f>
        <v/>
      </c>
      <c r="F18" s="92">
        <f>IF(ISBLANK(YENI_TEKLIFLER!$A18),"",MAX(0,$E18))</f>
        <v/>
      </c>
      <c r="G18" s="92">
        <f>IF(ISBLANK(YENI_TEKLIFLER!$A18),"",YENI_TEKLIFLER!$J18)</f>
        <v/>
      </c>
      <c r="H18" s="92">
        <f>IF(ISBLANK(YENI_TEKLIFLER!$A18),"",INDEX(KREDILER!$H$6:$H$1000,MATCH(YENI_TEKLIFLER!$B18,KREDILER!$A$6:$A$1000,0)))</f>
        <v/>
      </c>
      <c r="I18" s="89">
        <f>IF(ISBLANK(YENI_TEKLIFLER!$A18),"",IF($E18&gt;0,"ADAY","DEĞİL"))</f>
        <v/>
      </c>
      <c r="J18" s="89">
        <f>IF(ISBLANK(YENI_TEKLIFLER!$A18),"",IF(OR(ISBLANK($B18),ISBLANK($C18),ISBLANK($D18),ISBLANK($E18),ISBLANK($F18),ISBLANK($G18),ISBLANK($H18)),"EKSİK","OK"))</f>
        <v/>
      </c>
    </row>
    <row r="19" ht="15" customHeight="1" s="50">
      <c r="A19" s="89">
        <f>IF(ISBLANK(YENI_TEKLIFLER!$A19),"",YENI_TEKLIFLER!$A19)</f>
        <v/>
      </c>
      <c r="B19" s="89">
        <f>IF(ISBLANK(YENI_TEKLIFLER!$A19),"",YENI_TEKLIFLER!$B19)</f>
        <v/>
      </c>
      <c r="C19" s="92">
        <f>IF(ISBLANK(YENI_TEKLIFLER!$A19),"",SUMIFS(TAKSIT_PLANI!$I$6:$I$1000,TAKSIT_PLANI!$B$6:$B$1000,YENI_TEKLIFLER!$B19,TAKSIT_PLANI!$C$6:$C$1000,1))</f>
        <v/>
      </c>
      <c r="D19" s="92">
        <f>IF(ISBLANK(YENI_TEKLIFLER!$A19),"",YENI_TEKLIFLER!$I19)</f>
        <v/>
      </c>
      <c r="E19" s="92">
        <f>IF(ISBLANK(YENI_TEKLIFLER!$A19),"",$C19-$D19)</f>
        <v/>
      </c>
      <c r="F19" s="92">
        <f>IF(ISBLANK(YENI_TEKLIFLER!$A19),"",MAX(0,$E19))</f>
        <v/>
      </c>
      <c r="G19" s="92">
        <f>IF(ISBLANK(YENI_TEKLIFLER!$A19),"",YENI_TEKLIFLER!$J19)</f>
        <v/>
      </c>
      <c r="H19" s="92">
        <f>IF(ISBLANK(YENI_TEKLIFLER!$A19),"",INDEX(KREDILER!$H$6:$H$1000,MATCH(YENI_TEKLIFLER!$B19,KREDILER!$A$6:$A$1000,0)))</f>
        <v/>
      </c>
      <c r="I19" s="89">
        <f>IF(ISBLANK(YENI_TEKLIFLER!$A19),"",IF($E19&gt;0,"ADAY","DEĞİL"))</f>
        <v/>
      </c>
      <c r="J19" s="89">
        <f>IF(ISBLANK(YENI_TEKLIFLER!$A19),"",IF(OR(ISBLANK($B19),ISBLANK($C19),ISBLANK($D19),ISBLANK($E19),ISBLANK($F19),ISBLANK($G19),ISBLANK($H19)),"EKSİK","OK"))</f>
        <v/>
      </c>
    </row>
    <row r="20" ht="15" customHeight="1" s="50">
      <c r="A20" s="89">
        <f>IF(ISBLANK(YENI_TEKLIFLER!$A20),"",YENI_TEKLIFLER!$A20)</f>
        <v/>
      </c>
      <c r="B20" s="89">
        <f>IF(ISBLANK(YENI_TEKLIFLER!$A20),"",YENI_TEKLIFLER!$B20)</f>
        <v/>
      </c>
      <c r="C20" s="92">
        <f>IF(ISBLANK(YENI_TEKLIFLER!$A20),"",SUMIFS(TAKSIT_PLANI!$I$6:$I$1000,TAKSIT_PLANI!$B$6:$B$1000,YENI_TEKLIFLER!$B20,TAKSIT_PLANI!$C$6:$C$1000,1))</f>
        <v/>
      </c>
      <c r="D20" s="92">
        <f>IF(ISBLANK(YENI_TEKLIFLER!$A20),"",YENI_TEKLIFLER!$I20)</f>
        <v/>
      </c>
      <c r="E20" s="92">
        <f>IF(ISBLANK(YENI_TEKLIFLER!$A20),"",$C20-$D20)</f>
        <v/>
      </c>
      <c r="F20" s="92">
        <f>IF(ISBLANK(YENI_TEKLIFLER!$A20),"",MAX(0,$E20))</f>
        <v/>
      </c>
      <c r="G20" s="92">
        <f>IF(ISBLANK(YENI_TEKLIFLER!$A20),"",YENI_TEKLIFLER!$J20)</f>
        <v/>
      </c>
      <c r="H20" s="92">
        <f>IF(ISBLANK(YENI_TEKLIFLER!$A20),"",INDEX(KREDILER!$H$6:$H$1000,MATCH(YENI_TEKLIFLER!$B20,KREDILER!$A$6:$A$1000,0)))</f>
        <v/>
      </c>
      <c r="I20" s="89">
        <f>IF(ISBLANK(YENI_TEKLIFLER!$A20),"",IF($E20&gt;0,"ADAY","DEĞİL"))</f>
        <v/>
      </c>
      <c r="J20" s="89">
        <f>IF(ISBLANK(YENI_TEKLIFLER!$A20),"",IF(OR(ISBLANK($B20),ISBLANK($C20),ISBLANK($D20),ISBLANK($E20),ISBLANK($F20),ISBLANK($G20),ISBLANK($H20)),"EKSİK","OK"))</f>
        <v/>
      </c>
    </row>
    <row r="21" ht="15" customHeight="1" s="50">
      <c r="A21" s="89">
        <f>IF(ISBLANK(YENI_TEKLIFLER!$A21),"",YENI_TEKLIFLER!$A21)</f>
        <v/>
      </c>
      <c r="B21" s="89">
        <f>IF(ISBLANK(YENI_TEKLIFLER!$A21),"",YENI_TEKLIFLER!$B21)</f>
        <v/>
      </c>
      <c r="C21" s="92">
        <f>IF(ISBLANK(YENI_TEKLIFLER!$A21),"",SUMIFS(TAKSIT_PLANI!$I$6:$I$1000,TAKSIT_PLANI!$B$6:$B$1000,YENI_TEKLIFLER!$B21,TAKSIT_PLANI!$C$6:$C$1000,1))</f>
        <v/>
      </c>
      <c r="D21" s="92">
        <f>IF(ISBLANK(YENI_TEKLIFLER!$A21),"",YENI_TEKLIFLER!$I21)</f>
        <v/>
      </c>
      <c r="E21" s="92">
        <f>IF(ISBLANK(YENI_TEKLIFLER!$A21),"",$C21-$D21)</f>
        <v/>
      </c>
      <c r="F21" s="92">
        <f>IF(ISBLANK(YENI_TEKLIFLER!$A21),"",MAX(0,$E21))</f>
        <v/>
      </c>
      <c r="G21" s="92">
        <f>IF(ISBLANK(YENI_TEKLIFLER!$A21),"",YENI_TEKLIFLER!$J21)</f>
        <v/>
      </c>
      <c r="H21" s="92">
        <f>IF(ISBLANK(YENI_TEKLIFLER!$A21),"",INDEX(KREDILER!$H$6:$H$1000,MATCH(YENI_TEKLIFLER!$B21,KREDILER!$A$6:$A$1000,0)))</f>
        <v/>
      </c>
      <c r="I21" s="89">
        <f>IF(ISBLANK(YENI_TEKLIFLER!$A21),"",IF($E21&gt;0,"ADAY","DEĞİL"))</f>
        <v/>
      </c>
      <c r="J21" s="89">
        <f>IF(ISBLANK(YENI_TEKLIFLER!$A21),"",IF(OR(ISBLANK($B21),ISBLANK($C21),ISBLANK($D21),ISBLANK($E21),ISBLANK($F21),ISBLANK($G21),ISBLANK($H21)),"EKSİK","OK"))</f>
        <v/>
      </c>
    </row>
    <row r="22" ht="15" customHeight="1" s="50">
      <c r="A22" s="89">
        <f>IF(ISBLANK(YENI_TEKLIFLER!$A22),"",YENI_TEKLIFLER!$A22)</f>
        <v/>
      </c>
      <c r="B22" s="89">
        <f>IF(ISBLANK(YENI_TEKLIFLER!$A22),"",YENI_TEKLIFLER!$B22)</f>
        <v/>
      </c>
      <c r="C22" s="92">
        <f>IF(ISBLANK(YENI_TEKLIFLER!$A22),"",SUMIFS(TAKSIT_PLANI!$I$6:$I$1000,TAKSIT_PLANI!$B$6:$B$1000,YENI_TEKLIFLER!$B22,TAKSIT_PLANI!$C$6:$C$1000,1))</f>
        <v/>
      </c>
      <c r="D22" s="92">
        <f>IF(ISBLANK(YENI_TEKLIFLER!$A22),"",YENI_TEKLIFLER!$I22)</f>
        <v/>
      </c>
      <c r="E22" s="92">
        <f>IF(ISBLANK(YENI_TEKLIFLER!$A22),"",$C22-$D22)</f>
        <v/>
      </c>
      <c r="F22" s="92">
        <f>IF(ISBLANK(YENI_TEKLIFLER!$A22),"",MAX(0,$E22))</f>
        <v/>
      </c>
      <c r="G22" s="92">
        <f>IF(ISBLANK(YENI_TEKLIFLER!$A22),"",YENI_TEKLIFLER!$J22)</f>
        <v/>
      </c>
      <c r="H22" s="92">
        <f>IF(ISBLANK(YENI_TEKLIFLER!$A22),"",INDEX(KREDILER!$H$6:$H$1000,MATCH(YENI_TEKLIFLER!$B22,KREDILER!$A$6:$A$1000,0)))</f>
        <v/>
      </c>
      <c r="I22" s="89">
        <f>IF(ISBLANK(YENI_TEKLIFLER!$A22),"",IF($E22&gt;0,"ADAY","DEĞİL"))</f>
        <v/>
      </c>
      <c r="J22" s="89">
        <f>IF(ISBLANK(YENI_TEKLIFLER!$A22),"",IF(OR(ISBLANK($B22),ISBLANK($C22),ISBLANK($D22),ISBLANK($E22),ISBLANK($F22),ISBLANK($G22),ISBLANK($H22)),"EKSİK","OK"))</f>
        <v/>
      </c>
    </row>
    <row r="23" ht="15" customHeight="1" s="50">
      <c r="A23" s="89">
        <f>IF(ISBLANK(YENI_TEKLIFLER!$A23),"",YENI_TEKLIFLER!$A23)</f>
        <v/>
      </c>
      <c r="B23" s="89">
        <f>IF(ISBLANK(YENI_TEKLIFLER!$A23),"",YENI_TEKLIFLER!$B23)</f>
        <v/>
      </c>
      <c r="C23" s="92">
        <f>IF(ISBLANK(YENI_TEKLIFLER!$A23),"",SUMIFS(TAKSIT_PLANI!$I$6:$I$1000,TAKSIT_PLANI!$B$6:$B$1000,YENI_TEKLIFLER!$B23,TAKSIT_PLANI!$C$6:$C$1000,1))</f>
        <v/>
      </c>
      <c r="D23" s="92">
        <f>IF(ISBLANK(YENI_TEKLIFLER!$A23),"",YENI_TEKLIFLER!$I23)</f>
        <v/>
      </c>
      <c r="E23" s="92">
        <f>IF(ISBLANK(YENI_TEKLIFLER!$A23),"",$C23-$D23)</f>
        <v/>
      </c>
      <c r="F23" s="92">
        <f>IF(ISBLANK(YENI_TEKLIFLER!$A23),"",MAX(0,$E23))</f>
        <v/>
      </c>
      <c r="G23" s="92">
        <f>IF(ISBLANK(YENI_TEKLIFLER!$A23),"",YENI_TEKLIFLER!$J23)</f>
        <v/>
      </c>
      <c r="H23" s="92">
        <f>IF(ISBLANK(YENI_TEKLIFLER!$A23),"",INDEX(KREDILER!$H$6:$H$1000,MATCH(YENI_TEKLIFLER!$B23,KREDILER!$A$6:$A$1000,0)))</f>
        <v/>
      </c>
      <c r="I23" s="89">
        <f>IF(ISBLANK(YENI_TEKLIFLER!$A23),"",IF($E23&gt;0,"ADAY","DEĞİL"))</f>
        <v/>
      </c>
      <c r="J23" s="89">
        <f>IF(ISBLANK(YENI_TEKLIFLER!$A23),"",IF(OR(ISBLANK($B23),ISBLANK($C23),ISBLANK($D23),ISBLANK($E23),ISBLANK($F23),ISBLANK($G23),ISBLANK($H23)),"EKSİK","OK"))</f>
        <v/>
      </c>
    </row>
    <row r="24" ht="15" customHeight="1" s="50">
      <c r="A24" s="89">
        <f>IF(ISBLANK(YENI_TEKLIFLER!$A24),"",YENI_TEKLIFLER!$A24)</f>
        <v/>
      </c>
      <c r="B24" s="89">
        <f>IF(ISBLANK(YENI_TEKLIFLER!$A24),"",YENI_TEKLIFLER!$B24)</f>
        <v/>
      </c>
      <c r="C24" s="92">
        <f>IF(ISBLANK(YENI_TEKLIFLER!$A24),"",SUMIFS(TAKSIT_PLANI!$I$6:$I$1000,TAKSIT_PLANI!$B$6:$B$1000,YENI_TEKLIFLER!$B24,TAKSIT_PLANI!$C$6:$C$1000,1))</f>
        <v/>
      </c>
      <c r="D24" s="92">
        <f>IF(ISBLANK(YENI_TEKLIFLER!$A24),"",YENI_TEKLIFLER!$I24)</f>
        <v/>
      </c>
      <c r="E24" s="92">
        <f>IF(ISBLANK(YENI_TEKLIFLER!$A24),"",$C24-$D24)</f>
        <v/>
      </c>
      <c r="F24" s="92">
        <f>IF(ISBLANK(YENI_TEKLIFLER!$A24),"",MAX(0,$E24))</f>
        <v/>
      </c>
      <c r="G24" s="92">
        <f>IF(ISBLANK(YENI_TEKLIFLER!$A24),"",YENI_TEKLIFLER!$J24)</f>
        <v/>
      </c>
      <c r="H24" s="92">
        <f>IF(ISBLANK(YENI_TEKLIFLER!$A24),"",INDEX(KREDILER!$H$6:$H$1000,MATCH(YENI_TEKLIFLER!$B24,KREDILER!$A$6:$A$1000,0)))</f>
        <v/>
      </c>
      <c r="I24" s="89">
        <f>IF(ISBLANK(YENI_TEKLIFLER!$A24),"",IF($E24&gt;0,"ADAY","DEĞİL"))</f>
        <v/>
      </c>
      <c r="J24" s="89">
        <f>IF(ISBLANK(YENI_TEKLIFLER!$A24),"",IF(OR(ISBLANK($B24),ISBLANK($C24),ISBLANK($D24),ISBLANK($E24),ISBLANK($F24),ISBLANK($G24),ISBLANK($H24)),"EKSİK","OK"))</f>
        <v/>
      </c>
    </row>
    <row r="25" ht="15" customHeight="1" s="50">
      <c r="A25" s="89">
        <f>IF(ISBLANK(YENI_TEKLIFLER!$A25),"",YENI_TEKLIFLER!$A25)</f>
        <v/>
      </c>
      <c r="B25" s="89">
        <f>IF(ISBLANK(YENI_TEKLIFLER!$A25),"",YENI_TEKLIFLER!$B25)</f>
        <v/>
      </c>
      <c r="C25" s="92">
        <f>IF(ISBLANK(YENI_TEKLIFLER!$A25),"",SUMIFS(TAKSIT_PLANI!$I$6:$I$1000,TAKSIT_PLANI!$B$6:$B$1000,YENI_TEKLIFLER!$B25,TAKSIT_PLANI!$C$6:$C$1000,1))</f>
        <v/>
      </c>
      <c r="D25" s="92">
        <f>IF(ISBLANK(YENI_TEKLIFLER!$A25),"",YENI_TEKLIFLER!$I25)</f>
        <v/>
      </c>
      <c r="E25" s="92">
        <f>IF(ISBLANK(YENI_TEKLIFLER!$A25),"",$C25-$D25)</f>
        <v/>
      </c>
      <c r="F25" s="92">
        <f>IF(ISBLANK(YENI_TEKLIFLER!$A25),"",MAX(0,$E25))</f>
        <v/>
      </c>
      <c r="G25" s="92">
        <f>IF(ISBLANK(YENI_TEKLIFLER!$A25),"",YENI_TEKLIFLER!$J25)</f>
        <v/>
      </c>
      <c r="H25" s="92">
        <f>IF(ISBLANK(YENI_TEKLIFLER!$A25),"",INDEX(KREDILER!$H$6:$H$1000,MATCH(YENI_TEKLIFLER!$B25,KREDILER!$A$6:$A$1000,0)))</f>
        <v/>
      </c>
      <c r="I25" s="89">
        <f>IF(ISBLANK(YENI_TEKLIFLER!$A25),"",IF($E25&gt;0,"ADAY","DEĞİL"))</f>
        <v/>
      </c>
      <c r="J25" s="89">
        <f>IF(ISBLANK(YENI_TEKLIFLER!$A25),"",IF(OR(ISBLANK($B25),ISBLANK($C25),ISBLANK($D25),ISBLANK($E25),ISBLANK($F25),ISBLANK($G25),ISBLANK($H25)),"EKSİK","OK"))</f>
        <v/>
      </c>
    </row>
    <row r="26" ht="15" customHeight="1" s="50">
      <c r="A26" s="89">
        <f>IF(ISBLANK(YENI_TEKLIFLER!$A26),"",YENI_TEKLIFLER!$A26)</f>
        <v/>
      </c>
      <c r="B26" s="89">
        <f>IF(ISBLANK(YENI_TEKLIFLER!$A26),"",YENI_TEKLIFLER!$B26)</f>
        <v/>
      </c>
      <c r="C26" s="92">
        <f>IF(ISBLANK(YENI_TEKLIFLER!$A26),"",SUMIFS(TAKSIT_PLANI!$I$6:$I$1000,TAKSIT_PLANI!$B$6:$B$1000,YENI_TEKLIFLER!$B26,TAKSIT_PLANI!$C$6:$C$1000,1))</f>
        <v/>
      </c>
      <c r="D26" s="92">
        <f>IF(ISBLANK(YENI_TEKLIFLER!$A26),"",YENI_TEKLIFLER!$I26)</f>
        <v/>
      </c>
      <c r="E26" s="92">
        <f>IF(ISBLANK(YENI_TEKLIFLER!$A26),"",$C26-$D26)</f>
        <v/>
      </c>
      <c r="F26" s="92">
        <f>IF(ISBLANK(YENI_TEKLIFLER!$A26),"",MAX(0,$E26))</f>
        <v/>
      </c>
      <c r="G26" s="92">
        <f>IF(ISBLANK(YENI_TEKLIFLER!$A26),"",YENI_TEKLIFLER!$J26)</f>
        <v/>
      </c>
      <c r="H26" s="92">
        <f>IF(ISBLANK(YENI_TEKLIFLER!$A26),"",INDEX(KREDILER!$H$6:$H$1000,MATCH(YENI_TEKLIFLER!$B26,KREDILER!$A$6:$A$1000,0)))</f>
        <v/>
      </c>
      <c r="I26" s="89">
        <f>IF(ISBLANK(YENI_TEKLIFLER!$A26),"",IF($E26&gt;0,"ADAY","DEĞİL"))</f>
        <v/>
      </c>
      <c r="J26" s="89">
        <f>IF(ISBLANK(YENI_TEKLIFLER!$A26),"",IF(OR(ISBLANK($B26),ISBLANK($C26),ISBLANK($D26),ISBLANK($E26),ISBLANK($F26),ISBLANK($G26),ISBLANK($H26)),"EKSİK","OK"))</f>
        <v/>
      </c>
    </row>
    <row r="27" ht="15" customHeight="1" s="50">
      <c r="A27" s="89">
        <f>IF(ISBLANK(YENI_TEKLIFLER!$A27),"",YENI_TEKLIFLER!$A27)</f>
        <v/>
      </c>
      <c r="B27" s="89">
        <f>IF(ISBLANK(YENI_TEKLIFLER!$A27),"",YENI_TEKLIFLER!$B27)</f>
        <v/>
      </c>
      <c r="C27" s="92">
        <f>IF(ISBLANK(YENI_TEKLIFLER!$A27),"",SUMIFS(TAKSIT_PLANI!$I$6:$I$1000,TAKSIT_PLANI!$B$6:$B$1000,YENI_TEKLIFLER!$B27,TAKSIT_PLANI!$C$6:$C$1000,1))</f>
        <v/>
      </c>
      <c r="D27" s="92">
        <f>IF(ISBLANK(YENI_TEKLIFLER!$A27),"",YENI_TEKLIFLER!$I27)</f>
        <v/>
      </c>
      <c r="E27" s="92">
        <f>IF(ISBLANK(YENI_TEKLIFLER!$A27),"",$C27-$D27)</f>
        <v/>
      </c>
      <c r="F27" s="92">
        <f>IF(ISBLANK(YENI_TEKLIFLER!$A27),"",MAX(0,$E27))</f>
        <v/>
      </c>
      <c r="G27" s="92">
        <f>IF(ISBLANK(YENI_TEKLIFLER!$A27),"",YENI_TEKLIFLER!$J27)</f>
        <v/>
      </c>
      <c r="H27" s="92">
        <f>IF(ISBLANK(YENI_TEKLIFLER!$A27),"",INDEX(KREDILER!$H$6:$H$1000,MATCH(YENI_TEKLIFLER!$B27,KREDILER!$A$6:$A$1000,0)))</f>
        <v/>
      </c>
      <c r="I27" s="89">
        <f>IF(ISBLANK(YENI_TEKLIFLER!$A27),"",IF($E27&gt;0,"ADAY","DEĞİL"))</f>
        <v/>
      </c>
      <c r="J27" s="89">
        <f>IF(ISBLANK(YENI_TEKLIFLER!$A27),"",IF(OR(ISBLANK($B27),ISBLANK($C27),ISBLANK($D27),ISBLANK($E27),ISBLANK($F27),ISBLANK($G27),ISBLANK($H27)),"EKSİK","OK"))</f>
        <v/>
      </c>
    </row>
    <row r="28" ht="15" customHeight="1" s="50">
      <c r="A28" s="89">
        <f>IF(ISBLANK(YENI_TEKLIFLER!$A28),"",YENI_TEKLIFLER!$A28)</f>
        <v/>
      </c>
      <c r="B28" s="89">
        <f>IF(ISBLANK(YENI_TEKLIFLER!$A28),"",YENI_TEKLIFLER!$B28)</f>
        <v/>
      </c>
      <c r="C28" s="92">
        <f>IF(ISBLANK(YENI_TEKLIFLER!$A28),"",SUMIFS(TAKSIT_PLANI!$I$6:$I$1000,TAKSIT_PLANI!$B$6:$B$1000,YENI_TEKLIFLER!$B28,TAKSIT_PLANI!$C$6:$C$1000,1))</f>
        <v/>
      </c>
      <c r="D28" s="92">
        <f>IF(ISBLANK(YENI_TEKLIFLER!$A28),"",YENI_TEKLIFLER!$I28)</f>
        <v/>
      </c>
      <c r="E28" s="92">
        <f>IF(ISBLANK(YENI_TEKLIFLER!$A28),"",$C28-$D28)</f>
        <v/>
      </c>
      <c r="F28" s="92">
        <f>IF(ISBLANK(YENI_TEKLIFLER!$A28),"",MAX(0,$E28))</f>
        <v/>
      </c>
      <c r="G28" s="92">
        <f>IF(ISBLANK(YENI_TEKLIFLER!$A28),"",YENI_TEKLIFLER!$J28)</f>
        <v/>
      </c>
      <c r="H28" s="92">
        <f>IF(ISBLANK(YENI_TEKLIFLER!$A28),"",INDEX(KREDILER!$H$6:$H$1000,MATCH(YENI_TEKLIFLER!$B28,KREDILER!$A$6:$A$1000,0)))</f>
        <v/>
      </c>
      <c r="I28" s="89">
        <f>IF(ISBLANK(YENI_TEKLIFLER!$A28),"",IF($E28&gt;0,"ADAY","DEĞİL"))</f>
        <v/>
      </c>
      <c r="J28" s="89">
        <f>IF(ISBLANK(YENI_TEKLIFLER!$A28),"",IF(OR(ISBLANK($B28),ISBLANK($C28),ISBLANK($D28),ISBLANK($E28),ISBLANK($F28),ISBLANK($G28),ISBLANK($H28)),"EKSİK","OK"))</f>
        <v/>
      </c>
    </row>
    <row r="29" ht="15" customHeight="1" s="50">
      <c r="A29" s="89">
        <f>IF(ISBLANK(YENI_TEKLIFLER!$A29),"",YENI_TEKLIFLER!$A29)</f>
        <v/>
      </c>
      <c r="B29" s="89">
        <f>IF(ISBLANK(YENI_TEKLIFLER!$A29),"",YENI_TEKLIFLER!$B29)</f>
        <v/>
      </c>
      <c r="C29" s="92">
        <f>IF(ISBLANK(YENI_TEKLIFLER!$A29),"",SUMIFS(TAKSIT_PLANI!$I$6:$I$1000,TAKSIT_PLANI!$B$6:$B$1000,YENI_TEKLIFLER!$B29,TAKSIT_PLANI!$C$6:$C$1000,1))</f>
        <v/>
      </c>
      <c r="D29" s="92">
        <f>IF(ISBLANK(YENI_TEKLIFLER!$A29),"",YENI_TEKLIFLER!$I29)</f>
        <v/>
      </c>
      <c r="E29" s="92">
        <f>IF(ISBLANK(YENI_TEKLIFLER!$A29),"",$C29-$D29)</f>
        <v/>
      </c>
      <c r="F29" s="92">
        <f>IF(ISBLANK(YENI_TEKLIFLER!$A29),"",MAX(0,$E29))</f>
        <v/>
      </c>
      <c r="G29" s="92">
        <f>IF(ISBLANK(YENI_TEKLIFLER!$A29),"",YENI_TEKLIFLER!$J29)</f>
        <v/>
      </c>
      <c r="H29" s="92">
        <f>IF(ISBLANK(YENI_TEKLIFLER!$A29),"",INDEX(KREDILER!$H$6:$H$1000,MATCH(YENI_TEKLIFLER!$B29,KREDILER!$A$6:$A$1000,0)))</f>
        <v/>
      </c>
      <c r="I29" s="89">
        <f>IF(ISBLANK(YENI_TEKLIFLER!$A29),"",IF($E29&gt;0,"ADAY","DEĞİL"))</f>
        <v/>
      </c>
      <c r="J29" s="89">
        <f>IF(ISBLANK(YENI_TEKLIFLER!$A29),"",IF(OR(ISBLANK($B29),ISBLANK($C29),ISBLANK($D29),ISBLANK($E29),ISBLANK($F29),ISBLANK($G29),ISBLANK($H29)),"EKSİK","OK"))</f>
        <v/>
      </c>
    </row>
    <row r="30" ht="15" customHeight="1" s="50">
      <c r="A30" s="89">
        <f>IF(ISBLANK(YENI_TEKLIFLER!$A30),"",YENI_TEKLIFLER!$A30)</f>
        <v/>
      </c>
      <c r="B30" s="89">
        <f>IF(ISBLANK(YENI_TEKLIFLER!$A30),"",YENI_TEKLIFLER!$B30)</f>
        <v/>
      </c>
      <c r="C30" s="92">
        <f>IF(ISBLANK(YENI_TEKLIFLER!$A30),"",SUMIFS(TAKSIT_PLANI!$I$6:$I$1000,TAKSIT_PLANI!$B$6:$B$1000,YENI_TEKLIFLER!$B30,TAKSIT_PLANI!$C$6:$C$1000,1))</f>
        <v/>
      </c>
      <c r="D30" s="92">
        <f>IF(ISBLANK(YENI_TEKLIFLER!$A30),"",YENI_TEKLIFLER!$I30)</f>
        <v/>
      </c>
      <c r="E30" s="92">
        <f>IF(ISBLANK(YENI_TEKLIFLER!$A30),"",$C30-$D30)</f>
        <v/>
      </c>
      <c r="F30" s="92">
        <f>IF(ISBLANK(YENI_TEKLIFLER!$A30),"",MAX(0,$E30))</f>
        <v/>
      </c>
      <c r="G30" s="92">
        <f>IF(ISBLANK(YENI_TEKLIFLER!$A30),"",YENI_TEKLIFLER!$J30)</f>
        <v/>
      </c>
      <c r="H30" s="92">
        <f>IF(ISBLANK(YENI_TEKLIFLER!$A30),"",INDEX(KREDILER!$H$6:$H$1000,MATCH(YENI_TEKLIFLER!$B30,KREDILER!$A$6:$A$1000,0)))</f>
        <v/>
      </c>
      <c r="I30" s="89">
        <f>IF(ISBLANK(YENI_TEKLIFLER!$A30),"",IF($E30&gt;0,"ADAY","DEĞİL"))</f>
        <v/>
      </c>
      <c r="J30" s="89">
        <f>IF(ISBLANK(YENI_TEKLIFLER!$A30),"",IF(OR(ISBLANK($B30),ISBLANK($C30),ISBLANK($D30),ISBLANK($E30),ISBLANK($F30),ISBLANK($G30),ISBLANK($H30)),"EKSİK","OK"))</f>
        <v/>
      </c>
    </row>
    <row r="31" ht="15" customHeight="1" s="50">
      <c r="A31" s="89">
        <f>IF(ISBLANK(YENI_TEKLIFLER!$A31),"",YENI_TEKLIFLER!$A31)</f>
        <v/>
      </c>
      <c r="B31" s="89">
        <f>IF(ISBLANK(YENI_TEKLIFLER!$A31),"",YENI_TEKLIFLER!$B31)</f>
        <v/>
      </c>
      <c r="C31" s="92">
        <f>IF(ISBLANK(YENI_TEKLIFLER!$A31),"",SUMIFS(TAKSIT_PLANI!$I$6:$I$1000,TAKSIT_PLANI!$B$6:$B$1000,YENI_TEKLIFLER!$B31,TAKSIT_PLANI!$C$6:$C$1000,1))</f>
        <v/>
      </c>
      <c r="D31" s="92">
        <f>IF(ISBLANK(YENI_TEKLIFLER!$A31),"",YENI_TEKLIFLER!$I31)</f>
        <v/>
      </c>
      <c r="E31" s="92">
        <f>IF(ISBLANK(YENI_TEKLIFLER!$A31),"",$C31-$D31)</f>
        <v/>
      </c>
      <c r="F31" s="92">
        <f>IF(ISBLANK(YENI_TEKLIFLER!$A31),"",MAX(0,$E31))</f>
        <v/>
      </c>
      <c r="G31" s="92">
        <f>IF(ISBLANK(YENI_TEKLIFLER!$A31),"",YENI_TEKLIFLER!$J31)</f>
        <v/>
      </c>
      <c r="H31" s="92">
        <f>IF(ISBLANK(YENI_TEKLIFLER!$A31),"",INDEX(KREDILER!$H$6:$H$1000,MATCH(YENI_TEKLIFLER!$B31,KREDILER!$A$6:$A$1000,0)))</f>
        <v/>
      </c>
      <c r="I31" s="89">
        <f>IF(ISBLANK(YENI_TEKLIFLER!$A31),"",IF($E31&gt;0,"ADAY","DEĞİL"))</f>
        <v/>
      </c>
      <c r="J31" s="89">
        <f>IF(ISBLANK(YENI_TEKLIFLER!$A31),"",IF(OR(ISBLANK($B31),ISBLANK($C31),ISBLANK($D31),ISBLANK($E31),ISBLANK($F31),ISBLANK($G31),ISBLANK($H31)),"EKSİK","OK"))</f>
        <v/>
      </c>
    </row>
    <row r="32" ht="15" customHeight="1" s="50">
      <c r="A32" s="89">
        <f>IF(ISBLANK(YENI_TEKLIFLER!$A32),"",YENI_TEKLIFLER!$A32)</f>
        <v/>
      </c>
      <c r="B32" s="89">
        <f>IF(ISBLANK(YENI_TEKLIFLER!$A32),"",YENI_TEKLIFLER!$B32)</f>
        <v/>
      </c>
      <c r="C32" s="92">
        <f>IF(ISBLANK(YENI_TEKLIFLER!$A32),"",SUMIFS(TAKSIT_PLANI!$I$6:$I$1000,TAKSIT_PLANI!$B$6:$B$1000,YENI_TEKLIFLER!$B32,TAKSIT_PLANI!$C$6:$C$1000,1))</f>
        <v/>
      </c>
      <c r="D32" s="92">
        <f>IF(ISBLANK(YENI_TEKLIFLER!$A32),"",YENI_TEKLIFLER!$I32)</f>
        <v/>
      </c>
      <c r="E32" s="92">
        <f>IF(ISBLANK(YENI_TEKLIFLER!$A32),"",$C32-$D32)</f>
        <v/>
      </c>
      <c r="F32" s="92">
        <f>IF(ISBLANK(YENI_TEKLIFLER!$A32),"",MAX(0,$E32))</f>
        <v/>
      </c>
      <c r="G32" s="92">
        <f>IF(ISBLANK(YENI_TEKLIFLER!$A32),"",YENI_TEKLIFLER!$J32)</f>
        <v/>
      </c>
      <c r="H32" s="92">
        <f>IF(ISBLANK(YENI_TEKLIFLER!$A32),"",INDEX(KREDILER!$H$6:$H$1000,MATCH(YENI_TEKLIFLER!$B32,KREDILER!$A$6:$A$1000,0)))</f>
        <v/>
      </c>
      <c r="I32" s="89">
        <f>IF(ISBLANK(YENI_TEKLIFLER!$A32),"",IF($E32&gt;0,"ADAY","DEĞİL"))</f>
        <v/>
      </c>
      <c r="J32" s="89">
        <f>IF(ISBLANK(YENI_TEKLIFLER!$A32),"",IF(OR(ISBLANK($B32),ISBLANK($C32),ISBLANK($D32),ISBLANK($E32),ISBLANK($F32),ISBLANK($G32),ISBLANK($H32)),"EKSİK","OK"))</f>
        <v/>
      </c>
    </row>
    <row r="33" ht="15" customHeight="1" s="50">
      <c r="A33" s="89">
        <f>IF(ISBLANK(YENI_TEKLIFLER!$A33),"",YENI_TEKLIFLER!$A33)</f>
        <v/>
      </c>
      <c r="B33" s="89">
        <f>IF(ISBLANK(YENI_TEKLIFLER!$A33),"",YENI_TEKLIFLER!$B33)</f>
        <v/>
      </c>
      <c r="C33" s="92">
        <f>IF(ISBLANK(YENI_TEKLIFLER!$A33),"",SUMIFS(TAKSIT_PLANI!$I$6:$I$1000,TAKSIT_PLANI!$B$6:$B$1000,YENI_TEKLIFLER!$B33,TAKSIT_PLANI!$C$6:$C$1000,1))</f>
        <v/>
      </c>
      <c r="D33" s="92">
        <f>IF(ISBLANK(YENI_TEKLIFLER!$A33),"",YENI_TEKLIFLER!$I33)</f>
        <v/>
      </c>
      <c r="E33" s="92">
        <f>IF(ISBLANK(YENI_TEKLIFLER!$A33),"",$C33-$D33)</f>
        <v/>
      </c>
      <c r="F33" s="92">
        <f>IF(ISBLANK(YENI_TEKLIFLER!$A33),"",MAX(0,$E33))</f>
        <v/>
      </c>
      <c r="G33" s="92">
        <f>IF(ISBLANK(YENI_TEKLIFLER!$A33),"",YENI_TEKLIFLER!$J33)</f>
        <v/>
      </c>
      <c r="H33" s="92">
        <f>IF(ISBLANK(YENI_TEKLIFLER!$A33),"",INDEX(KREDILER!$H$6:$H$1000,MATCH(YENI_TEKLIFLER!$B33,KREDILER!$A$6:$A$1000,0)))</f>
        <v/>
      </c>
      <c r="I33" s="89">
        <f>IF(ISBLANK(YENI_TEKLIFLER!$A33),"",IF($E33&gt;0,"ADAY","DEĞİL"))</f>
        <v/>
      </c>
      <c r="J33" s="89">
        <f>IF(ISBLANK(YENI_TEKLIFLER!$A33),"",IF(OR(ISBLANK($B33),ISBLANK($C33),ISBLANK($D33),ISBLANK($E33),ISBLANK($F33),ISBLANK($G33),ISBLANK($H33)),"EKSİK","OK"))</f>
        <v/>
      </c>
    </row>
    <row r="34" ht="15" customHeight="1" s="50">
      <c r="A34" s="89">
        <f>IF(ISBLANK(YENI_TEKLIFLER!$A34),"",YENI_TEKLIFLER!$A34)</f>
        <v/>
      </c>
      <c r="B34" s="89">
        <f>IF(ISBLANK(YENI_TEKLIFLER!$A34),"",YENI_TEKLIFLER!$B34)</f>
        <v/>
      </c>
      <c r="C34" s="92">
        <f>IF(ISBLANK(YENI_TEKLIFLER!$A34),"",SUMIFS(TAKSIT_PLANI!$I$6:$I$1000,TAKSIT_PLANI!$B$6:$B$1000,YENI_TEKLIFLER!$B34,TAKSIT_PLANI!$C$6:$C$1000,1))</f>
        <v/>
      </c>
      <c r="D34" s="92">
        <f>IF(ISBLANK(YENI_TEKLIFLER!$A34),"",YENI_TEKLIFLER!$I34)</f>
        <v/>
      </c>
      <c r="E34" s="92">
        <f>IF(ISBLANK(YENI_TEKLIFLER!$A34),"",$C34-$D34)</f>
        <v/>
      </c>
      <c r="F34" s="92">
        <f>IF(ISBLANK(YENI_TEKLIFLER!$A34),"",MAX(0,$E34))</f>
        <v/>
      </c>
      <c r="G34" s="92">
        <f>IF(ISBLANK(YENI_TEKLIFLER!$A34),"",YENI_TEKLIFLER!$J34)</f>
        <v/>
      </c>
      <c r="H34" s="92">
        <f>IF(ISBLANK(YENI_TEKLIFLER!$A34),"",INDEX(KREDILER!$H$6:$H$1000,MATCH(YENI_TEKLIFLER!$B34,KREDILER!$A$6:$A$1000,0)))</f>
        <v/>
      </c>
      <c r="I34" s="89">
        <f>IF(ISBLANK(YENI_TEKLIFLER!$A34),"",IF($E34&gt;0,"ADAY","DEĞİL"))</f>
        <v/>
      </c>
      <c r="J34" s="89">
        <f>IF(ISBLANK(YENI_TEKLIFLER!$A34),"",IF(OR(ISBLANK($B34),ISBLANK($C34),ISBLANK($D34),ISBLANK($E34),ISBLANK($F34),ISBLANK($G34),ISBLANK($H34)),"EKSİK","OK"))</f>
        <v/>
      </c>
    </row>
    <row r="35" ht="15" customHeight="1" s="50">
      <c r="A35" s="89">
        <f>IF(ISBLANK(YENI_TEKLIFLER!$A35),"",YENI_TEKLIFLER!$A35)</f>
        <v/>
      </c>
      <c r="B35" s="89">
        <f>IF(ISBLANK(YENI_TEKLIFLER!$A35),"",YENI_TEKLIFLER!$B35)</f>
        <v/>
      </c>
      <c r="C35" s="92">
        <f>IF(ISBLANK(YENI_TEKLIFLER!$A35),"",SUMIFS(TAKSIT_PLANI!$I$6:$I$1000,TAKSIT_PLANI!$B$6:$B$1000,YENI_TEKLIFLER!$B35,TAKSIT_PLANI!$C$6:$C$1000,1))</f>
        <v/>
      </c>
      <c r="D35" s="92">
        <f>IF(ISBLANK(YENI_TEKLIFLER!$A35),"",YENI_TEKLIFLER!$I35)</f>
        <v/>
      </c>
      <c r="E35" s="92">
        <f>IF(ISBLANK(YENI_TEKLIFLER!$A35),"",$C35-$D35)</f>
        <v/>
      </c>
      <c r="F35" s="92">
        <f>IF(ISBLANK(YENI_TEKLIFLER!$A35),"",MAX(0,$E35))</f>
        <v/>
      </c>
      <c r="G35" s="92">
        <f>IF(ISBLANK(YENI_TEKLIFLER!$A35),"",YENI_TEKLIFLER!$J35)</f>
        <v/>
      </c>
      <c r="H35" s="92">
        <f>IF(ISBLANK(YENI_TEKLIFLER!$A35),"",INDEX(KREDILER!$H$6:$H$1000,MATCH(YENI_TEKLIFLER!$B35,KREDILER!$A$6:$A$1000,0)))</f>
        <v/>
      </c>
      <c r="I35" s="89">
        <f>IF(ISBLANK(YENI_TEKLIFLER!$A35),"",IF($E35&gt;0,"ADAY","DEĞİL"))</f>
        <v/>
      </c>
      <c r="J35" s="89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6" customWidth="1" style="76" min="2" max="2"/>
    <col width="20" customWidth="1" style="76" min="4" max="4"/>
    <col width="16" customWidth="1" style="76" min="5" max="6"/>
    <col width="24" customWidth="1" style="76" min="7" max="7"/>
    <col width="18" customWidth="1" style="76" min="8" max="8"/>
    <col width="16" customWidth="1" style="76" min="9" max="11"/>
  </cols>
  <sheetData>
    <row r="1" ht="25.5" customHeight="1" s="50">
      <c r="A1" s="77" t="inlineStr">
        <is>
          <t>PANO — BANKA, KREDİ VE TAKSİT TAKİP SİSTEMİ</t>
        </is>
      </c>
    </row>
    <row r="3" ht="17.25" customHeight="1" s="50">
      <c r="A3" s="113" t="inlineStr">
        <is>
          <t>YÖNETİCİ BORÇ VE LİKİDİTE PANELİ — tek ekranda karar</t>
        </is>
      </c>
    </row>
    <row r="5" ht="15" customHeight="1" s="50">
      <c r="A5" s="100" t="inlineStr">
        <is>
          <t>Toplam Finansal Borç</t>
        </is>
      </c>
      <c r="B5" s="111">
        <f>KARAR_MOTORU!$B$5</f>
        <v/>
      </c>
      <c r="D5" s="80" t="inlineStr">
        <is>
          <t>ÖNEMLİ UYARILAR</t>
        </is>
      </c>
    </row>
    <row r="6" ht="15" customHeight="1" s="50">
      <c r="A6" s="100" t="inlineStr">
        <is>
          <t>Aylık Borç Servisi</t>
        </is>
      </c>
      <c r="B6" s="111">
        <f>KARAR_MOTORU!$B$6</f>
        <v/>
      </c>
      <c r="D6" s="81" t="inlineStr">
        <is>
          <t>Bu sistem karar destek aracıdır; kesin finansal tavsiye değildir. Gerçekleşme verilere ve varsayımlara bağlıdır.</t>
        </is>
      </c>
    </row>
    <row r="7" ht="15" customHeight="1" s="50">
      <c r="A7" s="100" t="inlineStr">
        <is>
          <t>30 Günlük Ödeme Yükü</t>
        </is>
      </c>
      <c r="B7" s="111">
        <f>KARAR_MOTORU!$B$7</f>
        <v/>
      </c>
    </row>
    <row r="8" ht="15" customHeight="1" s="50">
      <c r="A8" s="100" t="inlineStr">
        <is>
          <t>Ağırlıklı Maliyet</t>
        </is>
      </c>
      <c r="B8" s="112">
        <f>KARAR_MOTORU!$B$9</f>
        <v/>
      </c>
    </row>
    <row r="9" ht="15" customHeight="1" s="50">
      <c r="A9" s="100" t="inlineStr">
        <is>
          <t>Döviz Borcu</t>
        </is>
      </c>
      <c r="B9" s="111">
        <f>KARAR_MOTORU!$B$10</f>
        <v/>
      </c>
    </row>
    <row r="10" ht="15" customHeight="1" s="50">
      <c r="A10" s="100" t="inlineStr">
        <is>
          <t>Kaldıraç (Borç/Kâr)</t>
        </is>
      </c>
      <c r="B10" s="101">
        <f>KARAR_MOTORU!$B$11</f>
        <v/>
      </c>
    </row>
    <row r="11" ht="15" customHeight="1" s="50">
      <c r="A11" s="100" t="inlineStr">
        <is>
          <t>Teminat Oranı</t>
        </is>
      </c>
      <c r="B11" s="112">
        <f>KARAR_MOTORU!$B$12</f>
        <v/>
      </c>
    </row>
    <row r="12" ht="15" customHeight="1" s="50">
      <c r="A12" s="100" t="inlineStr">
        <is>
          <t>Veri Kalite Skoru</t>
        </is>
      </c>
      <c r="B12" s="101">
        <f>KONTROLLER!$B$6</f>
        <v/>
      </c>
    </row>
    <row r="13" ht="15" customHeight="1" s="50">
      <c r="A13" s="100" t="inlineStr">
        <is>
          <t>Karar</t>
        </is>
      </c>
      <c r="B13" s="102">
        <f>KARAR_MOTORU!$B$15</f>
        <v/>
      </c>
    </row>
    <row r="14" ht="15" customHeight="1" s="50">
      <c r="A14" s="100" t="inlineStr">
        <is>
          <t>Risk Seviyesi</t>
        </is>
      </c>
      <c r="B14" s="102">
        <f>KARAR_MOTORU!$B$16</f>
        <v/>
      </c>
    </row>
    <row r="19" ht="15" customHeight="1" s="50">
      <c r="G19" s="114" t="inlineStr">
        <is>
          <t>Banka</t>
        </is>
      </c>
      <c r="H19" s="114" t="inlineStr">
        <is>
          <t>Bakiye</t>
        </is>
      </c>
    </row>
    <row r="20" ht="15" customHeight="1" s="50">
      <c r="G20" s="115" t="inlineStr">
        <is>
          <t>Türkiye İş Bankası</t>
        </is>
      </c>
      <c r="H20" s="107">
        <f>SUMIFS(KREDILER!$H$6:$H$1000,KREDILER!$B$6:$B$1000,"Türkiye İş Bankası")</f>
        <v/>
      </c>
    </row>
    <row r="21" ht="15" customHeight="1" s="50">
      <c r="G21" s="115" t="inlineStr">
        <is>
          <t>Akbank</t>
        </is>
      </c>
      <c r="H21" s="107">
        <f>SUMIFS(KREDILER!$H$6:$H$1000,KREDILER!$B$6:$B$1000,"Akbank")</f>
        <v/>
      </c>
    </row>
    <row r="22" ht="15" customHeight="1" s="50">
      <c r="G22" s="115" t="inlineStr">
        <is>
          <t>Garanti BBVA</t>
        </is>
      </c>
      <c r="H22" s="107">
        <f>SUMIFS(KREDILER!$H$6:$H$1000,KREDILER!$B$6:$B$1000,"Garanti BBVA")</f>
        <v/>
      </c>
    </row>
    <row r="23" ht="15" customHeight="1" s="50">
      <c r="G23" s="115" t="inlineStr">
        <is>
          <t>Yapı Kredi</t>
        </is>
      </c>
      <c r="H23" s="107">
        <f>SUMIFS(KREDILER!$H$6:$H$1000,KREDILER!$B$6:$B$1000,"Yapı Kredi")</f>
        <v/>
      </c>
    </row>
    <row r="25" ht="15" customHeight="1" s="50">
      <c r="G25" s="114" t="inlineStr">
        <is>
          <t>Ay</t>
        </is>
      </c>
      <c r="H25" s="114" t="inlineStr">
        <is>
          <t>Ödeme</t>
        </is>
      </c>
    </row>
    <row r="26" ht="15" customHeight="1" s="50">
      <c r="G26" s="115" t="inlineStr">
        <is>
          <t>Önümüzdeki Ay</t>
        </is>
      </c>
      <c r="H26" s="107">
        <f>SUMIFS(TAKSIT_PLANI!$I$6:$I$1000,TAKSIT_PLANI!$D$6:$D$1000,"&gt;="&amp;RaporTarihi+AYARLAR!$B$26,TAKSIT_PLANI!$D$6:$D$1000,"&lt;"&amp;RaporTarihi+AYARLAR!$B$27)</f>
        <v/>
      </c>
    </row>
    <row r="27" ht="15" customHeight="1" s="50">
      <c r="G27" s="115" t="inlineStr">
        <is>
          <t>İkinci Ay</t>
        </is>
      </c>
      <c r="H27" s="107">
        <f>SUMIFS(TAKSIT_PLANI!$I$6:$I$1000,TAKSIT_PLANI!$D$6:$D$1000,"&gt;="&amp;RaporTarihi+AYARLAR!$B$27,TAKSIT_PLANI!$D$6:$D$1000,"&lt;"&amp;RaporTarihi+AYARLAR!$B$28)</f>
        <v/>
      </c>
    </row>
    <row r="28" ht="15" customHeight="1" s="50">
      <c r="G28" s="115" t="inlineStr">
        <is>
          <t>Üçüncü Ay</t>
        </is>
      </c>
      <c r="H28" s="107">
        <f>SUMIFS(TAKSIT_PLANI!$I$6:$I$1000,TAKSIT_PLANI!$D$6:$D$1000,"&gt;="&amp;RaporTarihi+AYARLAR!$B$28,TAKSIT_PLANI!$D$6:$D$1000,"&lt;"&amp;RaporTarihi+AYARLAR!$B$29)</f>
        <v/>
      </c>
    </row>
    <row r="29" ht="15" customHeight="1" s="50">
      <c r="G29" s="115" t="inlineStr">
        <is>
          <t>Dördüncü Ay</t>
        </is>
      </c>
      <c r="H29" s="107">
        <f>SUMIFS(TAKSIT_PLANI!$I$6:$I$1000,TAKSIT_PLANI!$D$6:$D$1000,"&gt;="&amp;RaporTarihi+AYARLAR!$B$29,TAKSIT_PLANI!$D$6:$D$1000,"&lt;"&amp;RaporTarihi+AYARLAR!$B$30)</f>
        <v/>
      </c>
    </row>
    <row r="30" ht="15" customHeight="1" s="50">
      <c r="G30" s="115" t="inlineStr">
        <is>
          <t>Beşinci Ay</t>
        </is>
      </c>
      <c r="H30" s="107">
        <f>SUMIFS(TAKSIT_PLANI!$I$6:$I$1000,TAKSIT_PLANI!$D$6:$D$1000,"&gt;="&amp;RaporTarihi+AYARLAR!$B$30,TAKSIT_PLANI!$D$6:$D$1000,"&lt;"&amp;RaporTarihi+AYARLAR!$B$31)</f>
        <v/>
      </c>
    </row>
    <row r="31" ht="15" customHeight="1" s="50">
      <c r="G31" s="115" t="inlineStr">
        <is>
          <t>Altıncı Ay</t>
        </is>
      </c>
      <c r="H31" s="107">
        <f>SUMIFS(TAKSIT_PLANI!$I$6:$I$1000,TAKSIT_PLANI!$D$6:$D$1000,"&gt;="&amp;RaporTarihi+AYARLAR!$B$31,TAKSIT_PLANI!$D$6:$D$1000,"&lt;"&amp;RaporTarihi+AYARLAR!$B$32)</f>
        <v/>
      </c>
    </row>
    <row r="32" ht="15" customHeight="1" s="50">
      <c r="G32" s="114" t="inlineStr">
        <is>
          <t>Pencere</t>
        </is>
      </c>
      <c r="H32" s="114" t="inlineStr">
        <is>
          <t>Ödeme</t>
        </is>
      </c>
    </row>
    <row r="33" ht="15" customHeight="1" s="50">
      <c r="G33" s="115" t="inlineStr">
        <is>
          <t>30 Gün</t>
        </is>
      </c>
      <c r="H33" s="107">
        <f>SUMIFS(TAKSIT_PLANI!$I$6:$I$1000,TAKSIT_PLANI!$D$6:$D$1000,"&gt;="&amp;RaporTarihi,TAKSIT_PLANI!$D$6:$D$1000,"&lt;="&amp;RaporTarihi+AYARLAR!$B$27)</f>
        <v/>
      </c>
    </row>
    <row r="34" ht="15" customHeight="1" s="50">
      <c r="G34" s="115" t="inlineStr">
        <is>
          <t>60 Gün</t>
        </is>
      </c>
      <c r="H34" s="107">
        <f>SUMIFS(TAKSIT_PLANI!$I$6:$I$1000,TAKSIT_PLANI!$D$6:$D$1000,"&gt;="&amp;RaporTarihi,TAKSIT_PLANI!$D$6:$D$1000,"&lt;="&amp;RaporTarihi+AYARLAR!$B$28)</f>
        <v/>
      </c>
    </row>
    <row r="35" ht="15" customHeight="1" s="50">
      <c r="G35" s="115" t="inlineStr">
        <is>
          <t>90 Gün</t>
        </is>
      </c>
      <c r="H35" s="107">
        <f>SUMIFS(TAKSIT_PLANI!$I$6:$I$1000,TAKSIT_PLANI!$D$6:$D$1000,"&gt;="&amp;RaporTarihi,TAKSIT_PLANI!$D$6:$D$1000,"&lt;="&amp;RaporTarihi+AYARLAR!$B$29)</f>
        <v/>
      </c>
    </row>
    <row r="37" ht="15" customHeight="1" s="50">
      <c r="G37" s="114" t="inlineStr">
        <is>
          <t>Ürün Türü</t>
        </is>
      </c>
      <c r="H37" s="114" t="inlineStr">
        <is>
          <t>Bakiye</t>
        </is>
      </c>
    </row>
    <row r="38" ht="15" customHeight="1" s="50">
      <c r="G38" s="115" t="inlineStr">
        <is>
          <t>Taksitli Ticari Kredi</t>
        </is>
      </c>
      <c r="H38" s="107">
        <f>SUMIFS(KREDILER!$H$6:$H$1000,KREDILER!$D$6:$D$1000,"Taksitli Ticari Kredi")</f>
        <v/>
      </c>
    </row>
    <row r="39" ht="15" customHeight="1" s="50">
      <c r="G39" s="115" t="inlineStr">
        <is>
          <t>Leasing</t>
        </is>
      </c>
      <c r="H39" s="107">
        <f>SUMIFS(KREDILER!$H$6:$H$1000,KREDILER!$D$6:$D$1000,"Leasing")</f>
        <v/>
      </c>
    </row>
    <row r="40" ht="15" customHeight="1" s="50">
      <c r="G40" s="115" t="inlineStr">
        <is>
          <t>Rotatif Kredi</t>
        </is>
      </c>
      <c r="H40" s="107">
        <f>SUMIFS(KREDILER!$H$6:$H$1000,KREDILER!$D$6:$D$1000,"Rotatif Kredi")</f>
        <v/>
      </c>
    </row>
    <row r="41" ht="15" customHeight="1" s="50">
      <c r="G41" s="115" t="inlineStr">
        <is>
          <t>Spot Kredi</t>
        </is>
      </c>
      <c r="H41" s="107">
        <f>SUMIFS(KREDILER!$H$6:$H$1000,KREDILER!$D$6:$D$1000,"Spot Kredi")</f>
        <v/>
      </c>
    </row>
    <row r="43" ht="15" customHeight="1" s="50">
      <c r="G43" s="114" t="inlineStr">
        <is>
          <t>Masraf Türü</t>
        </is>
      </c>
      <c r="H43" s="114" t="inlineStr">
        <is>
          <t>Tutar</t>
        </is>
      </c>
    </row>
    <row r="44" ht="15" customHeight="1" s="50">
      <c r="G44" s="115" t="inlineStr">
        <is>
          <t>Tahsis Ücreti</t>
        </is>
      </c>
      <c r="H44" s="107">
        <f>SUMIFS(MASRAF_KOMISYON!$G$6:$G$1000,MASRAF_KOMISYON!$D$6:$D$1000,"Tahsis Ücreti")</f>
        <v/>
      </c>
    </row>
    <row r="45" ht="15" customHeight="1" s="50">
      <c r="G45" s="115" t="inlineStr">
        <is>
          <t>Sigorta</t>
        </is>
      </c>
      <c r="H45" s="107">
        <f>SUMIFS(MASRAF_KOMISYON!$G$6:$G$1000,MASRAF_KOMISYON!$D$6:$D$1000,"Sigorta")</f>
        <v/>
      </c>
    </row>
    <row r="46" ht="15" customHeight="1" s="50">
      <c r="G46" s="115" t="inlineStr">
        <is>
          <t>Komisyon</t>
        </is>
      </c>
      <c r="H46" s="107">
        <f>SUMIFS(MASRAF_KOMISYON!$G$6:$G$1000,MASRAF_KOMISYON!$D$6:$D$1000,"Komisyon")</f>
        <v/>
      </c>
    </row>
    <row r="47" ht="15" customHeight="1" s="50">
      <c r="G47" s="115" t="inlineStr">
        <is>
          <t>Diğer</t>
        </is>
      </c>
      <c r="H47" s="107">
        <f>SUMIFS(MASRAF_KOMISYON!$G$6:$G$1000,MASRAF_KOMISYON!$D$6:$D$1000,"Diğer")</f>
        <v/>
      </c>
    </row>
    <row r="49" ht="15" customHeight="1" s="50">
      <c r="G49" s="114" t="inlineStr">
        <is>
          <t>Teminat Türü</t>
        </is>
      </c>
      <c r="H49" s="114" t="inlineStr">
        <is>
          <t>Değer</t>
        </is>
      </c>
    </row>
    <row r="50" ht="15" customHeight="1" s="50">
      <c r="G50" s="115" t="inlineStr">
        <is>
          <t>Gayrimenkul İpoteği</t>
        </is>
      </c>
      <c r="H50" s="107">
        <f>SUMIFS(TEMINATLAR!$F$6:$F$1000,TEMINATLAR!$D$6:$D$1000,"Gayrimenkul İpoteği")</f>
        <v/>
      </c>
    </row>
    <row r="51" ht="15" customHeight="1" s="50">
      <c r="G51" s="115" t="inlineStr">
        <is>
          <t>Taşıt Rehni</t>
        </is>
      </c>
      <c r="H51" s="107">
        <f>SUMIFS(TEMINATLAR!$F$6:$F$1000,TEMINATLAR!$D$6:$D$1000,"Taşıt Rehni")</f>
        <v/>
      </c>
    </row>
    <row r="52" ht="15" customHeight="1" s="50">
      <c r="G52" s="115" t="inlineStr">
        <is>
          <t>Alacak Temliki</t>
        </is>
      </c>
      <c r="H52" s="107">
        <f>SUMIFS(TEMINATLAR!$F$6:$F$1000,TEMINATLAR!$D$6:$D$1000,"Alacak Temliki")</f>
        <v/>
      </c>
    </row>
    <row r="53" ht="15" customHeight="1" s="50">
      <c r="G53" s="115" t="inlineStr">
        <is>
          <t>Diğer</t>
        </is>
      </c>
      <c r="H53" s="107">
        <f>SUMIFS(TEMINATLAR!$F$6:$F$1000,TEMINATLAR!$D$6:$D$1000,"Diğer")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D6:K7"/>
    <mergeCell ref="A1:AN1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8">
    <cfRule type="cellIs" rank="0" priority="3" equalAverage="0" operator="equal" aboveAverage="0" dxfId="8" text="" percent="0" bottom="0">
      <formula>"UYGUN"</formula>
    </cfRule>
    <cfRule type="cellIs" rank="0" priority="4" equalAverage="0" operator="equal" aboveAverage="0" dxfId="10" text="" percent="0" bottom="0">
      <formula>"İNCELE"</formula>
    </cfRule>
    <cfRule type="cellIs" rank="0" priority="5" equalAverage="0" operator="equal" aboveAverage="0" dxfId="9" text="" percent="0" bottom="0">
      <formula>"DURDUR"</formula>
    </cfRule>
  </conditionalFormatting>
  <conditionalFormatting sqref="B9">
    <cfRule type="cellIs" rank="0" priority="6" equalAverage="0" operator="equal" aboveAverage="0" dxfId="8" text="" percent="0" bottom="0">
      <formula>"DÜŞÜK"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9" text="" percent="0" bottom="0">
      <formula>"KRİTİK"</formula>
    </cfRule>
  </conditionalFormatting>
  <conditionalFormatting sqref="B14">
    <cfRule type="cellIs" rank="0" priority="10" equalAverage="0" operator="lessThan" aboveAverage="0" dxfId="9" text="" percent="0" bottom="0">
      <formula>0</formula>
    </cfRule>
  </conditionalFormatting>
  <conditionalFormatting sqref="B17">
    <cfRule type="cellIs" rank="0" priority="11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PANO&amp;CExcelArşiv&amp;RSayfa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KILAVUZ — BANKA, KREDİ VE TAKSİT TAKİP SİSTEMİ</t>
        </is>
      </c>
    </row>
    <row r="3" ht="15" customHeight="1" s="50">
      <c r="A3" s="99" t="inlineStr">
        <is>
          <t>KULLANIM KILAVUZU</t>
        </is>
      </c>
    </row>
    <row r="5" ht="15" customHeight="1" s="50">
      <c r="A5" s="84" t="inlineStr">
        <is>
          <t>1. AMAÇ</t>
        </is>
      </c>
    </row>
    <row r="6" ht="25.5" customHeight="1" s="50">
      <c r="A6" s="81" t="inlineStr">
        <is>
          <t>Borç portföyünü, limitleri, ödeme baskısını ve refinansman fırsatlarını tek merkezde yönetmek.</t>
        </is>
      </c>
    </row>
    <row r="7" ht="15" customHeight="1" s="50">
      <c r="A7" s="84" t="inlineStr">
        <is>
          <t>2. GİRİŞ VERİLERİ</t>
        </is>
      </c>
    </row>
    <row r="8" ht="25.5" customHeight="1" s="50">
      <c r="A8" s="81" t="inlineStr">
        <is>
          <t>BANKALAR, LIMITLER ve KREDILER sayfalarına banka ilişkilerini, limitleri ve kredileri girin; TAKSIT_PLANI'na dönem bazında taksitleri işleyin.</t>
        </is>
      </c>
    </row>
    <row r="9" ht="15" customHeight="1" s="50">
      <c r="A9" s="84" t="inlineStr">
        <is>
          <t>3. MALİYET VE TEMİNAT</t>
        </is>
      </c>
    </row>
    <row r="10" ht="25.5" customHeight="1" s="50">
      <c r="A10" s="81" t="inlineStr">
        <is>
          <t>MASRAF_KOMISYON, TEMINATLAR ve YENI_TEKLIFLER sayfalarını tamamlayın.</t>
        </is>
      </c>
    </row>
    <row r="11" ht="15" customHeight="1" s="50">
      <c r="A11" s="84" t="inlineStr">
        <is>
          <t>4. ÖDEME TAKVİMİ</t>
        </is>
      </c>
    </row>
    <row r="12" ht="25.5" customHeight="1" s="50">
      <c r="A12" s="81" t="inlineStr">
        <is>
          <t>ODEME_TAKVIMI yaklaşan taksitleri 30/60/90 gün penceresinde otomatik listeler.</t>
        </is>
      </c>
    </row>
    <row r="13" ht="15" customHeight="1" s="50">
      <c r="A13" s="84" t="inlineStr">
        <is>
          <t>5. REFİNANSMAN</t>
        </is>
      </c>
    </row>
    <row r="14" ht="25.5" customHeight="1" s="50">
      <c r="A14" s="81" t="inlineStr">
        <is>
          <t>REFINANSMAN teklifleri taksit rahatlaması ve toplam maliyet üzerinden ADAY/DEĞİL olarak sınıflar.</t>
        </is>
      </c>
    </row>
    <row r="15" ht="15" customHeight="1" s="50">
      <c r="A15" s="84" t="inlineStr">
        <is>
          <t>6. KONTROLLER</t>
        </is>
      </c>
    </row>
    <row r="16" ht="25.5" customHeight="1" s="50">
      <c r="A16" s="81" t="inlineStr">
        <is>
          <t>Veri kalite skoru ve ihlal sayıları; sarı hücreler manuel giriş alanlarıdır.</t>
        </is>
      </c>
    </row>
    <row r="17" ht="15" customHeight="1" s="50">
      <c r="A17" s="84" t="inlineStr">
        <is>
          <t>7. KARAR MOTORU</t>
        </is>
      </c>
    </row>
    <row r="18" ht="25.5" customHeight="1" s="50">
      <c r="A18" s="81" t="inlineStr">
        <is>
          <t>Karar, risk seviyesi ve önerilen aksiyon makine tarafından üretilir.</t>
        </is>
      </c>
    </row>
    <row r="19" ht="15" customHeight="1" s="50">
      <c r="A19" s="84" t="inlineStr">
        <is>
          <t>8. PANO VE RAPOR</t>
        </is>
      </c>
    </row>
    <row r="20" ht="25.5" customHeight="1" s="50">
      <c r="A20" s="81" t="inlineStr">
        <is>
          <t>PANO tek ekranda özeti gösterir; RAPOR yazdırılmaya hazırdır.</t>
        </is>
      </c>
    </row>
    <row r="21" ht="15" customHeight="1" s="50">
      <c r="A21" s="84" t="inlineStr">
        <is>
          <t>9. KORUMA</t>
        </is>
      </c>
    </row>
    <row r="22" ht="25.5" customHeight="1" s="50">
      <c r="A22" s="81" t="inlineStr">
        <is>
          <t>Formül ve başlıklar 1234 şifresiyle korunur; giriş hücreleri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2:BH12"/>
    <mergeCell ref="A20:BH20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2026-09-25T14:12:45Z</dcterms:modified>
  <cp:revision>0</cp:revision>
</cp:coreProperties>
</file>