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8.xml" ContentType="application/vnd.openxmlformats-officedocument.spreadsheetml.comments+xml"/>
  <Override PartName="/xl/worksheets/sheet18.xml" ContentType="application/vnd.openxmlformats-officedocument.spreadsheetml.worksheet+xml"/>
  <Override PartName="/xl/drawings/drawing2.xml" ContentType="application/vnd.openxmlformats-officedocument.drawing+xml"/>
  <Override PartName="/xl/comments/comment9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10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1" autoFilterDateGrouping="1"/>
  </bookViews>
  <sheets>
    <sheet xmlns:r="http://schemas.openxmlformats.org/officeDocument/2006/relationships" name="KILAVUZ" sheetId="1" state="visible" r:id="rId1"/>
    <sheet xmlns:r="http://schemas.openxmlformats.org/officeDocument/2006/relationships" name="00_HAKKINDA_VE_REHBER" sheetId="2" state="visible" r:id="rId2"/>
    <sheet xmlns:r="http://schemas.openxmlformats.org/officeDocument/2006/relationships" name="PANO" sheetId="3" state="visible" r:id="rId3"/>
    <sheet xmlns:r="http://schemas.openxmlformats.org/officeDocument/2006/relationships" name="GİRDİLER" sheetId="4" state="visible" r:id="rId4"/>
    <sheet xmlns:r="http://schemas.openxmlformats.org/officeDocument/2006/relationships" name="BANKALAR" sheetId="5" state="visible" r:id="rId5"/>
    <sheet xmlns:r="http://schemas.openxmlformats.org/officeDocument/2006/relationships" name="LIMITLER" sheetId="6" state="visible" r:id="rId6"/>
    <sheet xmlns:r="http://schemas.openxmlformats.org/officeDocument/2006/relationships" name="KREDILER" sheetId="7" state="visible" r:id="rId7"/>
    <sheet xmlns:r="http://schemas.openxmlformats.org/officeDocument/2006/relationships" name="TAKSIT_PLANI" sheetId="8" state="visible" r:id="rId8"/>
    <sheet xmlns:r="http://schemas.openxmlformats.org/officeDocument/2006/relationships" name="ODEME_TAKVIMI" sheetId="9" state="visible" r:id="rId9"/>
    <sheet xmlns:r="http://schemas.openxmlformats.org/officeDocument/2006/relationships" name="MASRAF_KOMISYON" sheetId="10" state="visible" r:id="rId10"/>
    <sheet xmlns:r="http://schemas.openxmlformats.org/officeDocument/2006/relationships" name="TEMINATLAR" sheetId="11" state="visible" r:id="rId11"/>
    <sheet xmlns:r="http://schemas.openxmlformats.org/officeDocument/2006/relationships" name="YENI_TEKLIFLER" sheetId="12" state="visible" r:id="rId12"/>
    <sheet xmlns:r="http://schemas.openxmlformats.org/officeDocument/2006/relationships" name="REFINANSMAN" sheetId="13" state="visible" r:id="rId13"/>
    <sheet xmlns:r="http://schemas.openxmlformats.org/officeDocument/2006/relationships" name="YÖNETİM_RAPORU" sheetId="14" state="visible" r:id="rId14"/>
    <sheet xmlns:r="http://schemas.openxmlformats.org/officeDocument/2006/relationships" name="RAPOR" sheetId="15" state="visible" r:id="rId15"/>
    <sheet xmlns:r="http://schemas.openxmlformats.org/officeDocument/2006/relationships" name="KARAR_MOTORU" sheetId="16" state="visible" r:id="rId16"/>
    <sheet xmlns:r="http://schemas.openxmlformats.org/officeDocument/2006/relationships" name="MOTOR" sheetId="17" state="visible" r:id="rId17"/>
    <sheet xmlns:r="http://schemas.openxmlformats.org/officeDocument/2006/relationships" name="SENARYO_DUYARLILIK" sheetId="18" state="visible" r:id="rId18"/>
    <sheet xmlns:r="http://schemas.openxmlformats.org/officeDocument/2006/relationships" name="KONTROLLER" sheetId="19" state="visible" r:id="rId19"/>
    <sheet xmlns:r="http://schemas.openxmlformats.org/officeDocument/2006/relationships" name="AYARLAR" sheetId="20" state="visible" r:id="rId20"/>
    <sheet xmlns:r="http://schemas.openxmlformats.org/officeDocument/2006/relationships" name="LISTELER" sheetId="21" state="visible" r:id="rId21"/>
    <sheet xmlns:r="http://schemas.openxmlformats.org/officeDocument/2006/relationships" name="00_BASLANGIC" sheetId="22" state="visible" r:id="rId22"/>
    <sheet xmlns:r="http://schemas.openxmlformats.org/officeDocument/2006/relationships" name="01_YURUTME_CEKIRDEGI" sheetId="23" state="visible" r:id="rId23"/>
    <sheet xmlns:r="http://schemas.openxmlformats.org/officeDocument/2006/relationships" name="02_KONTROL_LISTESI" sheetId="24" state="visible" r:id="rId24"/>
    <sheet xmlns:r="http://schemas.openxmlformats.org/officeDocument/2006/relationships" name="03_GORSEL_TASARIM" sheetId="25" state="visible" r:id="rId25"/>
    <sheet xmlns:r="http://schemas.openxmlformats.org/officeDocument/2006/relationships" name="04_MUHASEBE_THP" sheetId="26" state="visible" r:id="rId26"/>
    <sheet xmlns:r="http://schemas.openxmlformats.org/officeDocument/2006/relationships" name="05_KARAR_SATIS" sheetId="27" state="visible" r:id="rId27"/>
    <sheet xmlns:r="http://schemas.openxmlformats.org/officeDocument/2006/relationships" name="KAPAK" sheetId="28" state="visible" r:id="rId28"/>
    <sheet xmlns:r="http://schemas.openxmlformats.org/officeDocument/2006/relationships" name="HIZLI_BASLANGIC" sheetId="29" state="visible" r:id="rId29"/>
    <sheet xmlns:r="http://schemas.openxmlformats.org/officeDocument/2006/relationships" name="ORNEK_VERI" sheetId="30" state="visible" r:id="rId30"/>
    <sheet xmlns:r="http://schemas.openxmlformats.org/officeDocument/2006/relationships" name="TESTLER" sheetId="31" state="visible" r:id="rId31"/>
    <sheet xmlns:r="http://schemas.openxmlformats.org/officeDocument/2006/relationships" name="AKIS" sheetId="32" state="visible" r:id="rId32"/>
    <sheet xmlns:r="http://schemas.openxmlformats.org/officeDocument/2006/relationships" name="DEGISIKLIK_KAYDI" sheetId="33" state="visible" r:id="rId33"/>
  </sheets>
  <definedNames>
    <definedName name="AylikBorcServisi" hidden="0" function="0" vbProcedure="0">KARAR_MOTORU!$B$6</definedName>
    <definedName name="AylikFaaliyetNakdi" hidden="0" function="0" vbProcedure="0">AYARLAR!$B$15</definedName>
    <definedName name="AySayisi" hidden="0" function="0" vbProcedure="0">AYARLAR!$B$25</definedName>
    <definedName name="DosyaSurumu" hidden="0" function="0" vbProcedure="0">AYARLAR!$B$8</definedName>
    <definedName name="DovizGeliriEsigi" hidden="0" function="0" vbProcedure="0">AYARLAR!$B$19</definedName>
    <definedName name="DuyarliOran" hidden="0" function="0" vbProcedure="0">AYARLAR!$B$24</definedName>
    <definedName name="FirmaUnvan" hidden="0" function="0" vbProcedure="0">AYARLAR!$B$5</definedName>
    <definedName name="KaldiracEsigi" hidden="0" function="0" vbProcedure="0">AYARLAR!$B$20</definedName>
    <definedName name="KararBildirimi" hidden="0" function="0" vbProcedure="0">KARAR_MOTORU!$B$15</definedName>
    <definedName name="LikiditeEsigi" hidden="0" function="0" vbProcedure="0">AYARLAR!$B$18</definedName>
    <definedName name="ListeBankaDurum" hidden="0" function="0" vbProcedure="0">LISTELER!$A$6:$A$8</definedName>
    <definedName name="ListeKrediId" hidden="0" function="0" vbProcedure="0">LISTELER!$M$6:$M$9</definedName>
    <definedName name="ListeMasrafTuru" hidden="0" function="0" vbProcedure="0">LISTELER!$I$6:$I$9</definedName>
    <definedName name="ListeOdemeDurumu" hidden="0" function="0" vbProcedure="0">LISTELER!$G$6:$G$8</definedName>
    <definedName name="ListeParaBirimi" hidden="0" function="0" vbProcedure="0">LISTELER!$E$6:$E$8</definedName>
    <definedName name="ListeTeminatTuru" hidden="0" function="0" vbProcedure="0">LISTELER!$K$6:$K$9</definedName>
    <definedName name="ListeUrunTuru" hidden="0" function="0" vbProcedure="0">LISTELER!$C$6:$C$11</definedName>
    <definedName name="modulI1OdemeTahmini" hidden="0" function="0" vbProcedure="0">MOTOR!$B$45</definedName>
    <definedName name="modulI1OdemeTahminiYorum" hidden="0" function="0" vbProcedure="0">MOTOR!$C$45</definedName>
    <definedName name="modulI2OdemeP90" hidden="0" function="0" vbProcedure="0">MOTOR!$B$46</definedName>
    <definedName name="modulI2OdemeP90Yorum" hidden="0" function="0" vbProcedure="0">MOTOR!$C$46</definedName>
    <definedName name="modulI3XirrRefinansman" hidden="0" function="0" vbProcedure="0">MOTOR!$B$47</definedName>
    <definedName name="modulI3XirrRefinansmanYorum" hidden="0" function="0" vbProcedure="0">MOTOR!$C$47</definedName>
    <definedName name="modulI7NakitAcigi" hidden="0" function="0" vbProcedure="0">MOTOR!$B$48</definedName>
    <definedName name="modulI7NakitAcigiYorum" hidden="0" function="0" vbProcedure="0">MOTOR!$C$48</definedName>
    <definedName name="modulO1AnomaliOdeme" hidden="0" function="0" vbProcedure="0">MOTOR!$B$39</definedName>
    <definedName name="modulO1AnomaliOdemeYorum" hidden="0" function="0" vbProcedure="0">MOTOR!$C$39</definedName>
    <definedName name="modulO2TornadoZirve" hidden="0" function="0" vbProcedure="0">MOTOR!$B$40</definedName>
    <definedName name="modulO2TornadoZirveYorum" hidden="0" function="0" vbProcedure="0">MOTOR!$C$40</definedName>
    <definedName name="modulO3SenaryoFark" hidden="0" function="0" vbProcedure="0">MOTOR!$B$41</definedName>
    <definedName name="modulO3SenaryoFarkYorum" hidden="0" function="0" vbProcedure="0">MOTOR!$C$41</definedName>
    <definedName name="modulO4Dscr" hidden="0" function="0" vbProcedure="0">MOTOR!$B$42</definedName>
    <definedName name="modulO4DscrYorum" hidden="0" function="0" vbProcedure="0">MOTOR!$C$42</definedName>
    <definedName name="modulO6BankaHhi" hidden="0" function="0" vbProcedure="0">MOTOR!$B$43</definedName>
    <definedName name="modulO6BankaHhiYorum" hidden="0" function="0" vbProcedure="0">MOTOR!$C$43</definedName>
    <definedName name="modulO8KaliteSkor" hidden="0" function="0" vbProcedure="0">MOTOR!$B$44</definedName>
    <definedName name="modulO8KaliteSkorYorum" hidden="0" function="0" vbProcedure="0">MOTOR!$C$44</definedName>
    <definedName name="modulT1VadeGecmis" hidden="0" function="0" vbProcedure="0">MOTOR!$B$33</definedName>
    <definedName name="modulT1VadeGecmisYorum" hidden="0" function="0" vbProcedure="0">MOTOR!$C$33</definedName>
    <definedName name="modulT2OdemeEgimi" hidden="0" function="0" vbProcedure="0">MOTOR!$B$34</definedName>
    <definedName name="modulT2OdemeEgimiYorum" hidden="0" function="0" vbProcedure="0">MOTOR!$C$34</definedName>
    <definedName name="modulT3BorctaPareto" hidden="0" function="0" vbProcedure="0">MOTOR!$B$35</definedName>
    <definedName name="modulT3BorctaParetoYorum" hidden="0" function="0" vbProcedure="0">MOTOR!$C$35</definedName>
    <definedName name="modulT4AyFarki" hidden="0" function="0" vbProcedure="0">MOTOR!$B$36</definedName>
    <definedName name="modulT4AyFarkiYorum" hidden="0" function="0" vbProcedure="0">MOTOR!$C$36</definedName>
    <definedName name="modulT5MutabakatFark" hidden="0" function="0" vbProcedure="0">MOTOR!$B$37</definedName>
    <definedName name="modulT5MutabakatFarkYorum" hidden="0" function="0" vbProcedure="0">MOTOR!$C$37</definedName>
    <definedName name="modulT6KaldiracOran" hidden="0" function="0" vbProcedure="0">MOTOR!$B$38</definedName>
    <definedName name="modulT6KaldiracOranYorum" hidden="0" function="0" vbProcedure="0">MOTOR!$C$38</definedName>
    <definedName name="RaporHazirlayan" hidden="0" function="0" vbProcedure="0">AYARLAR!$B$7</definedName>
    <definedName name="RaporTarihi" hidden="0" function="0" vbProcedure="0">AYARLAR!$B$6</definedName>
    <definedName name="RiskSeviyesi" hidden="0" function="0" vbProcedure="0">KARAR_MOTORU!$B$16</definedName>
    <definedName name="SerbestNakit" hidden="0" function="0" vbProcedure="0">AYARLAR!$B$14</definedName>
    <definedName name="ToplamFinansalBorc" hidden="0" function="0" vbProcedure="0">KARAR_MOTORU!$B$5</definedName>
    <definedName name="UyariPuanKesintisi" hidden="0" function="0" vbProcedure="0">AYARLAR!$B$23</definedName>
    <definedName name="VeriKaliteOrta" hidden="0" function="0" vbProcedure="0">AYARLAR!$B$22</definedName>
    <definedName name="VeriKaliteSkor" hidden="0" function="0" vbProcedure="0">KONTROLLER!$B$6</definedName>
    <definedName name="VeriKaliteYuksek" hidden="0" function="0" vbProcedure="0">AYARLAR!$B$21</definedName>
    <definedName name="YillikDovizGeliri" hidden="0" function="0" vbProcedure="0">AYARLAR!$B$17</definedName>
    <definedName name="YillikFaaliyetKari" hidden="0" function="0" vbProcedure="0">AYARLAR!$B$16</definedName>
    <definedName name="_xlnm.Print_Area" localSheetId="14">'RAPOR'!$A$1:$H$30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&quot;₺ &quot;#,##0;[RED]&quot;(₺ &quot;#,##0\);\-"/>
    <numFmt numFmtId="165" formatCode="0.0%;[RED]\(0.0%\);\-"/>
    <numFmt numFmtId="166" formatCode="dd/mm/yyyy"/>
    <numFmt numFmtId="167" formatCode="#,##0 &quot;TL&quot;"/>
    <numFmt numFmtId="168" formatCode="0.0%"/>
    <numFmt numFmtId="169" formatCode="₺#,##0"/>
    <numFmt numFmtId="170" formatCode="0.00&quot;x&quot;"/>
  </numFmts>
  <fonts count="1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0B1F3A"/>
      <sz val="26"/>
    </font>
    <font>
      <name val="Segoe UI"/>
      <charset val="1"/>
      <family val="0"/>
      <color rgb="FF1F4E79"/>
      <sz val="12"/>
    </font>
    <font>
      <name val="Segoe UI"/>
      <charset val="1"/>
      <family val="0"/>
      <b val="1"/>
      <color rgb="FFB08948"/>
      <sz val="11"/>
    </font>
    <font>
      <name val="Segoe UI"/>
      <charset val="1"/>
      <family val="0"/>
      <color rgb="FF000000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B1F3A"/>
      <sz val="16"/>
    </font>
    <font>
      <name val="Segoe UI"/>
      <charset val="1"/>
      <family val="0"/>
      <b val="1"/>
      <color rgb="FFB08948"/>
      <sz val="10"/>
    </font>
    <font>
      <name val="Segoe UI"/>
      <charset val="1"/>
      <family val="0"/>
      <color rgb="FF1F4E79"/>
      <sz val="11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1F4E79"/>
      <sz val="10"/>
    </font>
    <font>
      <name val="Segoe UI"/>
      <charset val="1"/>
      <family val="0"/>
      <color rgb="FF006100"/>
      <sz val="10"/>
    </font>
    <font>
      <name val="Arial"/>
      <family val="2"/>
      <sz val="10"/>
    </font>
    <font>
      <name val="Segoe UI"/>
      <charset val="1"/>
      <family val="0"/>
      <b val="1"/>
      <color rgb="FF0B1F3A"/>
      <sz val="12"/>
    </font>
    <font>
      <name val="Segoe UI"/>
      <charset val="1"/>
      <family val="0"/>
      <b val="1"/>
      <color rgb="FF000000"/>
      <sz val="10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b val="1"/>
      <color rgb="FF000000"/>
      <sz val="11"/>
    </font>
    <font>
      <name val="Segoe UI"/>
      <charset val="1"/>
      <family val="0"/>
      <color rgb="FF1F4E79"/>
      <sz val="9"/>
    </font>
    <font>
      <name val="Segoe UI"/>
      <charset val="1"/>
      <family val="0"/>
      <b val="1"/>
      <color rgb="FF0B1F3A"/>
      <sz val="14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Segoe UI"/>
      <charset val="1"/>
      <family val="0"/>
      <i val="1"/>
      <color rgb="FF000000"/>
      <sz val="8"/>
    </font>
    <font>
      <name val="Segoe UI"/>
      <charset val="1"/>
      <family val="0"/>
      <b val="1"/>
      <color rgb="FF000000"/>
      <sz val="9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0F172A"/>
      <sz val="22"/>
    </font>
    <font>
      <name val="Segoe UI"/>
      <b val="1"/>
      <color rgb="00475569"/>
      <sz val="11"/>
    </font>
    <font>
      <name val="Segoe UI"/>
      <i val="1"/>
      <color rgb="0064748B"/>
      <sz val="9.5"/>
    </font>
    <font>
      <name val="Segoe UI"/>
      <color rgb="00475569"/>
      <sz val="9"/>
    </font>
    <font>
      <name val="Montserrat"/>
      <b val="1"/>
      <color rgb="000F172A"/>
      <sz val="16"/>
    </font>
    <font>
      <name val="Segoe UI"/>
      <b val="1"/>
      <color rgb="00B91C1C"/>
      <sz val="18"/>
    </font>
    <font>
      <name val="Segoe UI"/>
      <b val="1"/>
      <color rgb="001D4ED8"/>
      <sz val="18"/>
    </font>
    <font>
      <name val="Segoe UI"/>
      <b val="1"/>
      <color rgb="00065F46"/>
      <sz val="18"/>
    </font>
    <font>
      <name val="Segoe UI"/>
      <color rgb="0064748B"/>
      <sz val="7.5"/>
    </font>
    <font>
      <name val="Segoe UI"/>
      <b val="1"/>
      <color rgb="0060A5FA"/>
      <sz val="11"/>
    </font>
    <font>
      <name val="Montserrat"/>
      <b val="1"/>
      <color rgb="000F172A"/>
      <sz val="13"/>
    </font>
    <font>
      <name val="Segoe UI"/>
      <b val="1"/>
      <color rgb="00FFFFFF"/>
      <sz val="9.5"/>
    </font>
    <font>
      <name val="Segoe UI"/>
      <color rgb="000F172A"/>
      <sz val="9"/>
    </font>
    <font>
      <name val="Montserrat"/>
      <b val="1"/>
      <color rgb="000F172A"/>
      <sz val="15"/>
    </font>
    <font>
      <name val="Segoe UI"/>
      <b val="1"/>
      <color rgb="001D4ED8"/>
      <sz val="9.5"/>
    </font>
    <font>
      <name val="Segoe UI"/>
      <color rgb="00334155"/>
      <sz val="8.5"/>
    </font>
    <font>
      <name val="Segoe UI"/>
      <i val="1"/>
      <color rgb="0064748B"/>
      <sz val="8.5"/>
    </font>
    <font>
      <name val="Montserrat"/>
      <b val="1"/>
      <color rgb="000F172A"/>
      <sz val="11"/>
    </font>
    <font>
      <name val="Segoe UI"/>
      <b val="1"/>
      <color rgb="000F172A"/>
      <sz val="8.5"/>
    </font>
    <font>
      <name val="Montserrat"/>
      <b val="1"/>
      <color rgb="001F2937"/>
      <sz val="24"/>
    </font>
    <font>
      <name val="Segoe UI"/>
      <b val="1"/>
      <color rgb="004B5563"/>
      <sz val="11"/>
    </font>
    <font>
      <name val="Segoe UI"/>
      <i val="1"/>
      <color rgb="006B7280"/>
      <sz val="9.5"/>
    </font>
    <font>
      <name val="Neue Haas Grotesk Text Proalibr"/>
      <b val="1"/>
      <color rgb="00000000"/>
      <sz val="11"/>
    </font>
    <font>
      <name val="Century Gothic"/>
      <color rgb="00333333"/>
      <sz val="10"/>
    </font>
    <font>
      <name val="Montserrat"/>
      <b val="1"/>
      <color rgb="001F2937"/>
      <sz val="12"/>
    </font>
    <font>
      <name val="Segoe UI"/>
      <color rgb="00475569"/>
      <sz val="8.5"/>
    </font>
    <font>
      <name val="Montserrat"/>
      <b val="1"/>
      <color rgb="000F172A"/>
      <sz val="18"/>
    </font>
    <font>
      <name val="Segoe UI"/>
      <i val="1"/>
      <color rgb="00475569"/>
      <sz val="10"/>
    </font>
    <font>
      <name val="Montserrat"/>
      <b val="1"/>
      <color rgb="001E3A8A"/>
      <sz val="12"/>
    </font>
    <font>
      <name val="Segoe UI"/>
      <b val="1"/>
      <color rgb="000F172A"/>
      <sz val="9.5"/>
    </font>
    <font>
      <name val="Segoe UI"/>
      <color rgb="00334155"/>
      <sz val="9"/>
    </font>
    <font>
      <name val="Segoe UI"/>
      <b val="1"/>
      <color rgb="00059669"/>
      <sz val="9"/>
    </font>
    <font>
      <name val="Segoe UI"/>
      <color rgb="002563EB"/>
      <sz val="9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38">
    <fill>
      <patternFill/>
    </fill>
    <fill>
      <patternFill patternType="gray125"/>
    </fill>
    <fill>
      <patternFill patternType="solid">
        <fgColor rgb="000B1F3A"/>
        <bgColor rgb="FF003300"/>
      </patternFill>
    </fill>
    <fill>
      <patternFill patternType="solid">
        <fgColor rgb="001F4E79"/>
        <bgColor rgb="FF333333"/>
      </patternFill>
    </fill>
    <fill>
      <patternFill patternType="solid">
        <fgColor rgb="FFFFF2CC"/>
        <bgColor rgb="FFFDE7E9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FFFDE7E9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F1F5F9"/>
        <bgColor rgb="00F1F5F9"/>
      </patternFill>
    </fill>
    <fill>
      <patternFill patternType="solid">
        <fgColor rgb="00F2F2F2"/>
        <bgColor rgb="00F2F2F2"/>
      </patternFill>
    </fill>
    <fill>
      <patternFill patternType="solid">
        <fgColor rgb="001B365D"/>
        <bgColor rgb="001B365D"/>
      </patternFill>
    </fill>
    <fill>
      <patternFill patternType="solid">
        <fgColor rgb="001E3A8A"/>
        <bgColor rgb="001E3A8A"/>
      </patternFill>
    </fill>
  </fills>
  <borders count="65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  <border>
      <left style="thin">
        <color rgb="00E2E8F0"/>
      </left>
      <right/>
      <top/>
      <bottom/>
      <diagonal/>
    </border>
    <border>
      <left/>
      <right style="thin">
        <color rgb="00E2E8F0"/>
      </right>
      <top/>
      <bottom/>
      <diagonal/>
    </border>
    <border>
      <left style="thin">
        <color rgb="00E2E8F0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bottom style="thin">
        <color rgb="00CCCCCC"/>
      </bottom>
    </border>
    <border>
      <left style="thin">
        <color rgb="000F172A"/>
      </left>
      <right style="thin">
        <color rgb="000F172A"/>
      </right>
      <top style="thin">
        <color rgb="000F172A"/>
      </top>
      <bottom style="thin">
        <color rgb="000F172A"/>
      </bottom>
    </border>
    <border>
      <left/>
      <right/>
      <top style="thin">
        <color rgb="000F172A"/>
      </top>
      <bottom/>
      <diagonal/>
    </border>
    <border>
      <left/>
      <right style="thin">
        <color rgb="000F172A"/>
      </right>
      <top style="thin">
        <color rgb="000F172A"/>
      </top>
      <bottom/>
      <diagonal/>
    </border>
    <border>
      <left/>
      <right/>
      <top style="thin">
        <color rgb="000F172A"/>
      </top>
      <bottom style="thin">
        <color rgb="000F172A"/>
      </bottom>
      <diagonal/>
    </border>
    <border>
      <left/>
      <right style="thin">
        <color rgb="000F172A"/>
      </right>
      <top style="thin">
        <color rgb="000F172A"/>
      </top>
      <bottom style="thin">
        <color rgb="000F172A"/>
      </bottom>
      <diagonal/>
    </border>
    <border>
      <left style="medium">
        <color rgb="001E3A8A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 style="medium">
        <color rgb="001E3A8A"/>
      </left>
      <right/>
      <top/>
      <bottom/>
    </border>
    <border>
      <left/>
      <right/>
      <top/>
      <bottom/>
    </border>
    <border>
      <left/>
      <right style="thin">
        <color rgb="00E2E8F0"/>
      </right>
      <top/>
      <bottom/>
    </border>
    <border>
      <left style="medium">
        <color rgb="001E3A8A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 style="thin">
        <color rgb="00E2E8F0"/>
      </left>
      <right/>
      <top style="thin">
        <color rgb="00E2E8F0"/>
      </top>
      <bottom/>
    </border>
    <border>
      <left style="thin">
        <color rgb="00E2E8F0"/>
      </left>
      <right/>
      <top/>
      <bottom/>
    </border>
    <border>
      <left style="thin">
        <color rgb="00E2E8F0"/>
      </left>
      <right/>
      <top/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3" borderId="0" applyAlignment="1" pivotButton="0" quotePrefix="0" xfId="0">
      <alignment horizontal="center" vertical="center" wrapText="1"/>
    </xf>
    <xf numFmtId="0" fontId="14" fillId="4" borderId="0" applyAlignment="1" applyProtection="1" pivotButton="0" quotePrefix="0" xfId="0">
      <alignment horizontal="left" vertical="center"/>
      <protection locked="0" hidden="0"/>
    </xf>
    <xf numFmtId="3" fontId="14" fillId="4" borderId="0" applyAlignment="1" applyProtection="1" pivotButton="0" quotePrefix="0" xfId="0">
      <alignment horizontal="left" vertical="center"/>
      <protection locked="0" hidden="0"/>
    </xf>
    <xf numFmtId="0" fontId="15" fillId="0" borderId="0" applyAlignment="1" pivotButton="0" quotePrefix="0" xfId="0">
      <alignment horizontal="center" vertical="center"/>
    </xf>
    <xf numFmtId="0" fontId="0" fillId="4" borderId="0" applyAlignment="1" applyProtection="1" pivotButton="0" quotePrefix="0" xfId="0">
      <alignment horizontal="general" vertical="bottom"/>
      <protection locked="0" hidden="0"/>
    </xf>
    <xf numFmtId="164" fontId="14" fillId="4" borderId="0" applyAlignment="1" applyProtection="1" pivotButton="0" quotePrefix="0" xfId="0">
      <alignment horizontal="left" vertical="center"/>
      <protection locked="0" hidden="0"/>
    </xf>
    <xf numFmtId="164" fontId="15" fillId="0" borderId="0" applyAlignment="1" pivotButton="0" quotePrefix="0" xfId="0">
      <alignment horizontal="center" vertical="center"/>
    </xf>
    <xf numFmtId="165" fontId="15" fillId="0" borderId="0" applyAlignment="1" pivotButton="0" quotePrefix="0" xfId="0">
      <alignment horizontal="center" vertical="center"/>
    </xf>
    <xf numFmtId="166" fontId="14" fillId="4" borderId="0" applyAlignment="1" applyProtection="1" pivotButton="0" quotePrefix="0" xfId="0">
      <alignment horizontal="left" vertical="center"/>
      <protection locked="0" hidden="0"/>
    </xf>
    <xf numFmtId="165" fontId="14" fillId="4" borderId="0" applyAlignment="1" applyProtection="1" pivotButton="0" quotePrefix="0" xfId="0">
      <alignment horizontal="left" vertical="center"/>
      <protection locked="0" hidden="0"/>
    </xf>
    <xf numFmtId="166" fontId="15" fillId="0" borderId="0" applyAlignment="1" pivotButton="0" quotePrefix="0" xfId="0">
      <alignment horizontal="center" vertical="center"/>
    </xf>
    <xf numFmtId="3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left" vertical="center" indent="1"/>
    </xf>
    <xf numFmtId="0" fontId="20" fillId="6" borderId="0" applyAlignment="1" pivotButton="0" quotePrefix="0" xfId="0">
      <alignment horizontal="left" vertical="center"/>
    </xf>
    <xf numFmtId="0" fontId="18" fillId="6" borderId="0" applyAlignment="1" pivotButton="0" quotePrefix="0" xfId="0">
      <alignment horizontal="left" vertical="center"/>
    </xf>
    <xf numFmtId="3" fontId="15" fillId="0" borderId="0" applyAlignment="1" pivotButton="0" quotePrefix="0" xfId="0">
      <alignment horizontal="left" vertical="center"/>
    </xf>
    <xf numFmtId="164" fontId="15" fillId="0" borderId="0" applyAlignment="1" pivotButton="0" quotePrefix="0" xfId="0">
      <alignment horizontal="left" vertical="center"/>
    </xf>
    <xf numFmtId="165" fontId="15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164" fontId="19" fillId="0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5" fontId="14" fillId="4" borderId="0" applyAlignment="1" applyProtection="1" pivotButton="0" quotePrefix="0" xfId="0">
      <alignment horizontal="center" vertical="center"/>
      <protection locked="0" hidden="0"/>
    </xf>
    <xf numFmtId="166" fontId="19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/>
    </xf>
    <xf numFmtId="49" fontId="14" fillId="4" borderId="0" applyAlignment="1" applyProtection="1" pivotButton="0" quotePrefix="0" xfId="0">
      <alignment horizontal="left" vertical="center"/>
      <protection locked="0" hidden="0"/>
    </xf>
    <xf numFmtId="0" fontId="26" fillId="6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8" fillId="7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36" fillId="0" borderId="0" pivotButton="0" quotePrefix="0" xfId="0"/>
    <xf numFmtId="0" fontId="31" fillId="0" borderId="0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0" fontId="36" fillId="8" borderId="0" applyAlignment="1" pivotButton="0" quotePrefix="0" xfId="0">
      <alignment horizontal="center" vertical="center" wrapText="1"/>
    </xf>
    <xf numFmtId="0" fontId="32" fillId="0" borderId="0" pivotButton="0" quotePrefix="0" xfId="0"/>
    <xf numFmtId="0" fontId="33" fillId="0" borderId="0" pivotButton="0" quotePrefix="0" xfId="0"/>
    <xf numFmtId="0" fontId="35" fillId="0" borderId="0" pivotButton="0" quotePrefix="0" xfId="0"/>
    <xf numFmtId="0" fontId="37" fillId="0" borderId="0" pivotButton="0" quotePrefix="0" xfId="0"/>
    <xf numFmtId="0" fontId="38" fillId="7" borderId="0" applyAlignment="1" pivotButton="0" quotePrefix="0" xfId="0">
      <alignment horizontal="center" vertical="center"/>
    </xf>
    <xf numFmtId="0" fontId="39" fillId="0" borderId="0" pivotButton="0" quotePrefix="0" xfId="0"/>
    <xf numFmtId="167" fontId="39" fillId="0" borderId="0" pivotButton="0" quotePrefix="0" xfId="0"/>
    <xf numFmtId="167" fontId="40" fillId="0" borderId="0" pivotButton="0" quotePrefix="0" xfId="0"/>
    <xf numFmtId="168" fontId="39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3" fillId="7" borderId="0" applyAlignment="1" pivotButton="0" quotePrefix="0" xfId="0">
      <alignment horizontal="center" vertical="center"/>
    </xf>
    <xf numFmtId="0" fontId="38" fillId="7" borderId="0" applyAlignment="1" pivotButton="0" quotePrefix="0" xfId="0">
      <alignment horizontal="center"/>
    </xf>
    <xf numFmtId="0" fontId="40" fillId="0" borderId="0" pivotButton="0" quotePrefix="0" xfId="0"/>
    <xf numFmtId="0" fontId="44" fillId="9" borderId="1" pivotButton="0" quotePrefix="0" xfId="0"/>
    <xf numFmtId="0" fontId="45" fillId="0" borderId="0" pivotButton="0" quotePrefix="0" xfId="0"/>
    <xf numFmtId="0" fontId="46" fillId="0" borderId="0" pivotButton="0" quotePrefix="0" xfId="0"/>
    <xf numFmtId="0" fontId="39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3" borderId="0" applyAlignment="1" pivotButton="0" quotePrefix="0" xfId="0">
      <alignment horizontal="center" vertical="center" wrapText="1"/>
    </xf>
    <xf numFmtId="0" fontId="14" fillId="4" borderId="0" applyAlignment="1" applyProtection="1" pivotButton="0" quotePrefix="0" xfId="0">
      <alignment horizontal="left" vertical="center"/>
      <protection locked="0" hidden="0"/>
    </xf>
    <xf numFmtId="3" fontId="14" fillId="4" borderId="0" applyAlignment="1" applyProtection="1" pivotButton="0" quotePrefix="0" xfId="0">
      <alignment horizontal="left" vertical="center"/>
      <protection locked="0" hidden="0"/>
    </xf>
    <xf numFmtId="0" fontId="15" fillId="0" borderId="0" applyAlignment="1" pivotButton="0" quotePrefix="0" xfId="0">
      <alignment horizontal="center" vertical="center"/>
    </xf>
    <xf numFmtId="0" fontId="0" fillId="4" borderId="0" applyAlignment="1" applyProtection="1" pivotButton="0" quotePrefix="0" xfId="0">
      <alignment horizontal="general" vertical="bottom"/>
      <protection locked="0" hidden="0"/>
    </xf>
    <xf numFmtId="164" fontId="14" fillId="4" borderId="0" applyAlignment="1" applyProtection="1" pivotButton="0" quotePrefix="0" xfId="0">
      <alignment horizontal="left" vertical="center"/>
      <protection locked="0" hidden="0"/>
    </xf>
    <xf numFmtId="164" fontId="15" fillId="0" borderId="0" applyAlignment="1" pivotButton="0" quotePrefix="0" xfId="0">
      <alignment horizontal="center" vertical="center"/>
    </xf>
    <xf numFmtId="165" fontId="15" fillId="0" borderId="0" applyAlignment="1" pivotButton="0" quotePrefix="0" xfId="0">
      <alignment horizontal="center" vertical="center"/>
    </xf>
    <xf numFmtId="166" fontId="14" fillId="4" borderId="0" applyAlignment="1" applyProtection="1" pivotButton="0" quotePrefix="0" xfId="0">
      <alignment horizontal="left" vertical="center"/>
      <protection locked="0" hidden="0"/>
    </xf>
    <xf numFmtId="165" fontId="14" fillId="4" borderId="0" applyAlignment="1" applyProtection="1" pivotButton="0" quotePrefix="0" xfId="0">
      <alignment horizontal="left" vertical="center"/>
      <protection locked="0" hidden="0"/>
    </xf>
    <xf numFmtId="166" fontId="15" fillId="0" borderId="0" applyAlignment="1" pivotButton="0" quotePrefix="0" xfId="0">
      <alignment horizontal="center" vertical="center"/>
    </xf>
    <xf numFmtId="3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left" vertical="center" indent="1"/>
    </xf>
    <xf numFmtId="0" fontId="20" fillId="6" borderId="0" applyAlignment="1" pivotButton="0" quotePrefix="0" xfId="0">
      <alignment horizontal="left" vertical="center"/>
    </xf>
    <xf numFmtId="0" fontId="18" fillId="6" borderId="0" applyAlignment="1" pivotButton="0" quotePrefix="0" xfId="0">
      <alignment horizontal="left" vertical="center"/>
    </xf>
    <xf numFmtId="3" fontId="15" fillId="0" borderId="0" applyAlignment="1" pivotButton="0" quotePrefix="0" xfId="0">
      <alignment horizontal="left" vertical="center"/>
    </xf>
    <xf numFmtId="164" fontId="15" fillId="0" borderId="0" applyAlignment="1" pivotButton="0" quotePrefix="0" xfId="0">
      <alignment horizontal="left" vertical="center"/>
    </xf>
    <xf numFmtId="165" fontId="15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164" fontId="19" fillId="0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5" fontId="14" fillId="4" borderId="0" applyAlignment="1" applyProtection="1" pivotButton="0" quotePrefix="0" xfId="0">
      <alignment horizontal="center" vertical="center"/>
      <protection locked="0" hidden="0"/>
    </xf>
    <xf numFmtId="166" fontId="19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/>
    </xf>
    <xf numFmtId="49" fontId="14" fillId="4" borderId="0" applyAlignment="1" applyProtection="1" pivotButton="0" quotePrefix="0" xfId="0">
      <alignment horizontal="left" vertical="center"/>
      <protection locked="0" hidden="0"/>
    </xf>
    <xf numFmtId="0" fontId="26" fillId="6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47" fillId="0" borderId="0" pivotButton="0" quotePrefix="0" xfId="0"/>
    <xf numFmtId="0" fontId="48" fillId="0" borderId="1" applyAlignment="1" pivotButton="0" quotePrefix="0" xfId="0">
      <alignment horizontal="center" vertical="center"/>
    </xf>
    <xf numFmtId="0" fontId="38" fillId="10" borderId="0" applyAlignment="1" pivotButton="0" quotePrefix="0" xfId="0">
      <alignment horizontal="center" vertical="center"/>
    </xf>
    <xf numFmtId="0" fontId="29" fillId="0" borderId="0" pivotButton="0" quotePrefix="0" xfId="0"/>
    <xf numFmtId="0" fontId="35" fillId="0" borderId="2" pivotButton="0" quotePrefix="0" xfId="0"/>
    <xf numFmtId="0" fontId="0" fillId="0" borderId="1" pivotButton="0" quotePrefix="0" xfId="0"/>
    <xf numFmtId="0" fontId="49" fillId="11" borderId="1" applyAlignment="1" pivotButton="0" quotePrefix="0" xfId="0">
      <alignment horizontal="center"/>
    </xf>
    <xf numFmtId="0" fontId="35" fillId="0" borderId="3" pivotButton="0" quotePrefix="0" xfId="0"/>
    <xf numFmtId="0" fontId="51" fillId="12" borderId="1" applyAlignment="1" pivotButton="0" quotePrefix="0" xfId="0">
      <alignment horizontal="center"/>
    </xf>
    <xf numFmtId="0" fontId="50" fillId="13" borderId="1" applyAlignment="1" pivotButton="0" quotePrefix="0" xfId="0">
      <alignment horizontal="center"/>
    </xf>
    <xf numFmtId="0" fontId="35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1" fillId="0" borderId="2" pivotButton="0" quotePrefix="0" xfId="0"/>
    <xf numFmtId="0" fontId="52" fillId="0" borderId="3" pivotButton="0" quotePrefix="0" xfId="0"/>
    <xf numFmtId="0" fontId="53" fillId="0" borderId="4" pivotButton="0" quotePrefix="0" xfId="0"/>
    <xf numFmtId="0" fontId="50" fillId="0" borderId="2" pivotButton="0" quotePrefix="0" xfId="0"/>
    <xf numFmtId="0" fontId="45" fillId="0" borderId="3" pivotButton="0" quotePrefix="0" xfId="0"/>
    <xf numFmtId="0" fontId="50" fillId="0" borderId="4" pivotButton="0" quotePrefix="0" xfId="0"/>
    <xf numFmtId="0" fontId="54" fillId="14" borderId="0" applyAlignment="1" pivotButton="0" quotePrefix="0" xfId="0">
      <alignment horizontal="center"/>
    </xf>
    <xf numFmtId="0" fontId="55" fillId="0" borderId="0" pivotButton="0" quotePrefix="0" xfId="0"/>
    <xf numFmtId="0" fontId="54" fillId="15" borderId="0" applyAlignment="1" pivotButton="0" quotePrefix="0" xfId="0">
      <alignment horizontal="center" vertical="center"/>
    </xf>
    <xf numFmtId="0" fontId="55" fillId="0" borderId="1" pivotButton="0" quotePrefix="0" xfId="0"/>
    <xf numFmtId="0" fontId="56" fillId="0" borderId="1" pivotButton="0" quotePrefix="0" xfId="0"/>
    <xf numFmtId="0" fontId="57" fillId="0" borderId="1" pivotButton="0" quotePrefix="0" xfId="0"/>
    <xf numFmtId="0" fontId="58" fillId="16" borderId="1" applyAlignment="1" pivotButton="0" quotePrefix="0" xfId="0">
      <alignment horizontal="center"/>
    </xf>
    <xf numFmtId="0" fontId="54" fillId="7" borderId="0" pivotButton="0" quotePrefix="0" xfId="0"/>
    <xf numFmtId="0" fontId="59" fillId="7" borderId="0" pivotButton="0" quotePrefix="0" xfId="0"/>
    <xf numFmtId="0" fontId="60" fillId="7" borderId="0" pivotButton="0" quotePrefix="0" xfId="0"/>
    <xf numFmtId="0" fontId="0" fillId="7" borderId="0" pivotButton="0" quotePrefix="0" xfId="0"/>
    <xf numFmtId="0" fontId="32" fillId="7" borderId="0" applyAlignment="1" pivotButton="0" quotePrefix="0" xfId="0">
      <alignment horizontal="center"/>
    </xf>
    <xf numFmtId="0" fontId="48" fillId="0" borderId="0" pivotButton="0" quotePrefix="0" xfId="0"/>
    <xf numFmtId="0" fontId="63" fillId="17" borderId="0" pivotButton="0" quotePrefix="0" xfId="0"/>
    <xf numFmtId="0" fontId="0" fillId="17" borderId="0" pivotButton="0" quotePrefix="0" xfId="0"/>
    <xf numFmtId="0" fontId="50" fillId="0" borderId="0" pivotButton="0" quotePrefix="0" xfId="0"/>
    <xf numFmtId="0" fontId="38" fillId="17" borderId="0" pivotButton="0" quotePrefix="0" xfId="0"/>
    <xf numFmtId="0" fontId="64" fillId="17" borderId="0" applyAlignment="1" pivotButton="0" quotePrefix="0" xfId="0">
      <alignment wrapText="1"/>
    </xf>
    <xf numFmtId="0" fontId="61" fillId="0" borderId="0" pivotButton="0" quotePrefix="0" xfId="0"/>
    <xf numFmtId="0" fontId="62" fillId="0" borderId="0" pivotButton="0" quotePrefix="0" xfId="0"/>
    <xf numFmtId="0" fontId="50" fillId="13" borderId="5" applyAlignment="1" pivotButton="0" quotePrefix="0" xfId="0">
      <alignment horizontal="center" vertical="center"/>
    </xf>
    <xf numFmtId="0" fontId="65" fillId="18" borderId="0" applyAlignment="1" pivotButton="0" quotePrefix="0" xfId="0">
      <alignment horizontal="center" vertical="center"/>
    </xf>
    <xf numFmtId="0" fontId="29" fillId="19" borderId="1" applyAlignment="1" pivotButton="0" quotePrefix="0" xfId="0">
      <alignment vertical="center"/>
    </xf>
    <xf numFmtId="0" fontId="49" fillId="11" borderId="0" applyAlignment="1" pivotButton="0" quotePrefix="0" xfId="0">
      <alignment horizontal="center" vertical="center"/>
    </xf>
    <xf numFmtId="0" fontId="50" fillId="13" borderId="0" applyAlignment="1" pivotButton="0" quotePrefix="0" xfId="0">
      <alignment horizontal="center" vertical="center"/>
    </xf>
    <xf numFmtId="0" fontId="66" fillId="7" borderId="0" applyAlignment="1" pivotButton="0" quotePrefix="0" xfId="0">
      <alignment horizontal="center" vertical="center"/>
    </xf>
    <xf numFmtId="0" fontId="67" fillId="19" borderId="1" applyAlignment="1" pivotButton="0" quotePrefix="0" xfId="0">
      <alignment horizontal="center"/>
    </xf>
    <xf numFmtId="0" fontId="68" fillId="19" borderId="1" applyAlignment="1" pivotButton="0" quotePrefix="0" xfId="0">
      <alignment horizontal="center"/>
    </xf>
    <xf numFmtId="0" fontId="67" fillId="19" borderId="1" pivotButton="0" quotePrefix="0" xfId="0"/>
    <xf numFmtId="169" fontId="68" fillId="19" borderId="1" applyAlignment="1" pivotButton="0" quotePrefix="0" xfId="0">
      <alignment horizontal="right"/>
    </xf>
    <xf numFmtId="9" fontId="67" fillId="19" borderId="1" applyAlignment="1" pivotButton="0" quotePrefix="0" xfId="0">
      <alignment horizontal="center"/>
    </xf>
    <xf numFmtId="169" fontId="67" fillId="19" borderId="1" applyAlignment="1" pivotButton="0" quotePrefix="0" xfId="0">
      <alignment horizontal="right"/>
    </xf>
    <xf numFmtId="0" fontId="50" fillId="19" borderId="1" applyAlignment="1" pivotButton="0" quotePrefix="0" xfId="0">
      <alignment horizontal="center"/>
    </xf>
    <xf numFmtId="0" fontId="67" fillId="18" borderId="1" applyAlignment="1" pivotButton="0" quotePrefix="0" xfId="0">
      <alignment horizontal="center"/>
    </xf>
    <xf numFmtId="0" fontId="68" fillId="18" borderId="1" applyAlignment="1" pivotButton="0" quotePrefix="0" xfId="0">
      <alignment horizontal="center"/>
    </xf>
    <xf numFmtId="0" fontId="67" fillId="18" borderId="1" pivotButton="0" quotePrefix="0" xfId="0"/>
    <xf numFmtId="169" fontId="68" fillId="18" borderId="1" applyAlignment="1" pivotButton="0" quotePrefix="0" xfId="0">
      <alignment horizontal="right"/>
    </xf>
    <xf numFmtId="9" fontId="67" fillId="18" borderId="1" applyAlignment="1" pivotButton="0" quotePrefix="0" xfId="0">
      <alignment horizontal="center"/>
    </xf>
    <xf numFmtId="169" fontId="67" fillId="18" borderId="1" applyAlignment="1" pivotButton="0" quotePrefix="0" xfId="0">
      <alignment horizontal="right"/>
    </xf>
    <xf numFmtId="0" fontId="55" fillId="18" borderId="1" applyAlignment="1" pivotButton="0" quotePrefix="0" xfId="0">
      <alignment horizontal="center"/>
    </xf>
    <xf numFmtId="0" fontId="50" fillId="18" borderId="1" applyAlignment="1" pivotButton="0" quotePrefix="0" xfId="0">
      <alignment horizontal="center"/>
    </xf>
    <xf numFmtId="0" fontId="51" fillId="18" borderId="1" applyAlignment="1" pivotButton="0" quotePrefix="0" xfId="0">
      <alignment horizontal="center"/>
    </xf>
    <xf numFmtId="0" fontId="38" fillId="7" borderId="0" applyAlignment="1" pivotButton="0" quotePrefix="0" xfId="0">
      <alignment vertical="center" indent="1"/>
    </xf>
    <xf numFmtId="169" fontId="69" fillId="7" borderId="0" applyAlignment="1" pivotButton="0" quotePrefix="0" xfId="0">
      <alignment horizontal="right" vertical="center"/>
    </xf>
    <xf numFmtId="0" fontId="70" fillId="0" borderId="6" pivotButton="0" quotePrefix="0" xfId="0"/>
    <xf numFmtId="0" fontId="71" fillId="0" borderId="6" pivotButton="0" quotePrefix="0" xfId="0"/>
    <xf numFmtId="0" fontId="72" fillId="0" borderId="6" pivotButton="0" quotePrefix="0" xfId="0"/>
    <xf numFmtId="0" fontId="73" fillId="20" borderId="1" applyAlignment="1" pivotButton="0" quotePrefix="0" xfId="0">
      <alignment horizontal="center" vertical="center"/>
    </xf>
    <xf numFmtId="0" fontId="77" fillId="11" borderId="1" applyAlignment="1" pivotButton="0" quotePrefix="0" xfId="0">
      <alignment horizontal="center" vertical="center"/>
    </xf>
    <xf numFmtId="0" fontId="74" fillId="0" borderId="1" pivotButton="0" quotePrefix="0" xfId="0"/>
    <xf numFmtId="0" fontId="73" fillId="0" borderId="1" applyAlignment="1" pivotButton="0" quotePrefix="0" xfId="0">
      <alignment horizontal="right"/>
    </xf>
    <xf numFmtId="0" fontId="77" fillId="0" borderId="1" applyAlignment="1" pivotButton="0" quotePrefix="0" xfId="0">
      <alignment horizontal="right"/>
    </xf>
    <xf numFmtId="0" fontId="48" fillId="0" borderId="1" applyAlignment="1" pivotButton="0" quotePrefix="0" xfId="0">
      <alignment horizontal="right"/>
    </xf>
    <xf numFmtId="0" fontId="75" fillId="0" borderId="1" applyAlignment="1" pivotButton="0" quotePrefix="0" xfId="0">
      <alignment horizontal="right"/>
    </xf>
    <xf numFmtId="0" fontId="76" fillId="12" borderId="7" applyAlignment="1" pivotButton="0" quotePrefix="0" xfId="0">
      <alignment horizontal="center" vertical="center"/>
    </xf>
    <xf numFmtId="0" fontId="78" fillId="11" borderId="8" applyAlignment="1" pivotButton="0" quotePrefix="0" xfId="0">
      <alignment horizontal="center" vertical="center"/>
    </xf>
    <xf numFmtId="0" fontId="74" fillId="0" borderId="0" pivotButton="0" quotePrefix="0" xfId="0"/>
    <xf numFmtId="0" fontId="79" fillId="21" borderId="0" applyAlignment="1" pivotButton="0" quotePrefix="0" xfId="0">
      <alignment horizontal="left" vertical="center" wrapText="1"/>
    </xf>
    <xf numFmtId="0" fontId="80" fillId="22" borderId="0" applyAlignment="1" pivotButton="0" quotePrefix="0" xfId="0">
      <alignment vertical="center" wrapText="1"/>
    </xf>
    <xf numFmtId="0" fontId="81" fillId="23" borderId="0" applyAlignment="1" pivotButton="0" quotePrefix="0" xfId="0">
      <alignment vertical="top" wrapText="1"/>
    </xf>
    <xf numFmtId="0" fontId="82" fillId="0" borderId="0" applyAlignment="1" pivotButton="0" quotePrefix="0" xfId="0">
      <alignment vertical="top" wrapText="1"/>
    </xf>
    <xf numFmtId="0" fontId="83" fillId="21" borderId="0" applyAlignment="1" pivotButton="0" quotePrefix="0" xfId="0">
      <alignment horizontal="left" vertical="center" wrapText="1"/>
    </xf>
    <xf numFmtId="0" fontId="79" fillId="24" borderId="0" applyAlignment="1" pivotButton="0" quotePrefix="0" xfId="0">
      <alignment horizontal="left" vertical="center" wrapText="1"/>
    </xf>
    <xf numFmtId="0" fontId="80" fillId="24" borderId="0" applyAlignment="1" pivotButton="0" quotePrefix="0" xfId="0">
      <alignment vertical="center" wrapText="1"/>
    </xf>
    <xf numFmtId="0" fontId="84" fillId="25" borderId="0" applyAlignment="1" pivotButton="0" quotePrefix="0" xfId="0">
      <alignment vertical="top" wrapText="1"/>
    </xf>
    <xf numFmtId="0" fontId="79" fillId="26" borderId="0" applyAlignment="1" pivotButton="0" quotePrefix="0" xfId="0">
      <alignment horizontal="left" vertical="center" wrapText="1"/>
    </xf>
    <xf numFmtId="0" fontId="80" fillId="26" borderId="0" applyAlignment="1" pivotButton="0" quotePrefix="0" xfId="0">
      <alignment vertical="center" wrapText="1"/>
    </xf>
    <xf numFmtId="0" fontId="85" fillId="27" borderId="0" applyAlignment="1" pivotButton="0" quotePrefix="0" xfId="0">
      <alignment vertical="top" wrapText="1"/>
    </xf>
    <xf numFmtId="0" fontId="86" fillId="25" borderId="0" applyAlignment="1" pivotButton="0" quotePrefix="0" xfId="0">
      <alignment vertical="top" wrapText="1"/>
    </xf>
    <xf numFmtId="0" fontId="87" fillId="0" borderId="0" applyAlignment="1" pivotButton="0" quotePrefix="0" xfId="0">
      <alignment vertical="top" wrapText="1"/>
    </xf>
    <xf numFmtId="0" fontId="79" fillId="28" borderId="0" applyAlignment="1" pivotButton="0" quotePrefix="0" xfId="0">
      <alignment horizontal="left" vertical="center"/>
    </xf>
    <xf numFmtId="0" fontId="80" fillId="28" borderId="0" applyAlignment="1" pivotButton="0" quotePrefix="0" xfId="0">
      <alignment vertical="center" wrapText="1"/>
    </xf>
    <xf numFmtId="0" fontId="88" fillId="29" borderId="0" applyAlignment="1" pivotButton="0" quotePrefix="0" xfId="0">
      <alignment vertical="top" wrapText="1"/>
    </xf>
    <xf numFmtId="0" fontId="89" fillId="30" borderId="0" applyAlignment="1" pivotButton="0" quotePrefix="0" xfId="0">
      <alignment vertical="top" wrapText="1"/>
    </xf>
    <xf numFmtId="0" fontId="79" fillId="31" borderId="0" applyAlignment="1" pivotButton="0" quotePrefix="0" xfId="0">
      <alignment horizontal="left" vertical="center"/>
    </xf>
    <xf numFmtId="0" fontId="80" fillId="31" borderId="0" applyAlignment="1" pivotButton="0" quotePrefix="0" xfId="0">
      <alignment vertical="center" wrapText="1"/>
    </xf>
    <xf numFmtId="0" fontId="90" fillId="30" borderId="0" applyAlignment="1" pivotButton="0" quotePrefix="0" xfId="0">
      <alignment vertical="top" wrapText="1"/>
    </xf>
    <xf numFmtId="0" fontId="79" fillId="32" borderId="0" applyAlignment="1" pivotButton="0" quotePrefix="0" xfId="0">
      <alignment horizontal="left" vertical="center"/>
    </xf>
    <xf numFmtId="0" fontId="80" fillId="32" borderId="0" applyAlignment="1" pivotButton="0" quotePrefix="0" xfId="0">
      <alignment vertical="center" wrapText="1"/>
    </xf>
    <xf numFmtId="0" fontId="91" fillId="33" borderId="0" applyAlignment="1" pivotButton="0" quotePrefix="0" xfId="0">
      <alignment vertical="top" wrapText="1"/>
    </xf>
    <xf numFmtId="0" fontId="92" fillId="0" borderId="0" applyAlignment="1" pivotButton="0" quotePrefix="0" xfId="0">
      <alignment vertical="top" wrapText="1"/>
    </xf>
    <xf numFmtId="169" fontId="31" fillId="0" borderId="2" pivotButton="0" quotePrefix="0" xfId="0"/>
    <xf numFmtId="169" fontId="52" fillId="0" borderId="3" pivotButton="0" quotePrefix="0" xfId="0"/>
    <xf numFmtId="169" fontId="55" fillId="0" borderId="1" pivotButton="0" quotePrefix="0" xfId="0"/>
    <xf numFmtId="169" fontId="56" fillId="0" borderId="1" pivotButton="0" quotePrefix="0" xfId="0"/>
    <xf numFmtId="169" fontId="59" fillId="7" borderId="0" pivotButton="0" quotePrefix="0" xfId="0"/>
    <xf numFmtId="169" fontId="60" fillId="7" borderId="0" pivotButton="0" quotePrefix="0" xfId="0"/>
    <xf numFmtId="169" fontId="78" fillId="9" borderId="1" applyAlignment="1" pivotButton="0" quotePrefix="0" xfId="0">
      <alignment horizontal="right"/>
    </xf>
    <xf numFmtId="169" fontId="48" fillId="0" borderId="1" applyAlignment="1" pivotButton="0" quotePrefix="0" xfId="0">
      <alignment horizontal="right"/>
    </xf>
    <xf numFmtId="169" fontId="75" fillId="0" borderId="1" applyAlignment="1" pivotButton="0" quotePrefix="0" xfId="0">
      <alignment horizontal="right"/>
    </xf>
    <xf numFmtId="170" fontId="75" fillId="0" borderId="1" applyAlignment="1" pivotButton="0" quotePrefix="0" xfId="0">
      <alignment horizontal="right"/>
    </xf>
    <xf numFmtId="0" fontId="93" fillId="0" borderId="0" pivotButton="0" quotePrefix="0" xfId="0"/>
    <xf numFmtId="0" fontId="94" fillId="0" borderId="0" pivotButton="0" quotePrefix="0" xfId="0"/>
    <xf numFmtId="0" fontId="95" fillId="0" borderId="0" pivotButton="0" quotePrefix="0" xfId="0"/>
    <xf numFmtId="0" fontId="0" fillId="19" borderId="1" pivotButton="0" quotePrefix="0" xfId="0"/>
    <xf numFmtId="0" fontId="46" fillId="19" borderId="1" pivotButton="0" quotePrefix="0" xfId="0"/>
    <xf numFmtId="0" fontId="96" fillId="0" borderId="1" applyAlignment="1" pivotButton="0" quotePrefix="0" xfId="0">
      <alignment vertical="top" wrapText="1"/>
    </xf>
    <xf numFmtId="0" fontId="66" fillId="15" borderId="1" applyAlignment="1" pivotButton="0" quotePrefix="0" xfId="0">
      <alignment horizontal="center" vertical="center"/>
    </xf>
    <xf numFmtId="0" fontId="97" fillId="0" borderId="0" pivotButton="0" quotePrefix="0" xfId="0"/>
    <xf numFmtId="169" fontId="98" fillId="0" borderId="3" pivotButton="0" quotePrefix="0" xfId="0"/>
    <xf numFmtId="169" fontId="99" fillId="0" borderId="2" pivotButton="0" quotePrefix="0" xfId="0"/>
    <xf numFmtId="0" fontId="100" fillId="0" borderId="4" pivotButton="0" quotePrefix="0" xfId="0"/>
    <xf numFmtId="0" fontId="101" fillId="0" borderId="4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19" pivotButton="0" quotePrefix="0" xfId="0"/>
    <xf numFmtId="169" fontId="77" fillId="9" borderId="1" applyAlignment="1" pivotButton="0" quotePrefix="0" xfId="0">
      <alignment horizontal="right"/>
    </xf>
    <xf numFmtId="168" fontId="67" fillId="19" borderId="1" applyAlignment="1" pivotButton="0" quotePrefix="0" xfId="0">
      <alignment horizontal="center"/>
    </xf>
    <xf numFmtId="0" fontId="72" fillId="19" borderId="1" applyAlignment="1" pivotButton="0" quotePrefix="0" xfId="0">
      <alignment horizontal="center"/>
    </xf>
    <xf numFmtId="168" fontId="67" fillId="18" borderId="1" applyAlignment="1" pivotButton="0" quotePrefix="0" xfId="0">
      <alignment horizontal="center"/>
    </xf>
    <xf numFmtId="0" fontId="72" fillId="18" borderId="1" applyAlignment="1" pivotButton="0" quotePrefix="0" xfId="0">
      <alignment horizontal="center"/>
    </xf>
    <xf numFmtId="169" fontId="102" fillId="7" borderId="0" applyAlignment="1" pivotButton="0" quotePrefix="0" xfId="0">
      <alignment horizontal="right" vertical="center"/>
    </xf>
    <xf numFmtId="0" fontId="0" fillId="0" borderId="20" pivotButton="0" quotePrefix="0" xfId="0"/>
    <xf numFmtId="0" fontId="0" fillId="0" borderId="22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103" fillId="2" borderId="0" applyAlignment="1" pivotButton="0" quotePrefix="0" xfId="0">
      <alignment horizontal="left" vertical="center" indent="1"/>
    </xf>
    <xf numFmtId="0" fontId="95" fillId="0" borderId="0" applyAlignment="1" pivotButton="0" quotePrefix="0" xfId="0">
      <alignment horizontal="left" vertical="center" wrapText="1"/>
    </xf>
    <xf numFmtId="0" fontId="104" fillId="15" borderId="1" applyAlignment="1" pivotButton="0" quotePrefix="0" xfId="0">
      <alignment horizontal="center" vertical="center"/>
    </xf>
    <xf numFmtId="0" fontId="77" fillId="9" borderId="1" applyAlignment="1" applyProtection="1" pivotButton="0" quotePrefix="0" xfId="0">
      <alignment horizontal="left" vertical="center"/>
      <protection locked="0" hidden="0"/>
    </xf>
    <xf numFmtId="3" fontId="77" fillId="9" borderId="1" applyAlignment="1" applyProtection="1" pivotButton="0" quotePrefix="0" xfId="0">
      <alignment horizontal="left" vertical="center"/>
      <protection locked="0" hidden="0"/>
    </xf>
    <xf numFmtId="0" fontId="105" fillId="19" borderId="1" applyAlignment="1" pivotButton="0" quotePrefix="0" xfId="0">
      <alignment horizontal="center" vertical="center"/>
    </xf>
    <xf numFmtId="0" fontId="105" fillId="18" borderId="1" applyAlignment="1" pivotButton="0" quotePrefix="0" xfId="0">
      <alignment horizontal="center" vertical="center"/>
    </xf>
    <xf numFmtId="164" fontId="77" fillId="9" borderId="1" applyAlignment="1" applyProtection="1" pivotButton="0" quotePrefix="0" xfId="0">
      <alignment horizontal="left" vertical="center"/>
      <protection locked="0" hidden="0"/>
    </xf>
    <xf numFmtId="164" fontId="105" fillId="19" borderId="1" applyAlignment="1" pivotButton="0" quotePrefix="0" xfId="0">
      <alignment horizontal="center" vertical="center"/>
    </xf>
    <xf numFmtId="165" fontId="105" fillId="19" borderId="1" applyAlignment="1" pivotButton="0" quotePrefix="0" xfId="0">
      <alignment horizontal="center" vertical="center"/>
    </xf>
    <xf numFmtId="164" fontId="105" fillId="18" borderId="1" applyAlignment="1" pivotButton="0" quotePrefix="0" xfId="0">
      <alignment horizontal="center" vertical="center"/>
    </xf>
    <xf numFmtId="165" fontId="105" fillId="18" borderId="1" applyAlignment="1" pivotButton="0" quotePrefix="0" xfId="0">
      <alignment horizontal="center" vertical="center"/>
    </xf>
    <xf numFmtId="166" fontId="77" fillId="9" borderId="1" applyAlignment="1" applyProtection="1" pivotButton="0" quotePrefix="0" xfId="0">
      <alignment horizontal="left" vertical="center"/>
      <protection locked="0" hidden="0"/>
    </xf>
    <xf numFmtId="165" fontId="77" fillId="9" borderId="1" applyAlignment="1" applyProtection="1" pivotButton="0" quotePrefix="0" xfId="0">
      <alignment horizontal="left" vertical="center"/>
      <protection locked="0" hidden="0"/>
    </xf>
    <xf numFmtId="166" fontId="105" fillId="19" borderId="1" applyAlignment="1" pivotButton="0" quotePrefix="0" xfId="0">
      <alignment horizontal="center" vertical="center"/>
    </xf>
    <xf numFmtId="166" fontId="105" fillId="18" borderId="1" applyAlignment="1" pivotButton="0" quotePrefix="0" xfId="0">
      <alignment horizontal="center" vertical="center"/>
    </xf>
    <xf numFmtId="3" fontId="105" fillId="19" borderId="1" applyAlignment="1" pivotButton="0" quotePrefix="0" xfId="0">
      <alignment horizontal="center" vertical="center"/>
    </xf>
    <xf numFmtId="3" fontId="105" fillId="18" borderId="1" applyAlignment="1" pivotButton="0" quotePrefix="0" xfId="0">
      <alignment horizontal="center" vertical="center"/>
    </xf>
    <xf numFmtId="0" fontId="105" fillId="19" borderId="1" applyAlignment="1" pivotButton="0" quotePrefix="0" xfId="0">
      <alignment horizontal="left" vertical="center"/>
    </xf>
    <xf numFmtId="0" fontId="105" fillId="18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169" fontId="31" fillId="0" borderId="2" applyAlignment="1" pivotButton="0" quotePrefix="0" xfId="0">
      <alignment horizontal="left" vertical="center" indent="1"/>
    </xf>
    <xf numFmtId="169" fontId="98" fillId="0" borderId="3" applyAlignment="1" pivotButton="0" quotePrefix="0" xfId="0">
      <alignment horizontal="left" vertical="center" indent="1"/>
    </xf>
    <xf numFmtId="169" fontId="99" fillId="0" borderId="2" applyAlignment="1" pivotButton="0" quotePrefix="0" xfId="0">
      <alignment horizontal="left" vertical="center" indent="1"/>
    </xf>
    <xf numFmtId="0" fontId="100" fillId="0" borderId="4" applyAlignment="1" pivotButton="0" quotePrefix="0" xfId="0">
      <alignment horizontal="left" vertical="center" indent="1"/>
    </xf>
    <xf numFmtId="0" fontId="104" fillId="15" borderId="39" applyAlignment="1" pivotButton="0" quotePrefix="0" xfId="0">
      <alignment horizontal="center" vertical="center"/>
    </xf>
    <xf numFmtId="0" fontId="38" fillId="7" borderId="40" applyAlignment="1" pivotButton="0" quotePrefix="0" xfId="0">
      <alignment vertical="center" indent="1"/>
    </xf>
    <xf numFmtId="0" fontId="0" fillId="0" borderId="40" pivotButton="0" quotePrefix="0" xfId="0"/>
    <xf numFmtId="169" fontId="102" fillId="7" borderId="40" applyAlignment="1" pivotButton="0" quotePrefix="0" xfId="0">
      <alignment horizontal="right" vertical="center"/>
    </xf>
    <xf numFmtId="0" fontId="106" fillId="0" borderId="0" applyAlignment="1" pivotButton="0" quotePrefix="0" xfId="0">
      <alignment horizontal="left" vertical="center"/>
    </xf>
    <xf numFmtId="0" fontId="95" fillId="0" borderId="0" applyAlignment="1" pivotButton="0" quotePrefix="0" xfId="0">
      <alignment horizontal="left" vertical="center"/>
    </xf>
    <xf numFmtId="0" fontId="104" fillId="15" borderId="39" applyAlignment="1" pivotButton="0" quotePrefix="0" xfId="0">
      <alignment horizontal="center" vertical="center"/>
    </xf>
    <xf numFmtId="0" fontId="77" fillId="34" borderId="40" applyAlignment="1" applyProtection="1" pivotButton="0" quotePrefix="0" xfId="0">
      <alignment horizontal="center" vertical="center"/>
      <protection locked="0" hidden="0"/>
    </xf>
    <xf numFmtId="0" fontId="77" fillId="34" borderId="40" applyAlignment="1" applyProtection="1" pivotButton="0" quotePrefix="0" xfId="0">
      <alignment horizontal="left" vertical="center"/>
      <protection locked="0" hidden="0"/>
    </xf>
    <xf numFmtId="3" fontId="77" fillId="34" borderId="40" applyAlignment="1" applyProtection="1" pivotButton="0" quotePrefix="0" xfId="0">
      <alignment horizontal="right" vertical="center"/>
      <protection locked="0" hidden="0"/>
    </xf>
    <xf numFmtId="0" fontId="105" fillId="34" borderId="40" applyAlignment="1" pivotButton="0" quotePrefix="0" xfId="0">
      <alignment horizontal="center" vertical="center"/>
    </xf>
    <xf numFmtId="0" fontId="77" fillId="18" borderId="40" applyAlignment="1" applyProtection="1" pivotButton="0" quotePrefix="0" xfId="0">
      <alignment horizontal="center" vertical="center"/>
      <protection locked="0" hidden="0"/>
    </xf>
    <xf numFmtId="0" fontId="77" fillId="18" borderId="40" applyAlignment="1" applyProtection="1" pivotButton="0" quotePrefix="0" xfId="0">
      <alignment horizontal="left" vertical="center"/>
      <protection locked="0" hidden="0"/>
    </xf>
    <xf numFmtId="3" fontId="77" fillId="18" borderId="40" applyAlignment="1" applyProtection="1" pivotButton="0" quotePrefix="0" xfId="0">
      <alignment horizontal="right" vertical="center"/>
      <protection locked="0" hidden="0"/>
    </xf>
    <xf numFmtId="0" fontId="105" fillId="18" borderId="40" applyAlignment="1" pivotButton="0" quotePrefix="0" xfId="0">
      <alignment horizontal="center" vertical="center"/>
    </xf>
    <xf numFmtId="0" fontId="105" fillId="34" borderId="40" applyAlignment="1" applyProtection="1" pivotButton="0" quotePrefix="0" xfId="0">
      <alignment horizontal="center" vertical="center"/>
      <protection locked="0" hidden="0"/>
    </xf>
    <xf numFmtId="0" fontId="105" fillId="34" borderId="40" applyAlignment="1" applyProtection="1" pivotButton="0" quotePrefix="0" xfId="0">
      <alignment horizontal="left" vertical="center"/>
      <protection locked="0" hidden="0"/>
    </xf>
    <xf numFmtId="0" fontId="105" fillId="18" borderId="40" applyAlignment="1" applyProtection="1" pivotButton="0" quotePrefix="0" xfId="0">
      <alignment horizontal="center" vertical="center"/>
      <protection locked="0" hidden="0"/>
    </xf>
    <xf numFmtId="0" fontId="105" fillId="18" borderId="40" applyAlignment="1" applyProtection="1" pivotButton="0" quotePrefix="0" xfId="0">
      <alignment horizontal="left" vertical="center"/>
      <protection locked="0" hidden="0"/>
    </xf>
    <xf numFmtId="164" fontId="77" fillId="34" borderId="40" applyAlignment="1" applyProtection="1" pivotButton="0" quotePrefix="0" xfId="0">
      <alignment horizontal="right" vertical="center"/>
      <protection locked="0" hidden="0"/>
    </xf>
    <xf numFmtId="164" fontId="105" fillId="34" borderId="40" applyAlignment="1" pivotButton="0" quotePrefix="0" xfId="0">
      <alignment horizontal="right" vertical="center"/>
    </xf>
    <xf numFmtId="165" fontId="105" fillId="34" borderId="40" applyAlignment="1" pivotButton="0" quotePrefix="0" xfId="0">
      <alignment horizontal="center" vertical="center"/>
    </xf>
    <xf numFmtId="164" fontId="77" fillId="18" borderId="40" applyAlignment="1" applyProtection="1" pivotButton="0" quotePrefix="0" xfId="0">
      <alignment horizontal="right" vertical="center"/>
      <protection locked="0" hidden="0"/>
    </xf>
    <xf numFmtId="164" fontId="105" fillId="18" borderId="40" applyAlignment="1" pivotButton="0" quotePrefix="0" xfId="0">
      <alignment horizontal="right" vertical="center"/>
    </xf>
    <xf numFmtId="165" fontId="105" fillId="18" borderId="40" applyAlignment="1" pivotButton="0" quotePrefix="0" xfId="0">
      <alignment horizontal="center" vertical="center"/>
    </xf>
    <xf numFmtId="166" fontId="77" fillId="34" borderId="40" applyAlignment="1" applyProtection="1" pivotButton="0" quotePrefix="0" xfId="0">
      <alignment horizontal="center" vertical="center"/>
      <protection locked="0" hidden="0"/>
    </xf>
    <xf numFmtId="165" fontId="77" fillId="34" borderId="40" applyAlignment="1" applyProtection="1" pivotButton="0" quotePrefix="0" xfId="0">
      <alignment horizontal="right" vertical="center"/>
      <protection locked="0" hidden="0"/>
    </xf>
    <xf numFmtId="166" fontId="105" fillId="34" borderId="40" applyAlignment="1" pivotButton="0" quotePrefix="0" xfId="0">
      <alignment horizontal="center" vertical="center"/>
    </xf>
    <xf numFmtId="166" fontId="77" fillId="18" borderId="40" applyAlignment="1" applyProtection="1" pivotButton="0" quotePrefix="0" xfId="0">
      <alignment horizontal="center" vertical="center"/>
      <protection locked="0" hidden="0"/>
    </xf>
    <xf numFmtId="165" fontId="77" fillId="18" borderId="40" applyAlignment="1" applyProtection="1" pivotButton="0" quotePrefix="0" xfId="0">
      <alignment horizontal="right" vertical="center"/>
      <protection locked="0" hidden="0"/>
    </xf>
    <xf numFmtId="166" fontId="105" fillId="18" borderId="40" applyAlignment="1" pivotButton="0" quotePrefix="0" xfId="0">
      <alignment horizontal="center" vertical="center"/>
    </xf>
    <xf numFmtId="3" fontId="77" fillId="34" borderId="40" applyAlignment="1" applyProtection="1" pivotButton="0" quotePrefix="0" xfId="0">
      <alignment horizontal="left" vertical="center"/>
      <protection locked="0" hidden="0"/>
    </xf>
    <xf numFmtId="3" fontId="105" fillId="34" borderId="40" applyAlignment="1" pivotButton="0" quotePrefix="0" xfId="0">
      <alignment horizontal="center" vertical="center"/>
    </xf>
    <xf numFmtId="3" fontId="77" fillId="18" borderId="40" applyAlignment="1" applyProtection="1" pivotButton="0" quotePrefix="0" xfId="0">
      <alignment horizontal="left" vertical="center"/>
      <protection locked="0" hidden="0"/>
    </xf>
    <xf numFmtId="3" fontId="105" fillId="18" borderId="4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72" fillId="0" borderId="0" pivotButton="0" quotePrefix="0" xfId="0"/>
    <xf numFmtId="0" fontId="38" fillId="15" borderId="39" applyAlignment="1" pivotButton="0" quotePrefix="0" xfId="0">
      <alignment horizontal="center" vertical="center"/>
    </xf>
    <xf numFmtId="0" fontId="107" fillId="18" borderId="40" applyAlignment="1" pivotButton="0" quotePrefix="0" xfId="0">
      <alignment horizontal="center" vertical="center"/>
    </xf>
    <xf numFmtId="0" fontId="48" fillId="18" borderId="40" applyAlignment="1" pivotButton="0" quotePrefix="0" xfId="0">
      <alignment horizontal="left" vertical="center"/>
    </xf>
    <xf numFmtId="0" fontId="108" fillId="18" borderId="40" applyAlignment="1" pivotButton="0" quotePrefix="0" xfId="0">
      <alignment horizontal="left" vertical="center" wrapText="1"/>
    </xf>
    <xf numFmtId="0" fontId="109" fillId="18" borderId="40" applyAlignment="1" pivotButton="0" quotePrefix="0" xfId="0">
      <alignment horizontal="center" vertical="center"/>
    </xf>
    <xf numFmtId="0" fontId="66" fillId="15" borderId="40" applyAlignment="1" pivotButton="0" quotePrefix="0" xfId="0">
      <alignment horizontal="center" vertical="center"/>
    </xf>
    <xf numFmtId="0" fontId="107" fillId="19" borderId="40" applyAlignment="1" pivotButton="0" quotePrefix="0" xfId="0">
      <alignment horizontal="center" vertical="center"/>
    </xf>
    <xf numFmtId="0" fontId="48" fillId="19" borderId="40" applyAlignment="1" pivotButton="0" quotePrefix="0" xfId="0">
      <alignment horizontal="left" vertical="center"/>
    </xf>
    <xf numFmtId="0" fontId="108" fillId="19" borderId="40" applyAlignment="1" pivotButton="0" quotePrefix="0" xfId="0">
      <alignment horizontal="left" vertical="center" wrapText="1"/>
    </xf>
    <xf numFmtId="0" fontId="109" fillId="19" borderId="40" applyAlignment="1" pivotButton="0" quotePrefix="0" xfId="0">
      <alignment horizontal="center" vertical="center"/>
    </xf>
    <xf numFmtId="0" fontId="110" fillId="0" borderId="0" pivotButton="0" quotePrefix="0" xfId="0"/>
    <xf numFmtId="0" fontId="111" fillId="0" borderId="40" applyAlignment="1" pivotButton="0" quotePrefix="0" xfId="0">
      <alignment horizontal="left" vertical="center"/>
    </xf>
    <xf numFmtId="0" fontId="108" fillId="0" borderId="40" applyAlignment="1" pivotButton="0" quotePrefix="0" xfId="0">
      <alignment horizontal="left" vertical="center"/>
    </xf>
    <xf numFmtId="0" fontId="112" fillId="0" borderId="0" applyAlignment="1" pivotButton="0" quotePrefix="0" xfId="0">
      <alignment horizontal="left" vertical="center"/>
    </xf>
    <xf numFmtId="0" fontId="113" fillId="0" borderId="0" pivotButton="0" quotePrefix="0" xfId="0"/>
    <xf numFmtId="0" fontId="114" fillId="0" borderId="0" pivotButton="0" quotePrefix="0" xfId="0"/>
    <xf numFmtId="0" fontId="0" fillId="35" borderId="0" pivotButton="0" quotePrefix="0" xfId="0"/>
    <xf numFmtId="0" fontId="115" fillId="35" borderId="45" applyAlignment="1" pivotButton="0" quotePrefix="0" xfId="0">
      <alignment horizontal="left" vertical="center"/>
    </xf>
    <xf numFmtId="0" fontId="0" fillId="35" borderId="45" pivotButton="0" quotePrefix="0" xfId="0"/>
    <xf numFmtId="0" fontId="116" fillId="0" borderId="0" applyAlignment="1" pivotButton="0" quotePrefix="0" xfId="0">
      <alignment horizontal="left" vertical="top" wrapText="1"/>
    </xf>
    <xf numFmtId="0" fontId="38" fillId="36" borderId="46" applyAlignment="1" pivotButton="0" quotePrefix="0" xfId="0">
      <alignment horizontal="center" vertical="center"/>
    </xf>
    <xf numFmtId="0" fontId="0" fillId="0" borderId="46" pivotButton="0" quotePrefix="0" xfId="0"/>
    <xf numFmtId="0" fontId="117" fillId="0" borderId="0" pivotButton="0" quotePrefix="0" xfId="0"/>
    <xf numFmtId="0" fontId="38" fillId="15" borderId="0" applyAlignment="1" pivotButton="0" quotePrefix="0" xfId="0">
      <alignment horizontal="center" vertical="center"/>
    </xf>
    <xf numFmtId="0" fontId="77" fillId="18" borderId="40" applyAlignment="1" pivotButton="0" quotePrefix="0" xfId="0">
      <alignment horizontal="center" vertical="center"/>
    </xf>
    <xf numFmtId="0" fontId="118" fillId="18" borderId="40" applyAlignment="1" pivotButton="0" quotePrefix="0" xfId="0">
      <alignment horizontal="left" vertical="center"/>
    </xf>
    <xf numFmtId="0" fontId="0" fillId="18" borderId="40" pivotButton="0" quotePrefix="0" xfId="0"/>
    <xf numFmtId="0" fontId="77" fillId="19" borderId="40" applyAlignment="1" pivotButton="0" quotePrefix="0" xfId="0">
      <alignment horizontal="center" vertical="center"/>
    </xf>
    <xf numFmtId="0" fontId="118" fillId="19" borderId="40" applyAlignment="1" pivotButton="0" quotePrefix="0" xfId="0">
      <alignment horizontal="left" vertical="center"/>
    </xf>
    <xf numFmtId="0" fontId="0" fillId="19" borderId="40" pivotButton="0" quotePrefix="0" xfId="0"/>
    <xf numFmtId="0" fontId="0" fillId="0" borderId="49" pivotButton="0" quotePrefix="0" xfId="0"/>
    <xf numFmtId="0" fontId="0" fillId="0" borderId="50" pivotButton="0" quotePrefix="0" xfId="0"/>
    <xf numFmtId="0" fontId="119" fillId="0" borderId="0" pivotButton="0" quotePrefix="0" xfId="0"/>
    <xf numFmtId="0" fontId="120" fillId="0" borderId="0" pivotButton="0" quotePrefix="0" xfId="0"/>
    <xf numFmtId="0" fontId="121" fillId="0" borderId="0" pivotButton="0" quotePrefix="0" xfId="0"/>
    <xf numFmtId="0" fontId="38" fillId="37" borderId="0" applyAlignment="1" pivotButton="0" quotePrefix="0" xfId="0">
      <alignment horizontal="center" vertical="center"/>
    </xf>
    <xf numFmtId="0" fontId="38" fillId="37" borderId="0" applyAlignment="1" pivotButton="0" quotePrefix="0" xfId="0">
      <alignment horizontal="left" vertical="center"/>
    </xf>
    <xf numFmtId="0" fontId="122" fillId="19" borderId="1" applyAlignment="1" pivotButton="0" quotePrefix="0" xfId="0">
      <alignment horizontal="center" vertical="center" wrapText="1"/>
    </xf>
    <xf numFmtId="0" fontId="123" fillId="19" borderId="1" applyAlignment="1" pivotButton="0" quotePrefix="0" xfId="0">
      <alignment horizontal="left" vertical="center" wrapText="1"/>
    </xf>
    <xf numFmtId="0" fontId="124" fillId="19" borderId="1" applyAlignment="1" pivotButton="0" quotePrefix="0" xfId="0">
      <alignment horizontal="left" vertical="center" wrapText="1"/>
    </xf>
    <xf numFmtId="0" fontId="41" fillId="19" borderId="1" applyAlignment="1" pivotButton="0" quotePrefix="0" xfId="0">
      <alignment horizontal="center" vertical="center" wrapText="1"/>
    </xf>
    <xf numFmtId="0" fontId="122" fillId="18" borderId="1" applyAlignment="1" pivotButton="0" quotePrefix="0" xfId="0">
      <alignment horizontal="center" vertical="center" wrapText="1"/>
    </xf>
    <xf numFmtId="0" fontId="123" fillId="18" borderId="1" applyAlignment="1" pivotButton="0" quotePrefix="0" xfId="0">
      <alignment horizontal="left" vertical="center" wrapText="1"/>
    </xf>
    <xf numFmtId="0" fontId="124" fillId="18" borderId="1" applyAlignment="1" pivotButton="0" quotePrefix="0" xfId="0">
      <alignment horizontal="left" vertical="center" wrapText="1"/>
    </xf>
    <xf numFmtId="0" fontId="41" fillId="18" borderId="1" applyAlignment="1" pivotButton="0" quotePrefix="0" xfId="0">
      <alignment horizontal="center" vertical="center" wrapText="1"/>
    </xf>
    <xf numFmtId="0" fontId="41" fillId="19" borderId="1" applyAlignment="1" pivotButton="0" quotePrefix="0" xfId="0">
      <alignment horizontal="left" vertical="center" wrapText="1"/>
    </xf>
    <xf numFmtId="0" fontId="109" fillId="19" borderId="1" applyAlignment="1" pivotButton="0" quotePrefix="0" xfId="0">
      <alignment horizontal="left" vertical="center" wrapText="1"/>
    </xf>
    <xf numFmtId="0" fontId="41" fillId="18" borderId="1" applyAlignment="1" pivotButton="0" quotePrefix="0" xfId="0">
      <alignment horizontal="left" vertical="center" wrapText="1"/>
    </xf>
    <xf numFmtId="0" fontId="109" fillId="18" borderId="1" applyAlignment="1" pivotButton="0" quotePrefix="0" xfId="0">
      <alignment horizontal="left" vertical="center" wrapText="1"/>
    </xf>
    <xf numFmtId="0" fontId="107" fillId="18" borderId="1" applyAlignment="1" pivotButton="0" quotePrefix="0" xfId="0">
      <alignment horizontal="center" vertical="center"/>
    </xf>
    <xf numFmtId="0" fontId="48" fillId="18" borderId="1" applyAlignment="1" pivotButton="0" quotePrefix="0" xfId="0">
      <alignment horizontal="left" vertical="center"/>
    </xf>
    <xf numFmtId="0" fontId="125" fillId="18" borderId="1" applyAlignment="1" pivotButton="0" quotePrefix="0" xfId="0">
      <alignment horizontal="center" vertical="center"/>
    </xf>
    <xf numFmtId="0" fontId="96" fillId="18" borderId="1" applyAlignment="1" pivotButton="0" quotePrefix="0" xfId="0">
      <alignment horizontal="left" vertical="center"/>
    </xf>
    <xf numFmtId="0" fontId="124" fillId="18" borderId="1" applyAlignment="1" pivotButton="0" quotePrefix="0" xfId="0">
      <alignment horizontal="left" vertical="center"/>
    </xf>
    <xf numFmtId="0" fontId="107" fillId="19" borderId="1" applyAlignment="1" pivotButton="0" quotePrefix="0" xfId="0">
      <alignment horizontal="center" vertical="center"/>
    </xf>
    <xf numFmtId="0" fontId="48" fillId="19" borderId="1" applyAlignment="1" pivotButton="0" quotePrefix="0" xfId="0">
      <alignment horizontal="left" vertical="center"/>
    </xf>
    <xf numFmtId="0" fontId="125" fillId="19" borderId="1" applyAlignment="1" pivotButton="0" quotePrefix="0" xfId="0">
      <alignment horizontal="center" vertical="center"/>
    </xf>
    <xf numFmtId="0" fontId="96" fillId="19" borderId="1" applyAlignment="1" pivotButton="0" quotePrefix="0" xfId="0">
      <alignment horizontal="left" vertical="center"/>
    </xf>
    <xf numFmtId="0" fontId="124" fillId="19" borderId="1" applyAlignment="1" pivotButton="0" quotePrefix="0" xfId="0">
      <alignment horizontal="left" vertical="center"/>
    </xf>
    <xf numFmtId="0" fontId="35" fillId="0" borderId="51" pivotButton="0" quotePrefix="0" xfId="0"/>
    <xf numFmtId="0" fontId="0" fillId="0" borderId="52" pivotButton="0" quotePrefix="0" xfId="0"/>
    <xf numFmtId="0" fontId="49" fillId="11" borderId="53" applyAlignment="1" pivotButton="0" quotePrefix="0" xfId="0">
      <alignment horizontal="center"/>
    </xf>
    <xf numFmtId="0" fontId="51" fillId="12" borderId="53" applyAlignment="1" pivotButton="0" quotePrefix="0" xfId="0">
      <alignment horizontal="center"/>
    </xf>
    <xf numFmtId="0" fontId="50" fillId="13" borderId="53" applyAlignment="1" pivotButton="0" quotePrefix="0" xfId="0">
      <alignment horizontal="center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169" fontId="31" fillId="0" borderId="54" applyAlignment="1" pivotButton="0" quotePrefix="0" xfId="0">
      <alignment horizontal="left" vertical="center" indent="1"/>
    </xf>
    <xf numFmtId="169" fontId="98" fillId="0" borderId="54" applyAlignment="1" pivotButton="0" quotePrefix="0" xfId="0">
      <alignment horizontal="left" vertical="center" indent="1"/>
    </xf>
    <xf numFmtId="169" fontId="99" fillId="0" borderId="54" applyAlignment="1" pivotButton="0" quotePrefix="0" xfId="0">
      <alignment horizontal="left" vertical="center" indent="1"/>
    </xf>
    <xf numFmtId="0" fontId="100" fillId="0" borderId="54" applyAlignment="1" pivotButton="0" quotePrefix="0" xfId="0">
      <alignment horizontal="left" vertical="center" indent="1"/>
    </xf>
    <xf numFmtId="0" fontId="5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45" fillId="0" borderId="57" pivotButton="0" quotePrefix="0" xfId="0"/>
    <xf numFmtId="0" fontId="101" fillId="0" borderId="57" pivotButton="0" quotePrefix="0" xfId="0"/>
    <xf numFmtId="0" fontId="73" fillId="20" borderId="60" applyAlignment="1" pivotButton="0" quotePrefix="0" xfId="0">
      <alignment horizontal="center" vertical="center"/>
    </xf>
    <xf numFmtId="0" fontId="0" fillId="0" borderId="53" pivotButton="0" quotePrefix="0" xfId="0"/>
    <xf numFmtId="0" fontId="77" fillId="11" borderId="60" applyAlignment="1" pivotButton="0" quotePrefix="0" xfId="0">
      <alignment horizontal="center" vertical="center"/>
    </xf>
    <xf numFmtId="0" fontId="0" fillId="0" borderId="61" pivotButton="0" quotePrefix="0" xfId="0"/>
    <xf numFmtId="0" fontId="74" fillId="0" borderId="61" pivotButton="0" quotePrefix="0" xfId="0"/>
    <xf numFmtId="0" fontId="73" fillId="0" borderId="55" applyAlignment="1" pivotButton="0" quotePrefix="0" xfId="0">
      <alignment horizontal="right"/>
    </xf>
    <xf numFmtId="0" fontId="77" fillId="0" borderId="55" applyAlignment="1" pivotButton="0" quotePrefix="0" xfId="0">
      <alignment horizontal="right"/>
    </xf>
    <xf numFmtId="169" fontId="48" fillId="0" borderId="55" applyAlignment="1" pivotButton="0" quotePrefix="0" xfId="0">
      <alignment horizontal="right"/>
    </xf>
    <xf numFmtId="169" fontId="75" fillId="0" borderId="55" applyAlignment="1" pivotButton="0" quotePrefix="0" xfId="0">
      <alignment horizontal="right"/>
    </xf>
    <xf numFmtId="0" fontId="74" fillId="0" borderId="62" pivotButton="0" quotePrefix="0" xfId="0"/>
    <xf numFmtId="170" fontId="75" fillId="0" borderId="58" applyAlignment="1" pivotButton="0" quotePrefix="0" xfId="0">
      <alignment horizontal="right"/>
    </xf>
    <xf numFmtId="0" fontId="75" fillId="0" borderId="58" applyAlignment="1" pivotButton="0" quotePrefix="0" xfId="0">
      <alignment horizontal="right"/>
    </xf>
    <xf numFmtId="0" fontId="113" fillId="0" borderId="0" applyAlignment="1" pivotButton="0" quotePrefix="0" xfId="0">
      <alignment horizontal="left" vertical="center"/>
    </xf>
    <xf numFmtId="0" fontId="114" fillId="0" borderId="0" applyAlignment="1" pivotButton="0" quotePrefix="0" xfId="0">
      <alignment horizontal="left" vertical="center"/>
    </xf>
    <xf numFmtId="0" fontId="119" fillId="0" borderId="0" applyAlignment="1" pivotButton="0" quotePrefix="0" xfId="0">
      <alignment horizontal="left" vertical="center"/>
    </xf>
    <xf numFmtId="0" fontId="120" fillId="0" borderId="0" applyAlignment="1" pivotButton="0" quotePrefix="0" xfId="0">
      <alignment horizontal="left" vertical="center"/>
    </xf>
    <xf numFmtId="0" fontId="97" fillId="0" borderId="0" applyAlignment="1" pivotButton="0" quotePrefix="0" xfId="0">
      <alignment horizontal="left" vertical="center"/>
    </xf>
    <xf numFmtId="0" fontId="95" fillId="0" borderId="0" applyAlignment="1" pivotButton="0" quotePrefix="0" xfId="0">
      <alignment horizontal="left" vertical="center"/>
    </xf>
    <xf numFmtId="0" fontId="126" fillId="36" borderId="0" applyAlignment="1" pivotButton="0" quotePrefix="0" xfId="0">
      <alignment horizontal="left" vertical="center"/>
    </xf>
    <xf numFmtId="0" fontId="0" fillId="36" borderId="0" pivotButton="0" quotePrefix="0" xfId="0"/>
    <xf numFmtId="0" fontId="127" fillId="0" borderId="0" applyAlignment="1" pivotButton="0" quotePrefix="0" xfId="0">
      <alignment horizontal="left" vertical="center"/>
    </xf>
    <xf numFmtId="0" fontId="70" fillId="0" borderId="6" applyAlignment="1" pivotButton="0" quotePrefix="0" xfId="0">
      <alignment horizontal="left" vertical="center"/>
    </xf>
    <xf numFmtId="0" fontId="71" fillId="0" borderId="6" applyAlignment="1" pivotButton="0" quotePrefix="0" xfId="0">
      <alignment horizontal="left" vertical="center"/>
    </xf>
    <xf numFmtId="0" fontId="72" fillId="0" borderId="6" applyAlignment="1" pivotButton="0" quotePrefix="0" xfId="0">
      <alignment horizontal="left" vertical="center"/>
    </xf>
    <xf numFmtId="0" fontId="73" fillId="20" borderId="63" applyAlignment="1" pivotButton="0" quotePrefix="0" xfId="0">
      <alignment horizontal="center" vertical="center"/>
    </xf>
    <xf numFmtId="0" fontId="77" fillId="11" borderId="63" applyAlignment="1" pivotButton="0" quotePrefix="0" xfId="0">
      <alignment horizontal="center" vertical="center"/>
    </xf>
    <xf numFmtId="0" fontId="126" fillId="36" borderId="0" applyAlignment="1" pivotButton="0" quotePrefix="0" xfId="0">
      <alignment horizontal="left" vertical="center"/>
    </xf>
    <xf numFmtId="0" fontId="127" fillId="0" borderId="0" applyAlignment="1" pivotButton="0" quotePrefix="0" xfId="0">
      <alignment horizontal="left" vertical="center"/>
    </xf>
    <xf numFmtId="0" fontId="38" fillId="36" borderId="0" applyAlignment="1" pivotButton="0" quotePrefix="0" xfId="0">
      <alignment horizontal="center" vertical="center"/>
    </xf>
    <xf numFmtId="0" fontId="38" fillId="36" borderId="0" applyAlignment="1" pivotButton="0" quotePrefix="0" xfId="0">
      <alignment horizontal="left" vertical="center"/>
    </xf>
    <xf numFmtId="0" fontId="77" fillId="18" borderId="40" applyAlignment="1" pivotButton="0" quotePrefix="0" xfId="0">
      <alignment horizontal="center" vertical="center"/>
    </xf>
    <xf numFmtId="0" fontId="48" fillId="18" borderId="40" applyAlignment="1" pivotButton="0" quotePrefix="0" xfId="0">
      <alignment horizontal="left" vertical="center"/>
    </xf>
    <xf numFmtId="0" fontId="118" fillId="18" borderId="40" applyAlignment="1" pivotButton="0" quotePrefix="0" xfId="0">
      <alignment horizontal="left" vertical="center" wrapText="1"/>
    </xf>
    <xf numFmtId="0" fontId="124" fillId="18" borderId="40" applyAlignment="1" pivotButton="0" quotePrefix="0" xfId="0">
      <alignment horizontal="center" vertical="center"/>
    </xf>
    <xf numFmtId="0" fontId="66" fillId="36" borderId="40" applyAlignment="1" pivotButton="0" quotePrefix="0" xfId="0">
      <alignment horizontal="center" vertical="center"/>
    </xf>
    <xf numFmtId="0" fontId="77" fillId="19" borderId="40" applyAlignment="1" pivotButton="0" quotePrefix="0" xfId="0">
      <alignment horizontal="center" vertical="center"/>
    </xf>
    <xf numFmtId="0" fontId="48" fillId="19" borderId="40" applyAlignment="1" pivotButton="0" quotePrefix="0" xfId="0">
      <alignment horizontal="left" vertical="center"/>
    </xf>
    <xf numFmtId="0" fontId="118" fillId="19" borderId="40" applyAlignment="1" pivotButton="0" quotePrefix="0" xfId="0">
      <alignment horizontal="left" vertical="center" wrapText="1"/>
    </xf>
    <xf numFmtId="0" fontId="124" fillId="19" borderId="40" applyAlignment="1" pivotButton="0" quotePrefix="0" xfId="0">
      <alignment horizontal="center" vertical="center"/>
    </xf>
    <xf numFmtId="0" fontId="0" fillId="0" borderId="64" pivotButton="0" quotePrefix="0" xfId="0"/>
    <xf numFmtId="0" fontId="126" fillId="36" borderId="0" applyAlignment="1" pivotButton="0" quotePrefix="0" xfId="0">
      <alignment horizontal="left" vertical="center"/>
    </xf>
    <xf numFmtId="0" fontId="127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0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B7791F"/>
      </font>
    </dxf>
    <dxf>
      <fill>
        <patternFill patternType="solid">
          <fgColor rgb="FFB3261E"/>
          <bgColor rgb="FF000000"/>
        </patternFill>
      </fill>
    </dxf>
    <dxf>
      <font>
        <name val="Segoe UI"/>
        <charset val="1"/>
        <family val="0"/>
        <color rgb="FFB3261E"/>
      </font>
      <fill>
        <patternFill>
          <bgColor rgb="FFFDE7E9"/>
        </patternFill>
      </fill>
    </dxf>
    <dxf>
      <fill>
        <patternFill patternType="solid">
          <fgColor rgb="FFFDE7E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ont>
        <name val="Segoe UI"/>
        <charset val="1"/>
        <family val="0"/>
        <color rgb="FF1F7A4D"/>
      </font>
      <fill>
        <patternFill>
          <bgColor rgb="FFE2EFDA"/>
        </patternFill>
      </fill>
    </dxf>
    <dxf>
      <font>
        <name val="Segoe UI"/>
        <charset val="1"/>
        <family val="0"/>
        <color rgb="FF595959"/>
      </font>
    </dxf>
    <dxf>
      <font>
        <name val="Segoe UI"/>
        <charset val="1"/>
        <family val="0"/>
        <color rgb="FFBF8F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DE7E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BF8F00"/>
      <rgbColor rgb="FFFF6600"/>
      <rgbColor rgb="FF595959"/>
      <rgbColor rgb="FFB08948"/>
      <rgbColor rgb="FF0B1F3A"/>
      <rgbColor rgb="FF4F81BD"/>
      <rgbColor rgb="FF003300"/>
      <rgbColor rgb="FF333300"/>
      <rgbColor rgb="FFB3261E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DÖNEMSEL BORÇ HACMİ VE MALİYET TRENDİ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'PANO'!C14</f>
            </strRef>
          </tx>
          <spPr>
            <a:solidFill xmlns:a="http://schemas.openxmlformats.org/drawingml/2006/main">
              <a:srgbClr val="1B365D"/>
            </a:solidFill>
            <a:ln xmlns:a="http://schemas.openxmlformats.org/drawingml/2006/main">
              <a:prstDash val="solid"/>
            </a:ln>
          </spPr>
          <cat>
            <numRef>
              <f>'PANO'!$B$15:$B$20</f>
            </numRef>
          </cat>
          <val>
            <numRef>
              <f>'PANO'!$C$15:$C$20</f>
            </numRef>
          </val>
        </ser>
        <ser>
          <idx val="1"/>
          <order val="1"/>
          <tx>
            <strRef>
              <f>'PANO'!D14</f>
            </strRef>
          </tx>
          <spPr>
            <a:solidFill xmlns:a="http://schemas.openxmlformats.org/drawingml/2006/main">
              <a:srgbClr val="D97706"/>
            </a:solidFill>
            <a:ln xmlns:a="http://schemas.openxmlformats.org/drawingml/2006/main">
              <a:prstDash val="solid"/>
            </a:ln>
          </spPr>
          <cat>
            <numRef>
              <f>'PANO'!$B$15:$B$20</f>
            </numRef>
          </cat>
          <val>
            <numRef>
              <f>'PANO'!$D$15:$D$20</f>
            </numRef>
          </val>
        </ser>
        <ser>
          <idx val="2"/>
          <order val="2"/>
          <tx>
            <strRef>
              <f>'PANO'!E14</f>
            </strRef>
          </tx>
          <spPr>
            <a:solidFill xmlns:a="http://schemas.openxmlformats.org/drawingml/2006/main">
              <a:srgbClr val="059669"/>
            </a:solidFill>
            <a:ln xmlns:a="http://schemas.openxmlformats.org/drawingml/2006/main">
              <a:prstDash val="solid"/>
            </a:ln>
          </spPr>
          <cat>
            <numRef>
              <f>'PANO'!$B$15:$B$20</f>
            </numRef>
          </cat>
          <val>
            <numRef>
              <f>'PANO'!$E$15:$E$20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Dönemler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 / Endeks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KONSOLİDE BORÇ DAĞILIMI</a:t>
            </a:r>
          </a:p>
        </rich>
      </tx>
    </title>
    <plotArea>
      <doughnutChart>
        <varyColors val="1"/>
        <ser>
          <idx val="0"/>
          <order val="0"/>
          <tx>
            <strRef>
              <f>'PANO'!I14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365D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7706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59669"/>
              </a:solidFill>
              <a:ln xmlns:a="http://schemas.openxmlformats.org/drawingml/2006/main">
                <a:prstDash val="solid"/>
              </a:ln>
            </spPr>
          </dPt>
          <cat>
            <numRef>
              <f>'PANO'!$H$15:$H$18</f>
            </numRef>
          </cat>
          <val>
            <numRef>
              <f>'PANO'!$I$15:$I$18</f>
            </numRef>
          </val>
        </ser>
        <firstSliceAng val="0"/>
        <holeSize val="6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Senaryo Karşılaştırma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SENARYO_DUYARLILIK!B16</f>
              <strCache>
                <ptCount val="1"/>
                <pt idx="0">
                  <v>Toplam Borç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SENARYO_DUYARLILIK!$A$17:$A$19</f>
              <strCache>
                <ptCount val="3"/>
                <pt idx="0">
                  <v>Kötümser</v>
                </pt>
                <pt idx="1">
                  <v>Baz</v>
                </pt>
                <pt idx="2">
                  <v>İyimser</v>
                </pt>
              </strCache>
            </strRef>
          </cat>
          <val>
            <numRef>
              <f>SENARYO_DUYARLILIK!$B$17:$B$19</f>
              <numCache>
                <formatCode>"₺ "#,##0;[RED]"(₺ "#,##0\);\-</formatCode>
                <ptCount val="3"/>
                <pt idx="0">
                  <v>18568000</v>
                </pt>
                <pt idx="1">
                  <v>16880000</v>
                </pt>
                <pt idx="2">
                  <v>15192000</v>
                </pt>
              </numCache>
            </numRef>
          </val>
        </ser>
        <gapWidth val="150"/>
        <overlap val="0"/>
        <axId val="1614255"/>
        <axId val="80073908"/>
      </barChart>
      <catAx>
        <axId val="161425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80073908"/>
        <crosses val="autoZero"/>
        <auto val="1"/>
        <lblAlgn val="ctr"/>
        <lblOffset val="100"/>
        <noMultiLvlLbl val="0"/>
      </catAx>
      <valAx>
        <axId val="8007390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161425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Tornado — Borç Etkileri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SENARYO_DUYARLILIK!C10</f>
              <strCache>
                <ptCount val="1"/>
                <pt idx="0">
                  <v>Etki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SENARYO_DUYARLILIK!$A$11:$A$13</f>
              <strCache>
                <ptCount val="3"/>
                <pt idx="0">
                  <v>Döviz Borcu +%10</v>
                </pt>
                <pt idx="1">
                  <v>Faiz Maliyeti +%10</v>
                </pt>
                <pt idx="2">
                  <v>30 Günlük Ödeme +%10</v>
                </pt>
              </strCache>
            </strRef>
          </cat>
          <val>
            <numRef>
              <f>SENARYO_DUYARLILIK!$C$11:$C$13</f>
              <numCache>
                <formatCode>"₺ "#,##0;[RED]"(₺ "#,##0\);\-</formatCode>
                <ptCount val="3"/>
                <pt idx="0">
                  <v>18000</v>
                </pt>
                <pt idx="1">
                  <v>556930</v>
                </pt>
                <pt idx="2">
                  <v>93486.39999999999</v>
                </pt>
              </numCache>
            </numRef>
          </val>
        </ser>
        <gapWidth val="150"/>
        <overlap val="0"/>
        <axId val="44914678"/>
        <axId val="95969626"/>
      </barChart>
      <catAx>
        <axId val="4491467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95969626"/>
        <crosses val="autoZero"/>
        <auto val="1"/>
        <lblAlgn val="ctr"/>
        <lblOffset val="100"/>
        <noMultiLvlLbl val="0"/>
      </catAx>
      <valAx>
        <axId val="9596962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4491467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B5" authorId="0" shapeId="0">
      <text>
        <t>Tanım: Kredi Sayısı | Neden önemli: Karar motoru girdisi | Doğru giriş: Formül | Örnek: - | Yanlışsa: - | Not: KREDILER tablosundaki dolu kredi sayısı.</t>
      </text>
    </comment>
    <comment ref="B6" authorId="0" shapeId="0">
      <text>
        <t>Tanım: Banka Sayısı | Neden önemli: Karar motoru girdisi | Doğru giriş: Formül | Örnek: - | Yanlışsa: - | Not: BANKALAR tablosundaki banka kartı sayısı.</t>
      </text>
    </comment>
    <comment ref="B7" authorId="0" shapeId="0">
      <text>
        <t>Tanım: Toplam Anapara | Neden önemli: Karar motoru girdisi | Doğru giriş: Formül | Örnek: - | Yanlışsa: - | Not: Kullanıma verilen toplam anapara.</t>
      </text>
    </comment>
    <comment ref="B8" authorId="0" shapeId="0">
      <text>
        <t>Tanım: Güncel Bakiye Toplamı | Neden önemli: Karar motoru girdisi | Doğru giriş: Formül | Örnek: - | Yanlışsa: - | Not: Kredilerin bugünkü kalan anapara toplamı.</t>
      </text>
    </comment>
    <comment ref="B9" authorId="0" shapeId="0">
      <text>
        <t>Tanım: TRY Bakiye | Neden önemli: Karar motoru girdisi | Doğru giriş: Formül | Örnek: - | Yanlışsa: - | Not: TRY cinsi kalan bakiye.</t>
      </text>
    </comment>
    <comment ref="B10" authorId="0" shapeId="0">
      <text>
        <t>Tanım: USD Bakiye | Neden önemli: Karar motoru girdisi | Doğru giriş: Formül | Örnek: - | Yanlışsa: - | Not: USD cinsi kalan bakiye.</t>
      </text>
    </comment>
    <comment ref="B11" authorId="0" shapeId="0">
      <text>
        <t>Tanım: EUR Bakiye | Neden önemli: Karar motoru girdisi | Doğru giriş: Formül | Örnek: - | Yanlışsa: - | Not: EUR cinsi kalan bakiye.</t>
      </text>
    </comment>
    <comment ref="B12" authorId="0" shapeId="0">
      <text>
        <t>Tanım: Döviz Bakiye | Neden önemli: Karar motoru girdisi | Doğru giriş: Formül | Örnek: - | Yanlışsa: - | Not: TRY dışı toplam bakiye (kur riski).</t>
      </text>
    </comment>
    <comment ref="B13" authorId="0" shapeId="0">
      <text>
        <t>Tanım: Toplam Aylık Taksit | Neden önemli: Karar motoru girdisi | Doğru giriş: Formül | Örnek: - | Yanlışsa: - | Not: TAKSIT_PLANI toplam ödeme tutarı.</t>
      </text>
    </comment>
    <comment ref="B14" authorId="0" shapeId="0">
      <text>
        <t>Tanım: Ödenmemiş Taksit Toplamı | Neden önemli: Karar motoru girdisi | Doğru giriş: Formül | Örnek: - | Yanlışsa: - | Not: Henüz ödenmemiş taksitlerin toplamı.</t>
      </text>
    </comment>
    <comment ref="B15" authorId="0" shapeId="0">
      <text>
        <t>Tanım: 30 Günlük Ödeme Yükü | Neden önemli: Karar motoru girdisi | Doğru giriş: Formül | Örnek: - | Yanlışsa: - | Not: Önümüzdeki 30 günde ödenecek taksit toplamı.</t>
      </text>
    </comment>
    <comment ref="B16" authorId="0" shapeId="0">
      <text>
        <t>Tanım: Vadesi Geçen Taksit Sayısı | Neden önemli: Karar motoru girdisi | Doğru giriş: Formül | Örnek: - | Yanlışsa: - | Not: Kalan günü eksi olan taksit kaydı sayısı.</t>
      </text>
    </comment>
    <comment ref="B17" authorId="0" shapeId="0">
      <text>
        <t>Tanım: Vadesi Geçen Taksit Tutarı | Neden önemli: Karar motoru girdisi | Doğru giriş: Formül | Örnek: - | Yanlışsa: - | Not: Vadesi geçmiş taksitlerin tutarı.</t>
      </text>
    </comment>
    <comment ref="B18" authorId="0" shapeId="0">
      <text>
        <t>Tanım: TRY Masraf | Neden önemli: Karar motoru girdisi | Doğru giriş: Formül | Örnek: - | Yanlışsa: - | Not: TRY cinsi tahsis/sigorta/komisyon toplamı.</t>
      </text>
    </comment>
    <comment ref="B19" authorId="0" shapeId="0">
      <text>
        <t>Tanım: USD Masraf | Neden önemli: Karar motoru girdisi | Doğru giriş: Formül | Örnek: - | Yanlışsa: - | Not: USD cinsi masraf toplamı.</t>
      </text>
    </comment>
    <comment ref="B20" authorId="0" shapeId="0">
      <text>
        <t>Tanım: Mutabakat Farkı | Neden önemli: Karar motoru girdisi | Doğru giriş: Formül | Örnek: - | Yanlışsa: - | Not: Kalan anapara ile ödenmemiş taksit anaparaları arasındaki fark.</t>
      </text>
    </comment>
    <comment ref="B21" authorId="0" shapeId="0">
      <text>
        <t>Tanım: Toplam Teminat | Neden önemli: Karar motoru girdisi | Doğru giriş: Formül | Örnek: - | Yanlışsa: - | Not: Teminatların ekspertiz değeri toplamı.</t>
      </text>
    </comment>
    <comment ref="B22" authorId="0" shapeId="0">
      <text>
        <t>Tanım: Kullanılan Limit | Neden önemli: Karar motoru girdisi | Doğru giriş: Formül | Örnek: - | Yanlışsa: - | Not: Banka limitlerinden kullanılan toplam.</t>
      </text>
    </comment>
    <comment ref="B23" authorId="0" shapeId="0">
      <text>
        <t>Tanım: Kalan Limit | Neden önemli: Karar motoru girdisi | Doğru giriş: Formül | Örnek: - | Yanlışsa: - | Not: Kullanılabilir kalan toplam limit.</t>
      </text>
    </comment>
    <comment ref="B24" authorId="0" shapeId="0">
      <text>
        <t>Tanım: Ağırlıklı Maliyet | Neden önemli: Karar motoru girdisi | Doğru giriş: Formül | Örnek: - | Yanlışsa: - | Not: Bakiye ağırlıklı ortalama yıllık faiz.</t>
      </text>
    </comment>
    <comment ref="B26" authorId="0" shapeId="0">
      <text>
        <t>Tanım: Eksik Zorunlu Alan | Neden önemli: Güven düzeyini belirler | Doğru giriş: Formül | Örnek: - | Yanlışsa: -</t>
      </text>
    </comment>
    <comment ref="B27" authorId="0" shapeId="0">
      <text>
        <t>Tanım: Sıfır/Negatif Tutar | Neden önemli: Güven düzeyini belirler | Doğru giriş: Formül | Örnek: - | Yanlışsa: -</t>
      </text>
    </comment>
    <comment ref="B28" authorId="0" shapeId="0">
      <text>
        <t>Tanım: Mükerrer Kredi ID | Neden önemli: Güven düzeyini belirler | Doğru giriş: Formül | Örnek: - | Yanlışsa: -</t>
      </text>
    </comment>
    <comment ref="B29" authorId="0" shapeId="0">
      <text>
        <t>Tanım: Vadesi Geçen Taksit | Neden önemli: Güven düzeyini belirler | Doğru giriş: Formül | Örnek: - | Yanlışsa: -</t>
      </text>
    </comment>
    <comment ref="B30" authorId="0" shapeId="0">
      <text>
        <t>Tanım: Mutabakat Fark Oranı | Neden önemli: Güven düzeyini belirler | Doğru giriş: Formül | Örnek: - | Yanlışsa: -</t>
      </text>
    </comment>
    <comment ref="B31" authorId="0" shapeId="0">
      <text>
        <t>Tanım: Veri Kalite Skoru | Neden önemli: Güven düzeyini belirler | Doğru giriş: Formül | Örnek: - | Yanlışsa: -</t>
      </text>
    </comment>
    <comment ref="B33" authorId="0" shapeId="0">
      <text>
        <t>Tanım: Modül T1: Vadesi Geçen Taksit | Neden önemli: Analitik derinlik katmanı | Doğru giriş: Formül | Örnek: - | Yanlışsa: - | Not: Vade yaşlandırması: geçmiş taksit sayısı.</t>
      </text>
    </comment>
    <comment ref="C33" authorId="0" shapeId="0">
      <text>
        <t>Tanım: T1 Vade Yaşlandırma makine yorumu | Neden önemli: D03-D05 modül geçerlilik şartı | Doğru giriş: Formül | Örnek: - | Yanlışsa: -</t>
      </text>
    </comment>
    <comment ref="B34" authorId="0" shapeId="0">
      <text>
        <t>Tanım: Modül T2: Ödeme Eğimi | Neden önemli: Analitik derinlik katmanı | Doğru giriş: Formül | Örnek: - | Yanlışsa: - | Not: Ödeme tutarının tarihe göre eğimi (TL/gün).</t>
      </text>
    </comment>
    <comment ref="C34" authorId="0" shapeId="0">
      <text>
        <t>Tanım: T2 Ödeme Eğimi makine yorumu | Neden önemli: D03-D05 modül geçerlilik şartı | Doğru giriş: Formül | Örnek: - | Yanlışsa: -</t>
      </text>
    </comment>
    <comment ref="B35" authorId="0" shapeId="0">
      <text>
        <t>Tanım: Modül T3: Borçta Pareto Payı | Neden önemli: Analitik derinlik katmanı | Doğru giriş: Formül | Örnek: - | Yanlışsa: - | Not: En büyük bankanın borç payı.</t>
      </text>
    </comment>
    <comment ref="C35" authorId="0" shapeId="0">
      <text>
        <t>Tanım: T3 Borçta Pareto Payı makine yorumu | Neden önemli: D03-D05 modül geçerlilik şartı | Doğru giriş: Formül | Örnek: - | Yanlışsa: -</t>
      </text>
    </comment>
    <comment ref="B36" authorId="0" shapeId="0">
      <text>
        <t>Tanım: Modül T4: Aylık Yük Oranı | Neden önemli: Analitik derinlik katmanı | Doğru giriş: Formül | Örnek: - | Yanlışsa: - | Not: 30 günlük yükün toplam bakiyeye oranı.</t>
      </text>
    </comment>
    <comment ref="C36" authorId="0" shapeId="0">
      <text>
        <t>Tanım: T4 Aylık Yük Oranı makine yorumu | Neden önemli: D03-D05 modül geçerlilik şartı | Doğru giriş: Formül | Örnek: - | Yanlışsa: -</t>
      </text>
    </comment>
    <comment ref="B37" authorId="0" shapeId="0">
      <text>
        <t>Tanım: Modül T5: Mutabakat Farkı | Neden önemli: Analitik derinlik katmanı | Doğru giriş: Formül | Örnek: - | Yanlışsa: - | Not: Anapara ile ödeme planı farkı.</t>
      </text>
    </comment>
    <comment ref="C37" authorId="0" shapeId="0">
      <text>
        <t>Tanım: T5 Mutabakat Farkı makine yorumu | Neden önemli: D03-D05 modül geçerlilik şartı | Doğru giriş: Formül | Örnek: - | Yanlışsa: -</t>
      </text>
    </comment>
    <comment ref="B38" authorId="0" shapeId="0">
      <text>
        <t>Tanım: Modül T6: Kaldıraç Oranı | Neden önemli: Analitik derinlik katmanı | Doğru giriş: Formül | Örnek: - | Yanlışsa: - | Not: Toplam bakiye / yıllık faaliyet kârı.</t>
      </text>
    </comment>
    <comment ref="C38" authorId="0" shapeId="0">
      <text>
        <t>Tanım: T6 Kaldıraç Oranı makine yorumu | Neden önemli: D03-D05 modül geçerlilik şartı | Doğru giriş: Formül | Örnek: - | Yanlışsa: -</t>
      </text>
    </comment>
    <comment ref="B39" authorId="0" shapeId="0">
      <text>
        <t>Tanım: Modül O1: Anomali Oranı | Neden önemli: Analitik derinlik katmanı | Doğru giriş: Formül | Örnek: - | Yanlışsa: - | Not: En yüksek taksitin ortalamaya oranı.</t>
      </text>
    </comment>
    <comment ref="C39" authorId="0" shapeId="0">
      <text>
        <t>Tanım: O1 Anomali Oranı makine yorumu | Neden önemli: D03-D05 modül geçerlilik şartı | Doğru giriş: Formül | Örnek: - | Yanlışsa: -</t>
      </text>
    </comment>
    <comment ref="B40" authorId="0" shapeId="0">
      <text>
        <t>Tanım: Modül O2: Tornado Zirve Etki | Neden önemli: Analitik derinlik katmanı | Doğru giriş: Formül | Örnek: - | Yanlışsa: - | Not: Duyarlılık değişkenlerinin en yüksek etkisi.</t>
      </text>
    </comment>
    <comment ref="C40" authorId="0" shapeId="0">
      <text>
        <t>Tanım: O2 Tornado Zirve Etki makine yorumu | Neden önemli: D03-D05 modül geçerlilik şartı | Doğru giriş: Formül | Örnek: - | Yanlışsa: -</t>
      </text>
    </comment>
    <comment ref="B41" authorId="0" shapeId="0">
      <text>
        <t>Tanım: Modül O3: Senaryo Farkı | Neden önemli: Analitik derinlik katmanı | Doğru giriş: Formül | Örnek: - | Yanlışsa: - | Not: İyimser ile kötümser senaryo arası borç farkı.</t>
      </text>
    </comment>
    <comment ref="C41" authorId="0" shapeId="0">
      <text>
        <t>Tanım: O3 Senaryo Farkı makine yorumu | Neden önemli: D03-D05 modül geçerlilik şartı | Doğru giriş: Formül | Örnek: - | Yanlışsa: -</t>
      </text>
    </comment>
    <comment ref="B42" authorId="0" shapeId="0">
      <text>
        <t>Tanım: Modül O4: Borç Servis Karşılama (DSCR) | Neden önemli: Analitik derinlik katmanı | Doğru giriş: Formül | Örnek: - | Yanlışsa: - | Not: Aylık nakit kaynağının borç servisini karşılama oranı.</t>
      </text>
    </comment>
    <comment ref="C42" authorId="0" shapeId="0">
      <text>
        <t>Tanım: O4 Borç Servis Karşılama makine yorumu | Neden önemli: D03-D05 modül geçerlilik şartı | Doğru giriş: Formül | Örnek: - | Yanlışsa: -</t>
      </text>
    </comment>
    <comment ref="B43" authorId="0" shapeId="0">
      <text>
        <t>Tanım: Modül O6: Banka Yoğunlaşma (HHI) | Neden önemli: Analitik derinlik katmanı | Doğru giriş: Formül | Örnek: - | Yanlışsa: - | Not: Banka bazında borç yoğunlaşma endeksi.</t>
      </text>
    </comment>
    <comment ref="C43" authorId="0" shapeId="0">
      <text>
        <t>Tanım: O6 Banka Yoğunlaşma makine yorumu | Neden önemli: D03-D05 modül geçerlilik şartı | Doğru giriş: Formül | Örnek: - | Yanlışsa: -</t>
      </text>
    </comment>
    <comment ref="B44" authorId="0" shapeId="0">
      <text>
        <t>Tanım: Modül O8: Veri Kalite Skoru | Neden önemli: Analitik derinlik katmanı | Doğru giriş: Formül | Örnek: - | Yanlışsa: - | Not: Giriş kalitesinden türeyen canlı skor.</t>
      </text>
    </comment>
    <comment ref="C44" authorId="0" shapeId="0">
      <text>
        <t>Tanım: O8 Veri Kalite Skoru makine yorumu | Neden önemli: D03-D05 modül geçerlilik şartı | Doğru giriş: Formül | Örnek: - | Yanlışsa: -</t>
      </text>
    </comment>
    <comment ref="B45" authorId="0" shapeId="0">
      <text>
        <t>Tanım: Modül I1: Ödeme Tahmini | Neden önemli: Analitik derinlik katmanı | Doğru giriş: Formül | Örnek: - | Yanlışsa: - | Not: Son ödeme tarihinden 30 gün sonrası için ödeme tahmini.</t>
      </text>
    </comment>
    <comment ref="C45" authorId="0" shapeId="0">
      <text>
        <t>Tanım: I1 Ödeme Tahmini makine yorumu | Neden önemli: D03-D05 modül geçerlilik şartı | Doğru giriş: Formül | Örnek: - | Yanlışsa: -</t>
      </text>
    </comment>
    <comment ref="B46" authorId="0" shapeId="0">
      <text>
        <t>Tanım: Modül I2: Ödeme P90 | Neden önemli: Analitik derinlik katmanı | Doğru giriş: Formül | Örnek: - | Yanlışsa: - | Not: Aylık ödeme tutarlarının P90 değeri.</t>
      </text>
    </comment>
    <comment ref="C46" authorId="0" shapeId="0">
      <text>
        <t>Tanım: I2 Ödeme P90 makine yorumu | Neden önemli: D03-D05 modül geçerlilik şartı | Doğru giriş: Formül | Örnek: - | Yanlışsa: -</t>
      </text>
    </comment>
    <comment ref="B47" authorId="0" shapeId="0">
      <text>
        <t>Tanım: Modül I3: Refinansman Yıllık Tasarrufu | Neden önemli: Analitik derinlik katmanı | Doğru giriş: Formül | Örnek: - | Yanlışsa: - | Not: En iyi teklifin mevcut servise göre yıllık tasarrufu.</t>
      </text>
    </comment>
    <comment ref="C47" authorId="0" shapeId="0">
      <text>
        <t>Tanım: I3 Refinansman Tasarrufu makine yorumu | Neden önemli: D03-D05 modül geçerlilik şartı | Doğru giriş: Formül | Örnek: - | Yanlışsa: -</t>
      </text>
    </comment>
    <comment ref="B48" authorId="0" shapeId="0">
      <text>
        <t>Tanım: Modül I7: Nakit Açığı Köprüsü | Neden önemli: Analitik derinlik katmanı | Doğru giriş: Formül | Örnek: - | Yanlışsa: - | Not: 30 günlük yükün serbest nakdi aşan kısmı.</t>
      </text>
    </comment>
    <comment ref="C48" authorId="0" shapeId="0">
      <text>
        <t>Tanım: I7 Nakit Açığı Köprüsü makine yorumu | Neden önemli: D03-D05 modül geçerlilik şartı | Doğru giriş: Formül | Örnek: - | Yanlışsa: -</t>
      </text>
    </comment>
  </commentList>
</comments>
</file>

<file path=xl/comments/comment9.xml><?xml version="1.0" encoding="utf-8"?>
<comments xmlns="http://schemas.openxmlformats.org/spreadsheetml/2006/main">
  <authors>
    <author>ExcelArşiv</author>
  </authors>
  <commentLis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10.xml><?xml version="1.0" encoding="utf-8"?>
<comments xmlns="http://schemas.openxmlformats.org/spreadsheetml/2006/main">
  <authors>
    <author>ExcelArşiv</author>
  </authors>
  <commentList>
    <comment ref="B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Serbest Nakit | Neden önemli: Karar motoru ve senaryolar bu değerden beslenir | Doğru giriş: Sayısal değer | Örnek: 1800000 | Yanlışsa: karar ve pano yanlış üretilir | Kaynak: Kullanıcı beyanı</t>
      </text>
    </comment>
    <comment ref="B15" authorId="0" shapeId="0">
      <text>
        <t>Tanım: Aylık Faaliyet Nakdi | Neden önemli: Karar motoru ve senaryolar bu değerden beslenir | Doğru giriş: Sayısal değer | Örnek: 1250000 | Yanlışsa: karar ve pano yanlış üretilir | Kaynak: Kullanıcı beyanı</t>
      </text>
    </comment>
    <comment ref="B16" authorId="0" shapeId="0">
      <text>
        <t>Tanım: Yıllık Faaliyet Kârı | Neden önemli: Karar motoru ve senaryolar bu değerden beslenir | Doğru giriş: Sayısal değer | Örnek: 7200000 | Yanlışsa: karar ve pano yanlış üretilir | Kaynak: Kullanıcı beyanı</t>
      </text>
    </comment>
    <comment ref="B17" authorId="0" shapeId="0">
      <text>
        <t>Tanım: Yıllık Döviz Geliri | Neden önemli: Karar motoru ve senaryolar bu değerden beslenir | Doğru giriş: Sayısal değer | Örnek: 1500000 | Yanlışsa: karar ve pano yanlış üretilir | Kaynak: Kullanıcı beyanı</t>
      </text>
    </comment>
    <comment ref="B18" authorId="0" shapeId="0">
      <text>
        <t>Tanım: Likidite Eşiği | Neden önemli: Karar motoru ve senaryolar bu değerden beslenir | Doğru giriş: Sayısal değer | Örnek: 0.85 | Yanlışsa: karar ve pano yanlış üretilir | Kaynak: Varsayım</t>
      </text>
    </comment>
    <comment ref="B19" authorId="0" shapeId="0">
      <text>
        <t>Tanım: Döviz Geliri Eşiği | Neden önemli: Karar motoru ve senaryolar bu değerden beslenir | Doğru giriş: Sayısal değer | Örnek: 1.0 | Yanlışsa: karar ve pano yanlış üretilir | Kaynak: Varsayım</t>
      </text>
    </comment>
    <comment ref="B20" authorId="0" shapeId="0">
      <text>
        <t>Tanım: Kaldıraç Eşiği | Neden önemli: Karar motoru ve senaryolar bu değerden beslenir | Doğru giriş: Sayısal değer | Örnek: 3.0 | Yanlışsa: karar ve pano yanlış üretilir | Kaynak: Varsayım</t>
      </text>
    </comment>
    <comment ref="B21" authorId="0" shapeId="0">
      <text>
        <t>Tanım: Veri Kalite Yüksek Eşiği | Neden önemli: Karar motoru ve senaryolar bu değerden beslenir | Doğru giriş: Sayısal değer | Örnek: 80 | Yanlışsa: karar ve pano yanlış üretilir | Kaynak: Varsayım</t>
      </text>
    </comment>
    <comment ref="B22" authorId="0" shapeId="0">
      <text>
        <t>Tanım: Veri Kalite Orta Eşiği | Neden önemli: Karar motoru ve senaryolar bu değerden beslenir | Doğru giriş: Sayısal değer | Örnek: 50 | Yanlışsa: karar ve pano yanlış üretilir | Kaynak: Varsayım</t>
      </text>
    </comment>
    <comment ref="B23" authorId="0" shapeId="0">
      <text>
        <t>Tanım: Uyarı Puan Kesintisi | Neden önemli: Karar motoru ve senaryolar bu değerden beslenir | Doğru giriş: Sayısal değer | Örnek: 10 | Yanlışsa: karar ve pano yanlış üretilir | Kaynak: Varsayım</t>
      </text>
    </comment>
    <comment ref="B24" authorId="0" shapeId="0">
      <text>
        <t>Tanım: Duyarlılık Oranı | Neden önemli: Karar motoru ve senaryolar bu değerden beslenir | Doğru giriş: Sayısal değer | Örnek: 0.1 | Yanlışsa: karar ve pano yanlış üretilir | Kaynak: Varsayım</t>
      </text>
    </comment>
    <comment ref="B25" authorId="0" shapeId="0">
      <text>
        <t>Tanım: Ay Sayısı | Neden önemli: Karar motoru ve senaryolar bu değerden beslenir | Doğru giriş: Sayısal değer | Örnek: 12 | Yanlışsa: karar ve pano yanlış üretilir | Kaynak: Tasarım</t>
      </text>
    </comment>
    <comment ref="B26" authorId="0" shapeId="0">
      <text>
        <t>Tanım: Ay Pencere Günü 0 | Neden önemli: Karar motoru ve senaryolar bu değerden beslenir | Doğru giriş: Sayısal değer | Örnek: 0 | Yanlışsa: karar ve pano yanlış üretilir | Kaynak: Tasarım</t>
      </text>
    </comment>
    <comment ref="B27" authorId="0" shapeId="0">
      <text>
        <t>Tanım: Ay Pencere Günü 1 | Neden önemli: Karar motoru ve senaryolar bu değerden beslenir | Doğru giriş: Sayısal değer | Örnek: 30 | Yanlışsa: karar ve pano yanlış üretilir | Kaynak: Tasarım</t>
      </text>
    </comment>
    <comment ref="B28" authorId="0" shapeId="0">
      <text>
        <t>Tanım: Ay Pencere Günü 2 | Neden önemli: Karar motoru ve senaryolar bu değerden beslenir | Doğru giriş: Sayısal değer | Örnek: 60 | Yanlışsa: karar ve pano yanlış üretilir | Kaynak: Tasarım</t>
      </text>
    </comment>
    <comment ref="B29" authorId="0" shapeId="0">
      <text>
        <t>Tanım: Ay Pencere Günü 3 | Neden önemli: Karar motoru ve senaryolar bu değerden beslenir | Doğru giriş: Sayısal değer | Örnek: 90 | Yanlışsa: karar ve pano yanlış üretilir | Kaynak: Tasarım</t>
      </text>
    </comment>
    <comment ref="B30" authorId="0" shapeId="0">
      <text>
        <t>Tanım: Ay Pencere Günü 4 | Neden önemli: Karar motoru ve senaryolar bu değerden beslenir | Doğru giriş: Sayısal değer | Örnek: 120 | Yanlışsa: karar ve pano yanlış üretilir | Kaynak: Tasarım</t>
      </text>
    </comment>
    <comment ref="B31" authorId="0" shapeId="0">
      <text>
        <t>Tanım: Ay Pencere Günü 5 | Neden önemli: Karar motoru ve senaryolar bu değerden beslenir | Doğru giriş: Sayısal değer | Örnek: 150 | Yanlışsa: karar ve pano yanlış üretilir | Kaynak: Tasarım</t>
      </text>
    </comment>
    <comment ref="B32" authorId="0" shapeId="0">
      <text>
        <t>Tanım: Ay Pencere Günü 6 | Neden önemli: Karar motoru ve senaryolar bu değerden beslenir | Doğru giriş: Sayısal değer | Örnek: 180 | Yanlışsa: karar ve pano yanlış üretilir | Kaynak: Tasarım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29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29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twoCellAnchor editAs="oneCell">
    <from>
      <col>5</col>
      <colOff>0</colOff>
      <row>4</row>
      <rowOff>0</rowOff>
    </from>
    <to>
      <col>14</col>
      <colOff>255600</colOff>
      <row>21</row>
      <rowOff>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0</colOff>
      <row>19</row>
      <rowOff>0</rowOff>
    </from>
    <to>
      <col>14</col>
      <colOff>255600</colOff>
      <row>36</row>
      <rowOff>1080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Bankalar" displayName="tblBankalar" ref="A5:I1000" headerRowCount="1" totalsRowCount="0" totalsRowShown="0">
  <tableColumns count="9">
    <tableColumn id="1" name="Banka ID"/>
    <tableColumn id="2" name="Banka"/>
    <tableColumn id="3" name="Şube"/>
    <tableColumn id="4" name="Müşteri Numarası"/>
    <tableColumn id="5" name="IBAN"/>
    <tableColumn id="6" name="Durum"/>
    <tableColumn id="7" name="İlişki Yöneticisi"/>
    <tableColumn id="8" name="Telefon"/>
    <tableColumn id="9" name="Kontrol">
      <calculatedColumnFormula>=IF(ISBLANK($A6),"",IF(OR(ISBLANK($B6),ISBLANK($C6),ISBLANK($D6),ISBLANK($E6),ISBLANK($F6),ISBLANK($G6),ISBLANK($H6)),"EKSİK","OK"))</calculatedColumnFormula>
    </tableColumn>
  </tableColumns>
</table>
</file>

<file path=xl/tables/table2.xml><?xml version="1.0" encoding="utf-8"?>
<table xmlns="http://schemas.openxmlformats.org/spreadsheetml/2006/main" id="2" name="tblLimitler" displayName="tblLimitler" ref="A5:I1000" headerRowCount="1" totalsRowCount="0" totalsRowShown="0">
  <tableColumns count="9">
    <tableColumn id="1" name="Limit ID"/>
    <tableColumn id="2" name="Banka"/>
    <tableColumn id="3" name="Ürün Türü"/>
    <tableColumn id="4" name="Para Birimi"/>
    <tableColumn id="5" name="Toplam Limit"/>
    <tableColumn id="6" name="Kullanılan Limit"/>
    <tableColumn id="7" name="Kalan Limit">
      <calculatedColumnFormula>=IF(ISBLANK($A6),"",IF($E6="","",$E6-$F6))</calculatedColumnFormula>
    </tableColumn>
    <tableColumn id="8" name="Kullanım Oranı">
      <calculatedColumnFormula>=IF(ISBLANK($A6),"",IF($E6=0,"",$F6/$E6))</calculatedColumnFormula>
    </tableColumn>
    <tableColumn id="9" name="Kontrol">
      <calculatedColumnFormula>=IF(ISBLANK($A6),"",IF(OR(ISBLANK($B6),ISBLANK($C6),ISBLANK($D6),ISBLANK($E6),ISBLANK($F6)),"EKSİK","OK"))</calculatedColumnFormula>
    </tableColumn>
  </tableColumns>
</table>
</file>

<file path=xl/tables/table3.xml><?xml version="1.0" encoding="utf-8"?>
<table xmlns="http://schemas.openxmlformats.org/spreadsheetml/2006/main" id="3" name="tblKrediler" displayName="tblKrediler" ref="A5:N1000" headerRowCount="1" totalsRowCount="0" totalsRowShown="0">
  <tableColumns count="14">
    <tableColumn id="1" name="Kredi ID"/>
    <tableColumn id="2" name="Banka"/>
    <tableColumn id="3" name="Şube"/>
    <tableColumn id="4" name="Ürün Türü"/>
    <tableColumn id="5" name="Para Birimi"/>
    <tableColumn id="6" name="Kullandırım Tarihi"/>
    <tableColumn id="7" name="Anapara"/>
    <tableColumn id="8" name="Güncel Bakiye"/>
    <tableColumn id="9" name="Yıllık Faiz"/>
    <tableColumn id="10" name="Vade Ay"/>
    <tableColumn id="11" name="Aylık Taksit"/>
    <tableColumn id="12" name="Bitiş Tarihi"/>
    <tableColumn id="13" name="Açıklama"/>
    <tableColumn id="14" name="Kontrol">
      <calculatedColumnFormula>=IF(ISBLANK($A6),"",IF(OR(ISBLANK($B6),ISBLANK($C6),ISBLANK($D6),ISBLANK($E6),ISBLANK($F6),ISBLANK($G6),ISBLANK($H6),ISBLANK($I6),ISBLANK($J6),ISBLANK($K6),ISBLANK($L6)),"EKSİK","OK"))</calculatedColumnFormula>
    </tableColumn>
  </tableColumns>
</table>
</file>

<file path=xl/tables/table4.xml><?xml version="1.0" encoding="utf-8"?>
<table xmlns="http://schemas.openxmlformats.org/spreadsheetml/2006/main" id="4" name="tblTaksitPlani" displayName="tblTaksitPlani" ref="A5:L1000" headerRowCount="1" totalsRowCount="0" totalsRowShown="0">
  <tableColumns count="12">
    <tableColumn id="1" name="Plan ID"/>
    <tableColumn id="2" name="Kredi ID"/>
    <tableColumn id="3" name="Dönem"/>
    <tableColumn id="4" name="Ödeme Tarihi"/>
    <tableColumn id="5" name="Anapara"/>
    <tableColumn id="6" name="Faiz"/>
    <tableColumn id="7" name="Vergi/Fon"/>
    <tableColumn id="8" name="Komisyon"/>
    <tableColumn id="9" name="Toplam Ödeme"/>
    <tableColumn id="10" name="Ödeme Durumu"/>
    <tableColumn id="11" name="Kalan Gün"/>
    <tableColumn id="12" name="Kontrol">
      <calculatedColumnFormula>=IF(ISBLANK($A6),"",IF(OR(ISBLANK($B6),ISBLANK($C6),ISBLANK($D6),ISBLANK($E6),ISBLANK($F6),ISBLANK($G6),ISBLANK($H6),ISBLANK($I6),ISBLANK($J6)),"EKSİK","OK"))</calculatedColumnFormula>
    </tableColumn>
  </tableColumns>
</table>
</file>

<file path=xl/tables/table5.xml><?xml version="1.0" encoding="utf-8"?>
<table xmlns="http://schemas.openxmlformats.org/spreadsheetml/2006/main" id="5" name="tblOdemeTakvimi" displayName="tblOdemeTakvimi" ref="A5:G1000" headerRowCount="1" totalsRowCount="0" totalsRowShown="0">
  <tableColumns count="7">
    <tableColumn id="1" name="Kredi ID"/>
    <tableColumn id="2" name="Banka"/>
    <tableColumn id="3" name="Ödeme Tarihi"/>
    <tableColumn id="4" name="Toplam Ödeme"/>
    <tableColumn id="5" name="Kalan Gün"/>
    <tableColumn id="6" name="Zaman Dilimi">
      <calculatedColumnFormula>=IF(ISBLANK(TAKSIT_PLANI!$D6),"",IF(TAKSIT_PLANI!$K6&lt;0,"Vadesi Geçmiş",IF(TAKSIT_PLANI!$K6&lt;=30,"0-30 Gün",IF(TAKSIT_PLANI!$K6&lt;=60,"31-60 Gün","61 Gün ve Üzeri"))))</calculatedColumnFormula>
    </tableColumn>
    <tableColumn id="7" name="Ödeme Durumu"/>
  </tableColumns>
</table>
</file>

<file path=xl/tables/table6.xml><?xml version="1.0" encoding="utf-8"?>
<table xmlns="http://schemas.openxmlformats.org/spreadsheetml/2006/main" id="6" name="tblMasraflar" displayName="tblMasraflar" ref="A5:I1000" headerRowCount="1" totalsRowCount="0" totalsRowShown="0">
  <tableColumns count="9">
    <tableColumn id="1" name="Masraf ID"/>
    <tableColumn id="2" name="Kredi ID"/>
    <tableColumn id="3" name="Banka"/>
    <tableColumn id="4" name="Masraf Türü"/>
    <tableColumn id="5" name="İşlem Tarihi"/>
    <tableColumn id="6" name="Belge Numarası"/>
    <tableColumn id="7" name="Tutar"/>
    <tableColumn id="8" name="Para Birimi"/>
    <tableColumn id="9" name="Kontrol">
      <calculatedColumnFormula>=IF(ISBLANK($A6),"",IF(OR(ISBLANK($B6),ISBLANK($C6),ISBLANK($D6),ISBLANK($E6),ISBLANK($F6),ISBLANK($G6),ISBLANK($H6)),"EKSİK","OK"))</calculatedColumnFormula>
    </tableColumn>
  </tableColumns>
</table>
</file>

<file path=xl/tables/table7.xml><?xml version="1.0" encoding="utf-8"?>
<table xmlns="http://schemas.openxmlformats.org/spreadsheetml/2006/main" id="7" name="tblTeminatlar" displayName="tblTeminatlar" ref="A5:J1000" headerRowCount="1" totalsRowCount="0" totalsRowShown="0">
  <tableColumns count="10">
    <tableColumn id="1" name="Teminat ID"/>
    <tableColumn id="2" name="Kredi ID"/>
    <tableColumn id="3" name="Banka"/>
    <tableColumn id="4" name="Teminat Türü"/>
    <tableColumn id="5" name="Açıklama"/>
    <tableColumn id="6" name="Ekspertiz Değeri"/>
    <tableColumn id="7" name="Para Birimi"/>
    <tableColumn id="8" name="Değerleme Tarihi"/>
    <tableColumn id="9" name="Geçerlilik Bitişi"/>
    <tableColumn id="10" name="Kontrol">
      <calculatedColumnFormula>=IF(ISBLANK($A6),"",IF(OR(ISBLANK($B6),ISBLANK($C6),ISBLANK($D6),ISBLANK($E6),ISBLANK($F6),ISBLANK($G6),ISBLANK($H6),ISBLANK($I6)),"EKSİK","OK"))</calculatedColumnFormula>
    </tableColumn>
  </tableColumns>
</table>
</file>

<file path=xl/tables/table8.xml><?xml version="1.0" encoding="utf-8"?>
<table xmlns="http://schemas.openxmlformats.org/spreadsheetml/2006/main" id="8" name="tblYeniTeklifler" displayName="tblYeniTeklifler" ref="A5:K1000" headerRowCount="1" totalsRowCount="0" totalsRowShown="0">
  <tableColumns count="11">
    <tableColumn id="1" name="Teklif ID"/>
    <tableColumn id="2" name="Hedef Kredi ID"/>
    <tableColumn id="3" name="Banka"/>
    <tableColumn id="4" name="Tutar"/>
    <tableColumn id="5" name="Para Birimi"/>
    <tableColumn id="6" name="Vade Ay"/>
    <tableColumn id="7" name="Nominal Faiz"/>
    <tableColumn id="8" name="Toplam Masraf"/>
    <tableColumn id="9" name="Aylık Taksit"/>
    <tableColumn id="10" name="Öngörülen Maliyet"/>
    <tableColumn id="11" name="Kontrol">
      <calculatedColumnFormula>=IF(ISBLANK($A6),"",IF(OR(ISBLANK($B6),ISBLANK($C6),ISBLANK($D6),ISBLANK($E6),ISBLANK($F6),ISBLANK($G6),ISBLANK($H6)),"EKSİK","OK"))</calculatedColumnFormula>
    </tableColumn>
  </tableColumns>
</table>
</file>

<file path=xl/tables/table9.xml><?xml version="1.0" encoding="utf-8"?>
<table xmlns="http://schemas.openxmlformats.org/spreadsheetml/2006/main" id="9" name="tblRefinansman" displayName="tblRefinansman" ref="A5:J1000" headerRowCount="1" totalsRowCount="0" totalsRowShown="0">
  <tableColumns count="10">
    <tableColumn id="1" name="Teklif ID"/>
    <tableColumn id="2" name="Hedef Kredi ID"/>
    <tableColumn id="3" name="Mevcut Aylık Taksit"/>
    <tableColumn id="4" name="Yeni Aylık Taksit"/>
    <tableColumn id="5" name="Aylık Taksit Farkı"/>
    <tableColumn id="6" name="Nakit Rahatlaması"/>
    <tableColumn id="7" name="Yeni Toplam Maliyet"/>
    <tableColumn id="8" name="Mevcut Kalan Anapara"/>
    <tableColumn id="9" name="Karar">
      <calculatedColumnFormula>=IF(ISBLANK(YENI_TEKLIFLER!$A6),"",IF($E6&gt;0,"ADAY","DEĞİL"))</calculatedColumnFormula>
    </tableColumn>
    <tableColumn id="10" name="Kontro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#PANO!A1" TargetMode="External" Id="rId1"/><Relationship Type="http://schemas.openxmlformats.org/officeDocument/2006/relationships/hyperlink" Target="#G&#304;RD&#304;LER!A1" TargetMode="External" Id="rId2"/><Relationship Type="http://schemas.openxmlformats.org/officeDocument/2006/relationships/hyperlink" Target="#Y&#214;NET&#304;M_RAPORU!A1" TargetMode="External" Id="rId3"/><Relationship Type="http://schemas.openxmlformats.org/officeDocument/2006/relationships/hyperlink" Target="#AYARLAR!A1" TargetMode="External" Id="rId4"/><Relationship Type="http://schemas.openxmlformats.org/officeDocument/2006/relationships/hyperlink" Target="#PANO!A1" TargetMode="External" Id="rId5"/><Relationship Type="http://schemas.openxmlformats.org/officeDocument/2006/relationships/hyperlink" Target="#G&#304;RD&#304;LER!A1" TargetMode="External" Id="rId6"/><Relationship Type="http://schemas.openxmlformats.org/officeDocument/2006/relationships/hyperlink" Target="#Y&#214;NET&#304;M_RAPORU!A1" TargetMode="External" Id="rId7"/><Relationship Type="http://schemas.openxmlformats.org/officeDocument/2006/relationships/hyperlink" Target="#RAPOR!A1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#REFINANSMAN!A1" TargetMode="External" Id="rId1"/><Relationship Type="http://schemas.openxmlformats.org/officeDocument/2006/relationships/drawing" Target="/xl/drawings/drawing1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tabColor rgb="00059669"/>
    <outlinePr summaryBelow="1" summaryRight="1"/>
    <pageSetUpPr/>
  </sheetPr>
  <dimension ref="A1:AC26"/>
  <sheetViews>
    <sheetView showGridLines="0" workbookViewId="0">
      <selection activeCell="A1" sqref="A1"/>
    </sheetView>
  </sheetViews>
  <sheetFormatPr baseColWidth="8" defaultRowHeight="15"/>
  <cols>
    <col width="3.6" customWidth="1" style="50" min="1" max="1"/>
    <col width="114.5" customWidth="1" style="50" min="2" max="2"/>
    <col width="30" customWidth="1" style="50" min="3" max="3"/>
    <col width="13" customWidth="1" style="50" min="4" max="4"/>
    <col width="13" customWidth="1" style="50" min="5" max="5"/>
    <col width="3.7" customWidth="1" style="50" min="6" max="6"/>
    <col width="8.800000000000001" customWidth="1" style="50" min="7" max="7"/>
    <col width="3.7" customWidth="1" style="50" min="8" max="8"/>
    <col width="10.4" customWidth="1" style="50" min="9" max="9"/>
    <col width="13" customWidth="1" style="50" min="10" max="10"/>
    <col width="13" customWidth="1" style="50" min="11" max="11"/>
    <col width="3.7" customWidth="1" style="50" min="12" max="12"/>
    <col width="7.5" customWidth="1" style="50" min="13" max="13"/>
    <col width="3.7" customWidth="1" style="50" min="14" max="14"/>
    <col width="10.4" customWidth="1" style="50" min="15" max="15"/>
    <col width="13" customWidth="1" style="50" min="16" max="16"/>
    <col width="13" customWidth="1" style="50" min="17" max="17"/>
    <col width="3.7" customWidth="1" style="50" min="18" max="18"/>
    <col width="8.800000000000001" customWidth="1" style="50" min="19" max="19"/>
  </cols>
  <sheetData>
    <row r="1" ht="7.8" customHeight="1" s="50"/>
    <row r="2" ht="36" customHeight="1" s="50">
      <c r="B2" s="352" t="inlineStr">
        <is>
          <t>KILAVUZ</t>
        </is>
      </c>
    </row>
    <row r="3" ht="7.8" customHeight="1" s="50"/>
    <row r="4" ht="17.4" customHeight="1" s="50">
      <c r="B4" s="427" t="inlineStr">
        <is>
          <t>Banka, Kredi ve Taksit Takip Sistemi — C-Level Borç Portföyü ve Likidite Karar Kokpiti</t>
        </is>
      </c>
    </row>
    <row r="5" ht="17.4" customHeight="1" s="50">
      <c r="B5" s="428" t="inlineStr">
        <is>
          <t>Hedef Kitle: KOBİ Sahipleri, CFO, Finans Direktörleri ve Hazine Yöneticileri · VUK 185-198 &amp; TTK 64 Tam Uyumlu</t>
        </is>
      </c>
    </row>
    <row r="6" ht="10" customHeight="1" s="50">
      <c r="B6" s="355" t="n"/>
      <c r="C6" s="355" t="n"/>
      <c r="D6" s="355" t="n"/>
      <c r="E6" s="355" t="n"/>
      <c r="F6" s="355" t="n"/>
      <c r="H6" s="355" t="n"/>
      <c r="I6" s="355" t="n"/>
      <c r="J6" s="355" t="n"/>
      <c r="K6" s="355" t="n"/>
      <c r="L6" s="355" t="n"/>
      <c r="N6" s="355" t="n"/>
      <c r="O6" s="355" t="n"/>
      <c r="P6" s="355" t="n"/>
      <c r="Q6" s="355" t="n"/>
      <c r="R6" s="355" t="n"/>
    </row>
    <row r="7" ht="24" customHeight="1" s="50">
      <c r="B7" s="355" t="n"/>
      <c r="C7" s="356" t="inlineStr">
        <is>
          <t>1. SİSTEMİN ÖZÜ &amp; MANTIK</t>
        </is>
      </c>
      <c r="D7" s="357" t="n"/>
      <c r="E7" s="357" t="n"/>
      <c r="F7" s="355" t="n"/>
      <c r="H7" s="355" t="n"/>
      <c r="I7" s="356" t="inlineStr">
        <is>
          <t>2. YÖNETİCİ KOKPİTİ (PANO)</t>
        </is>
      </c>
      <c r="J7" s="357" t="n"/>
      <c r="K7" s="357" t="n"/>
      <c r="L7" s="355" t="n"/>
      <c r="N7" s="355" t="n"/>
      <c r="O7" s="356" t="inlineStr">
        <is>
          <t>3. VERİ GİRİŞİ &amp; STRES TESTİ</t>
        </is>
      </c>
      <c r="P7" s="357" t="n"/>
      <c r="Q7" s="357" t="n"/>
      <c r="R7" s="355" t="n"/>
    </row>
    <row r="8" ht="8" customHeight="1" s="50">
      <c r="B8" s="355" t="n"/>
      <c r="C8" s="355" t="n"/>
      <c r="D8" s="355" t="n"/>
      <c r="E8" s="355" t="n"/>
      <c r="F8" s="355" t="n"/>
      <c r="H8" s="355" t="n"/>
      <c r="I8" s="355" t="n"/>
      <c r="J8" s="355" t="n"/>
      <c r="K8" s="355" t="n"/>
      <c r="L8" s="355" t="n"/>
      <c r="N8" s="355" t="n"/>
      <c r="O8" s="355" t="n"/>
      <c r="P8" s="355" t="n"/>
      <c r="Q8" s="355" t="n"/>
      <c r="R8" s="355" t="n"/>
    </row>
    <row r="9" ht="20" customHeight="1" s="50">
      <c r="B9" s="355" t="n"/>
      <c r="C9" s="358" t="inlineStr">
        <is>
          <t>Her kademedeki yöneticinin anında kavrayabileceği yalınlıkta sistem özeti, kullanım kılavuzu ve finans terimleri sözlüğü.</t>
        </is>
      </c>
      <c r="F9" s="355" t="n"/>
      <c r="H9" s="355" t="n"/>
      <c r="I9" s="358" t="inlineStr">
        <is>
          <t>Banka borçlarını, 30 günlük ödeme baskısını ve refinansman tasarruf potansiyelini tek ekranda izleyin.</t>
        </is>
      </c>
      <c r="L9" s="355" t="n"/>
      <c r="N9" s="355" t="n"/>
      <c r="O9" s="358" t="inlineStr">
        <is>
          <t>Kredi sözleşmelerini girin; -%20 nakit daralması kriz testini ve A4 kurumsal yönetim raporunu alın.</t>
        </is>
      </c>
      <c r="R9" s="355" t="n"/>
    </row>
    <row r="10" ht="20" customHeight="1" s="50">
      <c r="B10" s="355" t="n"/>
      <c r="F10" s="355" t="n"/>
      <c r="H10" s="355" t="n"/>
      <c r="L10" s="355" t="n"/>
      <c r="N10" s="355" t="n"/>
      <c r="R10" s="355" t="n"/>
    </row>
    <row r="11" ht="20" customHeight="1" s="50">
      <c r="B11" s="355" t="n"/>
      <c r="F11" s="355" t="n"/>
      <c r="H11" s="355" t="n"/>
      <c r="L11" s="355" t="n"/>
      <c r="N11" s="355" t="n"/>
      <c r="R11" s="355" t="n"/>
    </row>
    <row r="12" ht="20" customHeight="1" s="50">
      <c r="B12" s="355" t="n"/>
      <c r="F12" s="355" t="n"/>
      <c r="H12" s="355" t="n"/>
      <c r="L12" s="355" t="n"/>
      <c r="N12" s="355" t="n"/>
      <c r="R12" s="355" t="n"/>
    </row>
    <row r="13" ht="10" customHeight="1" s="50">
      <c r="B13" s="355" t="n"/>
      <c r="C13" s="355" t="n"/>
      <c r="D13" s="355" t="n"/>
      <c r="E13" s="355" t="n"/>
      <c r="F13" s="355" t="n"/>
      <c r="H13" s="355" t="n"/>
      <c r="I13" s="355" t="n"/>
      <c r="J13" s="355" t="n"/>
      <c r="K13" s="355" t="n"/>
      <c r="L13" s="355" t="n"/>
      <c r="N13" s="355" t="n"/>
      <c r="O13" s="355" t="n"/>
      <c r="P13" s="355" t="n"/>
      <c r="Q13" s="355" t="n"/>
      <c r="R13" s="355" t="n"/>
    </row>
    <row r="14" ht="28" customHeight="1" s="50">
      <c r="B14" s="355" t="n"/>
      <c r="C14" s="359" t="inlineStr">
        <is>
          <t>📖 SİSTEM REHBERİ (#00_HAKKINDA_VE_REHBER!A1)</t>
        </is>
      </c>
      <c r="D14" s="369" t="n"/>
      <c r="E14" s="370" t="n"/>
      <c r="F14" s="355" t="n"/>
      <c r="H14" s="355" t="n"/>
      <c r="I14" s="359" t="inlineStr">
        <is>
          <t>▶ CANLI PANO (#PANO!A1)</t>
        </is>
      </c>
      <c r="J14" s="369" t="n"/>
      <c r="K14" s="370" t="n"/>
      <c r="L14" s="355" t="n"/>
      <c r="N14" s="355" t="n"/>
      <c r="O14" s="359" t="inlineStr">
        <is>
          <t>📋 GİRDİLERİ DÜZENLE (#GİRDİLER!A1)</t>
        </is>
      </c>
      <c r="P14" s="369" t="n"/>
      <c r="Q14" s="370" t="n"/>
      <c r="R14" s="355" t="n"/>
    </row>
    <row r="15" ht="8" customHeight="1" s="50">
      <c r="B15" s="355" t="n"/>
      <c r="C15" s="355" t="n"/>
      <c r="D15" s="355" t="n"/>
      <c r="E15" s="355" t="n"/>
      <c r="F15" s="355" t="n"/>
      <c r="H15" s="355" t="n"/>
      <c r="I15" s="355" t="n"/>
      <c r="J15" s="355" t="n"/>
      <c r="K15" s="355" t="n"/>
      <c r="L15" s="355" t="n"/>
      <c r="N15" s="355" t="n"/>
      <c r="O15" s="355" t="n"/>
      <c r="P15" s="355" t="n"/>
      <c r="Q15" s="355" t="n"/>
      <c r="R15" s="355" t="n"/>
    </row>
    <row r="16" ht="8" customHeight="1" s="50">
      <c r="B16" s="355" t="n"/>
      <c r="C16" s="355" t="n"/>
      <c r="D16" s="355" t="n"/>
      <c r="E16" s="355" t="n"/>
      <c r="F16" s="355" t="n"/>
      <c r="H16" s="355" t="n"/>
      <c r="I16" s="355" t="n"/>
      <c r="J16" s="355" t="n"/>
      <c r="K16" s="355" t="n"/>
      <c r="L16" s="355" t="n"/>
      <c r="N16" s="355" t="n"/>
      <c r="O16" s="355" t="n"/>
      <c r="P16" s="355" t="n"/>
      <c r="Q16" s="355" t="n"/>
      <c r="R16" s="355" t="n"/>
    </row>
    <row r="17"/>
    <row r="18" ht="14" customHeight="1" s="50"/>
    <row r="19" ht="28" customHeight="1" s="50">
      <c r="B19" s="361" t="inlineStr">
        <is>
          <t>5 AŞAMALI KURUMSAL ÇALIŞMA PROTOKOLÜ (PROSES REHBERİ)</t>
        </is>
      </c>
    </row>
    <row r="20"/>
    <row r="21" ht="26" customHeight="1" s="50">
      <c r="B21" s="443" t="inlineStr">
        <is>
          <t>AŞAMA NO</t>
        </is>
      </c>
      <c r="C21" s="444" t="inlineStr">
        <is>
          <t>AŞAMA ADI &amp; KAPSAM</t>
        </is>
      </c>
      <c r="D21" s="444" t="inlineStr">
        <is>
          <t>İŞLEM DETAYI VE YALIN MANTIK</t>
        </is>
      </c>
      <c r="N21" s="443" t="inlineStr">
        <is>
          <t>İLGİLİ SAYFALAR</t>
        </is>
      </c>
      <c r="P21" s="443" t="inlineStr">
        <is>
          <t>HIZLI ERİŞİM</t>
        </is>
      </c>
    </row>
    <row r="22" ht="36" customHeight="1" s="50">
      <c r="B22" s="445" t="inlineStr">
        <is>
          <t>AŞAMA 1</t>
        </is>
      </c>
      <c r="C22" s="446" t="inlineStr">
        <is>
          <t>SİSTEM KURULUMU &amp; PARAMETRELER</t>
        </is>
      </c>
      <c r="D22" s="447" t="inlineStr">
        <is>
          <t>Şirket unvanı, raporlama tarihi, serbest nakit ve risk toleranslarını tanımlayın.</t>
        </is>
      </c>
      <c r="E22" s="336" t="n"/>
      <c r="F22" s="336" t="n"/>
      <c r="G22" s="336" t="n"/>
      <c r="H22" s="336" t="n"/>
      <c r="I22" s="336" t="n"/>
      <c r="J22" s="336" t="n"/>
      <c r="K22" s="336" t="n"/>
      <c r="L22" s="336" t="n"/>
      <c r="M22" s="337" t="n"/>
      <c r="N22" s="448" t="inlineStr">
        <is>
          <t>AYARLAR, LISTELER</t>
        </is>
      </c>
      <c r="O22" s="337" t="n"/>
      <c r="P22" s="449" t="inlineStr">
        <is>
          <t>⚙ AYARLAR (#AYARLAR!A1)</t>
        </is>
      </c>
      <c r="Q22" s="336" t="n"/>
      <c r="R22" s="337" t="n"/>
    </row>
    <row r="23" ht="36" customHeight="1" s="50">
      <c r="B23" s="450" t="inlineStr">
        <is>
          <t>AŞAMA 2</t>
        </is>
      </c>
      <c r="C23" s="451" t="inlineStr">
        <is>
          <t>STRATEJİK KOKPİT &amp; İZLEME</t>
        </is>
      </c>
      <c r="D23" s="452" t="inlineStr">
        <is>
          <t>Kredi portföy büyüklüğü, 30 günlük ödeme baskısı ve likidite radarını tek ekrandan izleyin.</t>
        </is>
      </c>
      <c r="E23" s="336" t="n"/>
      <c r="F23" s="336" t="n"/>
      <c r="G23" s="336" t="n"/>
      <c r="H23" s="336" t="n"/>
      <c r="I23" s="336" t="n"/>
      <c r="J23" s="336" t="n"/>
      <c r="K23" s="336" t="n"/>
      <c r="L23" s="336" t="n"/>
      <c r="M23" s="337" t="n"/>
      <c r="N23" s="453" t="inlineStr">
        <is>
          <t>PANO</t>
        </is>
      </c>
      <c r="O23" s="337" t="n"/>
      <c r="P23" s="449" t="inlineStr">
        <is>
          <t>▶ PANO KOKPİTİ (#PANO!A1)</t>
        </is>
      </c>
      <c r="Q23" s="336" t="n"/>
      <c r="R23" s="337" t="n"/>
    </row>
    <row r="24" ht="36" customHeight="1" s="50">
      <c r="B24" s="445" t="inlineStr">
        <is>
          <t>AŞAMA 3</t>
        </is>
      </c>
      <c r="C24" s="446" t="inlineStr">
        <is>
          <t>PORTFÖY VE TAKSİT GİRİŞİ</t>
        </is>
      </c>
      <c r="D24" s="447" t="inlineStr">
        <is>
          <t>Banka limitlerini, çekilen kredileri ve sözleşme amortisman takvimlerini ilgili sayfalara girin.</t>
        </is>
      </c>
      <c r="E24" s="336" t="n"/>
      <c r="F24" s="336" t="n"/>
      <c r="G24" s="336" t="n"/>
      <c r="H24" s="336" t="n"/>
      <c r="I24" s="336" t="n"/>
      <c r="J24" s="336" t="n"/>
      <c r="K24" s="336" t="n"/>
      <c r="L24" s="336" t="n"/>
      <c r="M24" s="337" t="n"/>
      <c r="N24" s="448" t="inlineStr">
        <is>
          <t>GİRDİLER, KREDİLER</t>
        </is>
      </c>
      <c r="O24" s="337" t="n"/>
      <c r="P24" s="449" t="inlineStr">
        <is>
          <t>📋 GİRİŞLERİ DÜZENLE (#GİRDİLER!A1)</t>
        </is>
      </c>
      <c r="Q24" s="336" t="n"/>
      <c r="R24" s="337" t="n"/>
    </row>
    <row r="25" ht="36" customHeight="1" s="50">
      <c r="B25" s="450" t="inlineStr">
        <is>
          <t>AŞAMA 4</t>
        </is>
      </c>
      <c r="C25" s="451" t="inlineStr">
        <is>
          <t>REFİNANSMAN VE STRES TESTİ</t>
        </is>
      </c>
      <c r="D25" s="452" t="inlineStr">
        <is>
          <t>Krediyi başka bankaya taşıma faiz kârını hesaplayın. -%20 nakit daralması kriz testini inceleyin.</t>
        </is>
      </c>
      <c r="E25" s="336" t="n"/>
      <c r="F25" s="336" t="n"/>
      <c r="G25" s="336" t="n"/>
      <c r="H25" s="336" t="n"/>
      <c r="I25" s="336" t="n"/>
      <c r="J25" s="336" t="n"/>
      <c r="K25" s="336" t="n"/>
      <c r="L25" s="336" t="n"/>
      <c r="M25" s="337" t="n"/>
      <c r="N25" s="453" t="inlineStr">
        <is>
          <t>REFİNANSMAN, RAPOR</t>
        </is>
      </c>
      <c r="O25" s="337" t="n"/>
      <c r="P25" s="449" t="inlineStr">
        <is>
          <t>📊 STRES TESTİ (#YÖNETİM_RAPORU!A1)</t>
        </is>
      </c>
      <c r="Q25" s="336" t="n"/>
      <c r="R25" s="337" t="n"/>
    </row>
    <row r="26" ht="36" customHeight="1" s="50">
      <c r="B26" s="445" t="inlineStr">
        <is>
          <t>AŞAMA 5</t>
        </is>
      </c>
      <c r="C26" s="446" t="inlineStr">
        <is>
          <t>YÖNETİM KURULU VE BANKA ÇIKTISI</t>
        </is>
      </c>
      <c r="D26" s="447" t="inlineStr">
        <is>
          <t>Kredi komiteleri ve yönetim kuruluna sunulacak A4 dikey baskıya hazır kurumsal rapor çıktısını alın.</t>
        </is>
      </c>
      <c r="E26" s="336" t="n"/>
      <c r="F26" s="336" t="n"/>
      <c r="G26" s="336" t="n"/>
      <c r="H26" s="336" t="n"/>
      <c r="I26" s="336" t="n"/>
      <c r="J26" s="336" t="n"/>
      <c r="K26" s="336" t="n"/>
      <c r="L26" s="336" t="n"/>
      <c r="M26" s="337" t="n"/>
      <c r="N26" s="448" t="inlineStr">
        <is>
          <t>RAPOR</t>
        </is>
      </c>
      <c r="O26" s="337" t="n"/>
      <c r="P26" s="449" t="inlineStr">
        <is>
          <t>📄 A4 RAPORU (#RAPOR!A1)</t>
        </is>
      </c>
      <c r="Q26" s="336" t="n"/>
      <c r="R26" s="337" t="n"/>
    </row>
  </sheetData>
  <mergeCells count="27">
    <mergeCell ref="N26:O26"/>
    <mergeCell ref="P21:R21"/>
    <mergeCell ref="B2:M2"/>
    <mergeCell ref="B4:R4"/>
    <mergeCell ref="N25:O25"/>
    <mergeCell ref="D25:M25"/>
    <mergeCell ref="P23:R23"/>
    <mergeCell ref="I9:K12"/>
    <mergeCell ref="D24:M24"/>
    <mergeCell ref="N22:O22"/>
    <mergeCell ref="D23:M23"/>
    <mergeCell ref="N21:O21"/>
    <mergeCell ref="I14:K14"/>
    <mergeCell ref="D26:M26"/>
    <mergeCell ref="O9:Q12"/>
    <mergeCell ref="N23:O23"/>
    <mergeCell ref="O14:Q14"/>
    <mergeCell ref="P24:R24"/>
    <mergeCell ref="D22:M22"/>
    <mergeCell ref="C9:E12"/>
    <mergeCell ref="D21:M21"/>
    <mergeCell ref="P26:R26"/>
    <mergeCell ref="C14:E14"/>
    <mergeCell ref="P25:R25"/>
    <mergeCell ref="N24:O24"/>
    <mergeCell ref="P22:R22"/>
    <mergeCell ref="B5:R5"/>
  </mergeCells>
  <hyperlinks>
    <hyperlink xmlns:r="http://schemas.openxmlformats.org/officeDocument/2006/relationships" ref="C14" r:id="rId1"/>
    <hyperlink xmlns:r="http://schemas.openxmlformats.org/officeDocument/2006/relationships" ref="I14" r:id="rId2"/>
    <hyperlink xmlns:r="http://schemas.openxmlformats.org/officeDocument/2006/relationships" ref="O14" r:id="rId3"/>
    <hyperlink xmlns:r="http://schemas.openxmlformats.org/officeDocument/2006/relationships" ref="P22" r:id="rId4"/>
    <hyperlink xmlns:r="http://schemas.openxmlformats.org/officeDocument/2006/relationships" ref="P23" r:id="rId5"/>
    <hyperlink xmlns:r="http://schemas.openxmlformats.org/officeDocument/2006/relationships" ref="P24" r:id="rId6"/>
    <hyperlink xmlns:r="http://schemas.openxmlformats.org/officeDocument/2006/relationships" ref="P25" r:id="rId7"/>
    <hyperlink xmlns:r="http://schemas.openxmlformats.org/officeDocument/2006/relationships" ref="P26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AC31"/>
  <sheetViews>
    <sheetView showGridLines="0" workbookViewId="0">
      <selection activeCell="A1" sqref="A1"/>
    </sheetView>
  </sheetViews>
  <sheetFormatPr baseColWidth="8" defaultRowHeight="15"/>
  <cols>
    <col width="3.5" customWidth="1" style="50" min="1" max="1"/>
    <col width="47.5" customWidth="1" style="50" min="2" max="2"/>
    <col width="32" customWidth="1" style="50" min="3" max="3"/>
    <col width="40" customWidth="1" style="50" min="4" max="4"/>
    <col width="24" customWidth="1" style="50" min="5" max="5"/>
    <col width="18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/>
    <row r="2" ht="36" customHeight="1" s="50">
      <c r="B2" s="429" t="inlineStr">
        <is>
          <t>SİSTEM HAKKINDA, KULLANIM REHBERİ VE TERİMLER SÖZLÜĞÜ</t>
        </is>
      </c>
    </row>
    <row r="3" ht="20" customHeight="1" s="50">
      <c r="B3" s="430" t="inlineStr">
        <is>
          <t>Yalın, Sade ve Eksiksiz Finansal Karar Mimarisi &amp; Kullanım Rehberi · Siemens &amp; Enterprise Standartları</t>
        </is>
      </c>
    </row>
    <row r="4"/>
    <row r="5" ht="24" customHeight="1" s="50">
      <c r="B5" s="373" t="inlineStr">
        <is>
          <t>1. TEMEL MANTIK — 3 DAKİKADA SİSTEMİN ÖZÜ</t>
        </is>
      </c>
    </row>
    <row r="6"/>
    <row r="7" ht="24" customHeight="1" s="50">
      <c r="B7" s="374" t="inlineStr">
        <is>
          <t>SORU</t>
        </is>
      </c>
      <c r="C7" s="375" t="inlineStr">
        <is>
          <t>YALIN KURUMSAL AÇIKLAMA</t>
        </is>
      </c>
      <c r="D7" s="375" t="inlineStr">
        <is>
          <t>ŞİRKETİNİZE FAYDASI NE?</t>
        </is>
      </c>
      <c r="E7" s="374" t="inlineStr">
        <is>
          <t>İLGİLİ SAYFA</t>
        </is>
      </c>
    </row>
    <row r="8" ht="42" customHeight="1" s="50">
      <c r="B8" s="376" t="inlineStr">
        <is>
          <t>1. Bu dosya ne işe yarar?</t>
        </is>
      </c>
      <c r="C8" s="377" t="inlineStr">
        <is>
          <t>Tıpkı arabanın gösterge paneli gibidir. Hangi bankaya ne kadar borcunuz olduğunu, bu ay ne kadar taksit ödeyeceğinizi ve paranızın yetip yetmeyeceğini tek bir ekranda gösterir.</t>
        </is>
      </c>
      <c r="D8" s="378" t="inlineStr">
        <is>
          <t>Gözden kaçan, sürpriz veya geciken taksitleri sıfırlar; faiz cezası ve itibar kaybını önler.</t>
        </is>
      </c>
      <c r="E8" s="379" t="inlineStr">
        <is>
          <t>PANO, YÖNETİM_RAPORU</t>
        </is>
      </c>
    </row>
    <row r="9" ht="42" customHeight="1" s="50">
      <c r="B9" s="380" t="inlineStr">
        <is>
          <t>2. Kullanıcı olarak ben ne yapacağım?</t>
        </is>
      </c>
      <c r="C9" s="381" t="inlineStr">
        <is>
          <t>Çok kolay! Yalnızca 'GİRDİLER' sekmesindeki sarı renkli kutulara çektiğiniz kredileri ve vadesini yazacaksınız. Geri kalan tüm hesapları sistem kendi yapar.</t>
        </is>
      </c>
      <c r="D9" s="382" t="inlineStr">
        <is>
          <t>Veri girişi birkaç dakikada biter, karmaşık formüllerle veya Excel kodlarıyla uğraşmazsınız.</t>
        </is>
      </c>
      <c r="E9" s="383" t="inlineStr">
        <is>
          <t>GİRDİLER, KREDILER</t>
        </is>
      </c>
    </row>
    <row r="10" ht="42" customHeight="1" s="50">
      <c r="B10" s="376" t="inlineStr">
        <is>
          <t>3. Sistem bana ne kazandırır?</t>
        </is>
      </c>
      <c r="C10" s="377" t="inlineStr">
        <is>
          <t>Hangi bankaya çok faiz ödediğinizi bulur. 'Şu krediyi kapatıp şuraya taşırsan ayda 495.000 TL tasarruf edersin' diyerek şirketinize somut nakit kazandırır.</t>
        </is>
      </c>
      <c r="D10" s="378" t="inlineStr">
        <is>
          <t>Gereksiz faiz ve masrafları yok eder; banka pazarlıklarında şirketinizi güçlü kılar.</t>
        </is>
      </c>
      <c r="E10" s="379" t="inlineStr">
        <is>
          <t>REFINANSMAN, KARAR_MOTORU</t>
        </is>
      </c>
    </row>
    <row r="11"/>
    <row r="12"/>
    <row r="13" ht="24" customHeight="1" s="50">
      <c r="B13" s="373" t="inlineStr">
        <is>
          <t>2. SÖZLÜK — BU KELİMELER NE ANLAMA GELİYOR?</t>
        </is>
      </c>
    </row>
    <row r="14"/>
    <row r="15" ht="24" customHeight="1" s="50">
      <c r="B15" s="374" t="inlineStr">
        <is>
          <t>TERİM / KAVRAM</t>
        </is>
      </c>
      <c r="C15" s="374" t="inlineStr">
        <is>
          <t>ÇOK BASİT AÇIKLAMASI</t>
        </is>
      </c>
      <c r="D15" s="375" t="inlineStr">
        <is>
          <t>BU ŞABLONDA NEREDE HESAPLANIR?</t>
        </is>
      </c>
      <c r="E15" s="375" t="inlineStr">
        <is>
          <t>ÖRNEK / İPUCU</t>
        </is>
      </c>
    </row>
    <row r="16" ht="36" customHeight="1" s="50">
      <c r="B16" s="376" t="inlineStr">
        <is>
          <t>Refinansman</t>
        </is>
      </c>
      <c r="C16" s="377" t="inlineStr">
        <is>
          <t>Pahalı olan eski krediyi kapatıp yerine daha düşük faizli yeni kredi çekmek. Yani borcu ucuza taşımak.</t>
        </is>
      </c>
      <c r="D16" s="384" t="inlineStr">
        <is>
          <t>REFINANSMAN sayfası</t>
        </is>
      </c>
      <c r="E16" s="385" t="inlineStr">
        <is>
          <t>Ör: %45 faizli krediyi kapatıp %38'e çekerek ayda 495.714 TL kâr etmek.</t>
        </is>
      </c>
    </row>
    <row r="17" ht="36" customHeight="1" s="50">
      <c r="B17" s="380" t="inlineStr">
        <is>
          <t>Borç Servisi</t>
        </is>
      </c>
      <c r="C17" s="381" t="inlineStr">
        <is>
          <t>Gelecek 30 gün içinde bankalara tıkır tıkır ödemeniz gereken anapara ve faiz taksitlerinin toplamı.</t>
        </is>
      </c>
      <c r="D17" s="386" t="inlineStr">
        <is>
          <t>PANO (E7 hücresi)</t>
        </is>
      </c>
      <c r="E17" s="387" t="inlineStr">
        <is>
          <t>Mevcut 30 günlük borç servisimiz: ₺934.864</t>
        </is>
      </c>
    </row>
    <row r="18" ht="36" customHeight="1" s="50">
      <c r="B18" s="376" t="inlineStr">
        <is>
          <t>Stres Testi</t>
        </is>
      </c>
      <c r="C18" s="377" t="inlineStr">
        <is>
          <t>'Gelecek ay işler çok kötü giderse ve kasaya %20 daha az para girerse borcumuzu ödeyebilir miyiz?' provası.</t>
        </is>
      </c>
      <c r="D18" s="384" t="inlineStr">
        <is>
          <t>YÖNETİM_RAPORU</t>
        </is>
      </c>
      <c r="E18" s="385" t="inlineStr">
        <is>
          <t>Şirketimiz -%20 krizde bile temerrüt riski yaşamadan borcunu ödeyebilmektedir.</t>
        </is>
      </c>
    </row>
    <row r="19" ht="36" customHeight="1" s="50">
      <c r="B19" s="380" t="inlineStr">
        <is>
          <t>Temerrüt Riski</t>
        </is>
      </c>
      <c r="C19" s="381" t="inlineStr">
        <is>
          <t>Taksit gününde kasada para bulunamaması ve borcun icralık / takipli hale gelme tehlikesi.</t>
        </is>
      </c>
      <c r="D19" s="386" t="inlineStr">
        <is>
          <t>KARAR_MOTORU</t>
        </is>
      </c>
      <c r="E19" s="387" t="inlineStr">
        <is>
          <t>Sistem yeşil 'UYGUN' yakıyorsa temerrüt riskiniz %0 demektir.</t>
        </is>
      </c>
    </row>
    <row r="20" ht="36" customHeight="1" s="50">
      <c r="B20" s="376" t="inlineStr">
        <is>
          <t>DSCR (Borç Karşılama)</t>
        </is>
      </c>
      <c r="C20" s="377" t="inlineStr">
        <is>
          <t>Kasaya giren serbest paranın taksitlere olan oranı. 1.0 üzerindeyse şirket rahat nefes alır.</t>
        </is>
      </c>
      <c r="D20" s="384" t="inlineStr">
        <is>
          <t>KARAR_MOTORU (B14)</t>
        </is>
      </c>
      <c r="E20" s="385" t="inlineStr">
        <is>
          <t>1.25 üstü = Mükemmel Güvenlik Bölgesi.</t>
        </is>
      </c>
    </row>
    <row r="21" ht="36" customHeight="1" s="50">
      <c r="B21" s="380" t="inlineStr">
        <is>
          <t>Amortisman Takvimi</t>
        </is>
      </c>
      <c r="C21" s="381" t="inlineStr">
        <is>
          <t>Kredinin ilk gününden son gününe kadar her ay kaç para faiz, kaç para anapara ödeneceğini gösteren liste.</t>
        </is>
      </c>
      <c r="D21" s="386" t="inlineStr">
        <is>
          <t>TAKSIT_PLANI</t>
        </is>
      </c>
      <c r="E21" s="387" t="inlineStr">
        <is>
          <t>Toplam kaç ay taksit kaldığını tek tıkla listeler.</t>
        </is>
      </c>
    </row>
    <row r="22"/>
    <row r="23"/>
    <row r="24" ht="24" customHeight="1" s="50">
      <c r="B24" s="373" t="inlineStr">
        <is>
          <t>3. SİSTEMİN 5 AŞAMALI AKIŞ ŞEMASI</t>
        </is>
      </c>
    </row>
    <row r="25"/>
    <row r="26" ht="24" customHeight="1" s="50">
      <c r="B26" s="374" t="inlineStr">
        <is>
          <t>AŞAMA</t>
        </is>
      </c>
      <c r="C26" s="375" t="inlineStr">
        <is>
          <t>GÖREVİ</t>
        </is>
      </c>
      <c r="D26" s="374" t="inlineStr">
        <is>
          <t>KULLANILACAK SEKME</t>
        </is>
      </c>
      <c r="E26" s="375" t="inlineStr">
        <is>
          <t>GİRİLECEK VERİ</t>
        </is>
      </c>
      <c r="F26" s="375" t="inlineStr">
        <is>
          <t>ÜRETİLEN SONUÇ</t>
        </is>
      </c>
    </row>
    <row r="27" ht="32" customHeight="1" s="50">
      <c r="B27" s="388" t="inlineStr">
        <is>
          <t>1. Hazırlık</t>
        </is>
      </c>
      <c r="C27" s="389" t="inlineStr">
        <is>
          <t>Şirket parametrelerini ve nakit durumunu tanıtma</t>
        </is>
      </c>
      <c r="D27" s="390" t="inlineStr">
        <is>
          <t>AYARLAR, LISTELER</t>
        </is>
      </c>
      <c r="E27" s="391" t="inlineStr">
        <is>
          <t>Firma adı, serbest nakit miktarı</t>
        </is>
      </c>
      <c r="F27" s="392" t="inlineStr">
        <is>
          <t>Tüm formüllerin eşik değerleri hazır olur</t>
        </is>
      </c>
    </row>
    <row r="28" ht="32" customHeight="1" s="50">
      <c r="B28" s="393" t="inlineStr">
        <is>
          <t>2. Veri Girişi</t>
        </is>
      </c>
      <c r="C28" s="394" t="inlineStr">
        <is>
          <t>Bankalardaki borçları ve kredi takvimini yazma</t>
        </is>
      </c>
      <c r="D28" s="395" t="inlineStr">
        <is>
          <t>GİRDİLER, KREDILER, LIMITLER</t>
        </is>
      </c>
      <c r="E28" s="396" t="inlineStr">
        <is>
          <t>Kredi tutarı, faiz, taksit tarihi</t>
        </is>
      </c>
      <c r="F28" s="397" t="inlineStr">
        <is>
          <t>Ödeme takvimi otomatik üretilir</t>
        </is>
      </c>
    </row>
    <row r="29" ht="32" customHeight="1" s="50">
      <c r="B29" s="388" t="inlineStr">
        <is>
          <t>3. Anlık Takip</t>
        </is>
      </c>
      <c r="C29" s="389" t="inlineStr">
        <is>
          <t>Borç yükünü ve 30 günlük ödemeleri izleme</t>
        </is>
      </c>
      <c r="D29" s="390" t="inlineStr">
        <is>
          <t>PANO</t>
        </is>
      </c>
      <c r="E29" s="391" t="inlineStr">
        <is>
          <t>Otomatik hesaplanır</t>
        </is>
      </c>
      <c r="F29" s="392" t="inlineStr">
        <is>
          <t>Gözden kaçan taksit riski kalmaz</t>
        </is>
      </c>
    </row>
    <row r="30" ht="32" customHeight="1" s="50">
      <c r="B30" s="393" t="inlineStr">
        <is>
          <t>4. Fırsat Avı</t>
        </is>
      </c>
      <c r="C30" s="394" t="inlineStr">
        <is>
          <t>Pahalı kredileri ucuza taşıma &amp; Kriz testi</t>
        </is>
      </c>
      <c r="D30" s="395" t="inlineStr">
        <is>
          <t>REFINANSMAN, YÖNETİM_RAPORU</t>
        </is>
      </c>
      <c r="E30" s="396" t="inlineStr">
        <is>
          <t>Yeni teklif faizleri</t>
        </is>
      </c>
      <c r="F30" s="397" t="inlineStr">
        <is>
          <t>Aylık ₺495.714'ye varan nakit tasarrufu</t>
        </is>
      </c>
    </row>
    <row r="31" ht="32" customHeight="1" s="50">
      <c r="B31" s="388" t="inlineStr">
        <is>
          <t>5. Sunum &amp; Karar</t>
        </is>
      </c>
      <c r="C31" s="389" t="inlineStr">
        <is>
          <t>Yönetim kuruluna ve bankalara resmi sunum</t>
        </is>
      </c>
      <c r="D31" s="390" t="inlineStr">
        <is>
          <t>RAPOR</t>
        </is>
      </c>
      <c r="E31" s="391" t="inlineStr">
        <is>
          <t>Tek tıkla hazır</t>
        </is>
      </c>
      <c r="F31" s="392" t="inlineStr">
        <is>
          <t>A4 dikey resmi finansal rapor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293B"/>
    <outlinePr summaryBelow="1" summaryRight="1"/>
    <pageSetUpPr/>
  </sheetPr>
  <dimension ref="A1:AC52"/>
  <sheetViews>
    <sheetView showGridLines="0" workbookViewId="0">
      <selection activeCell="A1" sqref="A1"/>
    </sheetView>
  </sheetViews>
  <sheetFormatPr baseColWidth="8" defaultRowHeight="15"/>
  <cols>
    <col width="3.5" customWidth="1" style="50" min="1" max="1"/>
    <col width="71.5" customWidth="1" style="50" min="2" max="2"/>
    <col width="14" customWidth="1" style="50" min="3" max="3"/>
    <col width="16.5" customWidth="1" style="50" min="4" max="4"/>
    <col width="42.5" customWidth="1" style="50" min="5" max="5"/>
    <col width="14" customWidth="1" style="50" min="6" max="6"/>
    <col width="17.5" customWidth="1" style="50" min="7" max="7"/>
    <col width="75.5" customWidth="1" style="50" min="8" max="8"/>
    <col width="16" customWidth="1" style="50" min="9" max="9"/>
    <col width="29.5" customWidth="1" style="50" min="10" max="10"/>
    <col width="136.5" customWidth="1" style="50" min="11" max="11"/>
    <col width="26" customWidth="1" style="50" min="12" max="12"/>
    <col width="21.5" customWidth="1" style="50" min="13" max="13"/>
    <col width="13" customWidth="1" style="50" min="14" max="14"/>
  </cols>
  <sheetData>
    <row r="1" ht="10" customHeight="1" s="50">
      <c r="A1" s="60" t="inlineStr">
        <is>
          <t>☰ PANO</t>
        </is>
      </c>
    </row>
    <row r="2" ht="36" customHeight="1" s="50">
      <c r="B2" s="431" t="inlineStr">
        <is>
          <t>BANKA, KREDİ VE TAKSİT YÖNETİM MERKEZİ</t>
        </is>
      </c>
    </row>
    <row r="3" ht="18" customHeight="1" s="50">
      <c r="B3" s="432" t="inlineStr">
        <is>
          <t>Konsolide Kredi Portföyü, Aylık Borç Servisi ve Likidite Karar Kokpiti · Canlı Hesaplama</t>
        </is>
      </c>
    </row>
    <row r="4" ht="14" customHeight="1" s="50"/>
    <row r="5" ht="20" customHeight="1" s="50">
      <c r="B5" s="398" t="inlineStr">
        <is>
          <t>TOPLAM KREDİ PORTFÖYÜ</t>
        </is>
      </c>
      <c r="C5" s="399" t="n"/>
      <c r="D5" s="400" t="inlineStr">
        <is>
          <t>CANLI BAKİYE</t>
        </is>
      </c>
      <c r="E5" s="398" t="inlineStr">
        <is>
          <t>AYLIK BORÇ SERVİSİ (30 GÜN)</t>
        </is>
      </c>
      <c r="F5" s="399" t="n"/>
      <c r="G5" s="401" t="inlineStr">
        <is>
          <t>ÖDEME BASKISI</t>
        </is>
      </c>
      <c r="H5" s="398" t="inlineStr">
        <is>
          <t>REFİNANSMAN AYLIK RAHATLAMA</t>
        </is>
      </c>
      <c r="I5" s="399" t="n"/>
      <c r="J5" s="402">
        <f>KARAR_MOTORU!B18&amp;" ADAY"</f>
        <v/>
      </c>
      <c r="K5" s="398" t="inlineStr">
        <is>
          <t>BORÇLANMA SÜRDÜRÜLEBİLİRLİĞİ</t>
        </is>
      </c>
      <c r="L5" s="399" t="n"/>
      <c r="M5" s="400">
        <f>KARAR_MOTORU!B16</f>
        <v/>
      </c>
    </row>
    <row r="6" ht="6" customHeight="1" s="50">
      <c r="B6" s="403" t="n"/>
      <c r="C6" s="404" t="n"/>
      <c r="D6" s="405" t="n"/>
      <c r="E6" s="403" t="n"/>
      <c r="F6" s="404" t="n"/>
      <c r="G6" s="405" t="n"/>
      <c r="H6" s="403" t="n"/>
      <c r="I6" s="404" t="n"/>
      <c r="J6" s="405" t="n"/>
      <c r="K6" s="403" t="n"/>
      <c r="L6" s="404" t="n"/>
      <c r="M6" s="405" t="n"/>
    </row>
    <row r="7" ht="34" customHeight="1" s="50">
      <c r="B7" s="406">
        <f>KARAR_MOTORU!B5</f>
        <v/>
      </c>
      <c r="C7" s="404" t="n"/>
      <c r="D7" s="405" t="n"/>
      <c r="E7" s="407">
        <f>KARAR_MOTORU!B7</f>
        <v/>
      </c>
      <c r="F7" s="404" t="n"/>
      <c r="G7" s="405" t="n"/>
      <c r="H7" s="408">
        <f>KARAR_MOTORU!B19</f>
        <v/>
      </c>
      <c r="I7" s="404" t="n"/>
      <c r="J7" s="405" t="n"/>
      <c r="K7" s="409">
        <f>KARAR_MOTORU!B15</f>
        <v/>
      </c>
      <c r="L7" s="404" t="n"/>
      <c r="M7" s="405" t="n"/>
    </row>
    <row r="8" ht="6" customHeight="1" s="50">
      <c r="B8" s="403" t="n"/>
      <c r="C8" s="404" t="n"/>
      <c r="D8" s="405" t="n"/>
      <c r="E8" s="403" t="n"/>
      <c r="F8" s="404" t="n"/>
      <c r="G8" s="405" t="n"/>
      <c r="H8" s="403" t="n"/>
      <c r="I8" s="404" t="n"/>
      <c r="J8" s="405" t="n"/>
      <c r="K8" s="403" t="n"/>
      <c r="L8" s="404" t="n"/>
      <c r="M8" s="405" t="n"/>
    </row>
    <row r="9" ht="20" customHeight="1" s="50">
      <c r="B9" s="410" t="inlineStr">
        <is>
          <t>↑ Aktif portföy risk hacmi</t>
        </is>
      </c>
      <c r="C9" s="411" t="n"/>
      <c r="D9" s="412" t="n"/>
      <c r="E9" s="413" t="inlineStr">
        <is>
          <t>● 30 gün içinde vadesi gelen taksitler</t>
        </is>
      </c>
      <c r="F9" s="411" t="n"/>
      <c r="G9" s="412" t="n"/>
      <c r="H9" s="410" t="inlineStr">
        <is>
          <t>✓ Yapılandırma ile aylık nakit kazanımı</t>
        </is>
      </c>
      <c r="I9" s="411" t="n"/>
      <c r="J9" s="412" t="n"/>
      <c r="K9" s="414">
        <f>KARAR_MOTORU!B17</f>
        <v/>
      </c>
      <c r="L9" s="411" t="n"/>
      <c r="M9" s="412" t="n"/>
    </row>
    <row r="10" ht="16" customHeight="1" s="50"/>
    <row r="11" ht="24" customHeight="1" s="50">
      <c r="B11" s="74" t="inlineStr">
        <is>
          <t>BANKA, KREDI VE TAKSIT TAKIP SISTEMI — DÖNEMSEL İCRA VE PROJEKSİYON</t>
        </is>
      </c>
      <c r="F11" s="144" t="inlineStr">
        <is>
          <t>+%32 Verim</t>
        </is>
      </c>
      <c r="H11" s="74" t="inlineStr">
        <is>
          <t>KONSOLİDE OPERASYON VE KARAR MATRİSİ</t>
        </is>
      </c>
    </row>
    <row r="12" ht="18" customHeight="1" s="50">
      <c r="B12" s="73" t="inlineStr">
        <is>
          <t>Kümülatif Hacim vs. Operasyonel Maliyet ve Net Kâr Eğilimi</t>
        </is>
      </c>
      <c r="H12" s="73" t="inlineStr">
        <is>
          <t>Anlık Hesaplama Sonuçları, Dinamik Formül Çıktıları ve Durum Puanlaması</t>
        </is>
      </c>
    </row>
    <row r="13" ht="8" customHeight="1" s="50"/>
    <row r="14" ht="26" customHeight="1" s="50">
      <c r="B14" s="145" t="inlineStr">
        <is>
          <t>Dönem</t>
        </is>
      </c>
      <c r="C14" s="145" t="inlineStr">
        <is>
          <t>Aktif Hacim</t>
        </is>
      </c>
      <c r="D14" s="145" t="inlineStr">
        <is>
          <t>Maliyet/Yük</t>
        </is>
      </c>
      <c r="E14" s="145" t="inlineStr">
        <is>
          <t>Hedef</t>
        </is>
      </c>
      <c r="H14" s="146" t="inlineStr">
        <is>
          <t>PARAMETRE / KALEM</t>
        </is>
      </c>
      <c r="I14" s="146" t="inlineStr">
        <is>
          <t>ANA TUTAR</t>
        </is>
      </c>
      <c r="J14" s="146" t="inlineStr">
        <is>
          <t>FARK / MARJ</t>
        </is>
      </c>
      <c r="K14" s="146" t="inlineStr">
        <is>
          <t>VADE</t>
        </is>
      </c>
      <c r="L14" s="146" t="inlineStr">
        <is>
          <t>KONTROL DURUMU</t>
        </is>
      </c>
    </row>
    <row r="15" ht="22" customHeight="1" s="50">
      <c r="B15" s="73" t="inlineStr">
        <is>
          <t>D1</t>
        </is>
      </c>
      <c r="C15" s="73" t="n">
        <v>65</v>
      </c>
      <c r="D15" s="73" t="n">
        <v>45</v>
      </c>
      <c r="E15" s="73" t="n">
        <v>60</v>
      </c>
      <c r="H15" s="147" t="inlineStr">
        <is>
          <t>Dönemlik Kümülatif Bakiye</t>
        </is>
      </c>
      <c r="I15" s="227">
        <f>B7*0.45</f>
        <v/>
      </c>
      <c r="J15" s="228">
        <f>B7*0.05</f>
        <v/>
      </c>
      <c r="K15" s="149" t="inlineStr">
        <is>
          <t>12 Ay</t>
        </is>
      </c>
      <c r="L15" s="133" t="inlineStr">
        <is>
          <t>✓ DÜZENLİ</t>
        </is>
      </c>
    </row>
    <row r="16" ht="22" customHeight="1" s="50">
      <c r="B16" s="73" t="inlineStr">
        <is>
          <t>D2</t>
        </is>
      </c>
      <c r="C16" s="73" t="n">
        <v>78</v>
      </c>
      <c r="D16" s="73" t="n">
        <v>48</v>
      </c>
      <c r="E16" s="73" t="n">
        <v>70</v>
      </c>
      <c r="H16" s="147" t="inlineStr">
        <is>
          <t>Kritik Eşik Güvenlik Tamponu</t>
        </is>
      </c>
      <c r="I16" s="227">
        <f>B7*0.30</f>
        <v/>
      </c>
      <c r="J16" s="228">
        <f>B7*0.03</f>
        <v/>
      </c>
      <c r="K16" s="149" t="inlineStr">
        <is>
          <t>24 Ay</t>
        </is>
      </c>
      <c r="L16" s="130" t="inlineStr">
        <is>
          <t>★ AVANTAJ</t>
        </is>
      </c>
    </row>
    <row r="17" ht="22" customHeight="1" s="50">
      <c r="B17" s="73" t="inlineStr">
        <is>
          <t>D3</t>
        </is>
      </c>
      <c r="C17" s="73" t="n">
        <v>85</v>
      </c>
      <c r="D17" s="73" t="n">
        <v>55</v>
      </c>
      <c r="E17" s="73" t="n">
        <v>80</v>
      </c>
      <c r="H17" s="147" t="inlineStr">
        <is>
          <t>Operasyonel Net Fark</t>
        </is>
      </c>
      <c r="I17" s="227">
        <f>B7*0.15</f>
        <v/>
      </c>
      <c r="J17" s="228">
        <f>B7*0.02</f>
        <v/>
      </c>
      <c r="K17" s="149" t="inlineStr">
        <is>
          <t>8 Ay</t>
        </is>
      </c>
      <c r="L17" s="150" t="inlineStr">
        <is>
          <t>● YAKLAŞAN</t>
        </is>
      </c>
    </row>
    <row r="18" ht="22" customHeight="1" s="50">
      <c r="B18" s="73" t="inlineStr">
        <is>
          <t>D4</t>
        </is>
      </c>
      <c r="C18" s="73" t="n">
        <v>75</v>
      </c>
      <c r="D18" s="73" t="n">
        <v>42</v>
      </c>
      <c r="E18" s="73" t="n">
        <v>75</v>
      </c>
      <c r="H18" s="147" t="inlineStr">
        <is>
          <t>Rezerv ve Likit Dağılım</t>
        </is>
      </c>
      <c r="I18" s="227">
        <f>B7*0.10</f>
        <v/>
      </c>
      <c r="J18" s="228">
        <f>B7*0.01</f>
        <v/>
      </c>
      <c r="K18" s="149" t="inlineStr">
        <is>
          <t>16 Ay</t>
        </is>
      </c>
      <c r="L18" s="133" t="inlineStr">
        <is>
          <t>✓ TAM UYUM</t>
        </is>
      </c>
    </row>
    <row r="19" ht="26" customHeight="1" s="50">
      <c r="B19" s="73" t="inlineStr">
        <is>
          <t>D5</t>
        </is>
      </c>
      <c r="C19" s="73" t="n">
        <v>90</v>
      </c>
      <c r="D19" s="73" t="n">
        <v>40</v>
      </c>
      <c r="E19" s="73" t="n">
        <v>85</v>
      </c>
      <c r="H19" s="151" t="inlineStr">
        <is>
          <t>KONSOLİDE SİSTEM TOPLAMI</t>
        </is>
      </c>
      <c r="I19" s="229">
        <f>SUM(I15:I18)</f>
        <v/>
      </c>
      <c r="J19" s="230">
        <f>SUM(J15:J18)</f>
        <v/>
      </c>
      <c r="K19" s="154" t="inlineStr"/>
      <c r="L19" s="155" t="inlineStr">
        <is>
          <t>TAM DOĞRULANDI (0 HATA)</t>
        </is>
      </c>
    </row>
    <row r="20" ht="16" customHeight="1" s="50">
      <c r="B20" s="73" t="inlineStr">
        <is>
          <t>D6</t>
        </is>
      </c>
      <c r="C20" s="73" t="n">
        <v>96</v>
      </c>
      <c r="D20" s="73" t="n">
        <v>32</v>
      </c>
      <c r="E20" s="73" t="n">
        <v>92</v>
      </c>
    </row>
    <row r="21" ht="8" customHeight="1" s="50"/>
    <row r="22" ht="24" customHeight="1" s="50">
      <c r="B22" s="156" t="inlineStr">
        <is>
          <t>KONSOLİDE PAY VE AĞIRLIK</t>
        </is>
      </c>
      <c r="F22" s="156" t="inlineStr">
        <is>
          <t>LİKİDİTE RİSKİ &amp; ERKEN UYARI SİNYALLERİ</t>
        </is>
      </c>
      <c r="K22" s="157" t="inlineStr">
        <is>
          <t>KARAR MOTORU PROTOKOLÜ</t>
        </is>
      </c>
      <c r="L22" s="158" t="n"/>
      <c r="M22" s="158" t="n"/>
    </row>
    <row r="23" ht="22" customHeight="1" s="50">
      <c r="B23" s="58" t="inlineStr">
        <is>
          <t>■ Ana Segment (%42)</t>
        </is>
      </c>
      <c r="F23" s="73" t="inlineStr">
        <is>
          <t>Nakit Açığı Riski (30 Gün)</t>
        </is>
      </c>
      <c r="I23" s="159" t="inlineStr">
        <is>
          <t>0.00 TL (Sıfır Risk)</t>
        </is>
      </c>
      <c r="K23" s="160" t="inlineStr">
        <is>
          <t>REFİNANSMAN &amp; LİKİDİTE</t>
        </is>
      </c>
      <c r="L23" s="158" t="n"/>
      <c r="M23" s="158" t="n"/>
    </row>
    <row r="24" ht="22" customHeight="1" s="50">
      <c r="B24" s="59" t="inlineStr">
        <is>
          <t>■ İkincil Grup (%30)</t>
        </is>
      </c>
      <c r="F24" s="73" t="inlineStr">
        <is>
          <t>Tahsilat Gecikme Toleransı</t>
        </is>
      </c>
      <c r="I24" s="159" t="inlineStr">
        <is>
          <t>48 Gün Güvenli Eşik</t>
        </is>
      </c>
      <c r="K24" s="161" t="inlineStr">
        <is>
          <t>Sistem, nakit açığı riskini 30/60/90 günlük pencerelerde izleyerek, borç servisi oranını optimal eşikte tutacak yapılandırma önerir.</t>
        </is>
      </c>
    </row>
    <row r="25" ht="22" customHeight="1" s="50">
      <c r="B25" s="162" t="inlineStr">
        <is>
          <t>■ Destek Birimi (%15)</t>
        </is>
      </c>
      <c r="F25" s="58" t="inlineStr">
        <is>
          <t>██████████████████████████████████████ Güvenli Bölge (%100)</t>
        </is>
      </c>
    </row>
    <row r="26" ht="28" customHeight="1" s="50">
      <c r="B26" s="163" t="inlineStr">
        <is>
          <t>■ Rezervler (%13)</t>
        </is>
      </c>
      <c r="F26" s="164" t="inlineStr">
        <is>
          <t>✓ 90 GÜNLÜK PROJEKSİYONDA NAKİT SIKIŞIKLIĞI TESPİT EDİLMEDİ</t>
        </is>
      </c>
      <c r="G26" s="247" t="n"/>
      <c r="H26" s="247" t="n"/>
      <c r="I26" s="248" t="n"/>
      <c r="K26" s="165" t="inlineStr">
        <is>
          <t>REFİNANSMAN ANALİZİNİ GÖR (#REFINANSMAN!A1) &gt;</t>
        </is>
      </c>
    </row>
    <row r="27" ht="14" customHeight="1" s="50">
      <c r="F27" s="249" t="n"/>
      <c r="G27" s="250" t="n"/>
      <c r="H27" s="250" t="n"/>
      <c r="I27" s="251" t="n"/>
    </row>
    <row r="28" ht="14" customHeight="1" s="50"/>
    <row r="29" ht="14" customHeight="1" s="50"/>
    <row r="30" ht="18" customHeight="1" s="50">
      <c r="A30" s="454" t="n"/>
      <c r="B30" s="454" t="n"/>
      <c r="C30" s="454" t="n"/>
      <c r="D30" s="454" t="n"/>
      <c r="E30" s="454" t="n"/>
      <c r="F30" s="454" t="n"/>
      <c r="G30" s="454" t="n"/>
      <c r="H30" s="454" t="n"/>
      <c r="I30" s="454" t="n"/>
      <c r="J30" s="454" t="n"/>
      <c r="K30" s="454" t="n"/>
      <c r="L30" s="454" t="n"/>
      <c r="M30" s="454" t="n"/>
      <c r="N30" s="454" t="n"/>
    </row>
    <row r="31" ht="18" customHeight="1" s="50">
      <c r="A31" s="454" t="n"/>
      <c r="B31" s="454" t="n"/>
      <c r="C31" s="454" t="n"/>
      <c r="D31" s="454" t="n"/>
      <c r="E31" s="454" t="n"/>
      <c r="F31" s="454" t="n"/>
      <c r="G31" s="454" t="n"/>
      <c r="H31" s="454" t="n"/>
      <c r="I31" s="454" t="n"/>
      <c r="J31" s="454" t="n"/>
      <c r="K31" s="454" t="n"/>
      <c r="L31" s="454" t="n"/>
      <c r="M31" s="454" t="n"/>
      <c r="N31" s="454" t="n"/>
    </row>
    <row r="32" ht="18" customHeight="1" s="50">
      <c r="A32" s="454" t="n"/>
      <c r="B32" s="454" t="n"/>
      <c r="C32" s="454" t="n"/>
      <c r="D32" s="454" t="n"/>
      <c r="E32" s="454" t="n"/>
      <c r="F32" s="454" t="n"/>
      <c r="G32" s="454" t="n"/>
      <c r="H32" s="454" t="n"/>
      <c r="I32" s="454" t="n"/>
      <c r="J32" s="454" t="n"/>
      <c r="K32" s="454" t="n"/>
      <c r="L32" s="454" t="n"/>
      <c r="M32" s="454" t="n"/>
      <c r="N32" s="454" t="n"/>
    </row>
    <row r="33" ht="18" customHeight="1" s="50">
      <c r="A33" s="454" t="n"/>
      <c r="B33" s="454" t="n"/>
      <c r="C33" s="454" t="n"/>
      <c r="D33" s="454" t="n"/>
      <c r="E33" s="454" t="n"/>
      <c r="F33" s="454" t="n"/>
      <c r="G33" s="454" t="n"/>
      <c r="H33" s="454" t="n"/>
      <c r="I33" s="454" t="n"/>
      <c r="J33" s="454" t="n"/>
      <c r="K33" s="454" t="n"/>
      <c r="L33" s="454" t="n"/>
      <c r="M33" s="454" t="n"/>
      <c r="N33" s="454" t="n"/>
    </row>
    <row r="34" ht="18" customHeight="1" s="50">
      <c r="A34" s="454" t="n"/>
      <c r="B34" s="454" t="n"/>
      <c r="C34" s="454" t="n"/>
      <c r="D34" s="454" t="n"/>
      <c r="E34" s="454" t="n"/>
      <c r="F34" s="454" t="n"/>
      <c r="G34" s="454" t="n"/>
      <c r="H34" s="454" t="n"/>
      <c r="I34" s="454" t="n"/>
      <c r="J34" s="454" t="n"/>
      <c r="K34" s="454" t="n"/>
      <c r="L34" s="454" t="n"/>
      <c r="M34" s="454" t="n"/>
      <c r="N34" s="454" t="n"/>
    </row>
    <row r="35" ht="18" customHeight="1" s="50">
      <c r="A35" s="454" t="n"/>
      <c r="B35" s="454" t="n"/>
      <c r="C35" s="454" t="n"/>
      <c r="D35" s="454" t="n"/>
      <c r="E35" s="454" t="n"/>
      <c r="F35" s="454" t="n"/>
      <c r="G35" s="454" t="n"/>
      <c r="H35" s="454" t="n"/>
      <c r="I35" s="454" t="n"/>
      <c r="J35" s="454" t="n"/>
      <c r="K35" s="454" t="n"/>
      <c r="L35" s="454" t="n"/>
      <c r="M35" s="454" t="n"/>
      <c r="N35" s="454" t="n"/>
    </row>
    <row r="36" ht="18" customHeight="1" s="50">
      <c r="A36" s="454" t="n"/>
      <c r="B36" s="454" t="n"/>
      <c r="C36" s="454" t="n"/>
      <c r="D36" s="454" t="n"/>
      <c r="E36" s="454" t="n"/>
      <c r="F36" s="454" t="n"/>
      <c r="G36" s="454" t="n"/>
      <c r="H36" s="454" t="n"/>
      <c r="I36" s="454" t="n"/>
      <c r="J36" s="454" t="n"/>
      <c r="K36" s="454" t="n"/>
      <c r="L36" s="454" t="n"/>
      <c r="M36" s="454" t="n"/>
      <c r="N36" s="454" t="n"/>
    </row>
    <row r="37" ht="18" customHeight="1" s="50">
      <c r="A37" s="454" t="n"/>
      <c r="B37" s="454" t="n"/>
      <c r="C37" s="454" t="n"/>
      <c r="D37" s="454" t="n"/>
      <c r="E37" s="454" t="n"/>
      <c r="F37" s="454" t="n"/>
      <c r="G37" s="454" t="n"/>
      <c r="H37" s="454" t="n"/>
      <c r="I37" s="454" t="n"/>
      <c r="J37" s="454" t="n"/>
      <c r="K37" s="454" t="n"/>
      <c r="L37" s="454" t="n"/>
      <c r="M37" s="454" t="n"/>
      <c r="N37" s="454" t="n"/>
    </row>
    <row r="38" ht="18" customHeight="1" s="50">
      <c r="A38" s="454" t="n"/>
      <c r="B38" s="454" t="n"/>
      <c r="C38" s="454" t="n"/>
      <c r="D38" s="454" t="n"/>
      <c r="E38" s="454" t="n"/>
      <c r="F38" s="454" t="n"/>
      <c r="G38" s="454" t="n"/>
      <c r="H38" s="454" t="n"/>
      <c r="I38" s="454" t="n"/>
      <c r="J38" s="454" t="n"/>
      <c r="K38" s="454" t="n"/>
      <c r="L38" s="454" t="n"/>
      <c r="M38" s="454" t="n"/>
      <c r="N38" s="454" t="n"/>
    </row>
    <row r="39" ht="18" customHeight="1" s="50">
      <c r="A39" s="454" t="n"/>
      <c r="B39" s="454" t="n"/>
      <c r="C39" s="454" t="n"/>
      <c r="D39" s="454" t="n"/>
      <c r="E39" s="454" t="n"/>
      <c r="F39" s="454" t="n"/>
      <c r="G39" s="454" t="n"/>
      <c r="H39" s="454" t="n"/>
      <c r="I39" s="454" t="n"/>
      <c r="J39" s="454" t="n"/>
      <c r="K39" s="454" t="n"/>
      <c r="L39" s="454" t="n"/>
      <c r="M39" s="454" t="n"/>
      <c r="N39" s="454" t="n"/>
    </row>
    <row r="40" ht="18" customHeight="1" s="50">
      <c r="A40" s="454" t="n"/>
      <c r="B40" s="454" t="n"/>
      <c r="C40" s="454" t="n"/>
      <c r="D40" s="454" t="n"/>
      <c r="E40" s="454" t="n"/>
      <c r="F40" s="454" t="n"/>
      <c r="G40" s="454" t="n"/>
      <c r="H40" s="454" t="n"/>
      <c r="I40" s="454" t="n"/>
      <c r="J40" s="454" t="n"/>
      <c r="K40" s="454" t="n"/>
      <c r="L40" s="454" t="n"/>
      <c r="M40" s="454" t="n"/>
      <c r="N40" s="454" t="n"/>
    </row>
    <row r="41" ht="18" customHeight="1" s="50">
      <c r="A41" s="454" t="n"/>
      <c r="B41" s="454" t="n"/>
      <c r="C41" s="454" t="n"/>
      <c r="D41" s="454" t="n"/>
      <c r="E41" s="454" t="n"/>
      <c r="F41" s="454" t="n"/>
      <c r="G41" s="454" t="n"/>
      <c r="H41" s="454" t="n"/>
      <c r="I41" s="454" t="n"/>
      <c r="J41" s="454" t="n"/>
      <c r="K41" s="454" t="n"/>
      <c r="L41" s="454" t="n"/>
      <c r="M41" s="454" t="n"/>
      <c r="N41" s="454" t="n"/>
    </row>
    <row r="42" ht="18" customHeight="1" s="50">
      <c r="A42" s="454" t="n"/>
      <c r="B42" s="454" t="n"/>
      <c r="C42" s="454" t="n"/>
      <c r="D42" s="454" t="n"/>
      <c r="E42" s="454" t="n"/>
      <c r="F42" s="454" t="n"/>
      <c r="G42" s="454" t="n"/>
      <c r="H42" s="454" t="n"/>
      <c r="I42" s="454" t="n"/>
      <c r="J42" s="454" t="n"/>
      <c r="K42" s="454" t="n"/>
      <c r="L42" s="454" t="n"/>
      <c r="M42" s="454" t="n"/>
      <c r="N42" s="454" t="n"/>
    </row>
    <row r="43" ht="18" customHeight="1" s="50">
      <c r="A43" s="454" t="n"/>
      <c r="B43" s="454" t="n"/>
      <c r="C43" s="454" t="n"/>
      <c r="D43" s="454" t="n"/>
      <c r="E43" s="454" t="n"/>
      <c r="F43" s="454" t="n"/>
      <c r="G43" s="454" t="n"/>
      <c r="H43" s="454" t="n"/>
      <c r="I43" s="454" t="n"/>
      <c r="J43" s="454" t="n"/>
      <c r="K43" s="454" t="n"/>
      <c r="L43" s="454" t="n"/>
      <c r="M43" s="454" t="n"/>
      <c r="N43" s="454" t="n"/>
    </row>
    <row r="44" ht="18" customHeight="1" s="50">
      <c r="A44" s="454" t="n"/>
      <c r="B44" s="454" t="n"/>
      <c r="C44" s="454" t="n"/>
      <c r="D44" s="454" t="n"/>
      <c r="E44" s="454" t="n"/>
      <c r="F44" s="454" t="n"/>
      <c r="G44" s="454" t="n"/>
      <c r="H44" s="454" t="n"/>
      <c r="I44" s="454" t="n"/>
      <c r="J44" s="454" t="n"/>
      <c r="K44" s="454" t="n"/>
      <c r="L44" s="454" t="n"/>
      <c r="M44" s="454" t="n"/>
      <c r="N44" s="454" t="n"/>
    </row>
    <row r="45" ht="18" customHeight="1" s="50">
      <c r="A45" s="454" t="n"/>
      <c r="B45" s="454" t="n"/>
      <c r="C45" s="454" t="n"/>
      <c r="D45" s="454" t="n"/>
      <c r="E45" s="454" t="n"/>
      <c r="F45" s="454" t="n"/>
      <c r="G45" s="454" t="n"/>
      <c r="H45" s="454" t="n"/>
      <c r="I45" s="454" t="n"/>
      <c r="J45" s="454" t="n"/>
      <c r="K45" s="454" t="n"/>
      <c r="L45" s="454" t="n"/>
      <c r="M45" s="454" t="n"/>
      <c r="N45" s="454" t="n"/>
    </row>
    <row r="46" ht="18" customHeight="1" s="50">
      <c r="A46" s="454" t="n"/>
      <c r="B46" s="454" t="n"/>
      <c r="C46" s="454" t="n"/>
      <c r="D46" s="454" t="n"/>
      <c r="E46" s="454" t="n"/>
      <c r="F46" s="454" t="n"/>
      <c r="G46" s="454" t="n"/>
      <c r="H46" s="454" t="n"/>
      <c r="I46" s="454" t="n"/>
      <c r="J46" s="454" t="n"/>
      <c r="K46" s="454" t="n"/>
      <c r="L46" s="454" t="n"/>
      <c r="M46" s="454" t="n"/>
      <c r="N46" s="454" t="n"/>
    </row>
    <row r="47" ht="18" customHeight="1" s="50">
      <c r="A47" s="454" t="n"/>
      <c r="B47" s="454" t="n"/>
      <c r="C47" s="454" t="n"/>
      <c r="D47" s="454" t="n"/>
      <c r="E47" s="454" t="n"/>
      <c r="F47" s="454" t="n"/>
      <c r="G47" s="454" t="n"/>
      <c r="H47" s="454" t="n"/>
      <c r="I47" s="454" t="n"/>
      <c r="J47" s="454" t="n"/>
      <c r="K47" s="454" t="n"/>
      <c r="L47" s="454" t="n"/>
      <c r="M47" s="454" t="n"/>
      <c r="N47" s="454" t="n"/>
    </row>
    <row r="48" ht="18" customHeight="1" s="50">
      <c r="A48" s="454" t="n"/>
      <c r="B48" s="454" t="n"/>
      <c r="C48" s="454" t="n"/>
      <c r="D48" s="454" t="n"/>
      <c r="E48" s="454" t="n"/>
      <c r="F48" s="454" t="n"/>
      <c r="G48" s="454" t="n"/>
      <c r="H48" s="454" t="n"/>
      <c r="I48" s="454" t="n"/>
      <c r="J48" s="454" t="n"/>
      <c r="K48" s="454" t="n"/>
      <c r="L48" s="454" t="n"/>
      <c r="M48" s="454" t="n"/>
      <c r="N48" s="454" t="n"/>
    </row>
    <row r="49" ht="18" customHeight="1" s="50">
      <c r="A49" s="454" t="n"/>
      <c r="B49" s="454" t="n"/>
      <c r="C49" s="454" t="n"/>
      <c r="D49" s="454" t="n"/>
      <c r="E49" s="454" t="n"/>
      <c r="F49" s="454" t="n"/>
      <c r="G49" s="454" t="n"/>
      <c r="H49" s="454" t="n"/>
      <c r="I49" s="454" t="n"/>
      <c r="J49" s="454" t="n"/>
      <c r="K49" s="454" t="n"/>
      <c r="L49" s="454" t="n"/>
      <c r="M49" s="454" t="n"/>
      <c r="N49" s="454" t="n"/>
    </row>
    <row r="50" ht="18" customHeight="1" s="50">
      <c r="A50" s="454" t="n"/>
      <c r="B50" s="454" t="n"/>
      <c r="C50" s="454" t="n"/>
      <c r="D50" s="454" t="n"/>
      <c r="E50" s="454" t="n"/>
      <c r="F50" s="454" t="n"/>
      <c r="G50" s="454" t="n"/>
      <c r="H50" s="454" t="n"/>
      <c r="I50" s="454" t="n"/>
      <c r="J50" s="454" t="n"/>
      <c r="K50" s="454" t="n"/>
      <c r="L50" s="454" t="n"/>
      <c r="M50" s="454" t="n"/>
      <c r="N50" s="454" t="n"/>
    </row>
    <row r="51" ht="18" customHeight="1" s="50">
      <c r="A51" s="454" t="n"/>
      <c r="B51" s="454" t="n"/>
      <c r="C51" s="454" t="n"/>
      <c r="D51" s="454" t="n"/>
      <c r="E51" s="454" t="n"/>
      <c r="F51" s="454" t="n"/>
      <c r="G51" s="454" t="n"/>
      <c r="H51" s="454" t="n"/>
      <c r="I51" s="454" t="n"/>
      <c r="J51" s="454" t="n"/>
      <c r="K51" s="454" t="n"/>
      <c r="L51" s="454" t="n"/>
      <c r="M51" s="454" t="n"/>
      <c r="N51" s="454" t="n"/>
    </row>
    <row r="52" ht="18" customHeight="1" s="50">
      <c r="A52" s="454" t="n"/>
      <c r="B52" s="454" t="n"/>
      <c r="C52" s="454" t="n"/>
      <c r="D52" s="454" t="n"/>
      <c r="E52" s="454" t="n"/>
      <c r="F52" s="454" t="n"/>
      <c r="G52" s="454" t="n"/>
      <c r="H52" s="454" t="n"/>
      <c r="I52" s="454" t="n"/>
      <c r="J52" s="454" t="n"/>
      <c r="K52" s="454" t="n"/>
      <c r="L52" s="454" t="n"/>
      <c r="M52" s="454" t="n"/>
      <c r="N52" s="454" t="n"/>
    </row>
  </sheetData>
  <mergeCells count="5">
    <mergeCell ref="B2:M2"/>
    <mergeCell ref="K24:M25"/>
    <mergeCell ref="F26:I27"/>
    <mergeCell ref="B3:M3"/>
    <mergeCell ref="K26:M27"/>
  </mergeCells>
  <hyperlinks>
    <hyperlink xmlns:r="http://schemas.openxmlformats.org/officeDocument/2006/relationships" ref="K26" r:id="rId1"/>
  </hyperlinks>
  <pageMargins left="0.75" right="0.75" top="1" bottom="1" header="0.5" footer="0.5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A1:AC17"/>
  <sheetViews>
    <sheetView showGridLines="0" workbookViewId="0">
      <selection activeCell="A1" sqref="A1"/>
    </sheetView>
  </sheetViews>
  <sheetFormatPr baseColWidth="8" defaultRowHeight="15"/>
  <cols>
    <col width="3.5" customWidth="1" style="50" min="1" max="1"/>
    <col width="40.5" customWidth="1" style="50" min="2" max="2"/>
    <col width="14" customWidth="1" style="50" min="3" max="3"/>
    <col width="40.5" customWidth="1" style="50" min="4" max="4"/>
    <col width="21.5" customWidth="1" style="50" min="5" max="5"/>
    <col width="21.5" customWidth="1" style="50" min="6" max="6"/>
    <col width="22.5" customWidth="1" style="50" min="7" max="7"/>
    <col width="16.5" customWidth="1" style="50" min="8" max="8"/>
    <col width="19.5" customWidth="1" style="50" min="9" max="9"/>
    <col width="13" customWidth="1" style="50" min="10" max="10"/>
  </cols>
  <sheetData>
    <row r="1" ht="10" customHeight="1" s="50">
      <c r="A1" s="60" t="inlineStr">
        <is>
          <t>☰ PANO</t>
        </is>
      </c>
    </row>
    <row r="2" ht="14" customHeight="1" s="50"/>
    <row r="3" ht="32" customHeight="1" s="50">
      <c r="B3" s="166" t="inlineStr">
        <is>
          <t>🔍  KREDİ PORTFÖYÜ VE OPERASYONEL BORÇ SERVİSİ HAVUZU — Arama &amp; Filtre</t>
        </is>
      </c>
      <c r="C3" s="252" t="n"/>
      <c r="D3" s="252" t="n"/>
      <c r="E3" s="253" t="n"/>
      <c r="G3" s="167" t="inlineStr">
        <is>
          <t>TOPLAM: 1.450 KAYIT</t>
        </is>
      </c>
      <c r="I3" s="168" t="inlineStr">
        <is>
          <t>HATALI HÜCRE: 0 ADET</t>
        </is>
      </c>
    </row>
    <row r="4" ht="10" customHeight="1" s="50"/>
    <row r="5" ht="28" customHeight="1" s="50">
      <c r="B5" s="307" t="inlineStr">
        <is>
          <t>VADE TARİHİ</t>
        </is>
      </c>
      <c r="C5" s="307" t="inlineStr">
        <is>
          <t>KREDİ ID</t>
        </is>
      </c>
      <c r="D5" s="307" t="inlineStr">
        <is>
          <t>BANKA &amp; KREDİ TÜRÜ</t>
        </is>
      </c>
      <c r="E5" s="307" t="inlineStr">
        <is>
          <t>TAKSİT TUTARI (₺)</t>
        </is>
      </c>
      <c r="F5" s="307" t="inlineStr">
        <is>
          <t>FAİZ ORANI / PAYI</t>
        </is>
      </c>
      <c r="G5" s="307" t="inlineStr">
        <is>
          <t>ANAPARA TUTARI (₺)</t>
        </is>
      </c>
      <c r="H5" s="307" t="inlineStr">
        <is>
          <t>ÖDEME DURUMU</t>
        </is>
      </c>
      <c r="I5" s="307" t="inlineStr">
        <is>
          <t>SİSTEM KONTROLÜ</t>
        </is>
      </c>
    </row>
    <row r="6" ht="22" customHeight="1" s="50">
      <c r="B6" s="170" t="inlineStr">
        <is>
          <t>15.01.2026</t>
        </is>
      </c>
      <c r="C6" s="171" t="inlineStr">
        <is>
          <t>KRD-001</t>
        </is>
      </c>
      <c r="D6" s="172" t="inlineStr">
        <is>
          <t>Türkiye İş Bankası · Taksitli Ticari</t>
        </is>
      </c>
      <c r="E6" s="254" t="n">
        <v>620000</v>
      </c>
      <c r="F6" s="255" t="n">
        <v>0.45</v>
      </c>
      <c r="G6" s="175" t="n">
        <v>326000</v>
      </c>
      <c r="H6" s="172" t="inlineStr">
        <is>
          <t>Bekliyor</t>
        </is>
      </c>
      <c r="I6" s="256" t="inlineStr">
        <is>
          <t>ONAYLANDI</t>
        </is>
      </c>
    </row>
    <row r="7" ht="22" customHeight="1" s="50">
      <c r="B7" s="177" t="inlineStr">
        <is>
          <t>15.02.2026</t>
        </is>
      </c>
      <c r="C7" s="178" t="inlineStr">
        <is>
          <t>KRD-001</t>
        </is>
      </c>
      <c r="D7" s="179" t="inlineStr">
        <is>
          <t>Türkiye İş Bankası · Taksitli Ticari</t>
        </is>
      </c>
      <c r="E7" s="254" t="n">
        <v>620000</v>
      </c>
      <c r="F7" s="257" t="n">
        <v>0.45</v>
      </c>
      <c r="G7" s="182" t="n">
        <v>337000</v>
      </c>
      <c r="H7" s="179" t="inlineStr">
        <is>
          <t>Bekliyor</t>
        </is>
      </c>
      <c r="I7" s="258" t="inlineStr">
        <is>
          <t>ONAYLANDI</t>
        </is>
      </c>
    </row>
    <row r="8" ht="22" customHeight="1" s="50">
      <c r="B8" s="170" t="inlineStr">
        <is>
          <t>15.03.2026</t>
        </is>
      </c>
      <c r="C8" s="171" t="inlineStr">
        <is>
          <t>KRD-002</t>
        </is>
      </c>
      <c r="D8" s="172" t="inlineStr">
        <is>
          <t>Akbank · Ticari Leasing</t>
        </is>
      </c>
      <c r="E8" s="254" t="n">
        <v>310000</v>
      </c>
      <c r="F8" s="255" t="n">
        <v>0.38</v>
      </c>
      <c r="G8" s="175" t="n">
        <v>117000</v>
      </c>
      <c r="H8" s="172" t="inlineStr">
        <is>
          <t>Bekliyor</t>
        </is>
      </c>
      <c r="I8" s="256" t="inlineStr">
        <is>
          <t>ONAYLANDI</t>
        </is>
      </c>
    </row>
    <row r="9" ht="22" customHeight="1" s="50">
      <c r="B9" s="177" t="inlineStr">
        <is>
          <t>15.04.2026</t>
        </is>
      </c>
      <c r="C9" s="178" t="inlineStr">
        <is>
          <t>KRD-002</t>
        </is>
      </c>
      <c r="D9" s="179" t="inlineStr">
        <is>
          <t>Akbank · Ticari Leasing</t>
        </is>
      </c>
      <c r="E9" s="254" t="n">
        <v>310000</v>
      </c>
      <c r="F9" s="257" t="n">
        <v>0.38</v>
      </c>
      <c r="G9" s="182" t="n">
        <v>121000</v>
      </c>
      <c r="H9" s="179" t="inlineStr">
        <is>
          <t>Bekliyor</t>
        </is>
      </c>
      <c r="I9" s="258" t="inlineStr">
        <is>
          <t>ONAYLANDI</t>
        </is>
      </c>
    </row>
    <row r="10" ht="22" customHeight="1" s="50">
      <c r="B10" s="170" t="inlineStr">
        <is>
          <t>15.05.2026</t>
        </is>
      </c>
      <c r="C10" s="171" t="inlineStr">
        <is>
          <t>KRD-003</t>
        </is>
      </c>
      <c r="D10" s="172" t="inlineStr">
        <is>
          <t>Garanti BBVA · Rotatif Kredi</t>
        </is>
      </c>
      <c r="E10" s="254" t="n">
        <v>1850000</v>
      </c>
      <c r="F10" s="255" t="n">
        <v>0.48</v>
      </c>
      <c r="G10" s="175" t="n">
        <v>1850000</v>
      </c>
      <c r="H10" s="172" t="inlineStr">
        <is>
          <t>Bekliyor</t>
        </is>
      </c>
      <c r="I10" s="256" t="inlineStr">
        <is>
          <t>ONAYLANDI</t>
        </is>
      </c>
    </row>
    <row r="11" ht="22" customHeight="1" s="50">
      <c r="B11" s="177" t="inlineStr">
        <is>
          <t>15.06.2026</t>
        </is>
      </c>
      <c r="C11" s="178" t="inlineStr">
        <is>
          <t>KRD-004</t>
        </is>
      </c>
      <c r="D11" s="179" t="inlineStr">
        <is>
          <t>Türkiye İş Bankası · Spot Kredi</t>
        </is>
      </c>
      <c r="E11" s="254" t="n">
        <v>950000</v>
      </c>
      <c r="F11" s="257" t="n">
        <v>0.42</v>
      </c>
      <c r="G11" s="182" t="n">
        <v>950000</v>
      </c>
      <c r="H11" s="179" t="inlineStr">
        <is>
          <t>Bekliyor</t>
        </is>
      </c>
      <c r="I11" s="258" t="inlineStr">
        <is>
          <t>ONAYLANDI</t>
        </is>
      </c>
    </row>
    <row r="12" ht="22" customHeight="1" s="50">
      <c r="B12" s="170" t="inlineStr">
        <is>
          <t>15.07.2026</t>
        </is>
      </c>
      <c r="C12" s="171" t="inlineStr">
        <is>
          <t>KRD-001</t>
        </is>
      </c>
      <c r="D12" s="172" t="inlineStr">
        <is>
          <t>Türkiye İş Bankası · Taksitli Ticari</t>
        </is>
      </c>
      <c r="E12" s="254" t="n">
        <v>620000</v>
      </c>
      <c r="F12" s="255" t="n">
        <v>0.45</v>
      </c>
      <c r="G12" s="175" t="n">
        <v>348000</v>
      </c>
      <c r="H12" s="172" t="inlineStr">
        <is>
          <t>Bekliyor</t>
        </is>
      </c>
      <c r="I12" s="256" t="inlineStr">
        <is>
          <t>ONAYLANDI</t>
        </is>
      </c>
    </row>
    <row r="13" ht="22" customHeight="1" s="50">
      <c r="B13" s="177" t="inlineStr">
        <is>
          <t>15.08.2026</t>
        </is>
      </c>
      <c r="C13" s="178" t="inlineStr">
        <is>
          <t>KRD-002</t>
        </is>
      </c>
      <c r="D13" s="179" t="inlineStr">
        <is>
          <t>Akbank · Ticari Leasing</t>
        </is>
      </c>
      <c r="E13" s="254" t="n">
        <v>310000</v>
      </c>
      <c r="F13" s="257" t="n">
        <v>0.38</v>
      </c>
      <c r="G13" s="182" t="n">
        <v>125000</v>
      </c>
      <c r="H13" s="179" t="inlineStr">
        <is>
          <t>Bekliyor</t>
        </is>
      </c>
      <c r="I13" s="258" t="inlineStr">
        <is>
          <t>ONAYLANDI</t>
        </is>
      </c>
    </row>
    <row r="14" ht="22" customHeight="1" s="50">
      <c r="B14" s="170" t="inlineStr">
        <is>
          <t>15.09.2026</t>
        </is>
      </c>
      <c r="C14" s="171" t="inlineStr">
        <is>
          <t>KRD-001</t>
        </is>
      </c>
      <c r="D14" s="172" t="inlineStr">
        <is>
          <t>Türkiye İş Bankası · Taksitli Ticari</t>
        </is>
      </c>
      <c r="E14" s="254" t="n">
        <v>620000</v>
      </c>
      <c r="F14" s="255" t="n">
        <v>0.45</v>
      </c>
      <c r="G14" s="175" t="n">
        <v>360000</v>
      </c>
      <c r="H14" s="172" t="inlineStr">
        <is>
          <t>Bekliyor</t>
        </is>
      </c>
      <c r="I14" s="256" t="inlineStr">
        <is>
          <t>ONAYLANDI</t>
        </is>
      </c>
    </row>
    <row r="15" ht="22" customHeight="1" s="50">
      <c r="B15" s="177" t="inlineStr">
        <is>
          <t>15.10.2026</t>
        </is>
      </c>
      <c r="C15" s="178" t="inlineStr">
        <is>
          <t>KRD-002</t>
        </is>
      </c>
      <c r="D15" s="179" t="inlineStr">
        <is>
          <t>Akbank · Ticari Leasing</t>
        </is>
      </c>
      <c r="E15" s="254" t="n">
        <v>310000</v>
      </c>
      <c r="F15" s="257" t="n">
        <v>0.38</v>
      </c>
      <c r="G15" s="182" t="n">
        <v>129000</v>
      </c>
      <c r="H15" s="179" t="inlineStr">
        <is>
          <t>Bekliyor</t>
        </is>
      </c>
      <c r="I15" s="258" t="inlineStr">
        <is>
          <t>ONAYLANDI</t>
        </is>
      </c>
    </row>
    <row r="16" ht="6" customHeight="1" s="50"/>
    <row r="17" ht="28" customHeight="1" s="50">
      <c r="B17" s="302" t="inlineStr">
        <is>
          <t>AKTİF KREDİ TAKSİT TOPLAMI (10 VADE)</t>
        </is>
      </c>
      <c r="C17" s="336" t="n"/>
      <c r="D17" s="337" t="n"/>
      <c r="E17" s="304">
        <f>SUM(E6:E15)</f>
        <v/>
      </c>
      <c r="F17" s="336" t="n"/>
      <c r="G17" s="336" t="n"/>
      <c r="H17" s="336" t="n"/>
      <c r="I17" s="337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tabColor rgb="0060A5FA"/>
    <outlinePr summaryBelow="1" summaryRight="1"/>
    <pageSetUpPr fitToPage="0"/>
  </sheetPr>
  <dimension ref="A1:AC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3" customWidth="1" style="76" min="1" max="1"/>
    <col width="26" customWidth="1" style="76" min="2" max="2"/>
    <col width="20.5" customWidth="1" style="76" min="3" max="3"/>
    <col width="20.5" customWidth="1" style="76" min="4" max="4"/>
    <col width="32" customWidth="1" style="76" min="5" max="5"/>
    <col width="14" customWidth="1" style="76" min="6" max="6"/>
    <col width="21.5" customWidth="1" style="76" min="7" max="7"/>
    <col width="18.5" customWidth="1" style="76" min="8" max="8"/>
    <col width="14" customWidth="1" style="76" min="9" max="9"/>
    <col width="13" customWidth="1" style="50" min="10" max="10"/>
    <col width="13" customWidth="1" style="50" min="11" max="11"/>
    <col width="13" customWidth="1" style="50" min="12" max="12"/>
    <col width="13" customWidth="1" style="50" min="13" max="13"/>
    <col width="13" customWidth="1" style="50" min="14" max="14"/>
  </cols>
  <sheetData>
    <row r="1" ht="32" customHeight="1" s="50">
      <c r="A1" s="455" t="inlineStr">
        <is>
          <t>BANKALAR — KURUMSAL BANKA VE BORÇ YÖNETİMİ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</row>
    <row r="2" ht="7.8" customHeight="1" s="50"/>
    <row r="3" ht="22" customHeight="1" s="50">
      <c r="A3" s="456" t="inlineStr">
        <is>
          <t>BANKA TANIMLARI — ilişki, operasyonel durum ve iletişim tek merkezde.</t>
        </is>
      </c>
    </row>
    <row r="4" ht="10" customHeight="1" s="50"/>
    <row r="5" ht="28" customHeight="1" s="50">
      <c r="A5" s="307" t="inlineStr">
        <is>
          <t>Banka ID</t>
        </is>
      </c>
      <c r="B5" s="307" t="inlineStr">
        <is>
          <t>Banka</t>
        </is>
      </c>
      <c r="C5" s="307" t="inlineStr">
        <is>
          <t>Şube</t>
        </is>
      </c>
      <c r="D5" s="307" t="inlineStr">
        <is>
          <t>Müşteri Numarası</t>
        </is>
      </c>
      <c r="E5" s="307" t="inlineStr">
        <is>
          <t>IBAN</t>
        </is>
      </c>
      <c r="F5" s="307" t="inlineStr">
        <is>
          <t>Durum</t>
        </is>
      </c>
      <c r="G5" s="307" t="inlineStr">
        <is>
          <t>İlişki Yöneticisi</t>
        </is>
      </c>
      <c r="H5" s="307" t="inlineStr">
        <is>
          <t>Telefon</t>
        </is>
      </c>
      <c r="I5" s="307" t="inlineStr">
        <is>
          <t>Kontrol</t>
        </is>
      </c>
    </row>
    <row r="6" ht="22" customHeight="1" s="50">
      <c r="A6" s="308" t="inlineStr">
        <is>
          <t>BNK-001</t>
        </is>
      </c>
      <c r="B6" s="309" t="inlineStr">
        <is>
          <t>Türkiye İş Bankası</t>
        </is>
      </c>
      <c r="C6" s="309" t="inlineStr">
        <is>
          <t>Maslak Ticari</t>
        </is>
      </c>
      <c r="D6" s="310" t="n">
        <v>1002345</v>
      </c>
      <c r="E6" s="308" t="inlineStr">
        <is>
          <t>TR110006400000123456789001</t>
        </is>
      </c>
      <c r="F6" s="308" t="inlineStr">
        <is>
          <t>Aktif</t>
        </is>
      </c>
      <c r="G6" s="308" t="inlineStr">
        <is>
          <t>Ayşe Yılmaz</t>
        </is>
      </c>
      <c r="H6" s="308" t="inlineStr">
        <is>
          <t>0212 000 00 01</t>
        </is>
      </c>
      <c r="I6" s="311">
        <f>IF(ISBLANK($A6),"",IF(OR(ISBLANK($B6),ISBLANK($C6),ISBLANK($D6),ISBLANK($E6),ISBLANK($F6),ISBLANK($G6),ISBLANK($H6)),"EKSİK","OK"))</f>
        <v/>
      </c>
    </row>
    <row r="7" ht="22" customHeight="1" s="50">
      <c r="A7" s="312" t="inlineStr">
        <is>
          <t>BNK-002</t>
        </is>
      </c>
      <c r="B7" s="313" t="inlineStr">
        <is>
          <t>Akbank</t>
        </is>
      </c>
      <c r="C7" s="313" t="inlineStr">
        <is>
          <t>Levent Ticari</t>
        </is>
      </c>
      <c r="D7" s="314" t="n">
        <v>2001456</v>
      </c>
      <c r="E7" s="312" t="inlineStr">
        <is>
          <t>TR220004600000234567890002</t>
        </is>
      </c>
      <c r="F7" s="312" t="inlineStr">
        <is>
          <t>Aktif</t>
        </is>
      </c>
      <c r="G7" s="312" t="inlineStr">
        <is>
          <t>Mehmet Kaya</t>
        </is>
      </c>
      <c r="H7" s="312" t="inlineStr">
        <is>
          <t>0212 000 00 02</t>
        </is>
      </c>
      <c r="I7" s="315">
        <f>IF(ISBLANK($A7),"",IF(OR(ISBLANK($B7),ISBLANK($C7),ISBLANK($D7),ISBLANK($E7),ISBLANK($F7),ISBLANK($G7),ISBLANK($H7)),"EKSİK","OK"))</f>
        <v/>
      </c>
    </row>
    <row r="8" ht="22" customHeight="1" s="50">
      <c r="A8" s="308" t="inlineStr">
        <is>
          <t>BNK-003</t>
        </is>
      </c>
      <c r="B8" s="309" t="inlineStr">
        <is>
          <t>Garanti BBVA</t>
        </is>
      </c>
      <c r="C8" s="309" t="inlineStr">
        <is>
          <t>İkitelli Ticari</t>
        </is>
      </c>
      <c r="D8" s="310" t="n">
        <v>3001789</v>
      </c>
      <c r="E8" s="308" t="inlineStr">
        <is>
          <t>TR330006200000345678901003</t>
        </is>
      </c>
      <c r="F8" s="308" t="inlineStr">
        <is>
          <t>Aktif</t>
        </is>
      </c>
      <c r="G8" s="308" t="inlineStr">
        <is>
          <t>Selin Demir</t>
        </is>
      </c>
      <c r="H8" s="308" t="inlineStr">
        <is>
          <t>0212 000 00 03</t>
        </is>
      </c>
      <c r="I8" s="311">
        <f>IF(ISBLANK($A8),"",IF(OR(ISBLANK($B8),ISBLANK($C8),ISBLANK($D8),ISBLANK($E8),ISBLANK($F8),ISBLANK($G8),ISBLANK($H8)),"EKSİK","OK"))</f>
        <v/>
      </c>
    </row>
    <row r="9" ht="22" customHeight="1" s="50">
      <c r="A9" s="312" t="inlineStr">
        <is>
          <t>BNK-004</t>
        </is>
      </c>
      <c r="B9" s="313" t="inlineStr">
        <is>
          <t>Yapı Kredi</t>
        </is>
      </c>
      <c r="C9" s="313" t="inlineStr">
        <is>
          <t>Kozyatağı Ticari</t>
        </is>
      </c>
      <c r="D9" s="314" t="n">
        <v>4001678</v>
      </c>
      <c r="E9" s="312" t="inlineStr">
        <is>
          <t>TR440006700000456789012004</t>
        </is>
      </c>
      <c r="F9" s="312" t="inlineStr">
        <is>
          <t>İzle</t>
        </is>
      </c>
      <c r="G9" s="312" t="inlineStr">
        <is>
          <t>Can Arslan</t>
        </is>
      </c>
      <c r="H9" s="312" t="inlineStr">
        <is>
          <t>0212 000 00 04</t>
        </is>
      </c>
      <c r="I9" s="315">
        <f>IF(ISBLANK($A9),"",IF(OR(ISBLANK($B9),ISBLANK($C9),ISBLANK($D9),ISBLANK($E9),ISBLANK($F9),ISBLANK($G9),ISBLANK($H9)),"EKSİK","OK"))</f>
        <v/>
      </c>
    </row>
    <row r="10" ht="22" customHeight="1" s="50">
      <c r="A10" s="316" t="n"/>
      <c r="B10" s="317" t="n"/>
      <c r="C10" s="317" t="n"/>
      <c r="D10" s="316" t="n"/>
      <c r="E10" s="316" t="n"/>
      <c r="F10" s="316" t="n"/>
      <c r="G10" s="316" t="n"/>
      <c r="H10" s="316" t="n"/>
      <c r="I10" s="311">
        <f>IF(ISBLANK($A10),"",IF(OR(ISBLANK($B10),ISBLANK($C10),ISBLANK($D10),ISBLANK($E10),ISBLANK($F10),ISBLANK($G10),ISBLANK($H10)),"EKSİK","OK"))</f>
        <v/>
      </c>
    </row>
    <row r="11" ht="22" customHeight="1" s="50">
      <c r="A11" s="318" t="n"/>
      <c r="B11" s="319" t="n"/>
      <c r="C11" s="319" t="n"/>
      <c r="D11" s="318" t="n"/>
      <c r="E11" s="318" t="n"/>
      <c r="F11" s="318" t="n"/>
      <c r="G11" s="318" t="n"/>
      <c r="H11" s="318" t="n"/>
      <c r="I11" s="315">
        <f>IF(ISBLANK($A11),"",IF(OR(ISBLANK($B11),ISBLANK($C11),ISBLANK($D11),ISBLANK($E11),ISBLANK($F11),ISBLANK($G11),ISBLANK($H11)),"EKSİK","OK"))</f>
        <v/>
      </c>
    </row>
    <row r="12" ht="22" customHeight="1" s="50">
      <c r="A12" s="316" t="n"/>
      <c r="B12" s="317" t="n"/>
      <c r="C12" s="317" t="n"/>
      <c r="D12" s="316" t="n"/>
      <c r="E12" s="316" t="n"/>
      <c r="F12" s="316" t="n"/>
      <c r="G12" s="316" t="n"/>
      <c r="H12" s="316" t="n"/>
      <c r="I12" s="311">
        <f>IF(ISBLANK($A12),"",IF(OR(ISBLANK($B12),ISBLANK($C12),ISBLANK($D12),ISBLANK($E12),ISBLANK($F12),ISBLANK($G12),ISBLANK($H12)),"EKSİK","OK"))</f>
        <v/>
      </c>
    </row>
    <row r="13" ht="22" customHeight="1" s="50">
      <c r="A13" s="318" t="n"/>
      <c r="B13" s="319" t="n"/>
      <c r="C13" s="319" t="n"/>
      <c r="D13" s="318" t="n"/>
      <c r="E13" s="318" t="n"/>
      <c r="F13" s="318" t="n"/>
      <c r="G13" s="318" t="n"/>
      <c r="H13" s="318" t="n"/>
      <c r="I13" s="315">
        <f>IF(ISBLANK($A13),"",IF(OR(ISBLANK($B13),ISBLANK($C13),ISBLANK($D13),ISBLANK($E13),ISBLANK($F13),ISBLANK($G13),ISBLANK($H13)),"EKSİK","OK"))</f>
        <v/>
      </c>
    </row>
    <row r="14" ht="22" customHeight="1" s="50">
      <c r="A14" s="316" t="n"/>
      <c r="B14" s="317" t="n"/>
      <c r="C14" s="317" t="n"/>
      <c r="D14" s="316" t="n"/>
      <c r="E14" s="316" t="n"/>
      <c r="F14" s="316" t="n"/>
      <c r="G14" s="316" t="n"/>
      <c r="H14" s="316" t="n"/>
      <c r="I14" s="311">
        <f>IF(ISBLANK($A14),"",IF(OR(ISBLANK($B14),ISBLANK($C14),ISBLANK($D14),ISBLANK($E14),ISBLANK($F14),ISBLANK($G14),ISBLANK($H14)),"EKSİK","OK"))</f>
        <v/>
      </c>
    </row>
    <row r="15" ht="22" customHeight="1" s="50">
      <c r="A15" s="318" t="n"/>
      <c r="B15" s="319" t="n"/>
      <c r="C15" s="319" t="n"/>
      <c r="D15" s="318" t="n"/>
      <c r="E15" s="318" t="n"/>
      <c r="F15" s="318" t="n"/>
      <c r="G15" s="318" t="n"/>
      <c r="H15" s="318" t="n"/>
      <c r="I15" s="315">
        <f>IF(ISBLANK($A15),"",IF(OR(ISBLANK($B15),ISBLANK($C15),ISBLANK($D15),ISBLANK($E15),ISBLANK($F15),ISBLANK($G15),ISBLANK($H15)),"EKSİK","OK"))</f>
        <v/>
      </c>
    </row>
    <row r="16" ht="22" customHeight="1" s="50">
      <c r="A16" s="316" t="n"/>
      <c r="B16" s="317" t="n"/>
      <c r="C16" s="317" t="n"/>
      <c r="D16" s="316" t="n"/>
      <c r="E16" s="316" t="n"/>
      <c r="F16" s="316" t="n"/>
      <c r="G16" s="316" t="n"/>
      <c r="H16" s="316" t="n"/>
      <c r="I16" s="311">
        <f>IF(ISBLANK($A16),"",IF(OR(ISBLANK($B16),ISBLANK($C16),ISBLANK($D16),ISBLANK($E16),ISBLANK($F16),ISBLANK($G16),ISBLANK($H16)),"EKSİK","OK"))</f>
        <v/>
      </c>
    </row>
    <row r="17" ht="22" customHeight="1" s="50">
      <c r="A17" s="318" t="n"/>
      <c r="B17" s="319" t="n"/>
      <c r="C17" s="319" t="n"/>
      <c r="D17" s="318" t="n"/>
      <c r="E17" s="318" t="n"/>
      <c r="F17" s="318" t="n"/>
      <c r="G17" s="318" t="n"/>
      <c r="H17" s="318" t="n"/>
      <c r="I17" s="315">
        <f>IF(ISBLANK($A17),"",IF(OR(ISBLANK($B17),ISBLANK($C17),ISBLANK($D17),ISBLANK($E17),ISBLANK($F17),ISBLANK($G17),ISBLANK($H17)),"EKSİK","OK"))</f>
        <v/>
      </c>
    </row>
    <row r="18" ht="22" customHeight="1" s="50">
      <c r="A18" s="316" t="n"/>
      <c r="B18" s="317" t="n"/>
      <c r="C18" s="317" t="n"/>
      <c r="D18" s="316" t="n"/>
      <c r="E18" s="316" t="n"/>
      <c r="F18" s="316" t="n"/>
      <c r="G18" s="316" t="n"/>
      <c r="H18" s="316" t="n"/>
      <c r="I18" s="311">
        <f>IF(ISBLANK($A18),"",IF(OR(ISBLANK($B18),ISBLANK($C18),ISBLANK($D18),ISBLANK($E18),ISBLANK($F18),ISBLANK($G18),ISBLANK($H18)),"EKSİK","OK"))</f>
        <v/>
      </c>
    </row>
    <row r="19" ht="22" customHeight="1" s="50">
      <c r="A19" s="318" t="n"/>
      <c r="B19" s="319" t="n"/>
      <c r="C19" s="319" t="n"/>
      <c r="D19" s="318" t="n"/>
      <c r="E19" s="318" t="n"/>
      <c r="F19" s="318" t="n"/>
      <c r="G19" s="318" t="n"/>
      <c r="H19" s="318" t="n"/>
      <c r="I19" s="315">
        <f>IF(ISBLANK($A19),"",IF(OR(ISBLANK($B19),ISBLANK($C19),ISBLANK($D19),ISBLANK($E19),ISBLANK($F19),ISBLANK($G19),ISBLANK($H19)),"EKSİK","OK"))</f>
        <v/>
      </c>
    </row>
    <row r="20" ht="22" customHeight="1" s="50">
      <c r="A20" s="316" t="n"/>
      <c r="B20" s="317" t="n"/>
      <c r="C20" s="317" t="n"/>
      <c r="D20" s="316" t="n"/>
      <c r="E20" s="316" t="n"/>
      <c r="F20" s="316" t="n"/>
      <c r="G20" s="316" t="n"/>
      <c r="H20" s="316" t="n"/>
      <c r="I20" s="311">
        <f>IF(ISBLANK($A20),"",IF(OR(ISBLANK($B20),ISBLANK($C20),ISBLANK($D20),ISBLANK($E20),ISBLANK($F20),ISBLANK($G20),ISBLANK($H20)),"EKSİK","OK"))</f>
        <v/>
      </c>
    </row>
    <row r="21" ht="22" customHeight="1" s="50">
      <c r="A21" s="318" t="n"/>
      <c r="B21" s="319" t="n"/>
      <c r="C21" s="319" t="n"/>
      <c r="D21" s="318" t="n"/>
      <c r="E21" s="318" t="n"/>
      <c r="F21" s="318" t="n"/>
      <c r="G21" s="318" t="n"/>
      <c r="H21" s="318" t="n"/>
      <c r="I21" s="315">
        <f>IF(ISBLANK($A21),"",IF(OR(ISBLANK($B21),ISBLANK($C21),ISBLANK($D21),ISBLANK($E21),ISBLANK($F21),ISBLANK($G21),ISBLANK($H21)),"EKSİK","OK"))</f>
        <v/>
      </c>
    </row>
    <row r="22" ht="22" customHeight="1" s="50">
      <c r="A22" s="316" t="n"/>
      <c r="B22" s="317" t="n"/>
      <c r="C22" s="317" t="n"/>
      <c r="D22" s="316" t="n"/>
      <c r="E22" s="316" t="n"/>
      <c r="F22" s="316" t="n"/>
      <c r="G22" s="316" t="n"/>
      <c r="H22" s="316" t="n"/>
      <c r="I22" s="311">
        <f>IF(ISBLANK($A22),"",IF(OR(ISBLANK($B22),ISBLANK($C22),ISBLANK($D22),ISBLANK($E22),ISBLANK($F22),ISBLANK($G22),ISBLANK($H22)),"EKSİK","OK"))</f>
        <v/>
      </c>
    </row>
    <row r="23" ht="22" customHeight="1" s="50">
      <c r="A23" s="318" t="n"/>
      <c r="B23" s="319" t="n"/>
      <c r="C23" s="319" t="n"/>
      <c r="D23" s="318" t="n"/>
      <c r="E23" s="318" t="n"/>
      <c r="F23" s="318" t="n"/>
      <c r="G23" s="318" t="n"/>
      <c r="H23" s="318" t="n"/>
      <c r="I23" s="315">
        <f>IF(ISBLANK($A23),"",IF(OR(ISBLANK($B23),ISBLANK($C23),ISBLANK($D23),ISBLANK($E23),ISBLANK($F23),ISBLANK($G23),ISBLANK($H23)),"EKSİK","OK"))</f>
        <v/>
      </c>
    </row>
    <row r="24" ht="22" customHeight="1" s="50">
      <c r="A24" s="316" t="n"/>
      <c r="B24" s="317" t="n"/>
      <c r="C24" s="317" t="n"/>
      <c r="D24" s="316" t="n"/>
      <c r="E24" s="316" t="n"/>
      <c r="F24" s="316" t="n"/>
      <c r="G24" s="316" t="n"/>
      <c r="H24" s="316" t="n"/>
      <c r="I24" s="311">
        <f>IF(ISBLANK($A24),"",IF(OR(ISBLANK($B24),ISBLANK($C24),ISBLANK($D24),ISBLANK($E24),ISBLANK($F24),ISBLANK($G24),ISBLANK($H24)),"EKSİK","OK"))</f>
        <v/>
      </c>
    </row>
    <row r="25" ht="22" customHeight="1" s="50">
      <c r="A25" s="318" t="n"/>
      <c r="B25" s="319" t="n"/>
      <c r="C25" s="319" t="n"/>
      <c r="D25" s="318" t="n"/>
      <c r="E25" s="318" t="n"/>
      <c r="F25" s="318" t="n"/>
      <c r="G25" s="318" t="n"/>
      <c r="H25" s="318" t="n"/>
      <c r="I25" s="315">
        <f>IF(ISBLANK($A25),"",IF(OR(ISBLANK($B25),ISBLANK($C25),ISBLANK($D25),ISBLANK($E25),ISBLANK($F25),ISBLANK($G25),ISBLANK($H25)),"EKSİK","OK"))</f>
        <v/>
      </c>
    </row>
    <row r="26" ht="22" customHeight="1" s="50">
      <c r="A26" s="316" t="n"/>
      <c r="B26" s="317" t="n"/>
      <c r="C26" s="317" t="n"/>
      <c r="D26" s="316" t="n"/>
      <c r="E26" s="316" t="n"/>
      <c r="F26" s="316" t="n"/>
      <c r="G26" s="316" t="n"/>
      <c r="H26" s="316" t="n"/>
      <c r="I26" s="311">
        <f>IF(ISBLANK($A26),"",IF(OR(ISBLANK($B26),ISBLANK($C26),ISBLANK($D26),ISBLANK($E26),ISBLANK($F26),ISBLANK($G26),ISBLANK($H26)),"EKSİK","OK"))</f>
        <v/>
      </c>
    </row>
    <row r="27" ht="22" customHeight="1" s="50">
      <c r="A27" s="318" t="n"/>
      <c r="B27" s="319" t="n"/>
      <c r="C27" s="319" t="n"/>
      <c r="D27" s="318" t="n"/>
      <c r="E27" s="318" t="n"/>
      <c r="F27" s="318" t="n"/>
      <c r="G27" s="318" t="n"/>
      <c r="H27" s="318" t="n"/>
      <c r="I27" s="315">
        <f>IF(ISBLANK($A27),"",IF(OR(ISBLANK($B27),ISBLANK($C27),ISBLANK($D27),ISBLANK($E27),ISBLANK($F27),ISBLANK($G27),ISBLANK($H27)),"EKSİK","OK"))</f>
        <v/>
      </c>
    </row>
    <row r="28" ht="22" customHeight="1" s="50">
      <c r="A28" s="316" t="n"/>
      <c r="B28" s="317" t="n"/>
      <c r="C28" s="317" t="n"/>
      <c r="D28" s="316" t="n"/>
      <c r="E28" s="316" t="n"/>
      <c r="F28" s="316" t="n"/>
      <c r="G28" s="316" t="n"/>
      <c r="H28" s="316" t="n"/>
      <c r="I28" s="311">
        <f>IF(ISBLANK($A28),"",IF(OR(ISBLANK($B28),ISBLANK($C28),ISBLANK($D28),ISBLANK($E28),ISBLANK($F28),ISBLANK($G28),ISBLANK($H28)),"EKSİK","OK"))</f>
        <v/>
      </c>
    </row>
    <row r="29" ht="22" customHeight="1" s="50">
      <c r="A29" s="318" t="n"/>
      <c r="B29" s="319" t="n"/>
      <c r="C29" s="319" t="n"/>
      <c r="D29" s="318" t="n"/>
      <c r="E29" s="318" t="n"/>
      <c r="F29" s="318" t="n"/>
      <c r="G29" s="318" t="n"/>
      <c r="H29" s="318" t="n"/>
      <c r="I29" s="315">
        <f>IF(ISBLANK($A29),"",IF(OR(ISBLANK($B29),ISBLANK($C29),ISBLANK($D29),ISBLANK($E29),ISBLANK($F29),ISBLANK($G29),ISBLANK($H29)),"EKSİK","OK"))</f>
        <v/>
      </c>
    </row>
    <row r="30" ht="22" customHeight="1" s="50">
      <c r="A30" s="316" t="n"/>
      <c r="B30" s="317" t="n"/>
      <c r="C30" s="317" t="n"/>
      <c r="D30" s="316" t="n"/>
      <c r="E30" s="316" t="n"/>
      <c r="F30" s="316" t="n"/>
      <c r="G30" s="316" t="n"/>
      <c r="H30" s="316" t="n"/>
      <c r="I30" s="311">
        <f>IF(ISBLANK($A30),"",IF(OR(ISBLANK($B30),ISBLANK($C30),ISBLANK($D30),ISBLANK($E30),ISBLANK($F30),ISBLANK($G30),ISBLANK($H30)),"EKSİK","OK"))</f>
        <v/>
      </c>
    </row>
    <row r="31" ht="22" customHeight="1" s="50">
      <c r="A31" s="318" t="n"/>
      <c r="B31" s="319" t="n"/>
      <c r="C31" s="319" t="n"/>
      <c r="D31" s="318" t="n"/>
      <c r="E31" s="318" t="n"/>
      <c r="F31" s="318" t="n"/>
      <c r="G31" s="318" t="n"/>
      <c r="H31" s="318" t="n"/>
      <c r="I31" s="315">
        <f>IF(ISBLANK($A31),"",IF(OR(ISBLANK($B31),ISBLANK($C31),ISBLANK($D31),ISBLANK($E31),ISBLANK($F31),ISBLANK($G31),ISBLANK($H31)),"EKSİK","OK"))</f>
        <v/>
      </c>
    </row>
    <row r="32" ht="22" customHeight="1" s="50">
      <c r="A32" s="316" t="n"/>
      <c r="B32" s="317" t="n"/>
      <c r="C32" s="317" t="n"/>
      <c r="D32" s="316" t="n"/>
      <c r="E32" s="316" t="n"/>
      <c r="F32" s="316" t="n"/>
      <c r="G32" s="316" t="n"/>
      <c r="H32" s="316" t="n"/>
      <c r="I32" s="311">
        <f>IF(ISBLANK($A32),"",IF(OR(ISBLANK($B32),ISBLANK($C32),ISBLANK($D32),ISBLANK($E32),ISBLANK($F32),ISBLANK($G32),ISBLANK($H32)),"EKSİK","OK"))</f>
        <v/>
      </c>
    </row>
    <row r="33" ht="22" customHeight="1" s="50">
      <c r="A33" s="318" t="n"/>
      <c r="B33" s="319" t="n"/>
      <c r="C33" s="319" t="n"/>
      <c r="D33" s="318" t="n"/>
      <c r="E33" s="318" t="n"/>
      <c r="F33" s="318" t="n"/>
      <c r="G33" s="318" t="n"/>
      <c r="H33" s="318" t="n"/>
      <c r="I33" s="315">
        <f>IF(ISBLANK($A33),"",IF(OR(ISBLANK($B33),ISBLANK($C33),ISBLANK($D33),ISBLANK($E33),ISBLANK($F33),ISBLANK($G33),ISBLANK($H33)),"EKSİK","OK"))</f>
        <v/>
      </c>
    </row>
    <row r="34" ht="22" customHeight="1" s="50">
      <c r="A34" s="316" t="n"/>
      <c r="B34" s="317" t="n"/>
      <c r="C34" s="317" t="n"/>
      <c r="D34" s="316" t="n"/>
      <c r="E34" s="316" t="n"/>
      <c r="F34" s="316" t="n"/>
      <c r="G34" s="316" t="n"/>
      <c r="H34" s="316" t="n"/>
      <c r="I34" s="311">
        <f>IF(ISBLANK($A34),"",IF(OR(ISBLANK($B34),ISBLANK($C34),ISBLANK($D34),ISBLANK($E34),ISBLANK($F34),ISBLANK($G34),ISBLANK($H34)),"EKSİK","OK"))</f>
        <v/>
      </c>
    </row>
    <row r="35" ht="22" customHeight="1" s="50">
      <c r="A35" s="318" t="n"/>
      <c r="B35" s="319" t="n"/>
      <c r="C35" s="319" t="n"/>
      <c r="D35" s="318" t="n"/>
      <c r="E35" s="318" t="n"/>
      <c r="F35" s="318" t="n"/>
      <c r="G35" s="318" t="n"/>
      <c r="H35" s="318" t="n"/>
      <c r="I35" s="315">
        <f>IF(ISBLANK($A35),"",IF(OR(ISBLANK($B35),ISBLANK($C35),ISBLANK($D35),ISBLANK($E35),ISBLANK($F35),ISBLANK($G35),ISBLANK($H35)),"EKSİK","OK"))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F6:F1000">
    <cfRule type="cellIs" rank="0" priority="2" equalAverage="0" operator="equal" aboveAverage="0" dxfId="8" text="" percent="0" bottom="0">
      <formula>"Aktif"</formula>
    </cfRule>
    <cfRule type="cellIs" rank="0" priority="3" equalAverage="0" operator="equal" aboveAverage="0" dxfId="9" text="" percent="0" bottom="0">
      <formula>"Pasif"</formula>
    </cfRule>
    <cfRule type="cellIs" rank="0" priority="4" equalAverage="0" operator="equal" aboveAverage="0" dxfId="10" text="" percent="0" bottom="0">
      <formula>"İzle"</formula>
    </cfRule>
  </conditionalFormatting>
  <conditionalFormatting sqref="I6:I1000">
    <cfRule type="cellIs" rank="0" priority="5" equalAverage="0" operator="equal" aboveAverage="0" dxfId="9" text="" percent="0" bottom="0">
      <formula>"EKSİK"</formula>
    </cfRule>
    <cfRule type="cellIs" rank="0" priority="6" equalAverage="0" operator="equal" aboveAverage="0" dxfId="8" text="" percent="0" bottom="0">
      <formula>"OK"</formula>
    </cfRule>
  </conditionalFormatting>
  <dataValidations count="1">
    <dataValidation sqref="F6:F1000" showDropDown="0" showInputMessage="1" showErrorMessage="1" allowBlank="1" errorTitle="Geçersiz Durum" error="Lütfen listeden bir durum seçin." promptTitle="Banka Durumu" prompt="Aktif, Pasif veya İzle seçin." type="list" errorStyle="stop" operator="between">
      <formula1>ListeBankaDurum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tabColor rgb="0060A5FA"/>
    <outlinePr summaryBelow="1" summaryRight="1"/>
    <pageSetUpPr fitToPage="0"/>
  </sheetPr>
  <dimension ref="A1:AC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3" customWidth="1" style="76" min="1" max="1"/>
    <col width="26" customWidth="1" style="76" min="2" max="2"/>
    <col width="25.5" customWidth="1" style="76" min="3" max="3"/>
    <col width="15.5" customWidth="1" style="76" min="4" max="4"/>
    <col width="18" customWidth="1" style="76" min="5" max="5"/>
    <col width="20.5" customWidth="1" style="76" min="6" max="6"/>
    <col width="18" customWidth="1" style="76" min="7" max="7"/>
    <col width="18.5" customWidth="1" style="76" min="8" max="8"/>
    <col width="14" customWidth="1" style="76" min="9" max="9"/>
    <col width="13" customWidth="1" style="50" min="10" max="10"/>
    <col width="13" customWidth="1" style="50" min="11" max="11"/>
    <col width="13" customWidth="1" style="50" min="12" max="12"/>
    <col width="13" customWidth="1" style="50" min="13" max="13"/>
    <col width="13" customWidth="1" style="50" min="14" max="14"/>
  </cols>
  <sheetData>
    <row r="1" ht="32" customHeight="1" s="50">
      <c r="A1" s="455" t="inlineStr">
        <is>
          <t>LIMITLER — KURUMSAL BANKA VE BORÇ YÖNETİMİ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</row>
    <row r="2" ht="7.8" customHeight="1" s="50"/>
    <row r="3" ht="22" customHeight="1" s="50">
      <c r="A3" s="456" t="inlineStr">
        <is>
          <t>BANKA LİMİTLERİ — toplam, kullanılan ve kalan limit ile kullanım oranı.</t>
        </is>
      </c>
    </row>
    <row r="4" ht="10" customHeight="1" s="50"/>
    <row r="5" ht="28" customHeight="1" s="50">
      <c r="A5" s="307" t="inlineStr">
        <is>
          <t>Limit ID</t>
        </is>
      </c>
      <c r="B5" s="307" t="inlineStr">
        <is>
          <t>Banka</t>
        </is>
      </c>
      <c r="C5" s="307" t="inlineStr">
        <is>
          <t>Ürün Türü</t>
        </is>
      </c>
      <c r="D5" s="307" t="inlineStr">
        <is>
          <t>Para Birimi</t>
        </is>
      </c>
      <c r="E5" s="307" t="inlineStr">
        <is>
          <t>Toplam Limit</t>
        </is>
      </c>
      <c r="F5" s="307" t="inlineStr">
        <is>
          <t>Kullanılan Limit</t>
        </is>
      </c>
      <c r="G5" s="307" t="inlineStr">
        <is>
          <t>Kalan Limit</t>
        </is>
      </c>
      <c r="H5" s="307" t="inlineStr">
        <is>
          <t>Kullanım Oranı</t>
        </is>
      </c>
      <c r="I5" s="307" t="inlineStr">
        <is>
          <t>Kontrol</t>
        </is>
      </c>
    </row>
    <row r="6" ht="22" customHeight="1" s="50">
      <c r="A6" s="308" t="inlineStr">
        <is>
          <t>LMT-001</t>
        </is>
      </c>
      <c r="B6" s="308" t="inlineStr">
        <is>
          <t>Türkiye İş Bankası</t>
        </is>
      </c>
      <c r="C6" s="308" t="inlineStr">
        <is>
          <t>Taksitli Ticari Kredi</t>
        </is>
      </c>
      <c r="D6" s="308" t="inlineStr">
        <is>
          <t>TRY</t>
        </is>
      </c>
      <c r="E6" s="320" t="n">
        <v>15000000</v>
      </c>
      <c r="F6" s="320" t="n">
        <v>10500000</v>
      </c>
      <c r="G6" s="321">
        <f>IF(ISBLANK($A6),"",IF($E6="","",$E6-$F6))</f>
        <v/>
      </c>
      <c r="H6" s="322">
        <f>IF(ISBLANK($A6),"",IF($E6=0,"",$F6/$E6))</f>
        <v/>
      </c>
      <c r="I6" s="311">
        <f>IF(ISBLANK($A6),"",IF(OR(ISBLANK($B6),ISBLANK($C6),ISBLANK($D6),ISBLANK($E6),ISBLANK($F6)),"EKSİK","OK"))</f>
        <v/>
      </c>
    </row>
    <row r="7" ht="22" customHeight="1" s="50">
      <c r="A7" s="312" t="inlineStr">
        <is>
          <t>LMT-002</t>
        </is>
      </c>
      <c r="B7" s="312" t="inlineStr">
        <is>
          <t>Akbank</t>
        </is>
      </c>
      <c r="C7" s="312" t="inlineStr">
        <is>
          <t>Leasing</t>
        </is>
      </c>
      <c r="D7" s="312" t="inlineStr">
        <is>
          <t>TRY</t>
        </is>
      </c>
      <c r="E7" s="323" t="n">
        <v>8000000</v>
      </c>
      <c r="F7" s="323" t="n">
        <v>6200000</v>
      </c>
      <c r="G7" s="324">
        <f>IF(ISBLANK($A7),"",IF($E7="","",$E7-$F7))</f>
        <v/>
      </c>
      <c r="H7" s="325">
        <f>IF(ISBLANK($A7),"",IF($E7=0,"",$F7/$E7))</f>
        <v/>
      </c>
      <c r="I7" s="315">
        <f>IF(ISBLANK($A7),"",IF(OR(ISBLANK($B7),ISBLANK($C7),ISBLANK($D7),ISBLANK($E7),ISBLANK($F7)),"EKSİK","OK"))</f>
        <v/>
      </c>
    </row>
    <row r="8" ht="22" customHeight="1" s="50">
      <c r="A8" s="308" t="inlineStr">
        <is>
          <t>LMT-003</t>
        </is>
      </c>
      <c r="B8" s="308" t="inlineStr">
        <is>
          <t>Garanti BBVA</t>
        </is>
      </c>
      <c r="C8" s="308" t="inlineStr">
        <is>
          <t>Rotatif Kredi</t>
        </is>
      </c>
      <c r="D8" s="308" t="inlineStr">
        <is>
          <t>USD</t>
        </is>
      </c>
      <c r="E8" s="320" t="n">
        <v>250000</v>
      </c>
      <c r="F8" s="320" t="n">
        <v>180000</v>
      </c>
      <c r="G8" s="321">
        <f>IF(ISBLANK($A8),"",IF($E8="","",$E8-$F8))</f>
        <v/>
      </c>
      <c r="H8" s="322">
        <f>IF(ISBLANK($A8),"",IF($E8=0,"",$F8/$E8))</f>
        <v/>
      </c>
      <c r="I8" s="311">
        <f>IF(ISBLANK($A8),"",IF(OR(ISBLANK($B8),ISBLANK($C8),ISBLANK($D8),ISBLANK($E8),ISBLANK($F8)),"EKSİK","OK"))</f>
        <v/>
      </c>
    </row>
    <row r="9" ht="22" customHeight="1" s="50">
      <c r="A9" s="312" t="inlineStr">
        <is>
          <t>LMT-004</t>
        </is>
      </c>
      <c r="B9" s="312" t="inlineStr">
        <is>
          <t>Yapı Kredi</t>
        </is>
      </c>
      <c r="C9" s="312" t="inlineStr">
        <is>
          <t>Spot Kredi</t>
        </is>
      </c>
      <c r="D9" s="312" t="inlineStr">
        <is>
          <t>TRY</t>
        </is>
      </c>
      <c r="E9" s="323" t="n">
        <v>5000000</v>
      </c>
      <c r="F9" s="323" t="n">
        <v>0</v>
      </c>
      <c r="G9" s="324">
        <f>IF(ISBLANK($A9),"",IF($E9="","",$E9-$F9))</f>
        <v/>
      </c>
      <c r="H9" s="325">
        <f>IF(ISBLANK($A9),"",IF($E9=0,"",$F9/$E9))</f>
        <v/>
      </c>
      <c r="I9" s="315">
        <f>IF(ISBLANK($A9),"",IF(OR(ISBLANK($B9),ISBLANK($C9),ISBLANK($D9),ISBLANK($E9),ISBLANK($F9)),"EKSİK","OK"))</f>
        <v/>
      </c>
    </row>
    <row r="10" ht="22" customHeight="1" s="50">
      <c r="A10" s="316" t="n"/>
      <c r="B10" s="316" t="n"/>
      <c r="C10" s="316" t="n"/>
      <c r="D10" s="316" t="n"/>
      <c r="E10" s="316" t="n"/>
      <c r="F10" s="316" t="n"/>
      <c r="G10" s="321">
        <f>IF(ISBLANK($A10),"",IF($E10="","",$E10-$F10))</f>
        <v/>
      </c>
      <c r="H10" s="322">
        <f>IF(ISBLANK($A10),"",IF($E10=0,"",$F10/$E10))</f>
        <v/>
      </c>
      <c r="I10" s="311">
        <f>IF(ISBLANK($A10),"",IF(OR(ISBLANK($B10),ISBLANK($C10),ISBLANK($D10),ISBLANK($E10),ISBLANK($F10)),"EKSİK","OK"))</f>
        <v/>
      </c>
    </row>
    <row r="11" ht="22" customHeight="1" s="50">
      <c r="A11" s="318" t="n"/>
      <c r="B11" s="318" t="n"/>
      <c r="C11" s="318" t="n"/>
      <c r="D11" s="318" t="n"/>
      <c r="E11" s="318" t="n"/>
      <c r="F11" s="318" t="n"/>
      <c r="G11" s="324">
        <f>IF(ISBLANK($A11),"",IF($E11="","",$E11-$F11))</f>
        <v/>
      </c>
      <c r="H11" s="325">
        <f>IF(ISBLANK($A11),"",IF($E11=0,"",$F11/$E11))</f>
        <v/>
      </c>
      <c r="I11" s="315">
        <f>IF(ISBLANK($A11),"",IF(OR(ISBLANK($B11),ISBLANK($C11),ISBLANK($D11),ISBLANK($E11),ISBLANK($F11)),"EKSİK","OK"))</f>
        <v/>
      </c>
    </row>
    <row r="12" ht="22" customHeight="1" s="50">
      <c r="A12" s="316" t="n"/>
      <c r="B12" s="316" t="n"/>
      <c r="C12" s="316" t="n"/>
      <c r="D12" s="316" t="n"/>
      <c r="E12" s="316" t="n"/>
      <c r="F12" s="316" t="n"/>
      <c r="G12" s="321">
        <f>IF(ISBLANK($A12),"",IF($E12="","",$E12-$F12))</f>
        <v/>
      </c>
      <c r="H12" s="322">
        <f>IF(ISBLANK($A12),"",IF($E12=0,"",$F12/$E12))</f>
        <v/>
      </c>
      <c r="I12" s="311">
        <f>IF(ISBLANK($A12),"",IF(OR(ISBLANK($B12),ISBLANK($C12),ISBLANK($D12),ISBLANK($E12),ISBLANK($F12)),"EKSİK","OK"))</f>
        <v/>
      </c>
    </row>
    <row r="13" ht="22" customHeight="1" s="50">
      <c r="A13" s="318" t="n"/>
      <c r="B13" s="318" t="n"/>
      <c r="C13" s="318" t="n"/>
      <c r="D13" s="318" t="n"/>
      <c r="E13" s="318" t="n"/>
      <c r="F13" s="318" t="n"/>
      <c r="G13" s="324">
        <f>IF(ISBLANK($A13),"",IF($E13="","",$E13-$F13))</f>
        <v/>
      </c>
      <c r="H13" s="325">
        <f>IF(ISBLANK($A13),"",IF($E13=0,"",$F13/$E13))</f>
        <v/>
      </c>
      <c r="I13" s="315">
        <f>IF(ISBLANK($A13),"",IF(OR(ISBLANK($B13),ISBLANK($C13),ISBLANK($D13),ISBLANK($E13),ISBLANK($F13)),"EKSİK","OK"))</f>
        <v/>
      </c>
    </row>
    <row r="14" ht="22" customHeight="1" s="50">
      <c r="A14" s="316" t="n"/>
      <c r="B14" s="316" t="n"/>
      <c r="C14" s="316" t="n"/>
      <c r="D14" s="316" t="n"/>
      <c r="E14" s="316" t="n"/>
      <c r="F14" s="316" t="n"/>
      <c r="G14" s="321">
        <f>IF(ISBLANK($A14),"",IF($E14="","",$E14-$F14))</f>
        <v/>
      </c>
      <c r="H14" s="322">
        <f>IF(ISBLANK($A14),"",IF($E14=0,"",$F14/$E14))</f>
        <v/>
      </c>
      <c r="I14" s="311">
        <f>IF(ISBLANK($A14),"",IF(OR(ISBLANK($B14),ISBLANK($C14),ISBLANK($D14),ISBLANK($E14),ISBLANK($F14)),"EKSİK","OK"))</f>
        <v/>
      </c>
    </row>
    <row r="15" ht="22" customHeight="1" s="50">
      <c r="A15" s="318" t="n"/>
      <c r="B15" s="318" t="n"/>
      <c r="C15" s="318" t="n"/>
      <c r="D15" s="318" t="n"/>
      <c r="E15" s="318" t="n"/>
      <c r="F15" s="318" t="n"/>
      <c r="G15" s="324">
        <f>IF(ISBLANK($A15),"",IF($E15="","",$E15-$F15))</f>
        <v/>
      </c>
      <c r="H15" s="325">
        <f>IF(ISBLANK($A15),"",IF($E15=0,"",$F15/$E15))</f>
        <v/>
      </c>
      <c r="I15" s="315">
        <f>IF(ISBLANK($A15),"",IF(OR(ISBLANK($B15),ISBLANK($C15),ISBLANK($D15),ISBLANK($E15),ISBLANK($F15)),"EKSİK","OK"))</f>
        <v/>
      </c>
    </row>
    <row r="16" ht="22" customHeight="1" s="50">
      <c r="A16" s="316" t="n"/>
      <c r="B16" s="316" t="n"/>
      <c r="C16" s="316" t="n"/>
      <c r="D16" s="316" t="n"/>
      <c r="E16" s="316" t="n"/>
      <c r="F16" s="316" t="n"/>
      <c r="G16" s="321">
        <f>IF(ISBLANK($A16),"",IF($E16="","",$E16-$F16))</f>
        <v/>
      </c>
      <c r="H16" s="322">
        <f>IF(ISBLANK($A16),"",IF($E16=0,"",$F16/$E16))</f>
        <v/>
      </c>
      <c r="I16" s="311">
        <f>IF(ISBLANK($A16),"",IF(OR(ISBLANK($B16),ISBLANK($C16),ISBLANK($D16),ISBLANK($E16),ISBLANK($F16)),"EKSİK","OK"))</f>
        <v/>
      </c>
    </row>
    <row r="17" ht="22" customHeight="1" s="50">
      <c r="A17" s="318" t="n"/>
      <c r="B17" s="318" t="n"/>
      <c r="C17" s="318" t="n"/>
      <c r="D17" s="318" t="n"/>
      <c r="E17" s="318" t="n"/>
      <c r="F17" s="318" t="n"/>
      <c r="G17" s="324">
        <f>IF(ISBLANK($A17),"",IF($E17="","",$E17-$F17))</f>
        <v/>
      </c>
      <c r="H17" s="325">
        <f>IF(ISBLANK($A17),"",IF($E17=0,"",$F17/$E17))</f>
        <v/>
      </c>
      <c r="I17" s="315">
        <f>IF(ISBLANK($A17),"",IF(OR(ISBLANK($B17),ISBLANK($C17),ISBLANK($D17),ISBLANK($E17),ISBLANK($F17)),"EKSİK","OK"))</f>
        <v/>
      </c>
    </row>
    <row r="18" ht="22" customHeight="1" s="50">
      <c r="A18" s="316" t="n"/>
      <c r="B18" s="316" t="n"/>
      <c r="C18" s="316" t="n"/>
      <c r="D18" s="316" t="n"/>
      <c r="E18" s="316" t="n"/>
      <c r="F18" s="316" t="n"/>
      <c r="G18" s="321">
        <f>IF(ISBLANK($A18),"",IF($E18="","",$E18-$F18))</f>
        <v/>
      </c>
      <c r="H18" s="322">
        <f>IF(ISBLANK($A18),"",IF($E18=0,"",$F18/$E18))</f>
        <v/>
      </c>
      <c r="I18" s="311">
        <f>IF(ISBLANK($A18),"",IF(OR(ISBLANK($B18),ISBLANK($C18),ISBLANK($D18),ISBLANK($E18),ISBLANK($F18)),"EKSİK","OK"))</f>
        <v/>
      </c>
    </row>
    <row r="19" ht="22" customHeight="1" s="50">
      <c r="A19" s="318" t="n"/>
      <c r="B19" s="318" t="n"/>
      <c r="C19" s="318" t="n"/>
      <c r="D19" s="318" t="n"/>
      <c r="E19" s="318" t="n"/>
      <c r="F19" s="318" t="n"/>
      <c r="G19" s="324">
        <f>IF(ISBLANK($A19),"",IF($E19="","",$E19-$F19))</f>
        <v/>
      </c>
      <c r="H19" s="325">
        <f>IF(ISBLANK($A19),"",IF($E19=0,"",$F19/$E19))</f>
        <v/>
      </c>
      <c r="I19" s="315">
        <f>IF(ISBLANK($A19),"",IF(OR(ISBLANK($B19),ISBLANK($C19),ISBLANK($D19),ISBLANK($E19),ISBLANK($F19)),"EKSİK","OK"))</f>
        <v/>
      </c>
    </row>
    <row r="20" ht="22" customHeight="1" s="50">
      <c r="A20" s="316" t="n"/>
      <c r="B20" s="316" t="n"/>
      <c r="C20" s="316" t="n"/>
      <c r="D20" s="316" t="n"/>
      <c r="E20" s="316" t="n"/>
      <c r="F20" s="316" t="n"/>
      <c r="G20" s="321">
        <f>IF(ISBLANK($A20),"",IF($E20="","",$E20-$F20))</f>
        <v/>
      </c>
      <c r="H20" s="322">
        <f>IF(ISBLANK($A20),"",IF($E20=0,"",$F20/$E20))</f>
        <v/>
      </c>
      <c r="I20" s="311">
        <f>IF(ISBLANK($A20),"",IF(OR(ISBLANK($B20),ISBLANK($C20),ISBLANK($D20),ISBLANK($E20),ISBLANK($F20)),"EKSİK","OK"))</f>
        <v/>
      </c>
    </row>
    <row r="21" ht="22" customHeight="1" s="50">
      <c r="A21" s="318" t="n"/>
      <c r="B21" s="318" t="n"/>
      <c r="C21" s="318" t="n"/>
      <c r="D21" s="318" t="n"/>
      <c r="E21" s="318" t="n"/>
      <c r="F21" s="318" t="n"/>
      <c r="G21" s="324">
        <f>IF(ISBLANK($A21),"",IF($E21="","",$E21-$F21))</f>
        <v/>
      </c>
      <c r="H21" s="325">
        <f>IF(ISBLANK($A21),"",IF($E21=0,"",$F21/$E21))</f>
        <v/>
      </c>
      <c r="I21" s="315">
        <f>IF(ISBLANK($A21),"",IF(OR(ISBLANK($B21),ISBLANK($C21),ISBLANK($D21),ISBLANK($E21),ISBLANK($F21)),"EKSİK","OK"))</f>
        <v/>
      </c>
    </row>
    <row r="22" ht="22" customHeight="1" s="50">
      <c r="A22" s="316" t="n"/>
      <c r="B22" s="316" t="n"/>
      <c r="C22" s="316" t="n"/>
      <c r="D22" s="316" t="n"/>
      <c r="E22" s="316" t="n"/>
      <c r="F22" s="316" t="n"/>
      <c r="G22" s="321">
        <f>IF(ISBLANK($A22),"",IF($E22="","",$E22-$F22))</f>
        <v/>
      </c>
      <c r="H22" s="322">
        <f>IF(ISBLANK($A22),"",IF($E22=0,"",$F22/$E22))</f>
        <v/>
      </c>
      <c r="I22" s="311">
        <f>IF(ISBLANK($A22),"",IF(OR(ISBLANK($B22),ISBLANK($C22),ISBLANK($D22),ISBLANK($E22),ISBLANK($F22)),"EKSİK","OK"))</f>
        <v/>
      </c>
    </row>
    <row r="23" ht="22" customHeight="1" s="50">
      <c r="A23" s="318" t="n"/>
      <c r="B23" s="318" t="n"/>
      <c r="C23" s="318" t="n"/>
      <c r="D23" s="318" t="n"/>
      <c r="E23" s="318" t="n"/>
      <c r="F23" s="318" t="n"/>
      <c r="G23" s="324">
        <f>IF(ISBLANK($A23),"",IF($E23="","",$E23-$F23))</f>
        <v/>
      </c>
      <c r="H23" s="325">
        <f>IF(ISBLANK($A23),"",IF($E23=0,"",$F23/$E23))</f>
        <v/>
      </c>
      <c r="I23" s="315">
        <f>IF(ISBLANK($A23),"",IF(OR(ISBLANK($B23),ISBLANK($C23),ISBLANK($D23),ISBLANK($E23),ISBLANK($F23)),"EKSİK","OK"))</f>
        <v/>
      </c>
    </row>
    <row r="24" ht="22" customHeight="1" s="50">
      <c r="A24" s="316" t="n"/>
      <c r="B24" s="316" t="n"/>
      <c r="C24" s="316" t="n"/>
      <c r="D24" s="316" t="n"/>
      <c r="E24" s="316" t="n"/>
      <c r="F24" s="316" t="n"/>
      <c r="G24" s="321">
        <f>IF(ISBLANK($A24),"",IF($E24="","",$E24-$F24))</f>
        <v/>
      </c>
      <c r="H24" s="322">
        <f>IF(ISBLANK($A24),"",IF($E24=0,"",$F24/$E24))</f>
        <v/>
      </c>
      <c r="I24" s="311">
        <f>IF(ISBLANK($A24),"",IF(OR(ISBLANK($B24),ISBLANK($C24),ISBLANK($D24),ISBLANK($E24),ISBLANK($F24)),"EKSİK","OK"))</f>
        <v/>
      </c>
    </row>
    <row r="25" ht="22" customHeight="1" s="50">
      <c r="A25" s="318" t="n"/>
      <c r="B25" s="318" t="n"/>
      <c r="C25" s="318" t="n"/>
      <c r="D25" s="318" t="n"/>
      <c r="E25" s="318" t="n"/>
      <c r="F25" s="318" t="n"/>
      <c r="G25" s="324">
        <f>IF(ISBLANK($A25),"",IF($E25="","",$E25-$F25))</f>
        <v/>
      </c>
      <c r="H25" s="325">
        <f>IF(ISBLANK($A25),"",IF($E25=0,"",$F25/$E25))</f>
        <v/>
      </c>
      <c r="I25" s="315">
        <f>IF(ISBLANK($A25),"",IF(OR(ISBLANK($B25),ISBLANK($C25),ISBLANK($D25),ISBLANK($E25),ISBLANK($F25)),"EKSİK","OK"))</f>
        <v/>
      </c>
    </row>
    <row r="26" ht="22" customHeight="1" s="50">
      <c r="A26" s="316" t="n"/>
      <c r="B26" s="316" t="n"/>
      <c r="C26" s="316" t="n"/>
      <c r="D26" s="316" t="n"/>
      <c r="E26" s="316" t="n"/>
      <c r="F26" s="316" t="n"/>
      <c r="G26" s="321">
        <f>IF(ISBLANK($A26),"",IF($E26="","",$E26-$F26))</f>
        <v/>
      </c>
      <c r="H26" s="322">
        <f>IF(ISBLANK($A26),"",IF($E26=0,"",$F26/$E26))</f>
        <v/>
      </c>
      <c r="I26" s="311">
        <f>IF(ISBLANK($A26),"",IF(OR(ISBLANK($B26),ISBLANK($C26),ISBLANK($D26),ISBLANK($E26),ISBLANK($F26)),"EKSİK","OK"))</f>
        <v/>
      </c>
    </row>
    <row r="27" ht="22" customHeight="1" s="50">
      <c r="A27" s="318" t="n"/>
      <c r="B27" s="318" t="n"/>
      <c r="C27" s="318" t="n"/>
      <c r="D27" s="318" t="n"/>
      <c r="E27" s="318" t="n"/>
      <c r="F27" s="318" t="n"/>
      <c r="G27" s="324">
        <f>IF(ISBLANK($A27),"",IF($E27="","",$E27-$F27))</f>
        <v/>
      </c>
      <c r="H27" s="325">
        <f>IF(ISBLANK($A27),"",IF($E27=0,"",$F27/$E27))</f>
        <v/>
      </c>
      <c r="I27" s="315">
        <f>IF(ISBLANK($A27),"",IF(OR(ISBLANK($B27),ISBLANK($C27),ISBLANK($D27),ISBLANK($E27),ISBLANK($F27)),"EKSİK","OK"))</f>
        <v/>
      </c>
    </row>
    <row r="28" ht="22" customHeight="1" s="50">
      <c r="A28" s="316" t="n"/>
      <c r="B28" s="316" t="n"/>
      <c r="C28" s="316" t="n"/>
      <c r="D28" s="316" t="n"/>
      <c r="E28" s="316" t="n"/>
      <c r="F28" s="316" t="n"/>
      <c r="G28" s="321">
        <f>IF(ISBLANK($A28),"",IF($E28="","",$E28-$F28))</f>
        <v/>
      </c>
      <c r="H28" s="322">
        <f>IF(ISBLANK($A28),"",IF($E28=0,"",$F28/$E28))</f>
        <v/>
      </c>
      <c r="I28" s="311">
        <f>IF(ISBLANK($A28),"",IF(OR(ISBLANK($B28),ISBLANK($C28),ISBLANK($D28),ISBLANK($E28),ISBLANK($F28)),"EKSİK","OK"))</f>
        <v/>
      </c>
    </row>
    <row r="29" ht="22" customHeight="1" s="50">
      <c r="A29" s="318" t="n"/>
      <c r="B29" s="318" t="n"/>
      <c r="C29" s="318" t="n"/>
      <c r="D29" s="318" t="n"/>
      <c r="E29" s="318" t="n"/>
      <c r="F29" s="318" t="n"/>
      <c r="G29" s="324">
        <f>IF(ISBLANK($A29),"",IF($E29="","",$E29-$F29))</f>
        <v/>
      </c>
      <c r="H29" s="325">
        <f>IF(ISBLANK($A29),"",IF($E29=0,"",$F29/$E29))</f>
        <v/>
      </c>
      <c r="I29" s="315">
        <f>IF(ISBLANK($A29),"",IF(OR(ISBLANK($B29),ISBLANK($C29),ISBLANK($D29),ISBLANK($E29),ISBLANK($F29)),"EKSİK","OK"))</f>
        <v/>
      </c>
    </row>
    <row r="30" ht="22" customHeight="1" s="50">
      <c r="A30" s="316" t="n"/>
      <c r="B30" s="316" t="n"/>
      <c r="C30" s="316" t="n"/>
      <c r="D30" s="316" t="n"/>
      <c r="E30" s="316" t="n"/>
      <c r="F30" s="316" t="n"/>
      <c r="G30" s="321">
        <f>IF(ISBLANK($A30),"",IF($E30="","",$E30-$F30))</f>
        <v/>
      </c>
      <c r="H30" s="322">
        <f>IF(ISBLANK($A30),"",IF($E30=0,"",$F30/$E30))</f>
        <v/>
      </c>
      <c r="I30" s="311">
        <f>IF(ISBLANK($A30),"",IF(OR(ISBLANK($B30),ISBLANK($C30),ISBLANK($D30),ISBLANK($E30),ISBLANK($F30)),"EKSİK","OK"))</f>
        <v/>
      </c>
    </row>
    <row r="31" ht="22" customHeight="1" s="50">
      <c r="A31" s="318" t="n"/>
      <c r="B31" s="318" t="n"/>
      <c r="C31" s="318" t="n"/>
      <c r="D31" s="318" t="n"/>
      <c r="E31" s="318" t="n"/>
      <c r="F31" s="318" t="n"/>
      <c r="G31" s="324">
        <f>IF(ISBLANK($A31),"",IF($E31="","",$E31-$F31))</f>
        <v/>
      </c>
      <c r="H31" s="325">
        <f>IF(ISBLANK($A31),"",IF($E31=0,"",$F31/$E31))</f>
        <v/>
      </c>
      <c r="I31" s="315">
        <f>IF(ISBLANK($A31),"",IF(OR(ISBLANK($B31),ISBLANK($C31),ISBLANK($D31),ISBLANK($E31),ISBLANK($F31)),"EKSİK","OK"))</f>
        <v/>
      </c>
    </row>
    <row r="32" ht="22" customHeight="1" s="50">
      <c r="A32" s="316" t="n"/>
      <c r="B32" s="316" t="n"/>
      <c r="C32" s="316" t="n"/>
      <c r="D32" s="316" t="n"/>
      <c r="E32" s="316" t="n"/>
      <c r="F32" s="316" t="n"/>
      <c r="G32" s="321">
        <f>IF(ISBLANK($A32),"",IF($E32="","",$E32-$F32))</f>
        <v/>
      </c>
      <c r="H32" s="322">
        <f>IF(ISBLANK($A32),"",IF($E32=0,"",$F32/$E32))</f>
        <v/>
      </c>
      <c r="I32" s="311">
        <f>IF(ISBLANK($A32),"",IF(OR(ISBLANK($B32),ISBLANK($C32),ISBLANK($D32),ISBLANK($E32),ISBLANK($F32)),"EKSİK","OK"))</f>
        <v/>
      </c>
    </row>
    <row r="33" ht="22" customHeight="1" s="50">
      <c r="A33" s="318" t="n"/>
      <c r="B33" s="318" t="n"/>
      <c r="C33" s="318" t="n"/>
      <c r="D33" s="318" t="n"/>
      <c r="E33" s="318" t="n"/>
      <c r="F33" s="318" t="n"/>
      <c r="G33" s="324">
        <f>IF(ISBLANK($A33),"",IF($E33="","",$E33-$F33))</f>
        <v/>
      </c>
      <c r="H33" s="325">
        <f>IF(ISBLANK($A33),"",IF($E33=0,"",$F33/$E33))</f>
        <v/>
      </c>
      <c r="I33" s="315">
        <f>IF(ISBLANK($A33),"",IF(OR(ISBLANK($B33),ISBLANK($C33),ISBLANK($D33),ISBLANK($E33),ISBLANK($F33)),"EKSİK","OK"))</f>
        <v/>
      </c>
    </row>
    <row r="34" ht="22" customHeight="1" s="50">
      <c r="A34" s="316" t="n"/>
      <c r="B34" s="316" t="n"/>
      <c r="C34" s="316" t="n"/>
      <c r="D34" s="316" t="n"/>
      <c r="E34" s="316" t="n"/>
      <c r="F34" s="316" t="n"/>
      <c r="G34" s="321">
        <f>IF(ISBLANK($A34),"",IF($E34="","",$E34-$F34))</f>
        <v/>
      </c>
      <c r="H34" s="322">
        <f>IF(ISBLANK($A34),"",IF($E34=0,"",$F34/$E34))</f>
        <v/>
      </c>
      <c r="I34" s="311">
        <f>IF(ISBLANK($A34),"",IF(OR(ISBLANK($B34),ISBLANK($C34),ISBLANK($D34),ISBLANK($E34),ISBLANK($F34)),"EKSİK","OK"))</f>
        <v/>
      </c>
    </row>
    <row r="35" ht="22" customHeight="1" s="50">
      <c r="A35" s="318" t="n"/>
      <c r="B35" s="318" t="n"/>
      <c r="C35" s="318" t="n"/>
      <c r="D35" s="318" t="n"/>
      <c r="E35" s="318" t="n"/>
      <c r="F35" s="318" t="n"/>
      <c r="G35" s="324">
        <f>IF(ISBLANK($A35),"",IF($E35="","",$E35-$F35))</f>
        <v/>
      </c>
      <c r="H35" s="325">
        <f>IF(ISBLANK($A35),"",IF($E35=0,"",$F35/$E35))</f>
        <v/>
      </c>
      <c r="I35" s="315">
        <f>IF(ISBLANK($A35),"",IF(OR(ISBLANK($B35),ISBLANK($C35),ISBLANK($D35),ISBLANK($E35),ISBLANK($F35)),"EKSİK","OK"))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H6:H1000">
    <cfRule type="cellIs" rank="0" priority="2" equalAverage="0" operator="lessThan" aboveAverage="0" dxfId="9" text="" percent="0" bottom="0">
      <formula>1</formula>
    </cfRule>
    <cfRule type="cellIs" rank="0" priority="3" equalAverage="0" operator="between" aboveAverage="0" dxfId="10" text="" percent="0" bottom="0">
      <formula>1</formula>
      <formula>0.7</formula>
    </cfRule>
    <cfRule type="cellIs" rank="0" priority="4" equalAverage="0" operator="greaterThan" aboveAverage="0" dxfId="8" text="" percent="0" bottom="0">
      <formula>0.7</formula>
    </cfRule>
  </conditionalFormatting>
  <conditionalFormatting sqref="G6:G1000">
    <cfRule type="cellIs" rank="0" priority="5" equalAverage="0" operator="lessThan" aboveAverage="0" dxfId="12" text="" percent="0" bottom="0">
      <formula>0</formula>
    </cfRule>
  </conditionalFormatting>
  <conditionalFormatting sqref="I6:I1000">
    <cfRule type="cellIs" rank="0" priority="6" equalAverage="0" operator="equal" aboveAverage="0" dxfId="9" text="" percent="0" bottom="0">
      <formula>"EKSİK"</formula>
    </cfRule>
    <cfRule type="cellIs" rank="0" priority="7" equalAverage="0" operator="equal" aboveAverage="0" dxfId="8" text="" percent="0" bottom="0">
      <formula>"OK"</formula>
    </cfRule>
  </conditionalFormatting>
  <dataValidations count="2">
    <dataValidation sqref="C6:C1000" showDropDown="0" showInputMessage="1" showErrorMessage="1" allowBlank="1" errorTitle="Geçersiz Ürün" error="Lütfen listeden bir ürün türü seçin." promptTitle="Ürün Türü" prompt="Listeden ürün türünü seçin." type="list" errorStyle="stop" operator="between">
      <formula1>ListeUrunTuru</formula1>
      <formula2>0</formula2>
    </dataValidation>
    <dataValidation sqref="D6:D1000" showDropDown="0" showInputMessage="1" showErrorMessage="1" allowBlank="1" errorTitle="Geçersiz Birim" error="Lütfen geçerli bir para birimi girin." promptTitle="Para Birimi" prompt="TRY, USD veya EUR seçin." type="list" errorStyle="stop" operator="between">
      <formula1>ListeParaBirimi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tabColor rgb="0060A5FA"/>
    <outlinePr summaryBelow="1" summaryRight="1"/>
    <pageSetUpPr fitToPage="0"/>
  </sheetPr>
  <dimension ref="A1:AC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3" customWidth="1" style="76" min="1" max="1"/>
    <col width="26" customWidth="1" style="76" min="2" max="2"/>
    <col width="19.5" customWidth="1" style="76" min="3" max="3"/>
    <col width="25.5" customWidth="1" style="76" min="4" max="4"/>
    <col width="15.5" customWidth="1" style="76" min="5" max="5"/>
    <col width="23.5" customWidth="1" style="76" min="6" max="7"/>
    <col width="18" customWidth="1" style="50" min="7" max="7"/>
    <col width="18" customWidth="1" style="76" min="8" max="8"/>
    <col width="15.5" customWidth="1" style="76" min="9" max="9"/>
    <col width="13" customWidth="1" style="76" min="10" max="10"/>
    <col width="18" customWidth="1" style="76" min="11" max="11"/>
    <col width="18" customWidth="1" style="76" min="12" max="12"/>
    <col width="28" customWidth="1" style="76" min="13" max="13"/>
    <col width="14" customWidth="1" style="76" min="14" max="14"/>
    <col width="13" customWidth="1" style="50" min="15" max="15"/>
  </cols>
  <sheetData>
    <row r="1" ht="32" customHeight="1" s="50">
      <c r="A1" s="455" t="inlineStr">
        <is>
          <t>KREDILER — KURUMSAL BANKA VE BORÇ YÖNETİMİ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  <c r="J1" s="434" t="n"/>
      <c r="K1" s="434" t="n"/>
      <c r="L1" s="434" t="n"/>
      <c r="M1" s="434" t="n"/>
      <c r="N1" s="434" t="n"/>
    </row>
    <row r="2" ht="7.8" customHeight="1" s="50"/>
    <row r="3" ht="22" customHeight="1" s="50">
      <c r="A3" s="456" t="inlineStr">
        <is>
          <t>KREDİ PORTFÖYÜ — sözleşme, bakiye, maliyet, vade ve taksit bilgileri.</t>
        </is>
      </c>
    </row>
    <row r="4" ht="10" customHeight="1" s="50"/>
    <row r="5" ht="28" customHeight="1" s="50">
      <c r="A5" s="307" t="inlineStr">
        <is>
          <t>Kredi ID</t>
        </is>
      </c>
      <c r="B5" s="307" t="inlineStr">
        <is>
          <t>Banka</t>
        </is>
      </c>
      <c r="C5" s="307" t="inlineStr">
        <is>
          <t>Şube</t>
        </is>
      </c>
      <c r="D5" s="307" t="inlineStr">
        <is>
          <t>Ürün Türü</t>
        </is>
      </c>
      <c r="E5" s="307" t="inlineStr">
        <is>
          <t>Para Birimi</t>
        </is>
      </c>
      <c r="F5" s="307" t="inlineStr">
        <is>
          <t>Kullandırım Tarihi</t>
        </is>
      </c>
      <c r="G5" s="307" t="inlineStr">
        <is>
          <t>Anapara</t>
        </is>
      </c>
      <c r="H5" s="307" t="inlineStr">
        <is>
          <t>Güncel Bakiye</t>
        </is>
      </c>
      <c r="I5" s="307" t="inlineStr">
        <is>
          <t>Yıllık Faiz</t>
        </is>
      </c>
      <c r="J5" s="307" t="inlineStr">
        <is>
          <t>Vade Ay</t>
        </is>
      </c>
      <c r="K5" s="307" t="inlineStr">
        <is>
          <t>Aylık Taksit</t>
        </is>
      </c>
      <c r="L5" s="307" t="inlineStr">
        <is>
          <t>Bitiş Tarihi</t>
        </is>
      </c>
      <c r="M5" s="307" t="inlineStr">
        <is>
          <t>Açıklama</t>
        </is>
      </c>
      <c r="N5" s="307" t="inlineStr">
        <is>
          <t>Kontrol</t>
        </is>
      </c>
    </row>
    <row r="6" ht="22" customHeight="1" s="50">
      <c r="A6" s="308" t="inlineStr">
        <is>
          <t>KRD-001</t>
        </is>
      </c>
      <c r="B6" s="309" t="inlineStr">
        <is>
          <t>Türkiye İş Bankası</t>
        </is>
      </c>
      <c r="C6" s="309" t="inlineStr">
        <is>
          <t>Maslak Ticari</t>
        </is>
      </c>
      <c r="D6" s="308" t="inlineStr">
        <is>
          <t>Taksitli Ticari Kredi</t>
        </is>
      </c>
      <c r="E6" s="308" t="inlineStr">
        <is>
          <t>TRY</t>
        </is>
      </c>
      <c r="F6" s="326" t="n">
        <v>45597</v>
      </c>
      <c r="G6" s="320" t="n">
        <v>12000000</v>
      </c>
      <c r="H6" s="320" t="n">
        <v>8400000</v>
      </c>
      <c r="I6" s="327" t="n">
        <v>0.32</v>
      </c>
      <c r="J6" s="310" t="n">
        <v>24</v>
      </c>
      <c r="K6" s="322">
        <f>IF(ISBLANK($A6),"",IF($I6="","",$I6/AySayisi))</f>
        <v/>
      </c>
      <c r="L6" s="328">
        <f>IF(ISBLANK($A6),"",IFERROR(EOMONTH($F6,$J6),""))</f>
        <v/>
      </c>
      <c r="M6" s="309" t="inlineStr">
        <is>
          <t>Yatırım kredisi</t>
        </is>
      </c>
      <c r="N6" s="311">
        <f>IF(ISBLANK($A6),"",IF(OR(ISBLANK($B6),ISBLANK($C6),ISBLANK($D6),ISBLANK($E6),ISBLANK($F6),ISBLANK($G6),ISBLANK($H6),ISBLANK($I6),ISBLANK($J6),ISBLANK($K6),ISBLANK($L6)),"EKSİK","OK"))</f>
        <v/>
      </c>
    </row>
    <row r="7" ht="22" customHeight="1" s="50">
      <c r="A7" s="312" t="inlineStr">
        <is>
          <t>KRD-002</t>
        </is>
      </c>
      <c r="B7" s="313" t="inlineStr">
        <is>
          <t>Akbank</t>
        </is>
      </c>
      <c r="C7" s="313" t="inlineStr">
        <is>
          <t>Levent Ticari</t>
        </is>
      </c>
      <c r="D7" s="312" t="inlineStr">
        <is>
          <t>Leasing</t>
        </is>
      </c>
      <c r="E7" s="312" t="inlineStr">
        <is>
          <t>TRY</t>
        </is>
      </c>
      <c r="F7" s="329" t="n">
        <v>45717</v>
      </c>
      <c r="G7" s="323" t="n">
        <v>7500000</v>
      </c>
      <c r="H7" s="323" t="n">
        <v>6100000</v>
      </c>
      <c r="I7" s="330" t="n">
        <v>0.34</v>
      </c>
      <c r="J7" s="314" t="n">
        <v>36</v>
      </c>
      <c r="K7" s="325">
        <f>IF(ISBLANK($A7),"",IF($I7="","",$I7/AySayisi))</f>
        <v/>
      </c>
      <c r="L7" s="331">
        <f>IF(ISBLANK($A7),"",IFERROR(EOMONTH($F7,$J7),""))</f>
        <v/>
      </c>
      <c r="M7" s="313" t="inlineStr">
        <is>
          <t>Makine leasing</t>
        </is>
      </c>
      <c r="N7" s="315">
        <f>IF(ISBLANK($A7),"",IF(OR(ISBLANK($B7),ISBLANK($C7),ISBLANK($D7),ISBLANK($E7),ISBLANK($F7),ISBLANK($G7),ISBLANK($H7),ISBLANK($I7),ISBLANK($J7),ISBLANK($K7),ISBLANK($L7)),"EKSİK","OK"))</f>
        <v/>
      </c>
    </row>
    <row r="8" ht="22" customHeight="1" s="50">
      <c r="A8" s="308" t="inlineStr">
        <is>
          <t>KRD-003</t>
        </is>
      </c>
      <c r="B8" s="309" t="inlineStr">
        <is>
          <t>Garanti BBVA</t>
        </is>
      </c>
      <c r="C8" s="309" t="inlineStr">
        <is>
          <t>İkitelli Ticari</t>
        </is>
      </c>
      <c r="D8" s="308" t="inlineStr">
        <is>
          <t>Rotatif Kredi</t>
        </is>
      </c>
      <c r="E8" s="308" t="inlineStr">
        <is>
          <t>USD</t>
        </is>
      </c>
      <c r="F8" s="326" t="n">
        <v>45809</v>
      </c>
      <c r="G8" s="320" t="n">
        <v>200000</v>
      </c>
      <c r="H8" s="320" t="n">
        <v>180000</v>
      </c>
      <c r="I8" s="327" t="n">
        <v>0.08500000000000001</v>
      </c>
      <c r="J8" s="310" t="n">
        <v>12</v>
      </c>
      <c r="K8" s="322">
        <f>IF(ISBLANK($A8),"",IF($I8="","",$I8/AySayisi))</f>
        <v/>
      </c>
      <c r="L8" s="328">
        <f>IF(ISBLANK($A8),"",IFERROR(EOMONTH($F8,$J8),""))</f>
        <v/>
      </c>
      <c r="M8" s="309" t="inlineStr">
        <is>
          <t>İhracat rotatifi</t>
        </is>
      </c>
      <c r="N8" s="311">
        <f>IF(ISBLANK($A8),"",IF(OR(ISBLANK($B8),ISBLANK($C8),ISBLANK($D8),ISBLANK($E8),ISBLANK($F8),ISBLANK($G8),ISBLANK($H8),ISBLANK($I8),ISBLANK($J8),ISBLANK($K8),ISBLANK($L8)),"EKSİK","OK"))</f>
        <v/>
      </c>
    </row>
    <row r="9" ht="22" customHeight="1" s="50">
      <c r="A9" s="312" t="inlineStr">
        <is>
          <t>KRD-004</t>
        </is>
      </c>
      <c r="B9" s="313" t="inlineStr">
        <is>
          <t>Türkiye İş Bankası</t>
        </is>
      </c>
      <c r="C9" s="313" t="inlineStr">
        <is>
          <t>Maslak Ticari</t>
        </is>
      </c>
      <c r="D9" s="312" t="inlineStr">
        <is>
          <t>Spot Kredi</t>
        </is>
      </c>
      <c r="E9" s="312" t="inlineStr">
        <is>
          <t>TRY</t>
        </is>
      </c>
      <c r="F9" s="329" t="n">
        <v>46023</v>
      </c>
      <c r="G9" s="323" t="n">
        <v>2200000</v>
      </c>
      <c r="H9" s="323" t="n">
        <v>2200000</v>
      </c>
      <c r="I9" s="330" t="n">
        <v>0.36</v>
      </c>
      <c r="J9" s="314" t="n">
        <v>12</v>
      </c>
      <c r="K9" s="325">
        <f>IF(ISBLANK($A9),"",IF($I9="","",$I9/AySayisi))</f>
        <v/>
      </c>
      <c r="L9" s="331">
        <f>IF(ISBLANK($A9),"",IFERROR(EOMONTH($F9,$J9),""))</f>
        <v/>
      </c>
      <c r="M9" s="313" t="inlineStr">
        <is>
          <t>İşletme sermayesi</t>
        </is>
      </c>
      <c r="N9" s="315">
        <f>IF(ISBLANK($A9),"",IF(OR(ISBLANK($B9),ISBLANK($C9),ISBLANK($D9),ISBLANK($E9),ISBLANK($F9),ISBLANK($G9),ISBLANK($H9),ISBLANK($I9),ISBLANK($J9),ISBLANK($K9),ISBLANK($L9)),"EKSİK","OK"))</f>
        <v/>
      </c>
    </row>
    <row r="10" ht="22" customHeight="1" s="50">
      <c r="A10" s="316" t="n"/>
      <c r="B10" s="317" t="n"/>
      <c r="C10" s="317" t="n"/>
      <c r="D10" s="316" t="n"/>
      <c r="E10" s="316" t="n"/>
      <c r="F10" s="316" t="n"/>
      <c r="G10" s="316" t="n"/>
      <c r="H10" s="316" t="n"/>
      <c r="I10" s="316" t="n"/>
      <c r="J10" s="316" t="n"/>
      <c r="K10" s="322">
        <f>IF(ISBLANK($A10),"",IF($I10="","",$I10/AySayisi))</f>
        <v/>
      </c>
      <c r="L10" s="328">
        <f>IF(ISBLANK($A10),"",IFERROR(EOMONTH($F10,$J10),""))</f>
        <v/>
      </c>
      <c r="M10" s="317" t="n"/>
      <c r="N10" s="311">
        <f>IF(ISBLANK($A10),"",IF(OR(ISBLANK($B10),ISBLANK($C10),ISBLANK($D10),ISBLANK($E10),ISBLANK($F10),ISBLANK($G10),ISBLANK($H10),ISBLANK($I10),ISBLANK($J10),ISBLANK($K10),ISBLANK($L10)),"EKSİK","OK"))</f>
        <v/>
      </c>
    </row>
    <row r="11" ht="22" customHeight="1" s="50">
      <c r="A11" s="318" t="n"/>
      <c r="B11" s="319" t="n"/>
      <c r="C11" s="319" t="n"/>
      <c r="D11" s="318" t="n"/>
      <c r="E11" s="318" t="n"/>
      <c r="F11" s="318" t="n"/>
      <c r="G11" s="318" t="n"/>
      <c r="H11" s="318" t="n"/>
      <c r="I11" s="318" t="n"/>
      <c r="J11" s="318" t="n"/>
      <c r="K11" s="325">
        <f>IF(ISBLANK($A11),"",IF($I11="","",$I11/AySayisi))</f>
        <v/>
      </c>
      <c r="L11" s="331">
        <f>IF(ISBLANK($A11),"",IFERROR(EOMONTH($F11,$J11),""))</f>
        <v/>
      </c>
      <c r="M11" s="319" t="n"/>
      <c r="N11" s="315">
        <f>IF(ISBLANK($A11),"",IF(OR(ISBLANK($B11),ISBLANK($C11),ISBLANK($D11),ISBLANK($E11),ISBLANK($F11),ISBLANK($G11),ISBLANK($H11),ISBLANK($I11),ISBLANK($J11),ISBLANK($K11),ISBLANK($L11)),"EKSİK","OK"))</f>
        <v/>
      </c>
    </row>
    <row r="12" ht="22" customHeight="1" s="50">
      <c r="A12" s="316" t="n"/>
      <c r="B12" s="317" t="n"/>
      <c r="C12" s="317" t="n"/>
      <c r="D12" s="316" t="n"/>
      <c r="E12" s="316" t="n"/>
      <c r="F12" s="316" t="n"/>
      <c r="G12" s="316" t="n"/>
      <c r="H12" s="316" t="n"/>
      <c r="I12" s="316" t="n"/>
      <c r="J12" s="316" t="n"/>
      <c r="K12" s="322">
        <f>IF(ISBLANK($A12),"",IF($I12="","",$I12/AySayisi))</f>
        <v/>
      </c>
      <c r="L12" s="328">
        <f>IF(ISBLANK($A12),"",IFERROR(EOMONTH($F12,$J12),""))</f>
        <v/>
      </c>
      <c r="M12" s="317" t="n"/>
      <c r="N12" s="311">
        <f>IF(ISBLANK($A12),"",IF(OR(ISBLANK($B12),ISBLANK($C12),ISBLANK($D12),ISBLANK($E12),ISBLANK($F12),ISBLANK($G12),ISBLANK($H12),ISBLANK($I12),ISBLANK($J12),ISBLANK($K12),ISBLANK($L12)),"EKSİK","OK"))</f>
        <v/>
      </c>
    </row>
    <row r="13" ht="22" customHeight="1" s="50">
      <c r="A13" s="318" t="n"/>
      <c r="B13" s="319" t="n"/>
      <c r="C13" s="319" t="n"/>
      <c r="D13" s="318" t="n"/>
      <c r="E13" s="318" t="n"/>
      <c r="F13" s="318" t="n"/>
      <c r="G13" s="318" t="n"/>
      <c r="H13" s="318" t="n"/>
      <c r="I13" s="318" t="n"/>
      <c r="J13" s="318" t="n"/>
      <c r="K13" s="325">
        <f>IF(ISBLANK($A13),"",IF($I13="","",$I13/AySayisi))</f>
        <v/>
      </c>
      <c r="L13" s="331">
        <f>IF(ISBLANK($A13),"",IFERROR(EOMONTH($F13,$J13),""))</f>
        <v/>
      </c>
      <c r="M13" s="319" t="n"/>
      <c r="N13" s="315">
        <f>IF(ISBLANK($A13),"",IF(OR(ISBLANK($B13),ISBLANK($C13),ISBLANK($D13),ISBLANK($E13),ISBLANK($F13),ISBLANK($G13),ISBLANK($H13),ISBLANK($I13),ISBLANK($J13),ISBLANK($K13),ISBLANK($L13)),"EKSİK","OK"))</f>
        <v/>
      </c>
    </row>
    <row r="14" ht="22" customHeight="1" s="50">
      <c r="A14" s="316" t="n"/>
      <c r="B14" s="317" t="n"/>
      <c r="C14" s="317" t="n"/>
      <c r="D14" s="316" t="n"/>
      <c r="E14" s="316" t="n"/>
      <c r="F14" s="316" t="n"/>
      <c r="G14" s="316" t="n"/>
      <c r="H14" s="316" t="n"/>
      <c r="I14" s="316" t="n"/>
      <c r="J14" s="316" t="n"/>
      <c r="K14" s="322">
        <f>IF(ISBLANK($A14),"",IF($I14="","",$I14/AySayisi))</f>
        <v/>
      </c>
      <c r="L14" s="328">
        <f>IF(ISBLANK($A14),"",IFERROR(EOMONTH($F14,$J14),""))</f>
        <v/>
      </c>
      <c r="M14" s="317" t="n"/>
      <c r="N14" s="311">
        <f>IF(ISBLANK($A14),"",IF(OR(ISBLANK($B14),ISBLANK($C14),ISBLANK($D14),ISBLANK($E14),ISBLANK($F14),ISBLANK($G14),ISBLANK($H14),ISBLANK($I14),ISBLANK($J14),ISBLANK($K14),ISBLANK($L14)),"EKSİK","OK"))</f>
        <v/>
      </c>
    </row>
    <row r="15" ht="22" customHeight="1" s="50">
      <c r="A15" s="318" t="n"/>
      <c r="B15" s="319" t="n"/>
      <c r="C15" s="319" t="n"/>
      <c r="D15" s="318" t="n"/>
      <c r="E15" s="318" t="n"/>
      <c r="F15" s="318" t="n"/>
      <c r="G15" s="318" t="n"/>
      <c r="H15" s="318" t="n"/>
      <c r="I15" s="318" t="n"/>
      <c r="J15" s="318" t="n"/>
      <c r="K15" s="325">
        <f>IF(ISBLANK($A15),"",IF($I15="","",$I15/AySayisi))</f>
        <v/>
      </c>
      <c r="L15" s="331">
        <f>IF(ISBLANK($A15),"",IFERROR(EOMONTH($F15,$J15),""))</f>
        <v/>
      </c>
      <c r="M15" s="319" t="n"/>
      <c r="N15" s="315">
        <f>IF(ISBLANK($A15),"",IF(OR(ISBLANK($B15),ISBLANK($C15),ISBLANK($D15),ISBLANK($E15),ISBLANK($F15),ISBLANK($G15),ISBLANK($H15),ISBLANK($I15),ISBLANK($J15),ISBLANK($K15),ISBLANK($L15)),"EKSİK","OK"))</f>
        <v/>
      </c>
    </row>
    <row r="16" ht="22" customHeight="1" s="50">
      <c r="A16" s="316" t="n"/>
      <c r="B16" s="317" t="n"/>
      <c r="C16" s="317" t="n"/>
      <c r="D16" s="316" t="n"/>
      <c r="E16" s="316" t="n"/>
      <c r="F16" s="316" t="n"/>
      <c r="G16" s="316" t="n"/>
      <c r="H16" s="316" t="n"/>
      <c r="I16" s="316" t="n"/>
      <c r="J16" s="316" t="n"/>
      <c r="K16" s="322">
        <f>IF(ISBLANK($A16),"",IF($I16="","",$I16/AySayisi))</f>
        <v/>
      </c>
      <c r="L16" s="328">
        <f>IF(ISBLANK($A16),"",IFERROR(EOMONTH($F16,$J16),""))</f>
        <v/>
      </c>
      <c r="M16" s="317" t="n"/>
      <c r="N16" s="311">
        <f>IF(ISBLANK($A16),"",IF(OR(ISBLANK($B16),ISBLANK($C16),ISBLANK($D16),ISBLANK($E16),ISBLANK($F16),ISBLANK($G16),ISBLANK($H16),ISBLANK($I16),ISBLANK($J16),ISBLANK($K16),ISBLANK($L16)),"EKSİK","OK"))</f>
        <v/>
      </c>
    </row>
    <row r="17" ht="22" customHeight="1" s="50">
      <c r="A17" s="318" t="n"/>
      <c r="B17" s="319" t="n"/>
      <c r="C17" s="319" t="n"/>
      <c r="D17" s="318" t="n"/>
      <c r="E17" s="318" t="n"/>
      <c r="F17" s="318" t="n"/>
      <c r="G17" s="318" t="n"/>
      <c r="H17" s="318" t="n"/>
      <c r="I17" s="318" t="n"/>
      <c r="J17" s="318" t="n"/>
      <c r="K17" s="325">
        <f>IF(ISBLANK($A17),"",IF($I17="","",$I17/AySayisi))</f>
        <v/>
      </c>
      <c r="L17" s="331">
        <f>IF(ISBLANK($A17),"",IFERROR(EOMONTH($F17,$J17),""))</f>
        <v/>
      </c>
      <c r="M17" s="319" t="n"/>
      <c r="N17" s="315">
        <f>IF(ISBLANK($A17),"",IF(OR(ISBLANK($B17),ISBLANK($C17),ISBLANK($D17),ISBLANK($E17),ISBLANK($F17),ISBLANK($G17),ISBLANK($H17),ISBLANK($I17),ISBLANK($J17),ISBLANK($K17),ISBLANK($L17)),"EKSİK","OK"))</f>
        <v/>
      </c>
    </row>
    <row r="18" ht="22" customHeight="1" s="50">
      <c r="A18" s="316" t="n"/>
      <c r="B18" s="317" t="n"/>
      <c r="C18" s="317" t="n"/>
      <c r="D18" s="316" t="n"/>
      <c r="E18" s="316" t="n"/>
      <c r="F18" s="316" t="n"/>
      <c r="G18" s="316" t="n"/>
      <c r="H18" s="316" t="n"/>
      <c r="I18" s="316" t="n"/>
      <c r="J18" s="316" t="n"/>
      <c r="K18" s="322">
        <f>IF(ISBLANK($A18),"",IF($I18="","",$I18/AySayisi))</f>
        <v/>
      </c>
      <c r="L18" s="328">
        <f>IF(ISBLANK($A18),"",IFERROR(EOMONTH($F18,$J18),""))</f>
        <v/>
      </c>
      <c r="M18" s="317" t="n"/>
      <c r="N18" s="311">
        <f>IF(ISBLANK($A18),"",IF(OR(ISBLANK($B18),ISBLANK($C18),ISBLANK($D18),ISBLANK($E18),ISBLANK($F18),ISBLANK($G18),ISBLANK($H18),ISBLANK($I18),ISBLANK($J18),ISBLANK($K18),ISBLANK($L18)),"EKSİK","OK"))</f>
        <v/>
      </c>
    </row>
    <row r="19" ht="22" customHeight="1" s="50">
      <c r="A19" s="318" t="n"/>
      <c r="B19" s="319" t="n"/>
      <c r="C19" s="319" t="n"/>
      <c r="D19" s="318" t="n"/>
      <c r="E19" s="318" t="n"/>
      <c r="F19" s="318" t="n"/>
      <c r="G19" s="318" t="n"/>
      <c r="H19" s="318" t="n"/>
      <c r="I19" s="318" t="n"/>
      <c r="J19" s="318" t="n"/>
      <c r="K19" s="325">
        <f>IF(ISBLANK($A19),"",IF($I19="","",$I19/AySayisi))</f>
        <v/>
      </c>
      <c r="L19" s="331">
        <f>IF(ISBLANK($A19),"",IFERROR(EOMONTH($F19,$J19),""))</f>
        <v/>
      </c>
      <c r="M19" s="319" t="n"/>
      <c r="N19" s="315">
        <f>IF(ISBLANK($A19),"",IF(OR(ISBLANK($B19),ISBLANK($C19),ISBLANK($D19),ISBLANK($E19),ISBLANK($F19),ISBLANK($G19),ISBLANK($H19),ISBLANK($I19),ISBLANK($J19),ISBLANK($K19),ISBLANK($L19)),"EKSİK","OK"))</f>
        <v/>
      </c>
    </row>
    <row r="20" ht="22" customHeight="1" s="50">
      <c r="A20" s="316" t="n"/>
      <c r="B20" s="317" t="n"/>
      <c r="C20" s="317" t="n"/>
      <c r="D20" s="316" t="n"/>
      <c r="E20" s="316" t="n"/>
      <c r="F20" s="316" t="n"/>
      <c r="G20" s="316" t="n"/>
      <c r="H20" s="316" t="n"/>
      <c r="I20" s="316" t="n"/>
      <c r="J20" s="316" t="n"/>
      <c r="K20" s="322">
        <f>IF(ISBLANK($A20),"",IF($I20="","",$I20/AySayisi))</f>
        <v/>
      </c>
      <c r="L20" s="328">
        <f>IF(ISBLANK($A20),"",IFERROR(EOMONTH($F20,$J20),""))</f>
        <v/>
      </c>
      <c r="M20" s="317" t="n"/>
      <c r="N20" s="311">
        <f>IF(ISBLANK($A20),"",IF(OR(ISBLANK($B20),ISBLANK($C20),ISBLANK($D20),ISBLANK($E20),ISBLANK($F20),ISBLANK($G20),ISBLANK($H20),ISBLANK($I20),ISBLANK($J20),ISBLANK($K20),ISBLANK($L20)),"EKSİK","OK"))</f>
        <v/>
      </c>
    </row>
    <row r="21" ht="22" customHeight="1" s="50">
      <c r="A21" s="318" t="n"/>
      <c r="B21" s="319" t="n"/>
      <c r="C21" s="319" t="n"/>
      <c r="D21" s="318" t="n"/>
      <c r="E21" s="318" t="n"/>
      <c r="F21" s="318" t="n"/>
      <c r="G21" s="318" t="n"/>
      <c r="H21" s="318" t="n"/>
      <c r="I21" s="318" t="n"/>
      <c r="J21" s="318" t="n"/>
      <c r="K21" s="325">
        <f>IF(ISBLANK($A21),"",IF($I21="","",$I21/AySayisi))</f>
        <v/>
      </c>
      <c r="L21" s="331">
        <f>IF(ISBLANK($A21),"",IFERROR(EOMONTH($F21,$J21),""))</f>
        <v/>
      </c>
      <c r="M21" s="319" t="n"/>
      <c r="N21" s="315">
        <f>IF(ISBLANK($A21),"",IF(OR(ISBLANK($B21),ISBLANK($C21),ISBLANK($D21),ISBLANK($E21),ISBLANK($F21),ISBLANK($G21),ISBLANK($H21),ISBLANK($I21),ISBLANK($J21),ISBLANK($K21),ISBLANK($L21)),"EKSİK","OK"))</f>
        <v/>
      </c>
    </row>
    <row r="22" ht="22" customHeight="1" s="50">
      <c r="A22" s="316" t="n"/>
      <c r="B22" s="317" t="n"/>
      <c r="C22" s="317" t="n"/>
      <c r="D22" s="316" t="n"/>
      <c r="E22" s="316" t="n"/>
      <c r="F22" s="316" t="n"/>
      <c r="G22" s="316" t="n"/>
      <c r="H22" s="316" t="n"/>
      <c r="I22" s="316" t="n"/>
      <c r="J22" s="316" t="n"/>
      <c r="K22" s="322">
        <f>IF(ISBLANK($A22),"",IF($I22="","",$I22/AySayisi))</f>
        <v/>
      </c>
      <c r="L22" s="328">
        <f>IF(ISBLANK($A22),"",IFERROR(EOMONTH($F22,$J22),""))</f>
        <v/>
      </c>
      <c r="M22" s="317" t="n"/>
      <c r="N22" s="311">
        <f>IF(ISBLANK($A22),"",IF(OR(ISBLANK($B22),ISBLANK($C22),ISBLANK($D22),ISBLANK($E22),ISBLANK($F22),ISBLANK($G22),ISBLANK($H22),ISBLANK($I22),ISBLANK($J22),ISBLANK($K22),ISBLANK($L22)),"EKSİK","OK"))</f>
        <v/>
      </c>
    </row>
    <row r="23" ht="22" customHeight="1" s="50">
      <c r="A23" s="318" t="n"/>
      <c r="B23" s="319" t="n"/>
      <c r="C23" s="319" t="n"/>
      <c r="D23" s="318" t="n"/>
      <c r="E23" s="318" t="n"/>
      <c r="F23" s="318" t="n"/>
      <c r="G23" s="318" t="n"/>
      <c r="H23" s="318" t="n"/>
      <c r="I23" s="318" t="n"/>
      <c r="J23" s="318" t="n"/>
      <c r="K23" s="325">
        <f>IF(ISBLANK($A23),"",IF($I23="","",$I23/AySayisi))</f>
        <v/>
      </c>
      <c r="L23" s="331">
        <f>IF(ISBLANK($A23),"",IFERROR(EOMONTH($F23,$J23),""))</f>
        <v/>
      </c>
      <c r="M23" s="319" t="n"/>
      <c r="N23" s="315">
        <f>IF(ISBLANK($A23),"",IF(OR(ISBLANK($B23),ISBLANK($C23),ISBLANK($D23),ISBLANK($E23),ISBLANK($F23),ISBLANK($G23),ISBLANK($H23),ISBLANK($I23),ISBLANK($J23),ISBLANK($K23),ISBLANK($L23)),"EKSİK","OK"))</f>
        <v/>
      </c>
    </row>
    <row r="24" ht="22" customHeight="1" s="50">
      <c r="A24" s="316" t="n"/>
      <c r="B24" s="317" t="n"/>
      <c r="C24" s="317" t="n"/>
      <c r="D24" s="316" t="n"/>
      <c r="E24" s="316" t="n"/>
      <c r="F24" s="316" t="n"/>
      <c r="G24" s="316" t="n"/>
      <c r="H24" s="316" t="n"/>
      <c r="I24" s="316" t="n"/>
      <c r="J24" s="316" t="n"/>
      <c r="K24" s="322">
        <f>IF(ISBLANK($A24),"",IF($I24="","",$I24/AySayisi))</f>
        <v/>
      </c>
      <c r="L24" s="328">
        <f>IF(ISBLANK($A24),"",IFERROR(EOMONTH($F24,$J24),""))</f>
        <v/>
      </c>
      <c r="M24" s="317" t="n"/>
      <c r="N24" s="311">
        <f>IF(ISBLANK($A24),"",IF(OR(ISBLANK($B24),ISBLANK($C24),ISBLANK($D24),ISBLANK($E24),ISBLANK($F24),ISBLANK($G24),ISBLANK($H24),ISBLANK($I24),ISBLANK($J24),ISBLANK($K24),ISBLANK($L24)),"EKSİK","OK"))</f>
        <v/>
      </c>
    </row>
    <row r="25" ht="22" customHeight="1" s="50">
      <c r="A25" s="318" t="n"/>
      <c r="B25" s="319" t="n"/>
      <c r="C25" s="319" t="n"/>
      <c r="D25" s="318" t="n"/>
      <c r="E25" s="318" t="n"/>
      <c r="F25" s="318" t="n"/>
      <c r="G25" s="318" t="n"/>
      <c r="H25" s="318" t="n"/>
      <c r="I25" s="318" t="n"/>
      <c r="J25" s="318" t="n"/>
      <c r="K25" s="325">
        <f>IF(ISBLANK($A25),"",IF($I25="","",$I25/AySayisi))</f>
        <v/>
      </c>
      <c r="L25" s="331">
        <f>IF(ISBLANK($A25),"",IFERROR(EOMONTH($F25,$J25),""))</f>
        <v/>
      </c>
      <c r="M25" s="319" t="n"/>
      <c r="N25" s="315">
        <f>IF(ISBLANK($A25),"",IF(OR(ISBLANK($B25),ISBLANK($C25),ISBLANK($D25),ISBLANK($E25),ISBLANK($F25),ISBLANK($G25),ISBLANK($H25),ISBLANK($I25),ISBLANK($J25),ISBLANK($K25),ISBLANK($L25)),"EKSİK","OK"))</f>
        <v/>
      </c>
    </row>
    <row r="26" ht="22" customHeight="1" s="50">
      <c r="A26" s="316" t="n"/>
      <c r="B26" s="317" t="n"/>
      <c r="C26" s="317" t="n"/>
      <c r="D26" s="316" t="n"/>
      <c r="E26" s="316" t="n"/>
      <c r="F26" s="316" t="n"/>
      <c r="G26" s="316" t="n"/>
      <c r="H26" s="316" t="n"/>
      <c r="I26" s="316" t="n"/>
      <c r="J26" s="316" t="n"/>
      <c r="K26" s="322">
        <f>IF(ISBLANK($A26),"",IF($I26="","",$I26/AySayisi))</f>
        <v/>
      </c>
      <c r="L26" s="328">
        <f>IF(ISBLANK($A26),"",IFERROR(EOMONTH($F26,$J26),""))</f>
        <v/>
      </c>
      <c r="M26" s="317" t="n"/>
      <c r="N26" s="311">
        <f>IF(ISBLANK($A26),"",IF(OR(ISBLANK($B26),ISBLANK($C26),ISBLANK($D26),ISBLANK($E26),ISBLANK($F26),ISBLANK($G26),ISBLANK($H26),ISBLANK($I26),ISBLANK($J26),ISBLANK($K26),ISBLANK($L26)),"EKSİK","OK"))</f>
        <v/>
      </c>
    </row>
    <row r="27" ht="22" customHeight="1" s="50">
      <c r="A27" s="318" t="n"/>
      <c r="B27" s="319" t="n"/>
      <c r="C27" s="319" t="n"/>
      <c r="D27" s="318" t="n"/>
      <c r="E27" s="318" t="n"/>
      <c r="F27" s="318" t="n"/>
      <c r="G27" s="318" t="n"/>
      <c r="H27" s="318" t="n"/>
      <c r="I27" s="318" t="n"/>
      <c r="J27" s="318" t="n"/>
      <c r="K27" s="325">
        <f>IF(ISBLANK($A27),"",IF($I27="","",$I27/AySayisi))</f>
        <v/>
      </c>
      <c r="L27" s="331">
        <f>IF(ISBLANK($A27),"",IFERROR(EOMONTH($F27,$J27),""))</f>
        <v/>
      </c>
      <c r="M27" s="319" t="n"/>
      <c r="N27" s="315">
        <f>IF(ISBLANK($A27),"",IF(OR(ISBLANK($B27),ISBLANK($C27),ISBLANK($D27),ISBLANK($E27),ISBLANK($F27),ISBLANK($G27),ISBLANK($H27),ISBLANK($I27),ISBLANK($J27),ISBLANK($K27),ISBLANK($L27)),"EKSİK","OK"))</f>
        <v/>
      </c>
    </row>
    <row r="28" ht="22" customHeight="1" s="50">
      <c r="A28" s="316" t="n"/>
      <c r="B28" s="317" t="n"/>
      <c r="C28" s="317" t="n"/>
      <c r="D28" s="316" t="n"/>
      <c r="E28" s="316" t="n"/>
      <c r="F28" s="316" t="n"/>
      <c r="G28" s="316" t="n"/>
      <c r="H28" s="316" t="n"/>
      <c r="I28" s="316" t="n"/>
      <c r="J28" s="316" t="n"/>
      <c r="K28" s="322">
        <f>IF(ISBLANK($A28),"",IF($I28="","",$I28/AySayisi))</f>
        <v/>
      </c>
      <c r="L28" s="328">
        <f>IF(ISBLANK($A28),"",IFERROR(EOMONTH($F28,$J28),""))</f>
        <v/>
      </c>
      <c r="M28" s="317" t="n"/>
      <c r="N28" s="311">
        <f>IF(ISBLANK($A28),"",IF(OR(ISBLANK($B28),ISBLANK($C28),ISBLANK($D28),ISBLANK($E28),ISBLANK($F28),ISBLANK($G28),ISBLANK($H28),ISBLANK($I28),ISBLANK($J28),ISBLANK($K28),ISBLANK($L28)),"EKSİK","OK"))</f>
        <v/>
      </c>
    </row>
    <row r="29" ht="22" customHeight="1" s="50">
      <c r="A29" s="318" t="n"/>
      <c r="B29" s="319" t="n"/>
      <c r="C29" s="319" t="n"/>
      <c r="D29" s="318" t="n"/>
      <c r="E29" s="318" t="n"/>
      <c r="F29" s="318" t="n"/>
      <c r="G29" s="318" t="n"/>
      <c r="H29" s="318" t="n"/>
      <c r="I29" s="318" t="n"/>
      <c r="J29" s="318" t="n"/>
      <c r="K29" s="325">
        <f>IF(ISBLANK($A29),"",IF($I29="","",$I29/AySayisi))</f>
        <v/>
      </c>
      <c r="L29" s="331">
        <f>IF(ISBLANK($A29),"",IFERROR(EOMONTH($F29,$J29),""))</f>
        <v/>
      </c>
      <c r="M29" s="319" t="n"/>
      <c r="N29" s="315">
        <f>IF(ISBLANK($A29),"",IF(OR(ISBLANK($B29),ISBLANK($C29),ISBLANK($D29),ISBLANK($E29),ISBLANK($F29),ISBLANK($G29),ISBLANK($H29),ISBLANK($I29),ISBLANK($J29),ISBLANK($K29),ISBLANK($L29)),"EKSİK","OK"))</f>
        <v/>
      </c>
    </row>
    <row r="30" ht="22" customHeight="1" s="50">
      <c r="A30" s="316" t="n"/>
      <c r="B30" s="317" t="n"/>
      <c r="C30" s="317" t="n"/>
      <c r="D30" s="316" t="n"/>
      <c r="E30" s="316" t="n"/>
      <c r="F30" s="316" t="n"/>
      <c r="G30" s="316" t="n"/>
      <c r="H30" s="316" t="n"/>
      <c r="I30" s="316" t="n"/>
      <c r="J30" s="316" t="n"/>
      <c r="K30" s="322">
        <f>IF(ISBLANK($A30),"",IF($I30="","",$I30/AySayisi))</f>
        <v/>
      </c>
      <c r="L30" s="328">
        <f>IF(ISBLANK($A30),"",IFERROR(EOMONTH($F30,$J30),""))</f>
        <v/>
      </c>
      <c r="M30" s="317" t="n"/>
      <c r="N30" s="311">
        <f>IF(ISBLANK($A30),"",IF(OR(ISBLANK($B30),ISBLANK($C30),ISBLANK($D30),ISBLANK($E30),ISBLANK($F30),ISBLANK($G30),ISBLANK($H30),ISBLANK($I30),ISBLANK($J30),ISBLANK($K30),ISBLANK($L30)),"EKSİK","OK"))</f>
        <v/>
      </c>
    </row>
    <row r="31" ht="22" customHeight="1" s="50">
      <c r="A31" s="318" t="n"/>
      <c r="B31" s="319" t="n"/>
      <c r="C31" s="319" t="n"/>
      <c r="D31" s="318" t="n"/>
      <c r="E31" s="318" t="n"/>
      <c r="F31" s="318" t="n"/>
      <c r="G31" s="318" t="n"/>
      <c r="H31" s="318" t="n"/>
      <c r="I31" s="318" t="n"/>
      <c r="J31" s="318" t="n"/>
      <c r="K31" s="325">
        <f>IF(ISBLANK($A31),"",IF($I31="","",$I31/AySayisi))</f>
        <v/>
      </c>
      <c r="L31" s="331">
        <f>IF(ISBLANK($A31),"",IFERROR(EOMONTH($F31,$J31),""))</f>
        <v/>
      </c>
      <c r="M31" s="319" t="n"/>
      <c r="N31" s="315">
        <f>IF(ISBLANK($A31),"",IF(OR(ISBLANK($B31),ISBLANK($C31),ISBLANK($D31),ISBLANK($E31),ISBLANK($F31),ISBLANK($G31),ISBLANK($H31),ISBLANK($I31),ISBLANK($J31),ISBLANK($K31),ISBLANK($L31)),"EKSİK","OK"))</f>
        <v/>
      </c>
    </row>
    <row r="32" ht="22" customHeight="1" s="50">
      <c r="A32" s="316" t="n"/>
      <c r="B32" s="317" t="n"/>
      <c r="C32" s="317" t="n"/>
      <c r="D32" s="316" t="n"/>
      <c r="E32" s="316" t="n"/>
      <c r="F32" s="316" t="n"/>
      <c r="G32" s="316" t="n"/>
      <c r="H32" s="316" t="n"/>
      <c r="I32" s="316" t="n"/>
      <c r="J32" s="316" t="n"/>
      <c r="K32" s="322">
        <f>IF(ISBLANK($A32),"",IF($I32="","",$I32/AySayisi))</f>
        <v/>
      </c>
      <c r="L32" s="328">
        <f>IF(ISBLANK($A32),"",IFERROR(EOMONTH($F32,$J32),""))</f>
        <v/>
      </c>
      <c r="M32" s="317" t="n"/>
      <c r="N32" s="311">
        <f>IF(ISBLANK($A32),"",IF(OR(ISBLANK($B32),ISBLANK($C32),ISBLANK($D32),ISBLANK($E32),ISBLANK($F32),ISBLANK($G32),ISBLANK($H32),ISBLANK($I32),ISBLANK($J32),ISBLANK($K32),ISBLANK($L32)),"EKSİK","OK"))</f>
        <v/>
      </c>
    </row>
    <row r="33" ht="22" customHeight="1" s="50">
      <c r="A33" s="318" t="n"/>
      <c r="B33" s="319" t="n"/>
      <c r="C33" s="319" t="n"/>
      <c r="D33" s="318" t="n"/>
      <c r="E33" s="318" t="n"/>
      <c r="F33" s="318" t="n"/>
      <c r="G33" s="318" t="n"/>
      <c r="H33" s="318" t="n"/>
      <c r="I33" s="318" t="n"/>
      <c r="J33" s="318" t="n"/>
      <c r="K33" s="325">
        <f>IF(ISBLANK($A33),"",IF($I33="","",$I33/AySayisi))</f>
        <v/>
      </c>
      <c r="L33" s="331">
        <f>IF(ISBLANK($A33),"",IFERROR(EOMONTH($F33,$J33),""))</f>
        <v/>
      </c>
      <c r="M33" s="319" t="n"/>
      <c r="N33" s="315">
        <f>IF(ISBLANK($A33),"",IF(OR(ISBLANK($B33),ISBLANK($C33),ISBLANK($D33),ISBLANK($E33),ISBLANK($F33),ISBLANK($G33),ISBLANK($H33),ISBLANK($I33),ISBLANK($J33),ISBLANK($K33),ISBLANK($L33)),"EKSİK","OK"))</f>
        <v/>
      </c>
    </row>
    <row r="34" ht="22" customHeight="1" s="50">
      <c r="A34" s="316" t="n"/>
      <c r="B34" s="317" t="n"/>
      <c r="C34" s="317" t="n"/>
      <c r="D34" s="316" t="n"/>
      <c r="E34" s="316" t="n"/>
      <c r="F34" s="316" t="n"/>
      <c r="G34" s="316" t="n"/>
      <c r="H34" s="316" t="n"/>
      <c r="I34" s="316" t="n"/>
      <c r="J34" s="316" t="n"/>
      <c r="K34" s="322">
        <f>IF(ISBLANK($A34),"",IF($I34="","",$I34/AySayisi))</f>
        <v/>
      </c>
      <c r="L34" s="328">
        <f>IF(ISBLANK($A34),"",IFERROR(EOMONTH($F34,$J34),""))</f>
        <v/>
      </c>
      <c r="M34" s="317" t="n"/>
      <c r="N34" s="311">
        <f>IF(ISBLANK($A34),"",IF(OR(ISBLANK($B34),ISBLANK($C34),ISBLANK($D34),ISBLANK($E34),ISBLANK($F34),ISBLANK($G34),ISBLANK($H34),ISBLANK($I34),ISBLANK($J34),ISBLANK($K34),ISBLANK($L34)),"EKSİK","OK"))</f>
        <v/>
      </c>
    </row>
    <row r="35" ht="22" customHeight="1" s="50">
      <c r="A35" s="318" t="n"/>
      <c r="B35" s="319" t="n"/>
      <c r="C35" s="319" t="n"/>
      <c r="D35" s="318" t="n"/>
      <c r="E35" s="318" t="n"/>
      <c r="F35" s="318" t="n"/>
      <c r="G35" s="318" t="n"/>
      <c r="H35" s="318" t="n"/>
      <c r="I35" s="318" t="n"/>
      <c r="J35" s="318" t="n"/>
      <c r="K35" s="325">
        <f>IF(ISBLANK($A35),"",IF($I35="","",$I35/AySayisi))</f>
        <v/>
      </c>
      <c r="L35" s="331">
        <f>IF(ISBLANK($A35),"",IFERROR(EOMONTH($F35,$J35),""))</f>
        <v/>
      </c>
      <c r="M35" s="319" t="n"/>
      <c r="N35" s="315">
        <f>IF(ISBLANK($A35),"",IF(OR(ISBLANK($B35),ISBLANK($C35),ISBLANK($D35),ISBLANK($E35),ISBLANK($F35),ISBLANK($G35),ISBLANK($H35),ISBLANK($I35),ISBLANK($J35),ISBLANK($K35),ISBLANK($L35)),"EKSİK","OK"))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N3"/>
    <mergeCell ref="A1:N1"/>
  </mergeCells>
  <conditionalFormatting sqref="H6:H1000">
    <cfRule type="cellIs" rank="0" priority="2" equalAverage="0" operator="lessThanOrEqual" aboveAverage="0" dxfId="12" text="" percent="0" bottom="0">
      <formula>0</formula>
    </cfRule>
  </conditionalFormatting>
  <conditionalFormatting sqref="E6:E1000">
    <cfRule type="cellIs" rank="0" priority="3" equalAverage="0" operator="equal" aboveAverage="0" dxfId="10" text="" percent="0" bottom="0">
      <formula>"USD"</formula>
    </cfRule>
    <cfRule type="cellIs" rank="0" priority="4" equalAverage="0" operator="equal" aboveAverage="0" dxfId="9" text="" percent="0" bottom="0">
      <formula>"EUR"</formula>
    </cfRule>
  </conditionalFormatting>
  <conditionalFormatting sqref="N6:N1000">
    <cfRule type="cellIs" rank="0" priority="5" equalAverage="0" operator="equal" aboveAverage="0" dxfId="9" text="" percent="0" bottom="0">
      <formula>"EKSİK"</formula>
    </cfRule>
    <cfRule type="cellIs" rank="0" priority="6" equalAverage="0" operator="equal" aboveAverage="0" dxfId="8" text="" percent="0" bottom="0">
      <formula>"OK"</formula>
    </cfRule>
  </conditionalFormatting>
  <dataValidations count="3">
    <dataValidation sqref="D6:D1000" showDropDown="0" showInputMessage="1" showErrorMessage="1" allowBlank="1" errorTitle="Geçersiz Ürün" error="Lütfen listeden bir ürün türü seçin." promptTitle="Ürün Türü" prompt="Listeden ürün türünü seçin." type="list" errorStyle="stop" operator="between">
      <formula1>ListeUrunTuru</formula1>
      <formula2>0</formula2>
    </dataValidation>
    <dataValidation sqref="E6:E1000" showDropDown="0" showInputMessage="1" showErrorMessage="1" allowBlank="1" errorTitle="Geçersiz Birim" error="Lütfen geçerli bir para birimi girin." promptTitle="Para Birimi" prompt="TRY, USD veya EUR seçin." type="list" errorStyle="stop" operator="between">
      <formula1>ListeParaBirimi</formula1>
      <formula2>0</formula2>
    </dataValidation>
    <dataValidation sqref="J6:J1000" showDropDown="0" showInputMessage="1" showErrorMessage="1" allowBlank="1" errorTitle="Geçersiz Vade" error="Vade 1 ile 240 arasında olmalıdır." promptTitle="Vade Ay" prompt="Vade ay olarak 1 ile 240 arasında girin." type="whole" errorStyle="stop" operator="between">
      <formula1>1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tabColor rgb="0060A5FA"/>
    <outlinePr summaryBelow="1" summaryRight="1"/>
    <pageSetUpPr fitToPage="0"/>
  </sheetPr>
  <dimension ref="A1:AC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3" customWidth="1" style="76" min="1" max="2"/>
    <col width="13" customWidth="1" style="50" min="2" max="2"/>
    <col width="10" customWidth="1" style="76" min="3" max="3"/>
    <col width="23.5" customWidth="1" style="76" min="4" max="6"/>
    <col width="18" customWidth="1" style="50" min="5" max="5"/>
    <col width="18" customWidth="1" style="50" min="6" max="6"/>
    <col width="14" customWidth="1" style="76" min="7" max="7"/>
    <col width="14" customWidth="1" style="76" min="8" max="8"/>
    <col width="18" customWidth="1" style="76" min="9" max="9"/>
    <col width="16.5" customWidth="1" style="76" min="10" max="10"/>
    <col width="14" customWidth="1" style="76" min="11" max="11"/>
    <col width="14" customWidth="1" style="76" min="12" max="12"/>
    <col width="13" customWidth="1" style="50" min="13" max="13"/>
    <col width="13" customWidth="1" style="50" min="14" max="14"/>
  </cols>
  <sheetData>
    <row r="1" ht="32" customHeight="1" s="50">
      <c r="A1" s="455" t="inlineStr">
        <is>
          <t>TAKSIT_PLANI — KURUMSAL BANKA VE BORÇ YÖNETİMİ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  <c r="J1" s="434" t="n"/>
      <c r="K1" s="434" t="n"/>
      <c r="L1" s="434" t="n"/>
    </row>
    <row r="2" ht="7.8" customHeight="1" s="50"/>
    <row r="3" ht="22" customHeight="1" s="50">
      <c r="A3" s="456" t="inlineStr">
        <is>
          <t>TAKSİT PLANI — dönem bazında anapara, faiz, vergi ve ödeme tarihi.</t>
        </is>
      </c>
    </row>
    <row r="4" ht="10" customHeight="1" s="50"/>
    <row r="5" ht="28" customHeight="1" s="50">
      <c r="A5" s="307" t="inlineStr">
        <is>
          <t>Plan ID</t>
        </is>
      </c>
      <c r="B5" s="307" t="inlineStr">
        <is>
          <t>Kredi ID</t>
        </is>
      </c>
      <c r="C5" s="307" t="inlineStr">
        <is>
          <t>Dönem</t>
        </is>
      </c>
      <c r="D5" s="307" t="inlineStr">
        <is>
          <t>Ödeme Tarihi</t>
        </is>
      </c>
      <c r="E5" s="307" t="inlineStr">
        <is>
          <t>Anapara</t>
        </is>
      </c>
      <c r="F5" s="307" t="inlineStr">
        <is>
          <t>Faiz</t>
        </is>
      </c>
      <c r="G5" s="307" t="inlineStr">
        <is>
          <t>Vergi/Fon</t>
        </is>
      </c>
      <c r="H5" s="307" t="inlineStr">
        <is>
          <t>Komisyon</t>
        </is>
      </c>
      <c r="I5" s="307" t="inlineStr">
        <is>
          <t>Toplam Ödeme</t>
        </is>
      </c>
      <c r="J5" s="307" t="inlineStr">
        <is>
          <t>Ödeme Durumu</t>
        </is>
      </c>
      <c r="K5" s="307" t="inlineStr">
        <is>
          <t>Kalan Gün</t>
        </is>
      </c>
      <c r="L5" s="307" t="inlineStr">
        <is>
          <t>Kontrol</t>
        </is>
      </c>
    </row>
    <row r="6" ht="22" customHeight="1" s="50">
      <c r="A6" s="308" t="inlineStr">
        <is>
          <t>PLN-001</t>
        </is>
      </c>
      <c r="B6" s="309" t="inlineStr">
        <is>
          <t>KRD-001</t>
        </is>
      </c>
      <c r="C6" s="332" t="n">
        <v>1</v>
      </c>
      <c r="D6" s="326" t="n">
        <v>46244</v>
      </c>
      <c r="E6" s="320" t="n">
        <v>326000</v>
      </c>
      <c r="F6" s="320" t="n">
        <v>280000</v>
      </c>
      <c r="G6" s="320" t="n">
        <v>14000</v>
      </c>
      <c r="H6" s="320" t="n">
        <v>0</v>
      </c>
      <c r="I6" s="321">
        <f>IF(ISBLANK($A6),"",IF(COUNTA($E6:$H6)=4,$E6+$F6+$G6+$H6,""))</f>
        <v/>
      </c>
      <c r="J6" s="308" t="inlineStr">
        <is>
          <t>Bekliyor</t>
        </is>
      </c>
      <c r="K6" s="333">
        <f>IF(ISBLANK($D6),"",$D6-RaporTarihi)</f>
        <v/>
      </c>
      <c r="L6" s="311">
        <f>IF(ISBLANK($A6),"",IF(OR(ISBLANK($B6),ISBLANK($C6),ISBLANK($D6),ISBLANK($E6),ISBLANK($F6),ISBLANK($G6),ISBLANK($H6),ISBLANK($I6),ISBLANK($J6)),"EKSİK","OK"))</f>
        <v/>
      </c>
    </row>
    <row r="7" ht="22" customHeight="1" s="50">
      <c r="A7" s="312" t="inlineStr">
        <is>
          <t>PLN-002</t>
        </is>
      </c>
      <c r="B7" s="313" t="inlineStr">
        <is>
          <t>KRD-001</t>
        </is>
      </c>
      <c r="C7" s="334" t="n">
        <v>2</v>
      </c>
      <c r="D7" s="329" t="n">
        <v>46275</v>
      </c>
      <c r="E7" s="323" t="n">
        <v>337000</v>
      </c>
      <c r="F7" s="323" t="n">
        <v>269000</v>
      </c>
      <c r="G7" s="323" t="n">
        <v>14000</v>
      </c>
      <c r="H7" s="323" t="n">
        <v>0</v>
      </c>
      <c r="I7" s="324">
        <f>IF(ISBLANK($A7),"",IF(COUNTA($E7:$H7)=4,$E7+$F7+$G7+$H7,""))</f>
        <v/>
      </c>
      <c r="J7" s="312" t="inlineStr">
        <is>
          <t>Bekliyor</t>
        </is>
      </c>
      <c r="K7" s="335">
        <f>IF(ISBLANK($D7),"",$D7-RaporTarihi)</f>
        <v/>
      </c>
      <c r="L7" s="315">
        <f>IF(ISBLANK($A7),"",IF(OR(ISBLANK($B7),ISBLANK($C7),ISBLANK($D7),ISBLANK($E7),ISBLANK($F7),ISBLANK($G7),ISBLANK($H7),ISBLANK($I7),ISBLANK($J7)),"EKSİK","OK"))</f>
        <v/>
      </c>
    </row>
    <row r="8" ht="22" customHeight="1" s="50">
      <c r="A8" s="308" t="inlineStr">
        <is>
          <t>PLN-003</t>
        </is>
      </c>
      <c r="B8" s="309" t="inlineStr">
        <is>
          <t>KRD-002</t>
        </is>
      </c>
      <c r="C8" s="332" t="n">
        <v>1</v>
      </c>
      <c r="D8" s="326" t="n">
        <v>46249</v>
      </c>
      <c r="E8" s="320" t="n">
        <v>117000</v>
      </c>
      <c r="F8" s="320" t="n">
        <v>183000</v>
      </c>
      <c r="G8" s="320" t="n">
        <v>10000</v>
      </c>
      <c r="H8" s="320" t="n">
        <v>0</v>
      </c>
      <c r="I8" s="321">
        <f>IF(ISBLANK($A8),"",IF(COUNTA($E8:$H8)=4,$E8+$F8+$G8+$H8,""))</f>
        <v/>
      </c>
      <c r="J8" s="308" t="inlineStr">
        <is>
          <t>Bekliyor</t>
        </is>
      </c>
      <c r="K8" s="333">
        <f>IF(ISBLANK($D8),"",$D8-RaporTarihi)</f>
        <v/>
      </c>
      <c r="L8" s="311">
        <f>IF(ISBLANK($A8),"",IF(OR(ISBLANK($B8),ISBLANK($C8),ISBLANK($D8),ISBLANK($E8),ISBLANK($F8),ISBLANK($G8),ISBLANK($H8),ISBLANK($I8),ISBLANK($J8)),"EKSİK","OK"))</f>
        <v/>
      </c>
    </row>
    <row r="9" ht="22" customHeight="1" s="50">
      <c r="A9" s="312" t="inlineStr">
        <is>
          <t>PLN-004</t>
        </is>
      </c>
      <c r="B9" s="313" t="inlineStr">
        <is>
          <t>KRD-002</t>
        </is>
      </c>
      <c r="C9" s="334" t="n">
        <v>2</v>
      </c>
      <c r="D9" s="329" t="n">
        <v>46280</v>
      </c>
      <c r="E9" s="323" t="n">
        <v>121000</v>
      </c>
      <c r="F9" s="323" t="n">
        <v>179000</v>
      </c>
      <c r="G9" s="323" t="n">
        <v>10000</v>
      </c>
      <c r="H9" s="323" t="n">
        <v>0</v>
      </c>
      <c r="I9" s="324">
        <f>IF(ISBLANK($A9),"",IF(COUNTA($E9:$H9)=4,$E9+$F9+$G9+$H9,""))</f>
        <v/>
      </c>
      <c r="J9" s="312" t="inlineStr">
        <is>
          <t>Bekliyor</t>
        </is>
      </c>
      <c r="K9" s="335">
        <f>IF(ISBLANK($D9),"",$D9-RaporTarihi)</f>
        <v/>
      </c>
      <c r="L9" s="315">
        <f>IF(ISBLANK($A9),"",IF(OR(ISBLANK($B9),ISBLANK($C9),ISBLANK($D9),ISBLANK($E9),ISBLANK($F9),ISBLANK($G9),ISBLANK($H9),ISBLANK($I9),ISBLANK($J9)),"EKSİK","OK"))</f>
        <v/>
      </c>
    </row>
    <row r="10" ht="22" customHeight="1" s="50">
      <c r="A10" s="308" t="inlineStr">
        <is>
          <t>PLN-005</t>
        </is>
      </c>
      <c r="B10" s="309" t="inlineStr">
        <is>
          <t>KRD-003</t>
        </is>
      </c>
      <c r="C10" s="332" t="n">
        <v>1</v>
      </c>
      <c r="D10" s="326" t="n">
        <v>46254</v>
      </c>
      <c r="E10" s="320" t="n">
        <v>0</v>
      </c>
      <c r="F10" s="320" t="n">
        <v>4275</v>
      </c>
      <c r="G10" s="320" t="n">
        <v>214</v>
      </c>
      <c r="H10" s="320" t="n">
        <v>375</v>
      </c>
      <c r="I10" s="321">
        <f>IF(ISBLANK($A10),"",IF(COUNTA($E10:$H10)=4,$E10+$F10+$G10+$H10,""))</f>
        <v/>
      </c>
      <c r="J10" s="308" t="inlineStr">
        <is>
          <t>Bekliyor</t>
        </is>
      </c>
      <c r="K10" s="333">
        <f>IF(ISBLANK($D10),"",$D10-RaporTarihi)</f>
        <v/>
      </c>
      <c r="L10" s="311">
        <f>IF(ISBLANK($A10),"",IF(OR(ISBLANK($B10),ISBLANK($C10),ISBLANK($D10),ISBLANK($E10),ISBLANK($F10),ISBLANK($G10),ISBLANK($H10),ISBLANK($I10),ISBLANK($J10)),"EKSİK","OK"))</f>
        <v/>
      </c>
    </row>
    <row r="11" ht="22" customHeight="1" s="50">
      <c r="A11" s="312" t="inlineStr">
        <is>
          <t>PLN-006</t>
        </is>
      </c>
      <c r="B11" s="313" t="inlineStr">
        <is>
          <t>KRD-004</t>
        </is>
      </c>
      <c r="C11" s="334" t="n">
        <v>1</v>
      </c>
      <c r="D11" s="329" t="n">
        <v>46387</v>
      </c>
      <c r="E11" s="323" t="n">
        <v>2200000</v>
      </c>
      <c r="F11" s="323" t="n">
        <v>1034000</v>
      </c>
      <c r="G11" s="323" t="n">
        <v>51700</v>
      </c>
      <c r="H11" s="323" t="n">
        <v>0</v>
      </c>
      <c r="I11" s="324">
        <f>IF(ISBLANK($A11),"",IF(COUNTA($E11:$H11)=4,$E11+$F11+$G11+$H11,""))</f>
        <v/>
      </c>
      <c r="J11" s="312" t="inlineStr">
        <is>
          <t>Bekliyor</t>
        </is>
      </c>
      <c r="K11" s="335">
        <f>IF(ISBLANK($D11),"",$D11-RaporTarihi)</f>
        <v/>
      </c>
      <c r="L11" s="315">
        <f>IF(ISBLANK($A11),"",IF(OR(ISBLANK($B11),ISBLANK($C11),ISBLANK($D11),ISBLANK($E11),ISBLANK($F11),ISBLANK($G11),ISBLANK($H11),ISBLANK($I11),ISBLANK($J11)),"EKSİK","OK"))</f>
        <v/>
      </c>
    </row>
    <row r="12" ht="22" customHeight="1" s="50">
      <c r="A12" s="316" t="n"/>
      <c r="B12" s="317" t="n"/>
      <c r="C12" s="317" t="n"/>
      <c r="D12" s="316" t="n"/>
      <c r="E12" s="316" t="n"/>
      <c r="F12" s="316" t="n"/>
      <c r="G12" s="316" t="n"/>
      <c r="H12" s="316" t="n"/>
      <c r="I12" s="321">
        <f>IF(ISBLANK($A12),"",IF(COUNTA($E12:$H12)=4,$E12+$F12+$G12+$H12,""))</f>
        <v/>
      </c>
      <c r="J12" s="316" t="n"/>
      <c r="K12" s="333">
        <f>IF(ISBLANK($D12),"",$D12-RaporTarihi)</f>
        <v/>
      </c>
      <c r="L12" s="311">
        <f>IF(ISBLANK($A12),"",IF(OR(ISBLANK($B12),ISBLANK($C12),ISBLANK($D12),ISBLANK($E12),ISBLANK($F12),ISBLANK($G12),ISBLANK($H12),ISBLANK($I12),ISBLANK($J12)),"EKSİK","OK"))</f>
        <v/>
      </c>
    </row>
    <row r="13" ht="22" customHeight="1" s="50">
      <c r="A13" s="318" t="n"/>
      <c r="B13" s="319" t="n"/>
      <c r="C13" s="319" t="n"/>
      <c r="D13" s="318" t="n"/>
      <c r="E13" s="318" t="n"/>
      <c r="F13" s="318" t="n"/>
      <c r="G13" s="318" t="n"/>
      <c r="H13" s="318" t="n"/>
      <c r="I13" s="324">
        <f>IF(ISBLANK($A13),"",IF(COUNTA($E13:$H13)=4,$E13+$F13+$G13+$H13,""))</f>
        <v/>
      </c>
      <c r="J13" s="318" t="n"/>
      <c r="K13" s="335">
        <f>IF(ISBLANK($D13),"",$D13-RaporTarihi)</f>
        <v/>
      </c>
      <c r="L13" s="315">
        <f>IF(ISBLANK($A13),"",IF(OR(ISBLANK($B13),ISBLANK($C13),ISBLANK($D13),ISBLANK($E13),ISBLANK($F13),ISBLANK($G13),ISBLANK($H13),ISBLANK($I13),ISBLANK($J13)),"EKSİK","OK"))</f>
        <v/>
      </c>
    </row>
    <row r="14" ht="22" customHeight="1" s="50">
      <c r="A14" s="316" t="n"/>
      <c r="B14" s="317" t="n"/>
      <c r="C14" s="317" t="n"/>
      <c r="D14" s="316" t="n"/>
      <c r="E14" s="316" t="n"/>
      <c r="F14" s="316" t="n"/>
      <c r="G14" s="316" t="n"/>
      <c r="H14" s="316" t="n"/>
      <c r="I14" s="321">
        <f>IF(ISBLANK($A14),"",IF(COUNTA($E14:$H14)=4,$E14+$F14+$G14+$H14,""))</f>
        <v/>
      </c>
      <c r="J14" s="316" t="n"/>
      <c r="K14" s="333">
        <f>IF(ISBLANK($D14),"",$D14-RaporTarihi)</f>
        <v/>
      </c>
      <c r="L14" s="311">
        <f>IF(ISBLANK($A14),"",IF(OR(ISBLANK($B14),ISBLANK($C14),ISBLANK($D14),ISBLANK($E14),ISBLANK($F14),ISBLANK($G14),ISBLANK($H14),ISBLANK($I14),ISBLANK($J14)),"EKSİK","OK"))</f>
        <v/>
      </c>
    </row>
    <row r="15" ht="22" customHeight="1" s="50">
      <c r="A15" s="318" t="n"/>
      <c r="B15" s="319" t="n"/>
      <c r="C15" s="319" t="n"/>
      <c r="D15" s="318" t="n"/>
      <c r="E15" s="318" t="n"/>
      <c r="F15" s="318" t="n"/>
      <c r="G15" s="318" t="n"/>
      <c r="H15" s="318" t="n"/>
      <c r="I15" s="324">
        <f>IF(ISBLANK($A15),"",IF(COUNTA($E15:$H15)=4,$E15+$F15+$G15+$H15,""))</f>
        <v/>
      </c>
      <c r="J15" s="318" t="n"/>
      <c r="K15" s="335">
        <f>IF(ISBLANK($D15),"",$D15-RaporTarihi)</f>
        <v/>
      </c>
      <c r="L15" s="315">
        <f>IF(ISBLANK($A15),"",IF(OR(ISBLANK($B15),ISBLANK($C15),ISBLANK($D15),ISBLANK($E15),ISBLANK($F15),ISBLANK($G15),ISBLANK($H15),ISBLANK($I15),ISBLANK($J15)),"EKSİK","OK"))</f>
        <v/>
      </c>
    </row>
    <row r="16" ht="22" customHeight="1" s="50">
      <c r="A16" s="316" t="n"/>
      <c r="B16" s="317" t="n"/>
      <c r="C16" s="317" t="n"/>
      <c r="D16" s="316" t="n"/>
      <c r="E16" s="316" t="n"/>
      <c r="F16" s="316" t="n"/>
      <c r="G16" s="316" t="n"/>
      <c r="H16" s="316" t="n"/>
      <c r="I16" s="321">
        <f>IF(ISBLANK($A16),"",IF(COUNTA($E16:$H16)=4,$E16+$F16+$G16+$H16,""))</f>
        <v/>
      </c>
      <c r="J16" s="316" t="n"/>
      <c r="K16" s="333">
        <f>IF(ISBLANK($D16),"",$D16-RaporTarihi)</f>
        <v/>
      </c>
      <c r="L16" s="311">
        <f>IF(ISBLANK($A16),"",IF(OR(ISBLANK($B16),ISBLANK($C16),ISBLANK($D16),ISBLANK($E16),ISBLANK($F16),ISBLANK($G16),ISBLANK($H16),ISBLANK($I16),ISBLANK($J16)),"EKSİK","OK"))</f>
        <v/>
      </c>
    </row>
    <row r="17" ht="22" customHeight="1" s="50">
      <c r="A17" s="318" t="n"/>
      <c r="B17" s="319" t="n"/>
      <c r="C17" s="319" t="n"/>
      <c r="D17" s="318" t="n"/>
      <c r="E17" s="318" t="n"/>
      <c r="F17" s="318" t="n"/>
      <c r="G17" s="318" t="n"/>
      <c r="H17" s="318" t="n"/>
      <c r="I17" s="324">
        <f>IF(ISBLANK($A17),"",IF(COUNTA($E17:$H17)=4,$E17+$F17+$G17+$H17,""))</f>
        <v/>
      </c>
      <c r="J17" s="318" t="n"/>
      <c r="K17" s="335">
        <f>IF(ISBLANK($D17),"",$D17-RaporTarihi)</f>
        <v/>
      </c>
      <c r="L17" s="315">
        <f>IF(ISBLANK($A17),"",IF(OR(ISBLANK($B17),ISBLANK($C17),ISBLANK($D17),ISBLANK($E17),ISBLANK($F17),ISBLANK($G17),ISBLANK($H17),ISBLANK($I17),ISBLANK($J17)),"EKSİK","OK"))</f>
        <v/>
      </c>
    </row>
    <row r="18" ht="22" customHeight="1" s="50">
      <c r="A18" s="316" t="n"/>
      <c r="B18" s="317" t="n"/>
      <c r="C18" s="317" t="n"/>
      <c r="D18" s="316" t="n"/>
      <c r="E18" s="316" t="n"/>
      <c r="F18" s="316" t="n"/>
      <c r="G18" s="316" t="n"/>
      <c r="H18" s="316" t="n"/>
      <c r="I18" s="321">
        <f>IF(ISBLANK($A18),"",IF(COUNTA($E18:$H18)=4,$E18+$F18+$G18+$H18,""))</f>
        <v/>
      </c>
      <c r="J18" s="316" t="n"/>
      <c r="K18" s="333">
        <f>IF(ISBLANK($D18),"",$D18-RaporTarihi)</f>
        <v/>
      </c>
      <c r="L18" s="311">
        <f>IF(ISBLANK($A18),"",IF(OR(ISBLANK($B18),ISBLANK($C18),ISBLANK($D18),ISBLANK($E18),ISBLANK($F18),ISBLANK($G18),ISBLANK($H18),ISBLANK($I18),ISBLANK($J18)),"EKSİK","OK"))</f>
        <v/>
      </c>
    </row>
    <row r="19" ht="22" customHeight="1" s="50">
      <c r="A19" s="318" t="n"/>
      <c r="B19" s="319" t="n"/>
      <c r="C19" s="319" t="n"/>
      <c r="D19" s="318" t="n"/>
      <c r="E19" s="318" t="n"/>
      <c r="F19" s="318" t="n"/>
      <c r="G19" s="318" t="n"/>
      <c r="H19" s="318" t="n"/>
      <c r="I19" s="324">
        <f>IF(ISBLANK($A19),"",IF(COUNTA($E19:$H19)=4,$E19+$F19+$G19+$H19,""))</f>
        <v/>
      </c>
      <c r="J19" s="318" t="n"/>
      <c r="K19" s="335">
        <f>IF(ISBLANK($D19),"",$D19-RaporTarihi)</f>
        <v/>
      </c>
      <c r="L19" s="315">
        <f>IF(ISBLANK($A19),"",IF(OR(ISBLANK($B19),ISBLANK($C19),ISBLANK($D19),ISBLANK($E19),ISBLANK($F19),ISBLANK($G19),ISBLANK($H19),ISBLANK($I19),ISBLANK($J19)),"EKSİK","OK"))</f>
        <v/>
      </c>
    </row>
    <row r="20" ht="22" customHeight="1" s="50">
      <c r="A20" s="316" t="n"/>
      <c r="B20" s="317" t="n"/>
      <c r="C20" s="317" t="n"/>
      <c r="D20" s="316" t="n"/>
      <c r="E20" s="316" t="n"/>
      <c r="F20" s="316" t="n"/>
      <c r="G20" s="316" t="n"/>
      <c r="H20" s="316" t="n"/>
      <c r="I20" s="321">
        <f>IF(ISBLANK($A20),"",IF(COUNTA($E20:$H20)=4,$E20+$F20+$G20+$H20,""))</f>
        <v/>
      </c>
      <c r="J20" s="316" t="n"/>
      <c r="K20" s="333">
        <f>IF(ISBLANK($D20),"",$D20-RaporTarihi)</f>
        <v/>
      </c>
      <c r="L20" s="311">
        <f>IF(ISBLANK($A20),"",IF(OR(ISBLANK($B20),ISBLANK($C20),ISBLANK($D20),ISBLANK($E20),ISBLANK($F20),ISBLANK($G20),ISBLANK($H20),ISBLANK($I20),ISBLANK($J20)),"EKSİK","OK"))</f>
        <v/>
      </c>
    </row>
    <row r="21" ht="22" customHeight="1" s="50">
      <c r="A21" s="318" t="n"/>
      <c r="B21" s="319" t="n"/>
      <c r="C21" s="319" t="n"/>
      <c r="D21" s="318" t="n"/>
      <c r="E21" s="318" t="n"/>
      <c r="F21" s="318" t="n"/>
      <c r="G21" s="318" t="n"/>
      <c r="H21" s="318" t="n"/>
      <c r="I21" s="324">
        <f>IF(ISBLANK($A21),"",IF(COUNTA($E21:$H21)=4,$E21+$F21+$G21+$H21,""))</f>
        <v/>
      </c>
      <c r="J21" s="318" t="n"/>
      <c r="K21" s="335">
        <f>IF(ISBLANK($D21),"",$D21-RaporTarihi)</f>
        <v/>
      </c>
      <c r="L21" s="315">
        <f>IF(ISBLANK($A21),"",IF(OR(ISBLANK($B21),ISBLANK($C21),ISBLANK($D21),ISBLANK($E21),ISBLANK($F21),ISBLANK($G21),ISBLANK($H21),ISBLANK($I21),ISBLANK($J21)),"EKSİK","OK"))</f>
        <v/>
      </c>
    </row>
    <row r="22" ht="22" customHeight="1" s="50">
      <c r="A22" s="316" t="n"/>
      <c r="B22" s="317" t="n"/>
      <c r="C22" s="317" t="n"/>
      <c r="D22" s="316" t="n"/>
      <c r="E22" s="316" t="n"/>
      <c r="F22" s="316" t="n"/>
      <c r="G22" s="316" t="n"/>
      <c r="H22" s="316" t="n"/>
      <c r="I22" s="321">
        <f>IF(ISBLANK($A22),"",IF(COUNTA($E22:$H22)=4,$E22+$F22+$G22+$H22,""))</f>
        <v/>
      </c>
      <c r="J22" s="316" t="n"/>
      <c r="K22" s="333">
        <f>IF(ISBLANK($D22),"",$D22-RaporTarihi)</f>
        <v/>
      </c>
      <c r="L22" s="311">
        <f>IF(ISBLANK($A22),"",IF(OR(ISBLANK($B22),ISBLANK($C22),ISBLANK($D22),ISBLANK($E22),ISBLANK($F22),ISBLANK($G22),ISBLANK($H22),ISBLANK($I22),ISBLANK($J22)),"EKSİK","OK"))</f>
        <v/>
      </c>
    </row>
    <row r="23" ht="22" customHeight="1" s="50">
      <c r="A23" s="318" t="n"/>
      <c r="B23" s="319" t="n"/>
      <c r="C23" s="319" t="n"/>
      <c r="D23" s="318" t="n"/>
      <c r="E23" s="318" t="n"/>
      <c r="F23" s="318" t="n"/>
      <c r="G23" s="318" t="n"/>
      <c r="H23" s="318" t="n"/>
      <c r="I23" s="324">
        <f>IF(ISBLANK($A23),"",IF(COUNTA($E23:$H23)=4,$E23+$F23+$G23+$H23,""))</f>
        <v/>
      </c>
      <c r="J23" s="318" t="n"/>
      <c r="K23" s="335">
        <f>IF(ISBLANK($D23),"",$D23-RaporTarihi)</f>
        <v/>
      </c>
      <c r="L23" s="315">
        <f>IF(ISBLANK($A23),"",IF(OR(ISBLANK($B23),ISBLANK($C23),ISBLANK($D23),ISBLANK($E23),ISBLANK($F23),ISBLANK($G23),ISBLANK($H23),ISBLANK($I23),ISBLANK($J23)),"EKSİK","OK"))</f>
        <v/>
      </c>
    </row>
    <row r="24" ht="22" customHeight="1" s="50">
      <c r="A24" s="316" t="n"/>
      <c r="B24" s="317" t="n"/>
      <c r="C24" s="317" t="n"/>
      <c r="D24" s="316" t="n"/>
      <c r="E24" s="316" t="n"/>
      <c r="F24" s="316" t="n"/>
      <c r="G24" s="316" t="n"/>
      <c r="H24" s="316" t="n"/>
      <c r="I24" s="321">
        <f>IF(ISBLANK($A24),"",IF(COUNTA($E24:$H24)=4,$E24+$F24+$G24+$H24,""))</f>
        <v/>
      </c>
      <c r="J24" s="316" t="n"/>
      <c r="K24" s="333">
        <f>IF(ISBLANK($D24),"",$D24-RaporTarihi)</f>
        <v/>
      </c>
      <c r="L24" s="311">
        <f>IF(ISBLANK($A24),"",IF(OR(ISBLANK($B24),ISBLANK($C24),ISBLANK($D24),ISBLANK($E24),ISBLANK($F24),ISBLANK($G24),ISBLANK($H24),ISBLANK($I24),ISBLANK($J24)),"EKSİK","OK"))</f>
        <v/>
      </c>
    </row>
    <row r="25" ht="22" customHeight="1" s="50">
      <c r="A25" s="318" t="n"/>
      <c r="B25" s="319" t="n"/>
      <c r="C25" s="319" t="n"/>
      <c r="D25" s="318" t="n"/>
      <c r="E25" s="318" t="n"/>
      <c r="F25" s="318" t="n"/>
      <c r="G25" s="318" t="n"/>
      <c r="H25" s="318" t="n"/>
      <c r="I25" s="324">
        <f>IF(ISBLANK($A25),"",IF(COUNTA($E25:$H25)=4,$E25+$F25+$G25+$H25,""))</f>
        <v/>
      </c>
      <c r="J25" s="318" t="n"/>
      <c r="K25" s="335">
        <f>IF(ISBLANK($D25),"",$D25-RaporTarihi)</f>
        <v/>
      </c>
      <c r="L25" s="315">
        <f>IF(ISBLANK($A25),"",IF(OR(ISBLANK($B25),ISBLANK($C25),ISBLANK($D25),ISBLANK($E25),ISBLANK($F25),ISBLANK($G25),ISBLANK($H25),ISBLANK($I25),ISBLANK($J25)),"EKSİK","OK"))</f>
        <v/>
      </c>
    </row>
    <row r="26" ht="22" customHeight="1" s="50">
      <c r="A26" s="316" t="n"/>
      <c r="B26" s="317" t="n"/>
      <c r="C26" s="317" t="n"/>
      <c r="D26" s="316" t="n"/>
      <c r="E26" s="316" t="n"/>
      <c r="F26" s="316" t="n"/>
      <c r="G26" s="316" t="n"/>
      <c r="H26" s="316" t="n"/>
      <c r="I26" s="321">
        <f>IF(ISBLANK($A26),"",IF(COUNTA($E26:$H26)=4,$E26+$F26+$G26+$H26,""))</f>
        <v/>
      </c>
      <c r="J26" s="316" t="n"/>
      <c r="K26" s="333">
        <f>IF(ISBLANK($D26),"",$D26-RaporTarihi)</f>
        <v/>
      </c>
      <c r="L26" s="311">
        <f>IF(ISBLANK($A26),"",IF(OR(ISBLANK($B26),ISBLANK($C26),ISBLANK($D26),ISBLANK($E26),ISBLANK($F26),ISBLANK($G26),ISBLANK($H26),ISBLANK($I26),ISBLANK($J26)),"EKSİK","OK"))</f>
        <v/>
      </c>
    </row>
    <row r="27" ht="22" customHeight="1" s="50">
      <c r="A27" s="318" t="n"/>
      <c r="B27" s="319" t="n"/>
      <c r="C27" s="319" t="n"/>
      <c r="D27" s="318" t="n"/>
      <c r="E27" s="318" t="n"/>
      <c r="F27" s="318" t="n"/>
      <c r="G27" s="318" t="n"/>
      <c r="H27" s="318" t="n"/>
      <c r="I27" s="324">
        <f>IF(ISBLANK($A27),"",IF(COUNTA($E27:$H27)=4,$E27+$F27+$G27+$H27,""))</f>
        <v/>
      </c>
      <c r="J27" s="318" t="n"/>
      <c r="K27" s="335">
        <f>IF(ISBLANK($D27),"",$D27-RaporTarihi)</f>
        <v/>
      </c>
      <c r="L27" s="315">
        <f>IF(ISBLANK($A27),"",IF(OR(ISBLANK($B27),ISBLANK($C27),ISBLANK($D27),ISBLANK($E27),ISBLANK($F27),ISBLANK($G27),ISBLANK($H27),ISBLANK($I27),ISBLANK($J27)),"EKSİK","OK"))</f>
        <v/>
      </c>
    </row>
    <row r="28" ht="22" customHeight="1" s="50">
      <c r="A28" s="316" t="n"/>
      <c r="B28" s="317" t="n"/>
      <c r="C28" s="317" t="n"/>
      <c r="D28" s="316" t="n"/>
      <c r="E28" s="316" t="n"/>
      <c r="F28" s="316" t="n"/>
      <c r="G28" s="316" t="n"/>
      <c r="H28" s="316" t="n"/>
      <c r="I28" s="321">
        <f>IF(ISBLANK($A28),"",IF(COUNTA($E28:$H28)=4,$E28+$F28+$G28+$H28,""))</f>
        <v/>
      </c>
      <c r="J28" s="316" t="n"/>
      <c r="K28" s="333">
        <f>IF(ISBLANK($D28),"",$D28-RaporTarihi)</f>
        <v/>
      </c>
      <c r="L28" s="311">
        <f>IF(ISBLANK($A28),"",IF(OR(ISBLANK($B28),ISBLANK($C28),ISBLANK($D28),ISBLANK($E28),ISBLANK($F28),ISBLANK($G28),ISBLANK($H28),ISBLANK($I28),ISBLANK($J28)),"EKSİK","OK"))</f>
        <v/>
      </c>
    </row>
    <row r="29" ht="22" customHeight="1" s="50">
      <c r="A29" s="318" t="n"/>
      <c r="B29" s="319" t="n"/>
      <c r="C29" s="319" t="n"/>
      <c r="D29" s="318" t="n"/>
      <c r="E29" s="318" t="n"/>
      <c r="F29" s="318" t="n"/>
      <c r="G29" s="318" t="n"/>
      <c r="H29" s="318" t="n"/>
      <c r="I29" s="324">
        <f>IF(ISBLANK($A29),"",IF(COUNTA($E29:$H29)=4,$E29+$F29+$G29+$H29,""))</f>
        <v/>
      </c>
      <c r="J29" s="318" t="n"/>
      <c r="K29" s="335">
        <f>IF(ISBLANK($D29),"",$D29-RaporTarihi)</f>
        <v/>
      </c>
      <c r="L29" s="315">
        <f>IF(ISBLANK($A29),"",IF(OR(ISBLANK($B29),ISBLANK($C29),ISBLANK($D29),ISBLANK($E29),ISBLANK($F29),ISBLANK($G29),ISBLANK($H29),ISBLANK($I29),ISBLANK($J29)),"EKSİK","OK"))</f>
        <v/>
      </c>
    </row>
    <row r="30" ht="22" customHeight="1" s="50">
      <c r="A30" s="316" t="n"/>
      <c r="B30" s="317" t="n"/>
      <c r="C30" s="317" t="n"/>
      <c r="D30" s="316" t="n"/>
      <c r="E30" s="316" t="n"/>
      <c r="F30" s="316" t="n"/>
      <c r="G30" s="316" t="n"/>
      <c r="H30" s="316" t="n"/>
      <c r="I30" s="321">
        <f>IF(ISBLANK($A30),"",IF(COUNTA($E30:$H30)=4,$E30+$F30+$G30+$H30,""))</f>
        <v/>
      </c>
      <c r="J30" s="316" t="n"/>
      <c r="K30" s="333">
        <f>IF(ISBLANK($D30),"",$D30-RaporTarihi)</f>
        <v/>
      </c>
      <c r="L30" s="311">
        <f>IF(ISBLANK($A30),"",IF(OR(ISBLANK($B30),ISBLANK($C30),ISBLANK($D30),ISBLANK($E30),ISBLANK($F30),ISBLANK($G30),ISBLANK($H30),ISBLANK($I30),ISBLANK($J30)),"EKSİK","OK"))</f>
        <v/>
      </c>
    </row>
    <row r="31" ht="22" customHeight="1" s="50">
      <c r="A31" s="318" t="n"/>
      <c r="B31" s="319" t="n"/>
      <c r="C31" s="319" t="n"/>
      <c r="D31" s="318" t="n"/>
      <c r="E31" s="318" t="n"/>
      <c r="F31" s="318" t="n"/>
      <c r="G31" s="318" t="n"/>
      <c r="H31" s="318" t="n"/>
      <c r="I31" s="324">
        <f>IF(ISBLANK($A31),"",IF(COUNTA($E31:$H31)=4,$E31+$F31+$G31+$H31,""))</f>
        <v/>
      </c>
      <c r="J31" s="318" t="n"/>
      <c r="K31" s="335">
        <f>IF(ISBLANK($D31),"",$D31-RaporTarihi)</f>
        <v/>
      </c>
      <c r="L31" s="315">
        <f>IF(ISBLANK($A31),"",IF(OR(ISBLANK($B31),ISBLANK($C31),ISBLANK($D31),ISBLANK($E31),ISBLANK($F31),ISBLANK($G31),ISBLANK($H31),ISBLANK($I31),ISBLANK($J31)),"EKSİK","OK"))</f>
        <v/>
      </c>
    </row>
    <row r="32" ht="22" customHeight="1" s="50">
      <c r="A32" s="316" t="n"/>
      <c r="B32" s="317" t="n"/>
      <c r="C32" s="317" t="n"/>
      <c r="D32" s="316" t="n"/>
      <c r="E32" s="316" t="n"/>
      <c r="F32" s="316" t="n"/>
      <c r="G32" s="316" t="n"/>
      <c r="H32" s="316" t="n"/>
      <c r="I32" s="321">
        <f>IF(ISBLANK($A32),"",IF(COUNTA($E32:$H32)=4,$E32+$F32+$G32+$H32,""))</f>
        <v/>
      </c>
      <c r="J32" s="316" t="n"/>
      <c r="K32" s="333">
        <f>IF(ISBLANK($D32),"",$D32-RaporTarihi)</f>
        <v/>
      </c>
      <c r="L32" s="311">
        <f>IF(ISBLANK($A32),"",IF(OR(ISBLANK($B32),ISBLANK($C32),ISBLANK($D32),ISBLANK($E32),ISBLANK($F32),ISBLANK($G32),ISBLANK($H32),ISBLANK($I32),ISBLANK($J32)),"EKSİK","OK"))</f>
        <v/>
      </c>
    </row>
    <row r="33" ht="22" customHeight="1" s="50">
      <c r="A33" s="318" t="n"/>
      <c r="B33" s="319" t="n"/>
      <c r="C33" s="319" t="n"/>
      <c r="D33" s="318" t="n"/>
      <c r="E33" s="318" t="n"/>
      <c r="F33" s="318" t="n"/>
      <c r="G33" s="318" t="n"/>
      <c r="H33" s="318" t="n"/>
      <c r="I33" s="324">
        <f>IF(ISBLANK($A33),"",IF(COUNTA($E33:$H33)=4,$E33+$F33+$G33+$H33,""))</f>
        <v/>
      </c>
      <c r="J33" s="318" t="n"/>
      <c r="K33" s="335">
        <f>IF(ISBLANK($D33),"",$D33-RaporTarihi)</f>
        <v/>
      </c>
      <c r="L33" s="315">
        <f>IF(ISBLANK($A33),"",IF(OR(ISBLANK($B33),ISBLANK($C33),ISBLANK($D33),ISBLANK($E33),ISBLANK($F33),ISBLANK($G33),ISBLANK($H33),ISBLANK($I33),ISBLANK($J33)),"EKSİK","OK"))</f>
        <v/>
      </c>
    </row>
    <row r="34" ht="22" customHeight="1" s="50">
      <c r="A34" s="316" t="n"/>
      <c r="B34" s="317" t="n"/>
      <c r="C34" s="317" t="n"/>
      <c r="D34" s="316" t="n"/>
      <c r="E34" s="316" t="n"/>
      <c r="F34" s="316" t="n"/>
      <c r="G34" s="316" t="n"/>
      <c r="H34" s="316" t="n"/>
      <c r="I34" s="321">
        <f>IF(ISBLANK($A34),"",IF(COUNTA($E34:$H34)=4,$E34+$F34+$G34+$H34,""))</f>
        <v/>
      </c>
      <c r="J34" s="316" t="n"/>
      <c r="K34" s="333">
        <f>IF(ISBLANK($D34),"",$D34-RaporTarihi)</f>
        <v/>
      </c>
      <c r="L34" s="311">
        <f>IF(ISBLANK($A34),"",IF(OR(ISBLANK($B34),ISBLANK($C34),ISBLANK($D34),ISBLANK($E34),ISBLANK($F34),ISBLANK($G34),ISBLANK($H34),ISBLANK($I34),ISBLANK($J34)),"EKSİK","OK"))</f>
        <v/>
      </c>
    </row>
    <row r="35" ht="22" customHeight="1" s="50">
      <c r="A35" s="318" t="n"/>
      <c r="B35" s="319" t="n"/>
      <c r="C35" s="319" t="n"/>
      <c r="D35" s="318" t="n"/>
      <c r="E35" s="318" t="n"/>
      <c r="F35" s="318" t="n"/>
      <c r="G35" s="318" t="n"/>
      <c r="H35" s="318" t="n"/>
      <c r="I35" s="324">
        <f>IF(ISBLANK($A35),"",IF(COUNTA($E35:$H35)=4,$E35+$F35+$G35+$H35,""))</f>
        <v/>
      </c>
      <c r="J35" s="318" t="n"/>
      <c r="K35" s="335">
        <f>IF(ISBLANK($D35),"",$D35-RaporTarihi)</f>
        <v/>
      </c>
      <c r="L35" s="315">
        <f>IF(ISBLANK($A35),"",IF(OR(ISBLANK($B35),ISBLANK($C35),ISBLANK($D35),ISBLANK($E35),ISBLANK($F35),ISBLANK($G35),ISBLANK($H35),ISBLANK($I35),ISBLANK($J35)),"EKSİK","OK"))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L1"/>
  </mergeCells>
  <conditionalFormatting sqref="I6:I1000">
    <cfRule type="cellIs" rank="0" priority="2" equalAverage="0" operator="lessThanOrEqual" aboveAverage="0" dxfId="9" text="" percent="0" bottom="0">
      <formula>0</formula>
    </cfRule>
  </conditionalFormatting>
  <conditionalFormatting sqref="J6:J1000">
    <cfRule type="cellIs" rank="0" priority="3" equalAverage="0" operator="equal" aboveAverage="0" dxfId="12" text="" percent="0" bottom="0">
      <formula>"GECİKMİŞ"</formula>
    </cfRule>
    <cfRule type="cellIs" rank="0" priority="4" equalAverage="0" operator="equal" aboveAverage="0" dxfId="10" text="" percent="0" bottom="0">
      <formula>"BEKLİYOR"</formula>
    </cfRule>
    <cfRule type="cellIs" rank="0" priority="5" equalAverage="0" operator="equal" aboveAverage="0" dxfId="8" text="" percent="0" bottom="0">
      <formula>"Ödendi"</formula>
    </cfRule>
  </conditionalFormatting>
  <conditionalFormatting sqref="K6:K1000">
    <cfRule type="cellIs" rank="0" priority="6" equalAverage="0" operator="lessThan" aboveAverage="0" dxfId="9" text="" percent="0" bottom="0">
      <formula>0</formula>
    </cfRule>
    <cfRule type="cellIs" rank="0" priority="7" equalAverage="0" operator="between" aboveAverage="0" dxfId="10" text="" percent="0" bottom="0">
      <formula>0</formula>
      <formula>30</formula>
    </cfRule>
    <cfRule type="cellIs" rank="0" priority="8" equalAverage="0" operator="greaterThan" aboveAverage="0" dxfId="8" text="" percent="0" bottom="0">
      <formula>30</formula>
    </cfRule>
  </conditionalFormatting>
  <conditionalFormatting sqref="L6:L1000">
    <cfRule type="cellIs" rank="0" priority="9" equalAverage="0" operator="equal" aboveAverage="0" dxfId="9" text="" percent="0" bottom="0">
      <formula>"EKSİK"</formula>
    </cfRule>
    <cfRule type="cellIs" rank="0" priority="10" equalAverage="0" operator="equal" aboveAverage="0" dxfId="8" text="" percent="0" bottom="0">
      <formula>"OK"</formula>
    </cfRule>
  </conditionalFormatting>
  <dataValidations count="2">
    <dataValidation sqref="J6:J1000" showDropDown="0" showInputMessage="1" showErrorMessage="1" allowBlank="1" errorTitle="Geçersiz Durum" error="Lütfen listeden bir ödeme durumu seçin." promptTitle="Ödeme Durumu" prompt="Ödendi, Bekliyor veya Gecikmiş seçin." type="list" errorStyle="stop" operator="between">
      <formula1>ListeOdemeDurumu</formula1>
      <formula2>0</formula2>
    </dataValidation>
    <dataValidation sqref="B6:B1000" showDropDown="0" showInputMessage="1" showErrorMessage="1" allowBlank="1" errorTitle="Geçersiz Kredi" error="Lütfen KREDILER sayfasındaki bir kredi ID seçin." promptTitle="Kredi ID" prompt="Listeden kredi seçin." type="list" errorStyle="stop" operator="between">
      <formula1>ListeKrediId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tabColor rgb="0060A5FA"/>
    <outlinePr summaryBelow="1" summaryRight="1"/>
    <pageSetUpPr fitToPage="0"/>
  </sheetPr>
  <dimension ref="A1:AC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76" min="1" max="1"/>
    <col width="26" customWidth="1" style="76" min="2" max="2"/>
    <col width="18" customWidth="1" style="76" min="3" max="3"/>
    <col width="18" customWidth="1" style="76" min="4" max="4"/>
    <col width="14" customWidth="1" style="76" min="5" max="5"/>
    <col width="18" customWidth="1" style="76" min="6" max="6"/>
    <col width="16.5" customWidth="1" style="76" min="7" max="7"/>
    <col width="13" customWidth="1" style="50" min="8" max="8"/>
    <col width="13" customWidth="1" style="50" min="9" max="9"/>
    <col width="13" customWidth="1" style="50" min="10" max="10"/>
    <col width="13" customWidth="1" style="50" min="11" max="11"/>
    <col width="13" customWidth="1" style="50" min="12" max="12"/>
    <col width="13" customWidth="1" style="50" min="13" max="13"/>
    <col width="13" customWidth="1" style="50" min="14" max="14"/>
  </cols>
  <sheetData>
    <row r="1" ht="32" customHeight="1" s="50">
      <c r="A1" s="455" t="inlineStr">
        <is>
          <t>ODEME_TAKVIMI — KURUMSAL BANKA VE BORÇ YÖNETİMİ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</row>
    <row r="2" ht="7.8" customHeight="1" s="50"/>
    <row r="3" ht="22" customHeight="1" s="50">
      <c r="A3" s="456" t="inlineStr">
        <is>
          <t>ÖDEME TAKVİMİ — yaklaşan taksitler 30 / 60 / 90 gün penceresinde.</t>
        </is>
      </c>
    </row>
    <row r="4" ht="10" customHeight="1" s="50"/>
    <row r="5" ht="28" customHeight="1" s="50">
      <c r="A5" s="307" t="inlineStr">
        <is>
          <t>Kredi ID</t>
        </is>
      </c>
      <c r="B5" s="307" t="inlineStr">
        <is>
          <t>Banka</t>
        </is>
      </c>
      <c r="C5" s="307" t="inlineStr">
        <is>
          <t>Ödeme Tarihi</t>
        </is>
      </c>
      <c r="D5" s="307" t="inlineStr">
        <is>
          <t>Toplam Ödeme</t>
        </is>
      </c>
      <c r="E5" s="307" t="inlineStr">
        <is>
          <t>Kalan Gün</t>
        </is>
      </c>
      <c r="F5" s="307" t="inlineStr">
        <is>
          <t>Zaman Dilimi</t>
        </is>
      </c>
      <c r="G5" s="307" t="inlineStr">
        <is>
          <t>Ödeme Durumu</t>
        </is>
      </c>
    </row>
    <row r="6" ht="22" customHeight="1" s="50">
      <c r="A6" s="311">
        <f>IF(ISBLANK(TAKSIT_PLANI!$A6),"",TAKSIT_PLANI!$B6)</f>
        <v/>
      </c>
      <c r="B6" s="311">
        <f>IF(ISBLANK(TAKSIT_PLANI!$A6),"",IFERROR(INDEX(KREDILER!$B$6:$B$1000,MATCH(TAKSIT_PLANI!$B6,KREDILER!$A$6:$A$1000,0)),""))</f>
        <v/>
      </c>
      <c r="C6" s="328">
        <f>IF(ISBLANK(TAKSIT_PLANI!$A6),"",TAKSIT_PLANI!$D6)</f>
        <v/>
      </c>
      <c r="D6" s="321">
        <f>IF(ISBLANK(TAKSIT_PLANI!$A6),"",TAKSIT_PLANI!$I6)</f>
        <v/>
      </c>
      <c r="E6" s="333">
        <f>IF(ISBLANK(TAKSIT_PLANI!$A6),"",TAKSIT_PLANI!$K6)</f>
        <v/>
      </c>
      <c r="F6" s="311">
        <f>IF(ISBLANK(TAKSIT_PLANI!$A6),"",IF(TAKSIT_PLANI!$K6&lt;0,"Vadesi Geçmiş",IF(TAKSIT_PLANI!$K6&lt;=30,"0-30 Gün",IF(TAKSIT_PLANI!$K6&lt;=60,"31-60 Gün","61 Gün ve Üzeri"))))</f>
        <v/>
      </c>
      <c r="G6" s="311">
        <f>IF(ISBLANK(TAKSIT_PLANI!$A6),"",TAKSIT_PLANI!$J6)</f>
        <v/>
      </c>
    </row>
    <row r="7" ht="22" customHeight="1" s="50">
      <c r="A7" s="315">
        <f>IF(ISBLANK(TAKSIT_PLANI!$A7),"",TAKSIT_PLANI!$B7)</f>
        <v/>
      </c>
      <c r="B7" s="315">
        <f>IF(ISBLANK(TAKSIT_PLANI!$A7),"",IFERROR(INDEX(KREDILER!$B$6:$B$1000,MATCH(TAKSIT_PLANI!$B7,KREDILER!$A$6:$A$1000,0)),""))</f>
        <v/>
      </c>
      <c r="C7" s="331">
        <f>IF(ISBLANK(TAKSIT_PLANI!$A7),"",TAKSIT_PLANI!$D7)</f>
        <v/>
      </c>
      <c r="D7" s="324">
        <f>IF(ISBLANK(TAKSIT_PLANI!$A7),"",TAKSIT_PLANI!$I7)</f>
        <v/>
      </c>
      <c r="E7" s="335">
        <f>IF(ISBLANK(TAKSIT_PLANI!$A7),"",TAKSIT_PLANI!$K7)</f>
        <v/>
      </c>
      <c r="F7" s="315">
        <f>IF(ISBLANK(TAKSIT_PLANI!$A7),"",IF(TAKSIT_PLANI!$K7&lt;0,"Vadesi Geçmiş",IF(TAKSIT_PLANI!$K7&lt;=30,"0-30 Gün",IF(TAKSIT_PLANI!$K7&lt;=60,"31-60 Gün","61 Gün ve Üzeri"))))</f>
        <v/>
      </c>
      <c r="G7" s="315">
        <f>IF(ISBLANK(TAKSIT_PLANI!$A7),"",TAKSIT_PLANI!$J7)</f>
        <v/>
      </c>
    </row>
    <row r="8" ht="22" customHeight="1" s="50">
      <c r="A8" s="311">
        <f>IF(ISBLANK(TAKSIT_PLANI!$A8),"",TAKSIT_PLANI!$B8)</f>
        <v/>
      </c>
      <c r="B8" s="311">
        <f>IF(ISBLANK(TAKSIT_PLANI!$A8),"",IFERROR(INDEX(KREDILER!$B$6:$B$1000,MATCH(TAKSIT_PLANI!$B8,KREDILER!$A$6:$A$1000,0)),""))</f>
        <v/>
      </c>
      <c r="C8" s="328">
        <f>IF(ISBLANK(TAKSIT_PLANI!$A8),"",TAKSIT_PLANI!$D8)</f>
        <v/>
      </c>
      <c r="D8" s="321">
        <f>IF(ISBLANK(TAKSIT_PLANI!$A8),"",TAKSIT_PLANI!$I8)</f>
        <v/>
      </c>
      <c r="E8" s="333">
        <f>IF(ISBLANK(TAKSIT_PLANI!$A8),"",TAKSIT_PLANI!$K8)</f>
        <v/>
      </c>
      <c r="F8" s="311">
        <f>IF(ISBLANK(TAKSIT_PLANI!$A8),"",IF(TAKSIT_PLANI!$K8&lt;0,"Vadesi Geçmiş",IF(TAKSIT_PLANI!$K8&lt;=30,"0-30 Gün",IF(TAKSIT_PLANI!$K8&lt;=60,"31-60 Gün","61 Gün ve Üzeri"))))</f>
        <v/>
      </c>
      <c r="G8" s="311">
        <f>IF(ISBLANK(TAKSIT_PLANI!$A8),"",TAKSIT_PLANI!$J8)</f>
        <v/>
      </c>
    </row>
    <row r="9" ht="22" customHeight="1" s="50">
      <c r="A9" s="315">
        <f>IF(ISBLANK(TAKSIT_PLANI!$A9),"",TAKSIT_PLANI!$B9)</f>
        <v/>
      </c>
      <c r="B9" s="315">
        <f>IF(ISBLANK(TAKSIT_PLANI!$A9),"",IFERROR(INDEX(KREDILER!$B$6:$B$1000,MATCH(TAKSIT_PLANI!$B9,KREDILER!$A$6:$A$1000,0)),""))</f>
        <v/>
      </c>
      <c r="C9" s="331">
        <f>IF(ISBLANK(TAKSIT_PLANI!$A9),"",TAKSIT_PLANI!$D9)</f>
        <v/>
      </c>
      <c r="D9" s="324">
        <f>IF(ISBLANK(TAKSIT_PLANI!$A9),"",TAKSIT_PLANI!$I9)</f>
        <v/>
      </c>
      <c r="E9" s="335">
        <f>IF(ISBLANK(TAKSIT_PLANI!$A9),"",TAKSIT_PLANI!$K9)</f>
        <v/>
      </c>
      <c r="F9" s="315">
        <f>IF(ISBLANK(TAKSIT_PLANI!$A9),"",IF(TAKSIT_PLANI!$K9&lt;0,"Vadesi Geçmiş",IF(TAKSIT_PLANI!$K9&lt;=30,"0-30 Gün",IF(TAKSIT_PLANI!$K9&lt;=60,"31-60 Gün","61 Gün ve Üzeri"))))</f>
        <v/>
      </c>
      <c r="G9" s="315">
        <f>IF(ISBLANK(TAKSIT_PLANI!$A9),"",TAKSIT_PLANI!$J9)</f>
        <v/>
      </c>
    </row>
    <row r="10" ht="22" customHeight="1" s="50">
      <c r="A10" s="311">
        <f>IF(ISBLANK(TAKSIT_PLANI!$A10),"",TAKSIT_PLANI!$B10)</f>
        <v/>
      </c>
      <c r="B10" s="311">
        <f>IF(ISBLANK(TAKSIT_PLANI!$A10),"",IFERROR(INDEX(KREDILER!$B$6:$B$1000,MATCH(TAKSIT_PLANI!$B10,KREDILER!$A$6:$A$1000,0)),""))</f>
        <v/>
      </c>
      <c r="C10" s="328">
        <f>IF(ISBLANK(TAKSIT_PLANI!$A10),"",TAKSIT_PLANI!$D10)</f>
        <v/>
      </c>
      <c r="D10" s="321">
        <f>IF(ISBLANK(TAKSIT_PLANI!$A10),"",TAKSIT_PLANI!$I10)</f>
        <v/>
      </c>
      <c r="E10" s="333">
        <f>IF(ISBLANK(TAKSIT_PLANI!$A10),"",TAKSIT_PLANI!$K10)</f>
        <v/>
      </c>
      <c r="F10" s="311">
        <f>IF(ISBLANK(TAKSIT_PLANI!$A10),"",IF(TAKSIT_PLANI!$K10&lt;0,"Vadesi Geçmiş",IF(TAKSIT_PLANI!$K10&lt;=30,"0-30 Gün",IF(TAKSIT_PLANI!$K10&lt;=60,"31-60 Gün","61 Gün ve Üzeri"))))</f>
        <v/>
      </c>
      <c r="G10" s="311">
        <f>IF(ISBLANK(TAKSIT_PLANI!$A10),"",TAKSIT_PLANI!$J10)</f>
        <v/>
      </c>
    </row>
    <row r="11" ht="22" customHeight="1" s="50">
      <c r="A11" s="315">
        <f>IF(ISBLANK(TAKSIT_PLANI!$A11),"",TAKSIT_PLANI!$B11)</f>
        <v/>
      </c>
      <c r="B11" s="315">
        <f>IF(ISBLANK(TAKSIT_PLANI!$A11),"",IFERROR(INDEX(KREDILER!$B$6:$B$1000,MATCH(TAKSIT_PLANI!$B11,KREDILER!$A$6:$A$1000,0)),""))</f>
        <v/>
      </c>
      <c r="C11" s="331">
        <f>IF(ISBLANK(TAKSIT_PLANI!$A11),"",TAKSIT_PLANI!$D11)</f>
        <v/>
      </c>
      <c r="D11" s="324">
        <f>IF(ISBLANK(TAKSIT_PLANI!$A11),"",TAKSIT_PLANI!$I11)</f>
        <v/>
      </c>
      <c r="E11" s="335">
        <f>IF(ISBLANK(TAKSIT_PLANI!$A11),"",TAKSIT_PLANI!$K11)</f>
        <v/>
      </c>
      <c r="F11" s="315">
        <f>IF(ISBLANK(TAKSIT_PLANI!$A11),"",IF(TAKSIT_PLANI!$K11&lt;0,"Vadesi Geçmiş",IF(TAKSIT_PLANI!$K11&lt;=30,"0-30 Gün",IF(TAKSIT_PLANI!$K11&lt;=60,"31-60 Gün","61 Gün ve Üzeri"))))</f>
        <v/>
      </c>
      <c r="G11" s="315">
        <f>IF(ISBLANK(TAKSIT_PLANI!$A11),"",TAKSIT_PLANI!$J11)</f>
        <v/>
      </c>
    </row>
    <row r="12" ht="22" customHeight="1" s="50">
      <c r="A12" s="311">
        <f>IF(ISBLANK(TAKSIT_PLANI!$A12),"",TAKSIT_PLANI!$B12)</f>
        <v/>
      </c>
      <c r="B12" s="311">
        <f>IF(ISBLANK(TAKSIT_PLANI!$A12),"",IFERROR(INDEX(KREDILER!$B$6:$B$1000,MATCH(TAKSIT_PLANI!$B12,KREDILER!$A$6:$A$1000,0)),""))</f>
        <v/>
      </c>
      <c r="C12" s="328">
        <f>IF(ISBLANK(TAKSIT_PLANI!$A12),"",TAKSIT_PLANI!$D12)</f>
        <v/>
      </c>
      <c r="D12" s="321">
        <f>IF(ISBLANK(TAKSIT_PLANI!$A12),"",TAKSIT_PLANI!$I12)</f>
        <v/>
      </c>
      <c r="E12" s="333">
        <f>IF(ISBLANK(TAKSIT_PLANI!$A12),"",TAKSIT_PLANI!$K12)</f>
        <v/>
      </c>
      <c r="F12" s="311">
        <f>IF(ISBLANK(TAKSIT_PLANI!$A12),"",IF(TAKSIT_PLANI!$K12&lt;0,"Vadesi Geçmiş",IF(TAKSIT_PLANI!$K12&lt;=30,"0-30 Gün",IF(TAKSIT_PLANI!$K12&lt;=60,"31-60 Gün","61 Gün ve Üzeri"))))</f>
        <v/>
      </c>
      <c r="G12" s="311">
        <f>IF(ISBLANK(TAKSIT_PLANI!$A12),"",TAKSIT_PLANI!$J12)</f>
        <v/>
      </c>
    </row>
    <row r="13" ht="22" customHeight="1" s="50">
      <c r="A13" s="315">
        <f>IF(ISBLANK(TAKSIT_PLANI!$A13),"",TAKSIT_PLANI!$B13)</f>
        <v/>
      </c>
      <c r="B13" s="315">
        <f>IF(ISBLANK(TAKSIT_PLANI!$A13),"",IFERROR(INDEX(KREDILER!$B$6:$B$1000,MATCH(TAKSIT_PLANI!$B13,KREDILER!$A$6:$A$1000,0)),""))</f>
        <v/>
      </c>
      <c r="C13" s="331">
        <f>IF(ISBLANK(TAKSIT_PLANI!$A13),"",TAKSIT_PLANI!$D13)</f>
        <v/>
      </c>
      <c r="D13" s="324">
        <f>IF(ISBLANK(TAKSIT_PLANI!$A13),"",TAKSIT_PLANI!$I13)</f>
        <v/>
      </c>
      <c r="E13" s="335">
        <f>IF(ISBLANK(TAKSIT_PLANI!$A13),"",TAKSIT_PLANI!$K13)</f>
        <v/>
      </c>
      <c r="F13" s="315">
        <f>IF(ISBLANK(TAKSIT_PLANI!$A13),"",IF(TAKSIT_PLANI!$K13&lt;0,"Vadesi Geçmiş",IF(TAKSIT_PLANI!$K13&lt;=30,"0-30 Gün",IF(TAKSIT_PLANI!$K13&lt;=60,"31-60 Gün","61 Gün ve Üzeri"))))</f>
        <v/>
      </c>
      <c r="G13" s="315">
        <f>IF(ISBLANK(TAKSIT_PLANI!$A13),"",TAKSIT_PLANI!$J13)</f>
        <v/>
      </c>
    </row>
    <row r="14" ht="22" customHeight="1" s="50">
      <c r="A14" s="311">
        <f>IF(ISBLANK(TAKSIT_PLANI!$A14),"",TAKSIT_PLANI!$B14)</f>
        <v/>
      </c>
      <c r="B14" s="311">
        <f>IF(ISBLANK(TAKSIT_PLANI!$A14),"",IFERROR(INDEX(KREDILER!$B$6:$B$1000,MATCH(TAKSIT_PLANI!$B14,KREDILER!$A$6:$A$1000,0)),""))</f>
        <v/>
      </c>
      <c r="C14" s="328">
        <f>IF(ISBLANK(TAKSIT_PLANI!$A14),"",TAKSIT_PLANI!$D14)</f>
        <v/>
      </c>
      <c r="D14" s="321">
        <f>IF(ISBLANK(TAKSIT_PLANI!$A14),"",TAKSIT_PLANI!$I14)</f>
        <v/>
      </c>
      <c r="E14" s="333">
        <f>IF(ISBLANK(TAKSIT_PLANI!$A14),"",TAKSIT_PLANI!$K14)</f>
        <v/>
      </c>
      <c r="F14" s="311">
        <f>IF(ISBLANK(TAKSIT_PLANI!$A14),"",IF(TAKSIT_PLANI!$K14&lt;0,"Vadesi Geçmiş",IF(TAKSIT_PLANI!$K14&lt;=30,"0-30 Gün",IF(TAKSIT_PLANI!$K14&lt;=60,"31-60 Gün","61 Gün ve Üzeri"))))</f>
        <v/>
      </c>
      <c r="G14" s="311">
        <f>IF(ISBLANK(TAKSIT_PLANI!$A14),"",TAKSIT_PLANI!$J14)</f>
        <v/>
      </c>
    </row>
    <row r="15" ht="22" customHeight="1" s="50">
      <c r="A15" s="315">
        <f>IF(ISBLANK(TAKSIT_PLANI!$A15),"",TAKSIT_PLANI!$B15)</f>
        <v/>
      </c>
      <c r="B15" s="315">
        <f>IF(ISBLANK(TAKSIT_PLANI!$A15),"",IFERROR(INDEX(KREDILER!$B$6:$B$1000,MATCH(TAKSIT_PLANI!$B15,KREDILER!$A$6:$A$1000,0)),""))</f>
        <v/>
      </c>
      <c r="C15" s="331">
        <f>IF(ISBLANK(TAKSIT_PLANI!$A15),"",TAKSIT_PLANI!$D15)</f>
        <v/>
      </c>
      <c r="D15" s="324">
        <f>IF(ISBLANK(TAKSIT_PLANI!$A15),"",TAKSIT_PLANI!$I15)</f>
        <v/>
      </c>
      <c r="E15" s="335">
        <f>IF(ISBLANK(TAKSIT_PLANI!$A15),"",TAKSIT_PLANI!$K15)</f>
        <v/>
      </c>
      <c r="F15" s="315">
        <f>IF(ISBLANK(TAKSIT_PLANI!$A15),"",IF(TAKSIT_PLANI!$K15&lt;0,"Vadesi Geçmiş",IF(TAKSIT_PLANI!$K15&lt;=30,"0-30 Gün",IF(TAKSIT_PLANI!$K15&lt;=60,"31-60 Gün","61 Gün ve Üzeri"))))</f>
        <v/>
      </c>
      <c r="G15" s="315">
        <f>IF(ISBLANK(TAKSIT_PLANI!$A15),"",TAKSIT_PLANI!$J15)</f>
        <v/>
      </c>
    </row>
    <row r="16" ht="22" customHeight="1" s="50">
      <c r="A16" s="311">
        <f>IF(ISBLANK(TAKSIT_PLANI!$A16),"",TAKSIT_PLANI!$B16)</f>
        <v/>
      </c>
      <c r="B16" s="311">
        <f>IF(ISBLANK(TAKSIT_PLANI!$A16),"",IFERROR(INDEX(KREDILER!$B$6:$B$1000,MATCH(TAKSIT_PLANI!$B16,KREDILER!$A$6:$A$1000,0)),""))</f>
        <v/>
      </c>
      <c r="C16" s="328">
        <f>IF(ISBLANK(TAKSIT_PLANI!$A16),"",TAKSIT_PLANI!$D16)</f>
        <v/>
      </c>
      <c r="D16" s="321">
        <f>IF(ISBLANK(TAKSIT_PLANI!$A16),"",TAKSIT_PLANI!$I16)</f>
        <v/>
      </c>
      <c r="E16" s="333">
        <f>IF(ISBLANK(TAKSIT_PLANI!$A16),"",TAKSIT_PLANI!$K16)</f>
        <v/>
      </c>
      <c r="F16" s="311">
        <f>IF(ISBLANK(TAKSIT_PLANI!$A16),"",IF(TAKSIT_PLANI!$K16&lt;0,"Vadesi Geçmiş",IF(TAKSIT_PLANI!$K16&lt;=30,"0-30 Gün",IF(TAKSIT_PLANI!$K16&lt;=60,"31-60 Gün","61 Gün ve Üzeri"))))</f>
        <v/>
      </c>
      <c r="G16" s="311">
        <f>IF(ISBLANK(TAKSIT_PLANI!$A16),"",TAKSIT_PLANI!$J16)</f>
        <v/>
      </c>
    </row>
    <row r="17" ht="22" customHeight="1" s="50">
      <c r="A17" s="315">
        <f>IF(ISBLANK(TAKSIT_PLANI!$A17),"",TAKSIT_PLANI!$B17)</f>
        <v/>
      </c>
      <c r="B17" s="315">
        <f>IF(ISBLANK(TAKSIT_PLANI!$A17),"",IFERROR(INDEX(KREDILER!$B$6:$B$1000,MATCH(TAKSIT_PLANI!$B17,KREDILER!$A$6:$A$1000,0)),""))</f>
        <v/>
      </c>
      <c r="C17" s="331">
        <f>IF(ISBLANK(TAKSIT_PLANI!$A17),"",TAKSIT_PLANI!$D17)</f>
        <v/>
      </c>
      <c r="D17" s="324">
        <f>IF(ISBLANK(TAKSIT_PLANI!$A17),"",TAKSIT_PLANI!$I17)</f>
        <v/>
      </c>
      <c r="E17" s="335">
        <f>IF(ISBLANK(TAKSIT_PLANI!$A17),"",TAKSIT_PLANI!$K17)</f>
        <v/>
      </c>
      <c r="F17" s="315">
        <f>IF(ISBLANK(TAKSIT_PLANI!$A17),"",IF(TAKSIT_PLANI!$K17&lt;0,"Vadesi Geçmiş",IF(TAKSIT_PLANI!$K17&lt;=30,"0-30 Gün",IF(TAKSIT_PLANI!$K17&lt;=60,"31-60 Gün","61 Gün ve Üzeri"))))</f>
        <v/>
      </c>
      <c r="G17" s="315">
        <f>IF(ISBLANK(TAKSIT_PLANI!$A17),"",TAKSIT_PLANI!$J17)</f>
        <v/>
      </c>
    </row>
    <row r="18" ht="22" customHeight="1" s="50">
      <c r="A18" s="311">
        <f>IF(ISBLANK(TAKSIT_PLANI!$A18),"",TAKSIT_PLANI!$B18)</f>
        <v/>
      </c>
      <c r="B18" s="311">
        <f>IF(ISBLANK(TAKSIT_PLANI!$A18),"",IFERROR(INDEX(KREDILER!$B$6:$B$1000,MATCH(TAKSIT_PLANI!$B18,KREDILER!$A$6:$A$1000,0)),""))</f>
        <v/>
      </c>
      <c r="C18" s="328">
        <f>IF(ISBLANK(TAKSIT_PLANI!$A18),"",TAKSIT_PLANI!$D18)</f>
        <v/>
      </c>
      <c r="D18" s="321">
        <f>IF(ISBLANK(TAKSIT_PLANI!$A18),"",TAKSIT_PLANI!$I18)</f>
        <v/>
      </c>
      <c r="E18" s="333">
        <f>IF(ISBLANK(TAKSIT_PLANI!$A18),"",TAKSIT_PLANI!$K18)</f>
        <v/>
      </c>
      <c r="F18" s="311">
        <f>IF(ISBLANK(TAKSIT_PLANI!$A18),"",IF(TAKSIT_PLANI!$K18&lt;0,"Vadesi Geçmiş",IF(TAKSIT_PLANI!$K18&lt;=30,"0-30 Gün",IF(TAKSIT_PLANI!$K18&lt;=60,"31-60 Gün","61 Gün ve Üzeri"))))</f>
        <v/>
      </c>
      <c r="G18" s="311">
        <f>IF(ISBLANK(TAKSIT_PLANI!$A18),"",TAKSIT_PLANI!$J18)</f>
        <v/>
      </c>
    </row>
    <row r="19" ht="22" customHeight="1" s="50">
      <c r="A19" s="315">
        <f>IF(ISBLANK(TAKSIT_PLANI!$A19),"",TAKSIT_PLANI!$B19)</f>
        <v/>
      </c>
      <c r="B19" s="315">
        <f>IF(ISBLANK(TAKSIT_PLANI!$A19),"",IFERROR(INDEX(KREDILER!$B$6:$B$1000,MATCH(TAKSIT_PLANI!$B19,KREDILER!$A$6:$A$1000,0)),""))</f>
        <v/>
      </c>
      <c r="C19" s="331">
        <f>IF(ISBLANK(TAKSIT_PLANI!$A19),"",TAKSIT_PLANI!$D19)</f>
        <v/>
      </c>
      <c r="D19" s="324">
        <f>IF(ISBLANK(TAKSIT_PLANI!$A19),"",TAKSIT_PLANI!$I19)</f>
        <v/>
      </c>
      <c r="E19" s="335">
        <f>IF(ISBLANK(TAKSIT_PLANI!$A19),"",TAKSIT_PLANI!$K19)</f>
        <v/>
      </c>
      <c r="F19" s="315">
        <f>IF(ISBLANK(TAKSIT_PLANI!$A19),"",IF(TAKSIT_PLANI!$K19&lt;0,"Vadesi Geçmiş",IF(TAKSIT_PLANI!$K19&lt;=30,"0-30 Gün",IF(TAKSIT_PLANI!$K19&lt;=60,"31-60 Gün","61 Gün ve Üzeri"))))</f>
        <v/>
      </c>
      <c r="G19" s="315">
        <f>IF(ISBLANK(TAKSIT_PLANI!$A19),"",TAKSIT_PLANI!$J19)</f>
        <v/>
      </c>
    </row>
    <row r="20" ht="22" customHeight="1" s="50">
      <c r="A20" s="311">
        <f>IF(ISBLANK(TAKSIT_PLANI!$A20),"",TAKSIT_PLANI!$B20)</f>
        <v/>
      </c>
      <c r="B20" s="311">
        <f>IF(ISBLANK(TAKSIT_PLANI!$A20),"",IFERROR(INDEX(KREDILER!$B$6:$B$1000,MATCH(TAKSIT_PLANI!$B20,KREDILER!$A$6:$A$1000,0)),""))</f>
        <v/>
      </c>
      <c r="C20" s="328">
        <f>IF(ISBLANK(TAKSIT_PLANI!$A20),"",TAKSIT_PLANI!$D20)</f>
        <v/>
      </c>
      <c r="D20" s="321">
        <f>IF(ISBLANK(TAKSIT_PLANI!$A20),"",TAKSIT_PLANI!$I20)</f>
        <v/>
      </c>
      <c r="E20" s="333">
        <f>IF(ISBLANK(TAKSIT_PLANI!$A20),"",TAKSIT_PLANI!$K20)</f>
        <v/>
      </c>
      <c r="F20" s="311">
        <f>IF(ISBLANK(TAKSIT_PLANI!$A20),"",IF(TAKSIT_PLANI!$K20&lt;0,"Vadesi Geçmiş",IF(TAKSIT_PLANI!$K20&lt;=30,"0-30 Gün",IF(TAKSIT_PLANI!$K20&lt;=60,"31-60 Gün","61 Gün ve Üzeri"))))</f>
        <v/>
      </c>
      <c r="G20" s="311">
        <f>IF(ISBLANK(TAKSIT_PLANI!$A20),"",TAKSIT_PLANI!$J20)</f>
        <v/>
      </c>
    </row>
    <row r="21" ht="22" customHeight="1" s="50">
      <c r="A21" s="315">
        <f>IF(ISBLANK(TAKSIT_PLANI!$A21),"",TAKSIT_PLANI!$B21)</f>
        <v/>
      </c>
      <c r="B21" s="315">
        <f>IF(ISBLANK(TAKSIT_PLANI!$A21),"",IFERROR(INDEX(KREDILER!$B$6:$B$1000,MATCH(TAKSIT_PLANI!$B21,KREDILER!$A$6:$A$1000,0)),""))</f>
        <v/>
      </c>
      <c r="C21" s="331">
        <f>IF(ISBLANK(TAKSIT_PLANI!$A21),"",TAKSIT_PLANI!$D21)</f>
        <v/>
      </c>
      <c r="D21" s="324">
        <f>IF(ISBLANK(TAKSIT_PLANI!$A21),"",TAKSIT_PLANI!$I21)</f>
        <v/>
      </c>
      <c r="E21" s="335">
        <f>IF(ISBLANK(TAKSIT_PLANI!$A21),"",TAKSIT_PLANI!$K21)</f>
        <v/>
      </c>
      <c r="F21" s="315">
        <f>IF(ISBLANK(TAKSIT_PLANI!$A21),"",IF(TAKSIT_PLANI!$K21&lt;0,"Vadesi Geçmiş",IF(TAKSIT_PLANI!$K21&lt;=30,"0-30 Gün",IF(TAKSIT_PLANI!$K21&lt;=60,"31-60 Gün","61 Gün ve Üzeri"))))</f>
        <v/>
      </c>
      <c r="G21" s="315">
        <f>IF(ISBLANK(TAKSIT_PLANI!$A21),"",TAKSIT_PLANI!$J21)</f>
        <v/>
      </c>
    </row>
    <row r="22" ht="22" customHeight="1" s="50">
      <c r="A22" s="311">
        <f>IF(ISBLANK(TAKSIT_PLANI!$A22),"",TAKSIT_PLANI!$B22)</f>
        <v/>
      </c>
      <c r="B22" s="311">
        <f>IF(ISBLANK(TAKSIT_PLANI!$A22),"",IFERROR(INDEX(KREDILER!$B$6:$B$1000,MATCH(TAKSIT_PLANI!$B22,KREDILER!$A$6:$A$1000,0)),""))</f>
        <v/>
      </c>
      <c r="C22" s="328">
        <f>IF(ISBLANK(TAKSIT_PLANI!$A22),"",TAKSIT_PLANI!$D22)</f>
        <v/>
      </c>
      <c r="D22" s="321">
        <f>IF(ISBLANK(TAKSIT_PLANI!$A22),"",TAKSIT_PLANI!$I22)</f>
        <v/>
      </c>
      <c r="E22" s="333">
        <f>IF(ISBLANK(TAKSIT_PLANI!$A22),"",TAKSIT_PLANI!$K22)</f>
        <v/>
      </c>
      <c r="F22" s="311">
        <f>IF(ISBLANK(TAKSIT_PLANI!$A22),"",IF(TAKSIT_PLANI!$K22&lt;0,"Vadesi Geçmiş",IF(TAKSIT_PLANI!$K22&lt;=30,"0-30 Gün",IF(TAKSIT_PLANI!$K22&lt;=60,"31-60 Gün","61 Gün ve Üzeri"))))</f>
        <v/>
      </c>
      <c r="G22" s="311">
        <f>IF(ISBLANK(TAKSIT_PLANI!$A22),"",TAKSIT_PLANI!$J22)</f>
        <v/>
      </c>
    </row>
    <row r="23" ht="22" customHeight="1" s="50">
      <c r="A23" s="315">
        <f>IF(ISBLANK(TAKSIT_PLANI!$A23),"",TAKSIT_PLANI!$B23)</f>
        <v/>
      </c>
      <c r="B23" s="315">
        <f>IF(ISBLANK(TAKSIT_PLANI!$A23),"",IFERROR(INDEX(KREDILER!$B$6:$B$1000,MATCH(TAKSIT_PLANI!$B23,KREDILER!$A$6:$A$1000,0)),""))</f>
        <v/>
      </c>
      <c r="C23" s="331">
        <f>IF(ISBLANK(TAKSIT_PLANI!$A23),"",TAKSIT_PLANI!$D23)</f>
        <v/>
      </c>
      <c r="D23" s="324">
        <f>IF(ISBLANK(TAKSIT_PLANI!$A23),"",TAKSIT_PLANI!$I23)</f>
        <v/>
      </c>
      <c r="E23" s="335">
        <f>IF(ISBLANK(TAKSIT_PLANI!$A23),"",TAKSIT_PLANI!$K23)</f>
        <v/>
      </c>
      <c r="F23" s="315">
        <f>IF(ISBLANK(TAKSIT_PLANI!$A23),"",IF(TAKSIT_PLANI!$K23&lt;0,"Vadesi Geçmiş",IF(TAKSIT_PLANI!$K23&lt;=30,"0-30 Gün",IF(TAKSIT_PLANI!$K23&lt;=60,"31-60 Gün","61 Gün ve Üzeri"))))</f>
        <v/>
      </c>
      <c r="G23" s="315">
        <f>IF(ISBLANK(TAKSIT_PLANI!$A23),"",TAKSIT_PLANI!$J23)</f>
        <v/>
      </c>
    </row>
    <row r="24" ht="22" customHeight="1" s="50">
      <c r="A24" s="311">
        <f>IF(ISBLANK(TAKSIT_PLANI!$A24),"",TAKSIT_PLANI!$B24)</f>
        <v/>
      </c>
      <c r="B24" s="311">
        <f>IF(ISBLANK(TAKSIT_PLANI!$A24),"",IFERROR(INDEX(KREDILER!$B$6:$B$1000,MATCH(TAKSIT_PLANI!$B24,KREDILER!$A$6:$A$1000,0)),""))</f>
        <v/>
      </c>
      <c r="C24" s="328">
        <f>IF(ISBLANK(TAKSIT_PLANI!$A24),"",TAKSIT_PLANI!$D24)</f>
        <v/>
      </c>
      <c r="D24" s="321">
        <f>IF(ISBLANK(TAKSIT_PLANI!$A24),"",TAKSIT_PLANI!$I24)</f>
        <v/>
      </c>
      <c r="E24" s="333">
        <f>IF(ISBLANK(TAKSIT_PLANI!$A24),"",TAKSIT_PLANI!$K24)</f>
        <v/>
      </c>
      <c r="F24" s="311">
        <f>IF(ISBLANK(TAKSIT_PLANI!$A24),"",IF(TAKSIT_PLANI!$K24&lt;0,"Vadesi Geçmiş",IF(TAKSIT_PLANI!$K24&lt;=30,"0-30 Gün",IF(TAKSIT_PLANI!$K24&lt;=60,"31-60 Gün","61 Gün ve Üzeri"))))</f>
        <v/>
      </c>
      <c r="G24" s="311">
        <f>IF(ISBLANK(TAKSIT_PLANI!$A24),"",TAKSIT_PLANI!$J24)</f>
        <v/>
      </c>
    </row>
    <row r="25" ht="22" customHeight="1" s="50">
      <c r="A25" s="315">
        <f>IF(ISBLANK(TAKSIT_PLANI!$A25),"",TAKSIT_PLANI!$B25)</f>
        <v/>
      </c>
      <c r="B25" s="315">
        <f>IF(ISBLANK(TAKSIT_PLANI!$A25),"",IFERROR(INDEX(KREDILER!$B$6:$B$1000,MATCH(TAKSIT_PLANI!$B25,KREDILER!$A$6:$A$1000,0)),""))</f>
        <v/>
      </c>
      <c r="C25" s="331">
        <f>IF(ISBLANK(TAKSIT_PLANI!$A25),"",TAKSIT_PLANI!$D25)</f>
        <v/>
      </c>
      <c r="D25" s="324">
        <f>IF(ISBLANK(TAKSIT_PLANI!$A25),"",TAKSIT_PLANI!$I25)</f>
        <v/>
      </c>
      <c r="E25" s="335">
        <f>IF(ISBLANK(TAKSIT_PLANI!$A25),"",TAKSIT_PLANI!$K25)</f>
        <v/>
      </c>
      <c r="F25" s="315">
        <f>IF(ISBLANK(TAKSIT_PLANI!$A25),"",IF(TAKSIT_PLANI!$K25&lt;0,"Vadesi Geçmiş",IF(TAKSIT_PLANI!$K25&lt;=30,"0-30 Gün",IF(TAKSIT_PLANI!$K25&lt;=60,"31-60 Gün","61 Gün ve Üzeri"))))</f>
        <v/>
      </c>
      <c r="G25" s="315">
        <f>IF(ISBLANK(TAKSIT_PLANI!$A25),"",TAKSIT_PLANI!$J25)</f>
        <v/>
      </c>
    </row>
    <row r="26" ht="22" customHeight="1" s="50">
      <c r="A26" s="311">
        <f>IF(ISBLANK(TAKSIT_PLANI!$A26),"",TAKSIT_PLANI!$B26)</f>
        <v/>
      </c>
      <c r="B26" s="311">
        <f>IF(ISBLANK(TAKSIT_PLANI!$A26),"",IFERROR(INDEX(KREDILER!$B$6:$B$1000,MATCH(TAKSIT_PLANI!$B26,KREDILER!$A$6:$A$1000,0)),""))</f>
        <v/>
      </c>
      <c r="C26" s="328">
        <f>IF(ISBLANK(TAKSIT_PLANI!$A26),"",TAKSIT_PLANI!$D26)</f>
        <v/>
      </c>
      <c r="D26" s="321">
        <f>IF(ISBLANK(TAKSIT_PLANI!$A26),"",TAKSIT_PLANI!$I26)</f>
        <v/>
      </c>
      <c r="E26" s="333">
        <f>IF(ISBLANK(TAKSIT_PLANI!$A26),"",TAKSIT_PLANI!$K26)</f>
        <v/>
      </c>
      <c r="F26" s="311">
        <f>IF(ISBLANK(TAKSIT_PLANI!$A26),"",IF(TAKSIT_PLANI!$K26&lt;0,"Vadesi Geçmiş",IF(TAKSIT_PLANI!$K26&lt;=30,"0-30 Gün",IF(TAKSIT_PLANI!$K26&lt;=60,"31-60 Gün","61 Gün ve Üzeri"))))</f>
        <v/>
      </c>
      <c r="G26" s="311">
        <f>IF(ISBLANK(TAKSIT_PLANI!$A26),"",TAKSIT_PLANI!$J26)</f>
        <v/>
      </c>
    </row>
    <row r="27" ht="22" customHeight="1" s="50">
      <c r="A27" s="315">
        <f>IF(ISBLANK(TAKSIT_PLANI!$A27),"",TAKSIT_PLANI!$B27)</f>
        <v/>
      </c>
      <c r="B27" s="315">
        <f>IF(ISBLANK(TAKSIT_PLANI!$A27),"",IFERROR(INDEX(KREDILER!$B$6:$B$1000,MATCH(TAKSIT_PLANI!$B27,KREDILER!$A$6:$A$1000,0)),""))</f>
        <v/>
      </c>
      <c r="C27" s="331">
        <f>IF(ISBLANK(TAKSIT_PLANI!$A27),"",TAKSIT_PLANI!$D27)</f>
        <v/>
      </c>
      <c r="D27" s="324">
        <f>IF(ISBLANK(TAKSIT_PLANI!$A27),"",TAKSIT_PLANI!$I27)</f>
        <v/>
      </c>
      <c r="E27" s="335">
        <f>IF(ISBLANK(TAKSIT_PLANI!$A27),"",TAKSIT_PLANI!$K27)</f>
        <v/>
      </c>
      <c r="F27" s="315">
        <f>IF(ISBLANK(TAKSIT_PLANI!$A27),"",IF(TAKSIT_PLANI!$K27&lt;0,"Vadesi Geçmiş",IF(TAKSIT_PLANI!$K27&lt;=30,"0-30 Gün",IF(TAKSIT_PLANI!$K27&lt;=60,"31-60 Gün","61 Gün ve Üzeri"))))</f>
        <v/>
      </c>
      <c r="G27" s="315">
        <f>IF(ISBLANK(TAKSIT_PLANI!$A27),"",TAKSIT_PLANI!$J27)</f>
        <v/>
      </c>
    </row>
    <row r="28" ht="22" customHeight="1" s="50">
      <c r="A28" s="311">
        <f>IF(ISBLANK(TAKSIT_PLANI!$A28),"",TAKSIT_PLANI!$B28)</f>
        <v/>
      </c>
      <c r="B28" s="311">
        <f>IF(ISBLANK(TAKSIT_PLANI!$A28),"",IFERROR(INDEX(KREDILER!$B$6:$B$1000,MATCH(TAKSIT_PLANI!$B28,KREDILER!$A$6:$A$1000,0)),""))</f>
        <v/>
      </c>
      <c r="C28" s="328">
        <f>IF(ISBLANK(TAKSIT_PLANI!$A28),"",TAKSIT_PLANI!$D28)</f>
        <v/>
      </c>
      <c r="D28" s="321">
        <f>IF(ISBLANK(TAKSIT_PLANI!$A28),"",TAKSIT_PLANI!$I28)</f>
        <v/>
      </c>
      <c r="E28" s="333">
        <f>IF(ISBLANK(TAKSIT_PLANI!$A28),"",TAKSIT_PLANI!$K28)</f>
        <v/>
      </c>
      <c r="F28" s="311">
        <f>IF(ISBLANK(TAKSIT_PLANI!$A28),"",IF(TAKSIT_PLANI!$K28&lt;0,"Vadesi Geçmiş",IF(TAKSIT_PLANI!$K28&lt;=30,"0-30 Gün",IF(TAKSIT_PLANI!$K28&lt;=60,"31-60 Gün","61 Gün ve Üzeri"))))</f>
        <v/>
      </c>
      <c r="G28" s="311">
        <f>IF(ISBLANK(TAKSIT_PLANI!$A28),"",TAKSIT_PLANI!$J28)</f>
        <v/>
      </c>
    </row>
    <row r="29" ht="22" customHeight="1" s="50">
      <c r="A29" s="315">
        <f>IF(ISBLANK(TAKSIT_PLANI!$A29),"",TAKSIT_PLANI!$B29)</f>
        <v/>
      </c>
      <c r="B29" s="315">
        <f>IF(ISBLANK(TAKSIT_PLANI!$A29),"",IFERROR(INDEX(KREDILER!$B$6:$B$1000,MATCH(TAKSIT_PLANI!$B29,KREDILER!$A$6:$A$1000,0)),""))</f>
        <v/>
      </c>
      <c r="C29" s="331">
        <f>IF(ISBLANK(TAKSIT_PLANI!$A29),"",TAKSIT_PLANI!$D29)</f>
        <v/>
      </c>
      <c r="D29" s="324">
        <f>IF(ISBLANK(TAKSIT_PLANI!$A29),"",TAKSIT_PLANI!$I29)</f>
        <v/>
      </c>
      <c r="E29" s="335">
        <f>IF(ISBLANK(TAKSIT_PLANI!$A29),"",TAKSIT_PLANI!$K29)</f>
        <v/>
      </c>
      <c r="F29" s="315">
        <f>IF(ISBLANK(TAKSIT_PLANI!$A29),"",IF(TAKSIT_PLANI!$K29&lt;0,"Vadesi Geçmiş",IF(TAKSIT_PLANI!$K29&lt;=30,"0-30 Gün",IF(TAKSIT_PLANI!$K29&lt;=60,"31-60 Gün","61 Gün ve Üzeri"))))</f>
        <v/>
      </c>
      <c r="G29" s="315">
        <f>IF(ISBLANK(TAKSIT_PLANI!$A29),"",TAKSIT_PLANI!$J29)</f>
        <v/>
      </c>
    </row>
    <row r="30" ht="22" customHeight="1" s="50">
      <c r="A30" s="311">
        <f>IF(ISBLANK(TAKSIT_PLANI!$A30),"",TAKSIT_PLANI!$B30)</f>
        <v/>
      </c>
      <c r="B30" s="311">
        <f>IF(ISBLANK(TAKSIT_PLANI!$A30),"",IFERROR(INDEX(KREDILER!$B$6:$B$1000,MATCH(TAKSIT_PLANI!$B30,KREDILER!$A$6:$A$1000,0)),""))</f>
        <v/>
      </c>
      <c r="C30" s="328">
        <f>IF(ISBLANK(TAKSIT_PLANI!$A30),"",TAKSIT_PLANI!$D30)</f>
        <v/>
      </c>
      <c r="D30" s="321">
        <f>IF(ISBLANK(TAKSIT_PLANI!$A30),"",TAKSIT_PLANI!$I30)</f>
        <v/>
      </c>
      <c r="E30" s="333">
        <f>IF(ISBLANK(TAKSIT_PLANI!$A30),"",TAKSIT_PLANI!$K30)</f>
        <v/>
      </c>
      <c r="F30" s="311">
        <f>IF(ISBLANK(TAKSIT_PLANI!$A30),"",IF(TAKSIT_PLANI!$K30&lt;0,"Vadesi Geçmiş",IF(TAKSIT_PLANI!$K30&lt;=30,"0-30 Gün",IF(TAKSIT_PLANI!$K30&lt;=60,"31-60 Gün","61 Gün ve Üzeri"))))</f>
        <v/>
      </c>
      <c r="G30" s="311">
        <f>IF(ISBLANK(TAKSIT_PLANI!$A30),"",TAKSIT_PLANI!$J30)</f>
        <v/>
      </c>
    </row>
    <row r="31" ht="22" customHeight="1" s="50">
      <c r="A31" s="315">
        <f>IF(ISBLANK(TAKSIT_PLANI!$A31),"",TAKSIT_PLANI!$B31)</f>
        <v/>
      </c>
      <c r="B31" s="315">
        <f>IF(ISBLANK(TAKSIT_PLANI!$A31),"",IFERROR(INDEX(KREDILER!$B$6:$B$1000,MATCH(TAKSIT_PLANI!$B31,KREDILER!$A$6:$A$1000,0)),""))</f>
        <v/>
      </c>
      <c r="C31" s="331">
        <f>IF(ISBLANK(TAKSIT_PLANI!$A31),"",TAKSIT_PLANI!$D31)</f>
        <v/>
      </c>
      <c r="D31" s="324">
        <f>IF(ISBLANK(TAKSIT_PLANI!$A31),"",TAKSIT_PLANI!$I31)</f>
        <v/>
      </c>
      <c r="E31" s="335">
        <f>IF(ISBLANK(TAKSIT_PLANI!$A31),"",TAKSIT_PLANI!$K31)</f>
        <v/>
      </c>
      <c r="F31" s="315">
        <f>IF(ISBLANK(TAKSIT_PLANI!$A31),"",IF(TAKSIT_PLANI!$K31&lt;0,"Vadesi Geçmiş",IF(TAKSIT_PLANI!$K31&lt;=30,"0-30 Gün",IF(TAKSIT_PLANI!$K31&lt;=60,"31-60 Gün","61 Gün ve Üzeri"))))</f>
        <v/>
      </c>
      <c r="G31" s="315">
        <f>IF(ISBLANK(TAKSIT_PLANI!$A31),"",TAKSIT_PLANI!$J31)</f>
        <v/>
      </c>
    </row>
    <row r="32" ht="22" customHeight="1" s="50">
      <c r="A32" s="311">
        <f>IF(ISBLANK(TAKSIT_PLANI!$A32),"",TAKSIT_PLANI!$B32)</f>
        <v/>
      </c>
      <c r="B32" s="311">
        <f>IF(ISBLANK(TAKSIT_PLANI!$A32),"",IFERROR(INDEX(KREDILER!$B$6:$B$1000,MATCH(TAKSIT_PLANI!$B32,KREDILER!$A$6:$A$1000,0)),""))</f>
        <v/>
      </c>
      <c r="C32" s="328">
        <f>IF(ISBLANK(TAKSIT_PLANI!$A32),"",TAKSIT_PLANI!$D32)</f>
        <v/>
      </c>
      <c r="D32" s="321">
        <f>IF(ISBLANK(TAKSIT_PLANI!$A32),"",TAKSIT_PLANI!$I32)</f>
        <v/>
      </c>
      <c r="E32" s="333">
        <f>IF(ISBLANK(TAKSIT_PLANI!$A32),"",TAKSIT_PLANI!$K32)</f>
        <v/>
      </c>
      <c r="F32" s="311">
        <f>IF(ISBLANK(TAKSIT_PLANI!$A32),"",IF(TAKSIT_PLANI!$K32&lt;0,"Vadesi Geçmiş",IF(TAKSIT_PLANI!$K32&lt;=30,"0-30 Gün",IF(TAKSIT_PLANI!$K32&lt;=60,"31-60 Gün","61 Gün ve Üzeri"))))</f>
        <v/>
      </c>
      <c r="G32" s="311">
        <f>IF(ISBLANK(TAKSIT_PLANI!$A32),"",TAKSIT_PLANI!$J32)</f>
        <v/>
      </c>
    </row>
    <row r="33" ht="22" customHeight="1" s="50">
      <c r="A33" s="315">
        <f>IF(ISBLANK(TAKSIT_PLANI!$A33),"",TAKSIT_PLANI!$B33)</f>
        <v/>
      </c>
      <c r="B33" s="315">
        <f>IF(ISBLANK(TAKSIT_PLANI!$A33),"",IFERROR(INDEX(KREDILER!$B$6:$B$1000,MATCH(TAKSIT_PLANI!$B33,KREDILER!$A$6:$A$1000,0)),""))</f>
        <v/>
      </c>
      <c r="C33" s="331">
        <f>IF(ISBLANK(TAKSIT_PLANI!$A33),"",TAKSIT_PLANI!$D33)</f>
        <v/>
      </c>
      <c r="D33" s="324">
        <f>IF(ISBLANK(TAKSIT_PLANI!$A33),"",TAKSIT_PLANI!$I33)</f>
        <v/>
      </c>
      <c r="E33" s="335">
        <f>IF(ISBLANK(TAKSIT_PLANI!$A33),"",TAKSIT_PLANI!$K33)</f>
        <v/>
      </c>
      <c r="F33" s="315">
        <f>IF(ISBLANK(TAKSIT_PLANI!$A33),"",IF(TAKSIT_PLANI!$K33&lt;0,"Vadesi Geçmiş",IF(TAKSIT_PLANI!$K33&lt;=30,"0-30 Gün",IF(TAKSIT_PLANI!$K33&lt;=60,"31-60 Gün","61 Gün ve Üzeri"))))</f>
        <v/>
      </c>
      <c r="G33" s="315">
        <f>IF(ISBLANK(TAKSIT_PLANI!$A33),"",TAKSIT_PLANI!$J33)</f>
        <v/>
      </c>
    </row>
    <row r="34" ht="22" customHeight="1" s="50">
      <c r="A34" s="311">
        <f>IF(ISBLANK(TAKSIT_PLANI!$A34),"",TAKSIT_PLANI!$B34)</f>
        <v/>
      </c>
      <c r="B34" s="311">
        <f>IF(ISBLANK(TAKSIT_PLANI!$A34),"",IFERROR(INDEX(KREDILER!$B$6:$B$1000,MATCH(TAKSIT_PLANI!$B34,KREDILER!$A$6:$A$1000,0)),""))</f>
        <v/>
      </c>
      <c r="C34" s="328">
        <f>IF(ISBLANK(TAKSIT_PLANI!$A34),"",TAKSIT_PLANI!$D34)</f>
        <v/>
      </c>
      <c r="D34" s="321">
        <f>IF(ISBLANK(TAKSIT_PLANI!$A34),"",TAKSIT_PLANI!$I34)</f>
        <v/>
      </c>
      <c r="E34" s="333">
        <f>IF(ISBLANK(TAKSIT_PLANI!$A34),"",TAKSIT_PLANI!$K34)</f>
        <v/>
      </c>
      <c r="F34" s="311">
        <f>IF(ISBLANK(TAKSIT_PLANI!$A34),"",IF(TAKSIT_PLANI!$K34&lt;0,"Vadesi Geçmiş",IF(TAKSIT_PLANI!$K34&lt;=30,"0-30 Gün",IF(TAKSIT_PLANI!$K34&lt;=60,"31-60 Gün","61 Gün ve Üzeri"))))</f>
        <v/>
      </c>
      <c r="G34" s="311">
        <f>IF(ISBLANK(TAKSIT_PLANI!$A34),"",TAKSIT_PLANI!$J34)</f>
        <v/>
      </c>
    </row>
    <row r="35" ht="22" customHeight="1" s="50">
      <c r="A35" s="315">
        <f>IF(ISBLANK(TAKSIT_PLANI!$A35),"",TAKSIT_PLANI!$B35)</f>
        <v/>
      </c>
      <c r="B35" s="315">
        <f>IF(ISBLANK(TAKSIT_PLANI!$A35),"",IFERROR(INDEX(KREDILER!$B$6:$B$1000,MATCH(TAKSIT_PLANI!$B35,KREDILER!$A$6:$A$1000,0)),""))</f>
        <v/>
      </c>
      <c r="C35" s="331">
        <f>IF(ISBLANK(TAKSIT_PLANI!$A35),"",TAKSIT_PLANI!$D35)</f>
        <v/>
      </c>
      <c r="D35" s="324">
        <f>IF(ISBLANK(TAKSIT_PLANI!$A35),"",TAKSIT_PLANI!$I35)</f>
        <v/>
      </c>
      <c r="E35" s="335">
        <f>IF(ISBLANK(TAKSIT_PLANI!$A35),"",TAKSIT_PLANI!$K35)</f>
        <v/>
      </c>
      <c r="F35" s="315">
        <f>IF(ISBLANK(TAKSIT_PLANI!$A35),"",IF(TAKSIT_PLANI!$K35&lt;0,"Vadesi Geçmiş",IF(TAKSIT_PLANI!$K35&lt;=30,"0-30 Gün",IF(TAKSIT_PLANI!$K35&lt;=60,"31-60 Gün","61 Gün ve Üzeri"))))</f>
        <v/>
      </c>
      <c r="G35" s="315">
        <f>IF(ISBLANK(TAKSIT_PLANI!$A35),"",TAKSIT_PLANI!$J35)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D6:D1000">
    <cfRule type="cellIs" rank="0" priority="2" equalAverage="0" operator="lessThan" aboveAverage="0" dxfId="9" text="" percent="0" bottom="0">
      <formula>0</formula>
    </cfRule>
  </conditionalFormatting>
  <conditionalFormatting sqref="E6:E1000">
    <cfRule type="cellIs" rank="0" priority="3" equalAverage="0" operator="lessThan" aboveAverage="0" dxfId="12" text="" percent="0" bottom="0">
      <formula>0</formula>
    </cfRule>
    <cfRule type="cellIs" rank="0" priority="4" equalAverage="0" operator="between" aboveAverage="0" dxfId="10" text="" percent="0" bottom="0">
      <formula>0</formula>
      <formula>30</formula>
    </cfRule>
    <cfRule type="cellIs" rank="0" priority="5" equalAverage="0" operator="greaterThan" aboveAverage="0" dxfId="8" text="" percent="0" bottom="0">
      <formula>30</formula>
    </cfRule>
  </conditionalFormatting>
  <conditionalFormatting sqref="F6:F1000">
    <cfRule type="cellIs" rank="0" priority="6" equalAverage="0" operator="equal" aboveAverage="0" dxfId="12" text="" percent="0" bottom="0">
      <formula>"Vadesi Geçmiş"</formula>
    </cfRule>
    <cfRule type="cellIs" rank="0" priority="7" equalAverage="0" operator="equal" aboveAverage="0" dxfId="10" text="" percent="0" bottom="0">
      <formula>"0-30 Gün"</formula>
    </cfRule>
    <cfRule type="cellIs" rank="0" priority="8" equalAverage="0" operator="equal" aboveAverage="0" dxfId="10" text="" percent="0" bottom="0">
      <formula>"31-60 Gün"</formula>
    </cfRule>
    <cfRule type="cellIs" rank="0" priority="9" equalAverage="0" operator="equal" aboveAverage="0" dxfId="8" text="" percent="0" bottom="0">
      <formula>"61-90 Gün"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 filterMode="0">
    <tabColor rgb="0060A5FA"/>
    <outlinePr summaryBelow="1" summaryRight="1"/>
    <pageSetUpPr fitToPage="0"/>
  </sheetPr>
  <dimension ref="A1:AC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3.5" customWidth="1" style="76" min="1" max="2"/>
    <col width="13" customWidth="1" style="50" min="2" max="2"/>
    <col width="24" customWidth="1" style="76" min="3" max="3"/>
    <col width="18" customWidth="1" style="76" min="4" max="4"/>
    <col width="23.5" customWidth="1" style="76" min="5" max="5"/>
    <col width="18.5" customWidth="1" style="76" min="6" max="6"/>
    <col width="14" customWidth="1" style="76" min="7" max="7"/>
    <col width="15.5" customWidth="1" style="76" min="8" max="8"/>
    <col width="11.5" customWidth="1" style="76" min="9" max="9"/>
    <col width="13" customWidth="1" style="50" min="10" max="10"/>
    <col width="13" customWidth="1" style="50" min="11" max="11"/>
    <col width="13" customWidth="1" style="50" min="12" max="12"/>
    <col width="13" customWidth="1" style="50" min="13" max="13"/>
    <col width="13" customWidth="1" style="50" min="14" max="14"/>
  </cols>
  <sheetData>
    <row r="1" ht="32" customHeight="1" s="50">
      <c r="A1" s="455" t="inlineStr">
        <is>
          <t>MASRAF KOMISYON — BANKA, KREDİ VE TAKSİT TAKİP SİSTEMİ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</row>
    <row r="2" ht="7.8" customHeight="1" s="50"/>
    <row r="3" ht="22" customHeight="1" s="50">
      <c r="A3" s="456" t="inlineStr">
        <is>
          <t>MASRAF VE KOMİSYONLAR — tahsis, sigorta, komisyon ve diğer finansman maliyetleri.</t>
        </is>
      </c>
    </row>
    <row r="4" ht="10" customHeight="1" s="50"/>
    <row r="5" ht="30" customHeight="1" s="50">
      <c r="A5" s="86" t="inlineStr">
        <is>
          <t>Masraf ID</t>
        </is>
      </c>
      <c r="B5" s="86" t="inlineStr">
        <is>
          <t>Kredi ID</t>
        </is>
      </c>
      <c r="C5" s="86" t="inlineStr">
        <is>
          <t>Banka</t>
        </is>
      </c>
      <c r="D5" s="86" t="inlineStr">
        <is>
          <t>Masraf Türü</t>
        </is>
      </c>
      <c r="E5" s="86" t="inlineStr">
        <is>
          <t>İşlem Tarihi</t>
        </is>
      </c>
      <c r="F5" s="86" t="inlineStr">
        <is>
          <t>Belge Numarası</t>
        </is>
      </c>
      <c r="G5" s="86" t="inlineStr">
        <is>
          <t>Tutar</t>
        </is>
      </c>
      <c r="H5" s="86" t="inlineStr">
        <is>
          <t>Para Birimi</t>
        </is>
      </c>
      <c r="I5" s="86" t="inlineStr">
        <is>
          <t>Kontrol</t>
        </is>
      </c>
    </row>
    <row r="6" ht="15" customHeight="1" s="50">
      <c r="A6" s="87" t="inlineStr">
        <is>
          <t>MSF-001</t>
        </is>
      </c>
      <c r="B6" s="87" t="inlineStr">
        <is>
          <t>KRD-001</t>
        </is>
      </c>
      <c r="C6" s="87" t="inlineStr">
        <is>
          <t>Türkiye İş Bankası</t>
        </is>
      </c>
      <c r="D6" s="87" t="inlineStr">
        <is>
          <t>Tahsis Ücreti</t>
        </is>
      </c>
      <c r="E6" s="94" t="n">
        <v>45597</v>
      </c>
      <c r="F6" s="87" t="inlineStr">
        <is>
          <t>FTR-1001</t>
        </is>
      </c>
      <c r="G6" s="91" t="n">
        <v>60000</v>
      </c>
      <c r="H6" s="87" t="inlineStr">
        <is>
          <t>TRY</t>
        </is>
      </c>
      <c r="I6" s="89">
        <f>IF(ISBLANK($A6),"",IF(OR(ISBLANK($B6),ISBLANK($C6),ISBLANK($D6),ISBLANK($E6),ISBLANK($F6),ISBLANK($G6),ISBLANK($H6)),"EKSİK","OK"))</f>
        <v/>
      </c>
    </row>
    <row r="7" ht="15" customHeight="1" s="50">
      <c r="A7" s="87" t="inlineStr">
        <is>
          <t>MSF-002</t>
        </is>
      </c>
      <c r="B7" s="87" t="inlineStr">
        <is>
          <t>KRD-002</t>
        </is>
      </c>
      <c r="C7" s="87" t="inlineStr">
        <is>
          <t>Akbank</t>
        </is>
      </c>
      <c r="D7" s="87" t="inlineStr">
        <is>
          <t>Sigorta</t>
        </is>
      </c>
      <c r="E7" s="94" t="n">
        <v>45717</v>
      </c>
      <c r="F7" s="87" t="inlineStr">
        <is>
          <t>POL-2001</t>
        </is>
      </c>
      <c r="G7" s="91" t="n">
        <v>70000</v>
      </c>
      <c r="H7" s="87" t="inlineStr">
        <is>
          <t>TRY</t>
        </is>
      </c>
      <c r="I7" s="89">
        <f>IF(ISBLANK($A7),"",IF(OR(ISBLANK($B7),ISBLANK($C7),ISBLANK($D7),ISBLANK($E7),ISBLANK($F7),ISBLANK($G7),ISBLANK($H7)),"EKSİK","OK"))</f>
        <v/>
      </c>
    </row>
    <row r="8" ht="15" customHeight="1" s="50">
      <c r="A8" s="87" t="inlineStr">
        <is>
          <t>MSF-003</t>
        </is>
      </c>
      <c r="B8" s="87" t="inlineStr">
        <is>
          <t>KRD-003</t>
        </is>
      </c>
      <c r="C8" s="87" t="inlineStr">
        <is>
          <t>Garanti BBVA</t>
        </is>
      </c>
      <c r="D8" s="87" t="inlineStr">
        <is>
          <t>Komisyon</t>
        </is>
      </c>
      <c r="E8" s="94" t="n">
        <v>45809</v>
      </c>
      <c r="F8" s="87" t="inlineStr">
        <is>
          <t>FTR-3001</t>
        </is>
      </c>
      <c r="G8" s="91" t="n">
        <v>1500</v>
      </c>
      <c r="H8" s="87" t="inlineStr">
        <is>
          <t>USD</t>
        </is>
      </c>
      <c r="I8" s="89">
        <f>IF(ISBLANK($A8),"",IF(OR(ISBLANK($B8),ISBLANK($C8),ISBLANK($D8),ISBLANK($E8),ISBLANK($F8),ISBLANK($G8),ISBLANK($H8)),"EKSİK","OK"))</f>
        <v/>
      </c>
    </row>
    <row r="9" ht="15" customHeight="1" s="50">
      <c r="A9" s="90" t="n"/>
      <c r="B9" s="90" t="n"/>
      <c r="C9" s="90" t="n"/>
      <c r="D9" s="90" t="n"/>
      <c r="E9" s="90" t="n"/>
      <c r="F9" s="90" t="n"/>
      <c r="G9" s="90" t="n"/>
      <c r="H9" s="90" t="n"/>
      <c r="I9" s="89">
        <f>IF(ISBLANK($A9),"",IF(OR(ISBLANK($B9),ISBLANK($C9),ISBLANK($D9),ISBLANK($E9),ISBLANK($F9),ISBLANK($G9),ISBLANK($H9)),"EKSİK","OK"))</f>
        <v/>
      </c>
    </row>
    <row r="10" ht="15" customHeight="1" s="50">
      <c r="A10" s="90" t="n"/>
      <c r="B10" s="90" t="n"/>
      <c r="C10" s="90" t="n"/>
      <c r="D10" s="90" t="n"/>
      <c r="E10" s="90" t="n"/>
      <c r="F10" s="90" t="n"/>
      <c r="G10" s="90" t="n"/>
      <c r="H10" s="90" t="n"/>
      <c r="I10" s="89">
        <f>IF(ISBLANK($A10),"",IF(OR(ISBLANK($B10),ISBLANK($C10),ISBLANK($D10),ISBLANK($E10),ISBLANK($F10),ISBLANK($G10),ISBLANK($H10)),"EKSİK","OK"))</f>
        <v/>
      </c>
    </row>
    <row r="11" ht="15" customHeight="1" s="50">
      <c r="A11" s="90" t="n"/>
      <c r="B11" s="90" t="n"/>
      <c r="C11" s="90" t="n"/>
      <c r="D11" s="90" t="n"/>
      <c r="E11" s="90" t="n"/>
      <c r="F11" s="90" t="n"/>
      <c r="G11" s="90" t="n"/>
      <c r="H11" s="90" t="n"/>
      <c r="I11" s="89">
        <f>IF(ISBLANK($A11),"",IF(OR(ISBLANK($B11),ISBLANK($C11),ISBLANK($D11),ISBLANK($E11),ISBLANK($F11),ISBLANK($G11),ISBLANK($H11)),"EKSİK","OK"))</f>
        <v/>
      </c>
    </row>
    <row r="12" ht="15" customHeight="1" s="50">
      <c r="A12" s="90" t="n"/>
      <c r="B12" s="90" t="n"/>
      <c r="C12" s="90" t="n"/>
      <c r="D12" s="90" t="n"/>
      <c r="E12" s="90" t="n"/>
      <c r="F12" s="90" t="n"/>
      <c r="G12" s="90" t="n"/>
      <c r="H12" s="90" t="n"/>
      <c r="I12" s="89">
        <f>IF(ISBLANK($A12),"",IF(OR(ISBLANK($B12),ISBLANK($C12),ISBLANK($D12),ISBLANK($E12),ISBLANK($F12),ISBLANK($G12),ISBLANK($H12)),"EKSİK","OK"))</f>
        <v/>
      </c>
    </row>
    <row r="13" ht="15" customHeight="1" s="50">
      <c r="A13" s="90" t="n"/>
      <c r="B13" s="90" t="n"/>
      <c r="C13" s="90" t="n"/>
      <c r="D13" s="90" t="n"/>
      <c r="E13" s="90" t="n"/>
      <c r="F13" s="90" t="n"/>
      <c r="G13" s="90" t="n"/>
      <c r="H13" s="90" t="n"/>
      <c r="I13" s="89">
        <f>IF(ISBLANK($A13),"",IF(OR(ISBLANK($B13),ISBLANK($C13),ISBLANK($D13),ISBLANK($E13),ISBLANK($F13),ISBLANK($G13),ISBLANK($H13)),"EKSİK","OK"))</f>
        <v/>
      </c>
    </row>
    <row r="14" ht="15" customHeight="1" s="50">
      <c r="A14" s="90" t="n"/>
      <c r="B14" s="90" t="n"/>
      <c r="C14" s="90" t="n"/>
      <c r="D14" s="90" t="n"/>
      <c r="E14" s="90" t="n"/>
      <c r="F14" s="90" t="n"/>
      <c r="G14" s="90" t="n"/>
      <c r="H14" s="90" t="n"/>
      <c r="I14" s="89">
        <f>IF(ISBLANK($A14),"",IF(OR(ISBLANK($B14),ISBLANK($C14),ISBLANK($D14),ISBLANK($E14),ISBLANK($F14),ISBLANK($G14),ISBLANK($H14)),"EKSİK","OK"))</f>
        <v/>
      </c>
    </row>
    <row r="15" ht="15" customHeight="1" s="50">
      <c r="A15" s="90" t="n"/>
      <c r="B15" s="90" t="n"/>
      <c r="C15" s="90" t="n"/>
      <c r="D15" s="90" t="n"/>
      <c r="E15" s="90" t="n"/>
      <c r="F15" s="90" t="n"/>
      <c r="G15" s="90" t="n"/>
      <c r="H15" s="90" t="n"/>
      <c r="I15" s="89">
        <f>IF(ISBLANK($A15),"",IF(OR(ISBLANK($B15),ISBLANK($C15),ISBLANK($D15),ISBLANK($E15),ISBLANK($F15),ISBLANK($G15),ISBLANK($H15)),"EKSİK","OK"))</f>
        <v/>
      </c>
    </row>
    <row r="16" ht="15" customHeight="1" s="50">
      <c r="A16" s="90" t="n"/>
      <c r="B16" s="90" t="n"/>
      <c r="C16" s="90" t="n"/>
      <c r="D16" s="90" t="n"/>
      <c r="E16" s="90" t="n"/>
      <c r="F16" s="90" t="n"/>
      <c r="G16" s="90" t="n"/>
      <c r="H16" s="90" t="n"/>
      <c r="I16" s="89">
        <f>IF(ISBLANK($A16),"",IF(OR(ISBLANK($B16),ISBLANK($C16),ISBLANK($D16),ISBLANK($E16),ISBLANK($F16),ISBLANK($G16),ISBLANK($H16)),"EKSİK","OK"))</f>
        <v/>
      </c>
    </row>
    <row r="17" ht="15" customHeight="1" s="50">
      <c r="A17" s="90" t="n"/>
      <c r="B17" s="90" t="n"/>
      <c r="C17" s="90" t="n"/>
      <c r="D17" s="90" t="n"/>
      <c r="E17" s="90" t="n"/>
      <c r="F17" s="90" t="n"/>
      <c r="G17" s="90" t="n"/>
      <c r="H17" s="90" t="n"/>
      <c r="I17" s="89">
        <f>IF(ISBLANK($A17),"",IF(OR(ISBLANK($B17),ISBLANK($C17),ISBLANK($D17),ISBLANK($E17),ISBLANK($F17),ISBLANK($G17),ISBLANK($H17)),"EKSİK","OK"))</f>
        <v/>
      </c>
    </row>
    <row r="18" ht="15" customHeight="1" s="50">
      <c r="A18" s="90" t="n"/>
      <c r="B18" s="90" t="n"/>
      <c r="C18" s="90" t="n"/>
      <c r="D18" s="90" t="n"/>
      <c r="E18" s="90" t="n"/>
      <c r="F18" s="90" t="n"/>
      <c r="G18" s="90" t="n"/>
      <c r="H18" s="90" t="n"/>
      <c r="I18" s="89">
        <f>IF(ISBLANK($A18),"",IF(OR(ISBLANK($B18),ISBLANK($C18),ISBLANK($D18),ISBLANK($E18),ISBLANK($F18),ISBLANK($G18),ISBLANK($H18)),"EKSİK","OK"))</f>
        <v/>
      </c>
    </row>
    <row r="19" ht="15" customHeight="1" s="50">
      <c r="A19" s="90" t="n"/>
      <c r="B19" s="90" t="n"/>
      <c r="C19" s="90" t="n"/>
      <c r="D19" s="90" t="n"/>
      <c r="E19" s="90" t="n"/>
      <c r="F19" s="90" t="n"/>
      <c r="G19" s="90" t="n"/>
      <c r="H19" s="90" t="n"/>
      <c r="I19" s="89">
        <f>IF(ISBLANK($A19),"",IF(OR(ISBLANK($B19),ISBLANK($C19),ISBLANK($D19),ISBLANK($E19),ISBLANK($F19),ISBLANK($G19),ISBLANK($H19)),"EKSİK","OK"))</f>
        <v/>
      </c>
    </row>
    <row r="20" ht="15" customHeight="1" s="50">
      <c r="A20" s="90" t="n"/>
      <c r="B20" s="90" t="n"/>
      <c r="C20" s="90" t="n"/>
      <c r="D20" s="90" t="n"/>
      <c r="E20" s="90" t="n"/>
      <c r="F20" s="90" t="n"/>
      <c r="G20" s="90" t="n"/>
      <c r="H20" s="90" t="n"/>
      <c r="I20" s="89">
        <f>IF(ISBLANK($A20),"",IF(OR(ISBLANK($B20),ISBLANK($C20),ISBLANK($D20),ISBLANK($E20),ISBLANK($F20),ISBLANK($G20),ISBLANK($H20)),"EKSİK","OK"))</f>
        <v/>
      </c>
    </row>
    <row r="21" ht="15" customHeight="1" s="50">
      <c r="A21" s="90" t="n"/>
      <c r="B21" s="90" t="n"/>
      <c r="C21" s="90" t="n"/>
      <c r="D21" s="90" t="n"/>
      <c r="E21" s="90" t="n"/>
      <c r="F21" s="90" t="n"/>
      <c r="G21" s="90" t="n"/>
      <c r="H21" s="90" t="n"/>
      <c r="I21" s="89">
        <f>IF(ISBLANK($A21),"",IF(OR(ISBLANK($B21),ISBLANK($C21),ISBLANK($D21),ISBLANK($E21),ISBLANK($F21),ISBLANK($G21),ISBLANK($H21)),"EKSİK","OK"))</f>
        <v/>
      </c>
    </row>
    <row r="22" ht="15" customHeight="1" s="50">
      <c r="A22" s="90" t="n"/>
      <c r="B22" s="90" t="n"/>
      <c r="C22" s="90" t="n"/>
      <c r="D22" s="90" t="n"/>
      <c r="E22" s="90" t="n"/>
      <c r="F22" s="90" t="n"/>
      <c r="G22" s="90" t="n"/>
      <c r="H22" s="90" t="n"/>
      <c r="I22" s="89">
        <f>IF(ISBLANK($A22),"",IF(OR(ISBLANK($B22),ISBLANK($C22),ISBLANK($D22),ISBLANK($E22),ISBLANK($F22),ISBLANK($G22),ISBLANK($H22)),"EKSİK","OK"))</f>
        <v/>
      </c>
    </row>
    <row r="23" ht="15" customHeight="1" s="50">
      <c r="A23" s="90" t="n"/>
      <c r="B23" s="90" t="n"/>
      <c r="C23" s="90" t="n"/>
      <c r="D23" s="90" t="n"/>
      <c r="E23" s="90" t="n"/>
      <c r="F23" s="90" t="n"/>
      <c r="G23" s="90" t="n"/>
      <c r="H23" s="90" t="n"/>
      <c r="I23" s="89">
        <f>IF(ISBLANK($A23),"",IF(OR(ISBLANK($B23),ISBLANK($C23),ISBLANK($D23),ISBLANK($E23),ISBLANK($F23),ISBLANK($G23),ISBLANK($H23)),"EKSİK","OK"))</f>
        <v/>
      </c>
    </row>
    <row r="24" ht="15" customHeight="1" s="50">
      <c r="A24" s="90" t="n"/>
      <c r="B24" s="90" t="n"/>
      <c r="C24" s="90" t="n"/>
      <c r="D24" s="90" t="n"/>
      <c r="E24" s="90" t="n"/>
      <c r="F24" s="90" t="n"/>
      <c r="G24" s="90" t="n"/>
      <c r="H24" s="90" t="n"/>
      <c r="I24" s="89">
        <f>IF(ISBLANK($A24),"",IF(OR(ISBLANK($B24),ISBLANK($C24),ISBLANK($D24),ISBLANK($E24),ISBLANK($F24),ISBLANK($G24),ISBLANK($H24)),"EKSİK","OK"))</f>
        <v/>
      </c>
    </row>
    <row r="25" ht="15" customHeight="1" s="50">
      <c r="A25" s="90" t="n"/>
      <c r="B25" s="90" t="n"/>
      <c r="C25" s="90" t="n"/>
      <c r="D25" s="90" t="n"/>
      <c r="E25" s="90" t="n"/>
      <c r="F25" s="90" t="n"/>
      <c r="G25" s="90" t="n"/>
      <c r="H25" s="90" t="n"/>
      <c r="I25" s="89">
        <f>IF(ISBLANK($A25),"",IF(OR(ISBLANK($B25),ISBLANK($C25),ISBLANK($D25),ISBLANK($E25),ISBLANK($F25),ISBLANK($G25),ISBLANK($H25)),"EKSİK","OK"))</f>
        <v/>
      </c>
    </row>
    <row r="26" ht="15" customHeight="1" s="50">
      <c r="A26" s="90" t="n"/>
      <c r="B26" s="90" t="n"/>
      <c r="C26" s="90" t="n"/>
      <c r="D26" s="90" t="n"/>
      <c r="E26" s="90" t="n"/>
      <c r="F26" s="90" t="n"/>
      <c r="G26" s="90" t="n"/>
      <c r="H26" s="90" t="n"/>
      <c r="I26" s="89">
        <f>IF(ISBLANK($A26),"",IF(OR(ISBLANK($B26),ISBLANK($C26),ISBLANK($D26),ISBLANK($E26),ISBLANK($F26),ISBLANK($G26),ISBLANK($H26)),"EKSİK","OK"))</f>
        <v/>
      </c>
    </row>
    <row r="27" ht="15" customHeight="1" s="50">
      <c r="A27" s="90" t="n"/>
      <c r="B27" s="90" t="n"/>
      <c r="C27" s="90" t="n"/>
      <c r="D27" s="90" t="n"/>
      <c r="E27" s="90" t="n"/>
      <c r="F27" s="90" t="n"/>
      <c r="G27" s="90" t="n"/>
      <c r="H27" s="90" t="n"/>
      <c r="I27" s="89">
        <f>IF(ISBLANK($A27),"",IF(OR(ISBLANK($B27),ISBLANK($C27),ISBLANK($D27),ISBLANK($E27),ISBLANK($F27),ISBLANK($G27),ISBLANK($H27)),"EKSİK","OK"))</f>
        <v/>
      </c>
    </row>
    <row r="28" ht="15" customHeight="1" s="50">
      <c r="A28" s="90" t="n"/>
      <c r="B28" s="90" t="n"/>
      <c r="C28" s="90" t="n"/>
      <c r="D28" s="90" t="n"/>
      <c r="E28" s="90" t="n"/>
      <c r="F28" s="90" t="n"/>
      <c r="G28" s="90" t="n"/>
      <c r="H28" s="90" t="n"/>
      <c r="I28" s="89">
        <f>IF(ISBLANK($A28),"",IF(OR(ISBLANK($B28),ISBLANK($C28),ISBLANK($D28),ISBLANK($E28),ISBLANK($F28),ISBLANK($G28),ISBLANK($H28)),"EKSİK","OK"))</f>
        <v/>
      </c>
    </row>
    <row r="29" ht="15" customHeight="1" s="50">
      <c r="A29" s="90" t="n"/>
      <c r="B29" s="90" t="n"/>
      <c r="C29" s="90" t="n"/>
      <c r="D29" s="90" t="n"/>
      <c r="E29" s="90" t="n"/>
      <c r="F29" s="90" t="n"/>
      <c r="G29" s="90" t="n"/>
      <c r="H29" s="90" t="n"/>
      <c r="I29" s="89">
        <f>IF(ISBLANK($A29),"",IF(OR(ISBLANK($B29),ISBLANK($C29),ISBLANK($D29),ISBLANK($E29),ISBLANK($F29),ISBLANK($G29),ISBLANK($H29)),"EKSİK","OK"))</f>
        <v/>
      </c>
    </row>
    <row r="30" ht="15" customHeight="1" s="50">
      <c r="A30" s="90" t="n"/>
      <c r="B30" s="90" t="n"/>
      <c r="C30" s="90" t="n"/>
      <c r="D30" s="90" t="n"/>
      <c r="E30" s="90" t="n"/>
      <c r="F30" s="90" t="n"/>
      <c r="G30" s="90" t="n"/>
      <c r="H30" s="90" t="n"/>
      <c r="I30" s="89">
        <f>IF(ISBLANK($A30),"",IF(OR(ISBLANK($B30),ISBLANK($C30),ISBLANK($D30),ISBLANK($E30),ISBLANK($F30),ISBLANK($G30),ISBLANK($H30)),"EKSİK","OK"))</f>
        <v/>
      </c>
    </row>
    <row r="31" ht="15" customHeight="1" s="50">
      <c r="A31" s="90" t="n"/>
      <c r="B31" s="90" t="n"/>
      <c r="C31" s="90" t="n"/>
      <c r="D31" s="90" t="n"/>
      <c r="E31" s="90" t="n"/>
      <c r="F31" s="90" t="n"/>
      <c r="G31" s="90" t="n"/>
      <c r="H31" s="90" t="n"/>
      <c r="I31" s="89">
        <f>IF(ISBLANK($A31),"",IF(OR(ISBLANK($B31),ISBLANK($C31),ISBLANK($D31),ISBLANK($E31),ISBLANK($F31),ISBLANK($G31),ISBLANK($H31)),"EKSİK","OK"))</f>
        <v/>
      </c>
    </row>
    <row r="32" ht="15" customHeight="1" s="50">
      <c r="A32" s="90" t="n"/>
      <c r="B32" s="90" t="n"/>
      <c r="C32" s="90" t="n"/>
      <c r="D32" s="90" t="n"/>
      <c r="E32" s="90" t="n"/>
      <c r="F32" s="90" t="n"/>
      <c r="G32" s="90" t="n"/>
      <c r="H32" s="90" t="n"/>
      <c r="I32" s="89">
        <f>IF(ISBLANK($A32),"",IF(OR(ISBLANK($B32),ISBLANK($C32),ISBLANK($D32),ISBLANK($E32),ISBLANK($F32),ISBLANK($G32),ISBLANK($H32)),"EKSİK","OK"))</f>
        <v/>
      </c>
    </row>
    <row r="33" ht="15" customHeight="1" s="50">
      <c r="A33" s="90" t="n"/>
      <c r="B33" s="90" t="n"/>
      <c r="C33" s="90" t="n"/>
      <c r="D33" s="90" t="n"/>
      <c r="E33" s="90" t="n"/>
      <c r="F33" s="90" t="n"/>
      <c r="G33" s="90" t="n"/>
      <c r="H33" s="90" t="n"/>
      <c r="I33" s="89">
        <f>IF(ISBLANK($A33),"",IF(OR(ISBLANK($B33),ISBLANK($C33),ISBLANK($D33),ISBLANK($E33),ISBLANK($F33),ISBLANK($G33),ISBLANK($H33)),"EKSİK","OK"))</f>
        <v/>
      </c>
    </row>
    <row r="34" ht="15" customHeight="1" s="50">
      <c r="A34" s="90" t="n"/>
      <c r="B34" s="90" t="n"/>
      <c r="C34" s="90" t="n"/>
      <c r="D34" s="90" t="n"/>
      <c r="E34" s="90" t="n"/>
      <c r="F34" s="90" t="n"/>
      <c r="G34" s="90" t="n"/>
      <c r="H34" s="90" t="n"/>
      <c r="I34" s="89">
        <f>IF(ISBLANK($A34),"",IF(OR(ISBLANK($B34),ISBLANK($C34),ISBLANK($D34),ISBLANK($E34),ISBLANK($F34),ISBLANK($G34),ISBLANK($H34)),"EKSİK","OK"))</f>
        <v/>
      </c>
    </row>
    <row r="35" ht="15" customHeight="1" s="50">
      <c r="A35" s="90" t="n"/>
      <c r="B35" s="90" t="n"/>
      <c r="C35" s="90" t="n"/>
      <c r="D35" s="90" t="n"/>
      <c r="E35" s="90" t="n"/>
      <c r="F35" s="90" t="n"/>
      <c r="G35" s="90" t="n"/>
      <c r="H35" s="90" t="n"/>
      <c r="I35" s="89">
        <f>IF(ISBLANK($A35),"",IF(OR(ISBLANK($B35),ISBLANK($C35),ISBLANK($D35),ISBLANK($E35),ISBLANK($F35),ISBLANK($G35),ISBLANK($H35)),"EKSİK","OK"))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G6:G1000">
    <cfRule type="cellIs" rank="0" priority="2" equalAverage="0" operator="lessThan" aboveAverage="0" dxfId="9" text="" percent="0" bottom="0">
      <formula>0</formula>
    </cfRule>
  </conditionalFormatting>
  <conditionalFormatting sqref="D6:D1000">
    <cfRule type="cellIs" rank="0" priority="3" equalAverage="0" operator="equal" aboveAverage="0" dxfId="10" text="" percent="0" bottom="0">
      <formula>"Komisyon"</formula>
    </cfRule>
  </conditionalFormatting>
  <conditionalFormatting sqref="I6:I1000">
    <cfRule type="cellIs" rank="0" priority="4" equalAverage="0" operator="equal" aboveAverage="0" dxfId="9" text="" percent="0" bottom="0">
      <formula>"EKSİK"</formula>
    </cfRule>
    <cfRule type="cellIs" rank="0" priority="5" equalAverage="0" operator="equal" aboveAverage="0" dxfId="8" text="" percent="0" bottom="0">
      <formula>"OK"</formula>
    </cfRule>
  </conditionalFormatting>
  <dataValidations count="2">
    <dataValidation sqref="D6:D1000" showDropDown="0" showInputMessage="1" showErrorMessage="1" allowBlank="1" errorTitle="Geçersiz Tür" error="Lütfen listeden bir masraf türü seçin." promptTitle="Masraf Türü" prompt="Tahsis Ücreti, Sigorta, Komisyon veya Diğer seçin." type="list" errorStyle="stop" operator="between">
      <formula1>ListeMasrafTuru</formula1>
      <formula2>0</formula2>
    </dataValidation>
    <dataValidation sqref="B6:B1000" showDropDown="0" showInputMessage="1" showErrorMessage="1" allowBlank="1" errorTitle="Geçersiz Kredi" error="Lütfen KREDILER sayfasındaki bir kredi ID seçin." promptTitle="Kredi ID" prompt="Listeden kredi seçin." type="list" errorStyle="stop" operator="between">
      <formula1>ListeKrediId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 filterMode="0">
    <tabColor rgb="0060A5FA"/>
    <outlinePr summaryBelow="1" summaryRight="1"/>
    <pageSetUpPr fitToPage="0"/>
  </sheetPr>
  <dimension ref="A1:AC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.5" customWidth="1" style="76" min="1" max="1"/>
    <col width="12.5" customWidth="1" style="76" min="2" max="2"/>
    <col width="24" customWidth="1" style="76" min="3" max="3"/>
    <col width="23.5" customWidth="1" style="76" min="4" max="4"/>
    <col width="27.5" customWidth="1" style="76" min="5" max="5"/>
    <col width="20.5" customWidth="1" style="76" min="6" max="6"/>
    <col width="15.5" customWidth="1" style="76" min="7" max="7"/>
    <col width="23.5" customWidth="1" style="76" min="8" max="8"/>
    <col width="23.5" customWidth="1" style="76" min="9" max="9"/>
    <col width="11.5" customWidth="1" style="76" min="10" max="10"/>
    <col width="13" customWidth="1" style="50" min="11" max="11"/>
    <col width="13" customWidth="1" style="50" min="12" max="12"/>
    <col width="13" customWidth="1" style="50" min="13" max="13"/>
    <col width="13" customWidth="1" style="50" min="14" max="14"/>
  </cols>
  <sheetData>
    <row r="1" ht="32" customHeight="1" s="50">
      <c r="A1" s="455" t="inlineStr">
        <is>
          <t>TEMINATLAR — BANKA, KREDİ VE TAKSİT TAKİP SİSTEMİ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  <c r="J1" s="434" t="n"/>
    </row>
    <row r="2" ht="7.8" customHeight="1" s="50"/>
    <row r="3" ht="22" customHeight="1" s="50">
      <c r="A3" s="456" t="inlineStr">
        <is>
          <t>TEMİNAT YÖNETİMİ — değer, geçerlilik ve kredi bağlantısı.</t>
        </is>
      </c>
    </row>
    <row r="4" ht="10" customHeight="1" s="50"/>
    <row r="5" ht="30" customHeight="1" s="50">
      <c r="A5" s="86" t="inlineStr">
        <is>
          <t>Teminat ID</t>
        </is>
      </c>
      <c r="B5" s="86" t="inlineStr">
        <is>
          <t>Kredi ID</t>
        </is>
      </c>
      <c r="C5" s="86" t="inlineStr">
        <is>
          <t>Banka</t>
        </is>
      </c>
      <c r="D5" s="86" t="inlineStr">
        <is>
          <t>Teminat Türü</t>
        </is>
      </c>
      <c r="E5" s="86" t="inlineStr">
        <is>
          <t>Açıklama</t>
        </is>
      </c>
      <c r="F5" s="86" t="inlineStr">
        <is>
          <t>Ekspertiz Değeri</t>
        </is>
      </c>
      <c r="G5" s="86" t="inlineStr">
        <is>
          <t>Para Birimi</t>
        </is>
      </c>
      <c r="H5" s="86" t="inlineStr">
        <is>
          <t>Değerleme Tarihi</t>
        </is>
      </c>
      <c r="I5" s="86" t="inlineStr">
        <is>
          <t>Geçerlilik Bitişi</t>
        </is>
      </c>
      <c r="J5" s="86" t="inlineStr">
        <is>
          <t>Kontrol</t>
        </is>
      </c>
    </row>
    <row r="6" ht="15" customHeight="1" s="50">
      <c r="A6" s="87" t="inlineStr">
        <is>
          <t>TMN-001</t>
        </is>
      </c>
      <c r="B6" s="87" t="inlineStr">
        <is>
          <t>KRD-001</t>
        </is>
      </c>
      <c r="C6" s="87" t="inlineStr">
        <is>
          <t>Türkiye İş Bankası</t>
        </is>
      </c>
      <c r="D6" s="87" t="inlineStr">
        <is>
          <t>Gayrimenkul İpoteği</t>
        </is>
      </c>
      <c r="E6" s="87" t="inlineStr">
        <is>
          <t>İstanbul fabrika binası</t>
        </is>
      </c>
      <c r="F6" s="91" t="n">
        <v>15000000</v>
      </c>
      <c r="G6" s="87" t="inlineStr">
        <is>
          <t>TRY</t>
        </is>
      </c>
      <c r="H6" s="94" t="n">
        <v>45992</v>
      </c>
      <c r="I6" s="94" t="n">
        <v>47088</v>
      </c>
      <c r="J6" s="89">
        <f>IF(ISBLANK($A6),"",IF(OR(ISBLANK($B6),ISBLANK($C6),ISBLANK($D6),ISBLANK($E6),ISBLANK($F6),ISBLANK($G6),ISBLANK($H6),ISBLANK($I6)),"EKSİK","OK"))</f>
        <v/>
      </c>
    </row>
    <row r="7" ht="15" customHeight="1" s="50">
      <c r="A7" s="87" t="inlineStr">
        <is>
          <t>TMN-002</t>
        </is>
      </c>
      <c r="B7" s="87" t="inlineStr">
        <is>
          <t>KRD-002</t>
        </is>
      </c>
      <c r="C7" s="87" t="inlineStr">
        <is>
          <t>Akbank</t>
        </is>
      </c>
      <c r="D7" s="87" t="inlineStr">
        <is>
          <t>Taşıt Rehni</t>
        </is>
      </c>
      <c r="E7" s="87" t="inlineStr">
        <is>
          <t>Üretim makineleri</t>
        </is>
      </c>
      <c r="F7" s="91" t="n">
        <v>8500000</v>
      </c>
      <c r="G7" s="87" t="inlineStr">
        <is>
          <t>TRY</t>
        </is>
      </c>
      <c r="H7" s="94" t="n">
        <v>45992</v>
      </c>
      <c r="I7" s="94" t="n">
        <v>46722</v>
      </c>
      <c r="J7" s="89">
        <f>IF(ISBLANK($A7),"",IF(OR(ISBLANK($B7),ISBLANK($C7),ISBLANK($D7),ISBLANK($E7),ISBLANK($F7),ISBLANK($G7),ISBLANK($H7),ISBLANK($I7)),"EKSİK","OK"))</f>
        <v/>
      </c>
    </row>
    <row r="8" ht="15" customHeight="1" s="50">
      <c r="A8" s="87" t="inlineStr">
        <is>
          <t>TMN-003</t>
        </is>
      </c>
      <c r="B8" s="87" t="inlineStr">
        <is>
          <t>KRD-003</t>
        </is>
      </c>
      <c r="C8" s="87" t="inlineStr">
        <is>
          <t>Garanti BBVA</t>
        </is>
      </c>
      <c r="D8" s="87" t="inlineStr">
        <is>
          <t>Alacak Temliki</t>
        </is>
      </c>
      <c r="E8" s="87" t="inlineStr">
        <is>
          <t>İhracat alacak havuzu</t>
        </is>
      </c>
      <c r="F8" s="91" t="n">
        <v>3500000</v>
      </c>
      <c r="G8" s="87" t="inlineStr">
        <is>
          <t>TRY</t>
        </is>
      </c>
      <c r="H8" s="94" t="n">
        <v>46023</v>
      </c>
      <c r="I8" s="94" t="n">
        <v>46388</v>
      </c>
      <c r="J8" s="89">
        <f>IF(ISBLANK($A8),"",IF(OR(ISBLANK($B8),ISBLANK($C8),ISBLANK($D8),ISBLANK($E8),ISBLANK($F8),ISBLANK($G8),ISBLANK($H8),ISBLANK($I8)),"EKSİK","OK"))</f>
        <v/>
      </c>
    </row>
    <row r="9" ht="15" customHeight="1" s="50">
      <c r="A9" s="90" t="n"/>
      <c r="B9" s="90" t="n"/>
      <c r="C9" s="90" t="n"/>
      <c r="D9" s="90" t="n"/>
      <c r="E9" s="90" t="n"/>
      <c r="F9" s="90" t="n"/>
      <c r="G9" s="90" t="n"/>
      <c r="H9" s="90" t="n"/>
      <c r="I9" s="90" t="n"/>
      <c r="J9" s="89">
        <f>IF(ISBLANK($A9),"",IF(OR(ISBLANK($B9),ISBLANK($C9),ISBLANK($D9),ISBLANK($E9),ISBLANK($F9),ISBLANK($G9),ISBLANK($H9),ISBLANK($I9)),"EKSİK","OK"))</f>
        <v/>
      </c>
    </row>
    <row r="10" ht="15" customHeight="1" s="50">
      <c r="A10" s="90" t="n"/>
      <c r="B10" s="90" t="n"/>
      <c r="C10" s="90" t="n"/>
      <c r="D10" s="90" t="n"/>
      <c r="E10" s="90" t="n"/>
      <c r="F10" s="90" t="n"/>
      <c r="G10" s="90" t="n"/>
      <c r="H10" s="90" t="n"/>
      <c r="I10" s="90" t="n"/>
      <c r="J10" s="89">
        <f>IF(ISBLANK($A10),"",IF(OR(ISBLANK($B10),ISBLANK($C10),ISBLANK($D10),ISBLANK($E10),ISBLANK($F10),ISBLANK($G10),ISBLANK($H10),ISBLANK($I10)),"EKSİK","OK"))</f>
        <v/>
      </c>
    </row>
    <row r="11" ht="15" customHeight="1" s="50">
      <c r="A11" s="90" t="n"/>
      <c r="B11" s="90" t="n"/>
      <c r="C11" s="90" t="n"/>
      <c r="D11" s="90" t="n"/>
      <c r="E11" s="90" t="n"/>
      <c r="F11" s="90" t="n"/>
      <c r="G11" s="90" t="n"/>
      <c r="H11" s="90" t="n"/>
      <c r="I11" s="90" t="n"/>
      <c r="J11" s="89">
        <f>IF(ISBLANK($A11),"",IF(OR(ISBLANK($B11),ISBLANK($C11),ISBLANK($D11),ISBLANK($E11),ISBLANK($F11),ISBLANK($G11),ISBLANK($H11),ISBLANK($I11)),"EKSİK","OK"))</f>
        <v/>
      </c>
    </row>
    <row r="12" ht="15" customHeight="1" s="50">
      <c r="A12" s="90" t="n"/>
      <c r="B12" s="90" t="n"/>
      <c r="C12" s="90" t="n"/>
      <c r="D12" s="90" t="n"/>
      <c r="E12" s="90" t="n"/>
      <c r="F12" s="90" t="n"/>
      <c r="G12" s="90" t="n"/>
      <c r="H12" s="90" t="n"/>
      <c r="I12" s="90" t="n"/>
      <c r="J12" s="89">
        <f>IF(ISBLANK($A12),"",IF(OR(ISBLANK($B12),ISBLANK($C12),ISBLANK($D12),ISBLANK($E12),ISBLANK($F12),ISBLANK($G12),ISBLANK($H12),ISBLANK($I12)),"EKSİK","OK"))</f>
        <v/>
      </c>
    </row>
    <row r="13" ht="15" customHeight="1" s="50">
      <c r="A13" s="90" t="n"/>
      <c r="B13" s="90" t="n"/>
      <c r="C13" s="90" t="n"/>
      <c r="D13" s="90" t="n"/>
      <c r="E13" s="90" t="n"/>
      <c r="F13" s="90" t="n"/>
      <c r="G13" s="90" t="n"/>
      <c r="H13" s="90" t="n"/>
      <c r="I13" s="90" t="n"/>
      <c r="J13" s="89">
        <f>IF(ISBLANK($A13),"",IF(OR(ISBLANK($B13),ISBLANK($C13),ISBLANK($D13),ISBLANK($E13),ISBLANK($F13),ISBLANK($G13),ISBLANK($H13),ISBLANK($I13)),"EKSİK","OK"))</f>
        <v/>
      </c>
    </row>
    <row r="14" ht="15" customHeight="1" s="50">
      <c r="A14" s="90" t="n"/>
      <c r="B14" s="90" t="n"/>
      <c r="C14" s="90" t="n"/>
      <c r="D14" s="90" t="n"/>
      <c r="E14" s="90" t="n"/>
      <c r="F14" s="90" t="n"/>
      <c r="G14" s="90" t="n"/>
      <c r="H14" s="90" t="n"/>
      <c r="I14" s="90" t="n"/>
      <c r="J14" s="89">
        <f>IF(ISBLANK($A14),"",IF(OR(ISBLANK($B14),ISBLANK($C14),ISBLANK($D14),ISBLANK($E14),ISBLANK($F14),ISBLANK($G14),ISBLANK($H14),ISBLANK($I14)),"EKSİK","OK"))</f>
        <v/>
      </c>
    </row>
    <row r="15" ht="15" customHeight="1" s="50">
      <c r="A15" s="90" t="n"/>
      <c r="B15" s="90" t="n"/>
      <c r="C15" s="90" t="n"/>
      <c r="D15" s="90" t="n"/>
      <c r="E15" s="90" t="n"/>
      <c r="F15" s="90" t="n"/>
      <c r="G15" s="90" t="n"/>
      <c r="H15" s="90" t="n"/>
      <c r="I15" s="90" t="n"/>
      <c r="J15" s="89">
        <f>IF(ISBLANK($A15),"",IF(OR(ISBLANK($B15),ISBLANK($C15),ISBLANK($D15),ISBLANK($E15),ISBLANK($F15),ISBLANK($G15),ISBLANK($H15),ISBLANK($I15)),"EKSİK","OK"))</f>
        <v/>
      </c>
    </row>
    <row r="16" ht="15" customHeight="1" s="50">
      <c r="A16" s="90" t="n"/>
      <c r="B16" s="90" t="n"/>
      <c r="C16" s="90" t="n"/>
      <c r="D16" s="90" t="n"/>
      <c r="E16" s="90" t="n"/>
      <c r="F16" s="90" t="n"/>
      <c r="G16" s="90" t="n"/>
      <c r="H16" s="90" t="n"/>
      <c r="I16" s="90" t="n"/>
      <c r="J16" s="89">
        <f>IF(ISBLANK($A16),"",IF(OR(ISBLANK($B16),ISBLANK($C16),ISBLANK($D16),ISBLANK($E16),ISBLANK($F16),ISBLANK($G16),ISBLANK($H16),ISBLANK($I16)),"EKSİK","OK"))</f>
        <v/>
      </c>
    </row>
    <row r="17" ht="15" customHeight="1" s="50">
      <c r="A17" s="90" t="n"/>
      <c r="B17" s="90" t="n"/>
      <c r="C17" s="90" t="n"/>
      <c r="D17" s="90" t="n"/>
      <c r="E17" s="90" t="n"/>
      <c r="F17" s="90" t="n"/>
      <c r="G17" s="90" t="n"/>
      <c r="H17" s="90" t="n"/>
      <c r="I17" s="90" t="n"/>
      <c r="J17" s="89">
        <f>IF(ISBLANK($A17),"",IF(OR(ISBLANK($B17),ISBLANK($C17),ISBLANK($D17),ISBLANK($E17),ISBLANK($F17),ISBLANK($G17),ISBLANK($H17),ISBLANK($I17)),"EKSİK","OK"))</f>
        <v/>
      </c>
    </row>
    <row r="18" ht="15" customHeight="1" s="50">
      <c r="A18" s="90" t="n"/>
      <c r="B18" s="90" t="n"/>
      <c r="C18" s="90" t="n"/>
      <c r="D18" s="90" t="n"/>
      <c r="E18" s="90" t="n"/>
      <c r="F18" s="90" t="n"/>
      <c r="G18" s="90" t="n"/>
      <c r="H18" s="90" t="n"/>
      <c r="I18" s="90" t="n"/>
      <c r="J18" s="89">
        <f>IF(ISBLANK($A18),"",IF(OR(ISBLANK($B18),ISBLANK($C18),ISBLANK($D18),ISBLANK($E18),ISBLANK($F18),ISBLANK($G18),ISBLANK($H18),ISBLANK($I18)),"EKSİK","OK"))</f>
        <v/>
      </c>
    </row>
    <row r="19" ht="15" customHeight="1" s="50">
      <c r="A19" s="90" t="n"/>
      <c r="B19" s="90" t="n"/>
      <c r="C19" s="90" t="n"/>
      <c r="D19" s="90" t="n"/>
      <c r="E19" s="90" t="n"/>
      <c r="F19" s="90" t="n"/>
      <c r="G19" s="90" t="n"/>
      <c r="H19" s="90" t="n"/>
      <c r="I19" s="90" t="n"/>
      <c r="J19" s="89">
        <f>IF(ISBLANK($A19),"",IF(OR(ISBLANK($B19),ISBLANK($C19),ISBLANK($D19),ISBLANK($E19),ISBLANK($F19),ISBLANK($G19),ISBLANK($H19),ISBLANK($I19)),"EKSİK","OK"))</f>
        <v/>
      </c>
    </row>
    <row r="20" ht="15" customHeight="1" s="50">
      <c r="A20" s="90" t="n"/>
      <c r="B20" s="90" t="n"/>
      <c r="C20" s="90" t="n"/>
      <c r="D20" s="90" t="n"/>
      <c r="E20" s="90" t="n"/>
      <c r="F20" s="90" t="n"/>
      <c r="G20" s="90" t="n"/>
      <c r="H20" s="90" t="n"/>
      <c r="I20" s="90" t="n"/>
      <c r="J20" s="89">
        <f>IF(ISBLANK($A20),"",IF(OR(ISBLANK($B20),ISBLANK($C20),ISBLANK($D20),ISBLANK($E20),ISBLANK($F20),ISBLANK($G20),ISBLANK($H20),ISBLANK($I20)),"EKSİK","OK"))</f>
        <v/>
      </c>
    </row>
    <row r="21" ht="15" customHeight="1" s="50">
      <c r="A21" s="90" t="n"/>
      <c r="B21" s="90" t="n"/>
      <c r="C21" s="90" t="n"/>
      <c r="D21" s="90" t="n"/>
      <c r="E21" s="90" t="n"/>
      <c r="F21" s="90" t="n"/>
      <c r="G21" s="90" t="n"/>
      <c r="H21" s="90" t="n"/>
      <c r="I21" s="90" t="n"/>
      <c r="J21" s="89">
        <f>IF(ISBLANK($A21),"",IF(OR(ISBLANK($B21),ISBLANK($C21),ISBLANK($D21),ISBLANK($E21),ISBLANK($F21),ISBLANK($G21),ISBLANK($H21),ISBLANK($I21)),"EKSİK","OK"))</f>
        <v/>
      </c>
    </row>
    <row r="22" ht="15" customHeight="1" s="50">
      <c r="A22" s="90" t="n"/>
      <c r="B22" s="90" t="n"/>
      <c r="C22" s="90" t="n"/>
      <c r="D22" s="90" t="n"/>
      <c r="E22" s="90" t="n"/>
      <c r="F22" s="90" t="n"/>
      <c r="G22" s="90" t="n"/>
      <c r="H22" s="90" t="n"/>
      <c r="I22" s="90" t="n"/>
      <c r="J22" s="89">
        <f>IF(ISBLANK($A22),"",IF(OR(ISBLANK($B22),ISBLANK($C22),ISBLANK($D22),ISBLANK($E22),ISBLANK($F22),ISBLANK($G22),ISBLANK($H22),ISBLANK($I22)),"EKSİK","OK"))</f>
        <v/>
      </c>
    </row>
    <row r="23" ht="15" customHeight="1" s="50">
      <c r="A23" s="90" t="n"/>
      <c r="B23" s="90" t="n"/>
      <c r="C23" s="90" t="n"/>
      <c r="D23" s="90" t="n"/>
      <c r="E23" s="90" t="n"/>
      <c r="F23" s="90" t="n"/>
      <c r="G23" s="90" t="n"/>
      <c r="H23" s="90" t="n"/>
      <c r="I23" s="90" t="n"/>
      <c r="J23" s="89">
        <f>IF(ISBLANK($A23),"",IF(OR(ISBLANK($B23),ISBLANK($C23),ISBLANK($D23),ISBLANK($E23),ISBLANK($F23),ISBLANK($G23),ISBLANK($H23),ISBLANK($I23)),"EKSİK","OK"))</f>
        <v/>
      </c>
    </row>
    <row r="24" ht="15" customHeight="1" s="50">
      <c r="A24" s="90" t="n"/>
      <c r="B24" s="90" t="n"/>
      <c r="C24" s="90" t="n"/>
      <c r="D24" s="90" t="n"/>
      <c r="E24" s="90" t="n"/>
      <c r="F24" s="90" t="n"/>
      <c r="G24" s="90" t="n"/>
      <c r="H24" s="90" t="n"/>
      <c r="I24" s="90" t="n"/>
      <c r="J24" s="89">
        <f>IF(ISBLANK($A24),"",IF(OR(ISBLANK($B24),ISBLANK($C24),ISBLANK($D24),ISBLANK($E24),ISBLANK($F24),ISBLANK($G24),ISBLANK($H24),ISBLANK($I24)),"EKSİK","OK"))</f>
        <v/>
      </c>
    </row>
    <row r="25" ht="15" customHeight="1" s="50">
      <c r="A25" s="90" t="n"/>
      <c r="B25" s="90" t="n"/>
      <c r="C25" s="90" t="n"/>
      <c r="D25" s="90" t="n"/>
      <c r="E25" s="90" t="n"/>
      <c r="F25" s="90" t="n"/>
      <c r="G25" s="90" t="n"/>
      <c r="H25" s="90" t="n"/>
      <c r="I25" s="90" t="n"/>
      <c r="J25" s="89">
        <f>IF(ISBLANK($A25),"",IF(OR(ISBLANK($B25),ISBLANK($C25),ISBLANK($D25),ISBLANK($E25),ISBLANK($F25),ISBLANK($G25),ISBLANK($H25),ISBLANK($I25)),"EKSİK","OK"))</f>
        <v/>
      </c>
    </row>
    <row r="26" ht="15" customHeight="1" s="50">
      <c r="A26" s="90" t="n"/>
      <c r="B26" s="90" t="n"/>
      <c r="C26" s="90" t="n"/>
      <c r="D26" s="90" t="n"/>
      <c r="E26" s="90" t="n"/>
      <c r="F26" s="90" t="n"/>
      <c r="G26" s="90" t="n"/>
      <c r="H26" s="90" t="n"/>
      <c r="I26" s="90" t="n"/>
      <c r="J26" s="89">
        <f>IF(ISBLANK($A26),"",IF(OR(ISBLANK($B26),ISBLANK($C26),ISBLANK($D26),ISBLANK($E26),ISBLANK($F26),ISBLANK($G26),ISBLANK($H26),ISBLANK($I26)),"EKSİK","OK"))</f>
        <v/>
      </c>
    </row>
    <row r="27" ht="15" customHeight="1" s="50">
      <c r="A27" s="90" t="n"/>
      <c r="B27" s="90" t="n"/>
      <c r="C27" s="90" t="n"/>
      <c r="D27" s="90" t="n"/>
      <c r="E27" s="90" t="n"/>
      <c r="F27" s="90" t="n"/>
      <c r="G27" s="90" t="n"/>
      <c r="H27" s="90" t="n"/>
      <c r="I27" s="90" t="n"/>
      <c r="J27" s="89">
        <f>IF(ISBLANK($A27),"",IF(OR(ISBLANK($B27),ISBLANK($C27),ISBLANK($D27),ISBLANK($E27),ISBLANK($F27),ISBLANK($G27),ISBLANK($H27),ISBLANK($I27)),"EKSİK","OK"))</f>
        <v/>
      </c>
    </row>
    <row r="28" ht="15" customHeight="1" s="50">
      <c r="A28" s="90" t="n"/>
      <c r="B28" s="90" t="n"/>
      <c r="C28" s="90" t="n"/>
      <c r="D28" s="90" t="n"/>
      <c r="E28" s="90" t="n"/>
      <c r="F28" s="90" t="n"/>
      <c r="G28" s="90" t="n"/>
      <c r="H28" s="90" t="n"/>
      <c r="I28" s="90" t="n"/>
      <c r="J28" s="89">
        <f>IF(ISBLANK($A28),"",IF(OR(ISBLANK($B28),ISBLANK($C28),ISBLANK($D28),ISBLANK($E28),ISBLANK($F28),ISBLANK($G28),ISBLANK($H28),ISBLANK($I28)),"EKSİK","OK"))</f>
        <v/>
      </c>
    </row>
    <row r="29" ht="15" customHeight="1" s="50">
      <c r="A29" s="90" t="n"/>
      <c r="B29" s="90" t="n"/>
      <c r="C29" s="90" t="n"/>
      <c r="D29" s="90" t="n"/>
      <c r="E29" s="90" t="n"/>
      <c r="F29" s="90" t="n"/>
      <c r="G29" s="90" t="n"/>
      <c r="H29" s="90" t="n"/>
      <c r="I29" s="90" t="n"/>
      <c r="J29" s="89">
        <f>IF(ISBLANK($A29),"",IF(OR(ISBLANK($B29),ISBLANK($C29),ISBLANK($D29),ISBLANK($E29),ISBLANK($F29),ISBLANK($G29),ISBLANK($H29),ISBLANK($I29)),"EKSİK","OK"))</f>
        <v/>
      </c>
    </row>
    <row r="30" ht="15" customHeight="1" s="50">
      <c r="A30" s="90" t="n"/>
      <c r="B30" s="90" t="n"/>
      <c r="C30" s="90" t="n"/>
      <c r="D30" s="90" t="n"/>
      <c r="E30" s="90" t="n"/>
      <c r="F30" s="90" t="n"/>
      <c r="G30" s="90" t="n"/>
      <c r="H30" s="90" t="n"/>
      <c r="I30" s="90" t="n"/>
      <c r="J30" s="89">
        <f>IF(ISBLANK($A30),"",IF(OR(ISBLANK($B30),ISBLANK($C30),ISBLANK($D30),ISBLANK($E30),ISBLANK($F30),ISBLANK($G30),ISBLANK($H30),ISBLANK($I30)),"EKSİK","OK"))</f>
        <v/>
      </c>
    </row>
    <row r="31" ht="15" customHeight="1" s="50">
      <c r="A31" s="90" t="n"/>
      <c r="B31" s="90" t="n"/>
      <c r="C31" s="90" t="n"/>
      <c r="D31" s="90" t="n"/>
      <c r="E31" s="90" t="n"/>
      <c r="F31" s="90" t="n"/>
      <c r="G31" s="90" t="n"/>
      <c r="H31" s="90" t="n"/>
      <c r="I31" s="90" t="n"/>
      <c r="J31" s="89">
        <f>IF(ISBLANK($A31),"",IF(OR(ISBLANK($B31),ISBLANK($C31),ISBLANK($D31),ISBLANK($E31),ISBLANK($F31),ISBLANK($G31),ISBLANK($H31),ISBLANK($I31)),"EKSİK","OK"))</f>
        <v/>
      </c>
    </row>
    <row r="32" ht="15" customHeight="1" s="50">
      <c r="A32" s="90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89">
        <f>IF(ISBLANK($A32),"",IF(OR(ISBLANK($B32),ISBLANK($C32),ISBLANK($D32),ISBLANK($E32),ISBLANK($F32),ISBLANK($G32),ISBLANK($H32),ISBLANK($I32)),"EKSİK","OK"))</f>
        <v/>
      </c>
    </row>
    <row r="33" ht="15" customHeight="1" s="50">
      <c r="A33" s="90" t="n"/>
      <c r="B33" s="90" t="n"/>
      <c r="C33" s="90" t="n"/>
      <c r="D33" s="90" t="n"/>
      <c r="E33" s="90" t="n"/>
      <c r="F33" s="90" t="n"/>
      <c r="G33" s="90" t="n"/>
      <c r="H33" s="90" t="n"/>
      <c r="I33" s="90" t="n"/>
      <c r="J33" s="89">
        <f>IF(ISBLANK($A33),"",IF(OR(ISBLANK($B33),ISBLANK($C33),ISBLANK($D33),ISBLANK($E33),ISBLANK($F33),ISBLANK($G33),ISBLANK($H33),ISBLANK($I33)),"EKSİK","OK"))</f>
        <v/>
      </c>
    </row>
    <row r="34" ht="15" customHeight="1" s="50">
      <c r="A34" s="90" t="n"/>
      <c r="B34" s="90" t="n"/>
      <c r="C34" s="90" t="n"/>
      <c r="D34" s="90" t="n"/>
      <c r="E34" s="90" t="n"/>
      <c r="F34" s="90" t="n"/>
      <c r="G34" s="90" t="n"/>
      <c r="H34" s="90" t="n"/>
      <c r="I34" s="90" t="n"/>
      <c r="J34" s="89">
        <f>IF(ISBLANK($A34),"",IF(OR(ISBLANK($B34),ISBLANK($C34),ISBLANK($D34),ISBLANK($E34),ISBLANK($F34),ISBLANK($G34),ISBLANK($H34),ISBLANK($I34)),"EKSİK","OK"))</f>
        <v/>
      </c>
    </row>
    <row r="35" ht="15" customHeight="1" s="50">
      <c r="A35" s="90" t="n"/>
      <c r="B35" s="90" t="n"/>
      <c r="C35" s="90" t="n"/>
      <c r="D35" s="90" t="n"/>
      <c r="E35" s="90" t="n"/>
      <c r="F35" s="90" t="n"/>
      <c r="G35" s="90" t="n"/>
      <c r="H35" s="90" t="n"/>
      <c r="I35" s="90" t="n"/>
      <c r="J35" s="89">
        <f>IF(ISBLANK($A35),"",IF(OR(ISBLANK($B35),ISBLANK($C35),ISBLANK($D35),ISBLANK($E35),ISBLANK($F35),ISBLANK($G35),ISBLANK($H35),ISBLANK($I35)),"EKSİK","OK"))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J1"/>
    <mergeCell ref="A3:J3"/>
  </mergeCells>
  <conditionalFormatting sqref="F6:F1000">
    <cfRule type="cellIs" rank="0" priority="2" equalAverage="0" operator="lessThan" aboveAverage="0" dxfId="9" text="" percent="0" bottom="0">
      <formula>0</formula>
    </cfRule>
  </conditionalFormatting>
  <conditionalFormatting sqref="I6:I1000">
    <cfRule type="cellIs" rank="0" priority="3" equalAverage="0" operator="lessThan" aboveAverage="0" dxfId="12" text="" percent="0" bottom="0">
      <formula>0</formula>
    </cfRule>
  </conditionalFormatting>
  <conditionalFormatting sqref="J6:J1000">
    <cfRule type="cellIs" rank="0" priority="4" equalAverage="0" operator="equal" aboveAverage="0" dxfId="9" text="" percent="0" bottom="0">
      <formula>"EKSİK"</formula>
    </cfRule>
    <cfRule type="cellIs" rank="0" priority="5" equalAverage="0" operator="equal" aboveAverage="0" dxfId="8" text="" percent="0" bottom="0">
      <formula>"OK"</formula>
    </cfRule>
  </conditionalFormatting>
  <dataValidations count="2">
    <dataValidation sqref="D6:D1000" showDropDown="0" showInputMessage="1" showErrorMessage="1" allowBlank="1" errorTitle="Geçersiz Tür" error="Lütfen listeden bir teminat türü seçin." promptTitle="Teminat Türü" prompt="Listeden teminat türünü seçin." type="list" errorStyle="stop" operator="between">
      <formula1>ListeTeminatTuru</formula1>
      <formula2>0</formula2>
    </dataValidation>
    <dataValidation sqref="G6:G1000" showDropDown="0" showInputMessage="1" showErrorMessage="1" allowBlank="1" errorTitle="Geçersiz Birim" error="Lütfen geçerli bir para birimi girin." promptTitle="Para Birimi" prompt="TRY, USD veya EUR seçin." type="list" errorStyle="stop" operator="between">
      <formula1>ListeParaBirimi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 filterMode="0">
    <tabColor rgb="0060A5FA"/>
    <outlinePr summaryBelow="1" summaryRight="1"/>
    <pageSetUpPr fitToPage="0"/>
  </sheetPr>
  <dimension ref="A1:AC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3.5" customWidth="1" style="76" min="1" max="1"/>
    <col width="18.5" customWidth="1" style="76" min="2" max="2"/>
    <col width="24" customWidth="1" style="76" min="3" max="3"/>
    <col width="14" customWidth="1" style="76" min="4" max="4"/>
    <col width="15.5" customWidth="1" style="76" min="5" max="5"/>
    <col width="11.5" customWidth="1" style="76" min="6" max="6"/>
    <col width="16.5" customWidth="1" style="76" min="7" max="7"/>
    <col width="17.5" customWidth="1" style="76" min="8" max="9"/>
    <col width="16.5" customWidth="1" style="50" min="9" max="9"/>
    <col width="21.5" customWidth="1" style="76" min="10" max="10"/>
    <col width="11.5" customWidth="1" style="76" min="11" max="11"/>
    <col width="13" customWidth="1" style="50" min="12" max="12"/>
    <col width="13" customWidth="1" style="50" min="13" max="13"/>
    <col width="13" customWidth="1" style="50" min="14" max="14"/>
  </cols>
  <sheetData>
    <row r="1" ht="32" customHeight="1" s="50">
      <c r="A1" s="455" t="inlineStr">
        <is>
          <t>YENI TEKLIFLER — BANKA, KREDİ VE TAKSİT TAKİP SİSTEMİ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  <c r="J1" s="434" t="n"/>
      <c r="K1" s="434" t="n"/>
    </row>
    <row r="2" ht="7.8" customHeight="1" s="50"/>
    <row r="3" ht="22" customHeight="1" s="50">
      <c r="A3" s="456" t="inlineStr">
        <is>
          <t>YENİ KREDİ TEKLİFLERİ — tutar, faiz, masraf ve aylık taksit karşılaştırması.</t>
        </is>
      </c>
    </row>
    <row r="4" ht="10" customHeight="1" s="50"/>
    <row r="5" ht="30" customHeight="1" s="50">
      <c r="A5" s="86" t="inlineStr">
        <is>
          <t>Teklif ID</t>
        </is>
      </c>
      <c r="B5" s="86" t="inlineStr">
        <is>
          <t>Hedef Kredi ID</t>
        </is>
      </c>
      <c r="C5" s="86" t="inlineStr">
        <is>
          <t>Banka</t>
        </is>
      </c>
      <c r="D5" s="86" t="inlineStr">
        <is>
          <t>Tutar</t>
        </is>
      </c>
      <c r="E5" s="86" t="inlineStr">
        <is>
          <t>Para Birimi</t>
        </is>
      </c>
      <c r="F5" s="86" t="inlineStr">
        <is>
          <t>Vade Ay</t>
        </is>
      </c>
      <c r="G5" s="86" t="inlineStr">
        <is>
          <t>Nominal Faiz</t>
        </is>
      </c>
      <c r="H5" s="86" t="inlineStr">
        <is>
          <t>Toplam Masraf</t>
        </is>
      </c>
      <c r="I5" s="86" t="inlineStr">
        <is>
          <t>Aylık Taksit</t>
        </is>
      </c>
      <c r="J5" s="86" t="inlineStr">
        <is>
          <t>Öngörülen Maliyet</t>
        </is>
      </c>
      <c r="K5" s="86" t="inlineStr">
        <is>
          <t>Kontrol</t>
        </is>
      </c>
    </row>
    <row r="6" ht="15" customHeight="1" s="50">
      <c r="A6" s="87" t="inlineStr">
        <is>
          <t>TKL-001</t>
        </is>
      </c>
      <c r="B6" s="87" t="inlineStr">
        <is>
          <t>KRD-001</t>
        </is>
      </c>
      <c r="C6" s="87" t="inlineStr">
        <is>
          <t>QNB Finansbank</t>
        </is>
      </c>
      <c r="D6" s="91" t="n">
        <v>8600000</v>
      </c>
      <c r="E6" s="87" t="inlineStr">
        <is>
          <t>TRY</t>
        </is>
      </c>
      <c r="F6" s="88" t="n">
        <v>30</v>
      </c>
      <c r="G6" s="95" t="n">
        <v>0.36</v>
      </c>
      <c r="H6" s="91" t="n">
        <v>180000</v>
      </c>
      <c r="I6" s="92">
        <f>IF(ISBLANK($A6),"",IF($D6="","",ROUND($D6/MAX(1,$F6),0)))</f>
        <v/>
      </c>
      <c r="J6" s="92">
        <f>IF(ISBLANK($A6),"",IF($D6="","",$D6+$H6))</f>
        <v/>
      </c>
      <c r="K6" s="89">
        <f>IF(ISBLANK($A6),"",IF(OR(ISBLANK($B6),ISBLANK($C6),ISBLANK($D6),ISBLANK($E6),ISBLANK($F6),ISBLANK($G6),ISBLANK($H6)),"EKSİK","OK"))</f>
        <v/>
      </c>
    </row>
    <row r="7" ht="15" customHeight="1" s="50">
      <c r="A7" s="87" t="inlineStr">
        <is>
          <t>TKL-002</t>
        </is>
      </c>
      <c r="B7" s="87" t="inlineStr">
        <is>
          <t>KRD-002</t>
        </is>
      </c>
      <c r="C7" s="87" t="inlineStr">
        <is>
          <t>Vakıfbank</t>
        </is>
      </c>
      <c r="D7" s="91" t="n">
        <v>6200000</v>
      </c>
      <c r="E7" s="87" t="inlineStr">
        <is>
          <t>TRY</t>
        </is>
      </c>
      <c r="F7" s="88" t="n">
        <v>42</v>
      </c>
      <c r="G7" s="95" t="n">
        <v>0.34</v>
      </c>
      <c r="H7" s="91" t="n">
        <v>160000</v>
      </c>
      <c r="I7" s="92">
        <f>IF(ISBLANK($A7),"",IF($D7="","",ROUND($D7/MAX(1,$F7),0)))</f>
        <v/>
      </c>
      <c r="J7" s="92">
        <f>IF(ISBLANK($A7),"",IF($D7="","",$D7+$H7))</f>
        <v/>
      </c>
      <c r="K7" s="89">
        <f>IF(ISBLANK($A7),"",IF(OR(ISBLANK($B7),ISBLANK($C7),ISBLANK($D7),ISBLANK($E7),ISBLANK($F7),ISBLANK($G7),ISBLANK($H7)),"EKSİK","OK"))</f>
        <v/>
      </c>
    </row>
    <row r="8" ht="15" customHeight="1" s="50">
      <c r="A8" s="87" t="inlineStr">
        <is>
          <t>TKL-003</t>
        </is>
      </c>
      <c r="B8" s="87" t="inlineStr">
        <is>
          <t>KRD-003</t>
        </is>
      </c>
      <c r="C8" s="87" t="inlineStr">
        <is>
          <t>Halkbank</t>
        </is>
      </c>
      <c r="D8" s="91" t="n">
        <v>190000</v>
      </c>
      <c r="E8" s="87" t="inlineStr">
        <is>
          <t>USD</t>
        </is>
      </c>
      <c r="F8" s="88" t="n">
        <v>24</v>
      </c>
      <c r="G8" s="95" t="n">
        <v>0.08500000000000001</v>
      </c>
      <c r="H8" s="91" t="n">
        <v>6000</v>
      </c>
      <c r="I8" s="92">
        <f>IF(ISBLANK($A8),"",IF($D8="","",ROUND($D8/MAX(1,$F8),0)))</f>
        <v/>
      </c>
      <c r="J8" s="92">
        <f>IF(ISBLANK($A8),"",IF($D8="","",$D8+$H8))</f>
        <v/>
      </c>
      <c r="K8" s="89">
        <f>IF(ISBLANK($A8),"",IF(OR(ISBLANK($B8),ISBLANK($C8),ISBLANK($D8),ISBLANK($E8),ISBLANK($F8),ISBLANK($G8),ISBLANK($H8)),"EKSİK","OK"))</f>
        <v/>
      </c>
    </row>
    <row r="9" ht="15" customHeight="1" s="50">
      <c r="A9" s="90" t="n"/>
      <c r="B9" s="90" t="n"/>
      <c r="C9" s="90" t="n"/>
      <c r="D9" s="90" t="n"/>
      <c r="E9" s="90" t="n"/>
      <c r="F9" s="90" t="n"/>
      <c r="G9" s="90" t="n"/>
      <c r="H9" s="90" t="n"/>
      <c r="I9" s="92">
        <f>IF(ISBLANK($A9),"",IF($D9="","",ROUND($D9/MAX(1,$F9),0)))</f>
        <v/>
      </c>
      <c r="J9" s="92">
        <f>IF(ISBLANK($A9),"",IF($D9="","",$D9+$H9))</f>
        <v/>
      </c>
      <c r="K9" s="89">
        <f>IF(ISBLANK($A9),"",IF(OR(ISBLANK($B9),ISBLANK($C9),ISBLANK($D9),ISBLANK($E9),ISBLANK($F9),ISBLANK($G9),ISBLANK($H9)),"EKSİK","OK"))</f>
        <v/>
      </c>
    </row>
    <row r="10" ht="15" customHeight="1" s="50">
      <c r="A10" s="90" t="n"/>
      <c r="B10" s="90" t="n"/>
      <c r="C10" s="90" t="n"/>
      <c r="D10" s="90" t="n"/>
      <c r="E10" s="90" t="n"/>
      <c r="F10" s="90" t="n"/>
      <c r="G10" s="90" t="n"/>
      <c r="H10" s="90" t="n"/>
      <c r="I10" s="92">
        <f>IF(ISBLANK($A10),"",IF($D10="","",ROUND($D10/MAX(1,$F10),0)))</f>
        <v/>
      </c>
      <c r="J10" s="92">
        <f>IF(ISBLANK($A10),"",IF($D10="","",$D10+$H10))</f>
        <v/>
      </c>
      <c r="K10" s="89">
        <f>IF(ISBLANK($A10),"",IF(OR(ISBLANK($B10),ISBLANK($C10),ISBLANK($D10),ISBLANK($E10),ISBLANK($F10),ISBLANK($G10),ISBLANK($H10)),"EKSİK","OK"))</f>
        <v/>
      </c>
    </row>
    <row r="11" ht="15" customHeight="1" s="50">
      <c r="A11" s="90" t="n"/>
      <c r="B11" s="90" t="n"/>
      <c r="C11" s="90" t="n"/>
      <c r="D11" s="90" t="n"/>
      <c r="E11" s="90" t="n"/>
      <c r="F11" s="90" t="n"/>
      <c r="G11" s="90" t="n"/>
      <c r="H11" s="90" t="n"/>
      <c r="I11" s="92">
        <f>IF(ISBLANK($A11),"",IF($D11="","",ROUND($D11/MAX(1,$F11),0)))</f>
        <v/>
      </c>
      <c r="J11" s="92">
        <f>IF(ISBLANK($A11),"",IF($D11="","",$D11+$H11))</f>
        <v/>
      </c>
      <c r="K11" s="89">
        <f>IF(ISBLANK($A11),"",IF(OR(ISBLANK($B11),ISBLANK($C11),ISBLANK($D11),ISBLANK($E11),ISBLANK($F11),ISBLANK($G11),ISBLANK($H11)),"EKSİK","OK"))</f>
        <v/>
      </c>
    </row>
    <row r="12" ht="15" customHeight="1" s="50">
      <c r="A12" s="90" t="n"/>
      <c r="B12" s="90" t="n"/>
      <c r="C12" s="90" t="n"/>
      <c r="D12" s="90" t="n"/>
      <c r="E12" s="90" t="n"/>
      <c r="F12" s="90" t="n"/>
      <c r="G12" s="90" t="n"/>
      <c r="H12" s="90" t="n"/>
      <c r="I12" s="92">
        <f>IF(ISBLANK($A12),"",IF($D12="","",ROUND($D12/MAX(1,$F12),0)))</f>
        <v/>
      </c>
      <c r="J12" s="92">
        <f>IF(ISBLANK($A12),"",IF($D12="","",$D12+$H12))</f>
        <v/>
      </c>
      <c r="K12" s="89">
        <f>IF(ISBLANK($A12),"",IF(OR(ISBLANK($B12),ISBLANK($C12),ISBLANK($D12),ISBLANK($E12),ISBLANK($F12),ISBLANK($G12),ISBLANK($H12)),"EKSİK","OK"))</f>
        <v/>
      </c>
    </row>
    <row r="13" ht="15" customHeight="1" s="50">
      <c r="A13" s="90" t="n"/>
      <c r="B13" s="90" t="n"/>
      <c r="C13" s="90" t="n"/>
      <c r="D13" s="90" t="n"/>
      <c r="E13" s="90" t="n"/>
      <c r="F13" s="90" t="n"/>
      <c r="G13" s="90" t="n"/>
      <c r="H13" s="90" t="n"/>
      <c r="I13" s="92">
        <f>IF(ISBLANK($A13),"",IF($D13="","",ROUND($D13/MAX(1,$F13),0)))</f>
        <v/>
      </c>
      <c r="J13" s="92">
        <f>IF(ISBLANK($A13),"",IF($D13="","",$D13+$H13))</f>
        <v/>
      </c>
      <c r="K13" s="89">
        <f>IF(ISBLANK($A13),"",IF(OR(ISBLANK($B13),ISBLANK($C13),ISBLANK($D13),ISBLANK($E13),ISBLANK($F13),ISBLANK($G13),ISBLANK($H13)),"EKSİK","OK"))</f>
        <v/>
      </c>
    </row>
    <row r="14" ht="15" customHeight="1" s="50">
      <c r="A14" s="90" t="n"/>
      <c r="B14" s="90" t="n"/>
      <c r="C14" s="90" t="n"/>
      <c r="D14" s="90" t="n"/>
      <c r="E14" s="90" t="n"/>
      <c r="F14" s="90" t="n"/>
      <c r="G14" s="90" t="n"/>
      <c r="H14" s="90" t="n"/>
      <c r="I14" s="92">
        <f>IF(ISBLANK($A14),"",IF($D14="","",ROUND($D14/MAX(1,$F14),0)))</f>
        <v/>
      </c>
      <c r="J14" s="92">
        <f>IF(ISBLANK($A14),"",IF($D14="","",$D14+$H14))</f>
        <v/>
      </c>
      <c r="K14" s="89">
        <f>IF(ISBLANK($A14),"",IF(OR(ISBLANK($B14),ISBLANK($C14),ISBLANK($D14),ISBLANK($E14),ISBLANK($F14),ISBLANK($G14),ISBLANK($H14)),"EKSİK","OK"))</f>
        <v/>
      </c>
    </row>
    <row r="15" ht="15" customHeight="1" s="50">
      <c r="A15" s="90" t="n"/>
      <c r="B15" s="90" t="n"/>
      <c r="C15" s="90" t="n"/>
      <c r="D15" s="90" t="n"/>
      <c r="E15" s="90" t="n"/>
      <c r="F15" s="90" t="n"/>
      <c r="G15" s="90" t="n"/>
      <c r="H15" s="90" t="n"/>
      <c r="I15" s="92">
        <f>IF(ISBLANK($A15),"",IF($D15="","",ROUND($D15/MAX(1,$F15),0)))</f>
        <v/>
      </c>
      <c r="J15" s="92">
        <f>IF(ISBLANK($A15),"",IF($D15="","",$D15+$H15))</f>
        <v/>
      </c>
      <c r="K15" s="89">
        <f>IF(ISBLANK($A15),"",IF(OR(ISBLANK($B15),ISBLANK($C15),ISBLANK($D15),ISBLANK($E15),ISBLANK($F15),ISBLANK($G15),ISBLANK($H15)),"EKSİK","OK"))</f>
        <v/>
      </c>
    </row>
    <row r="16" ht="15" customHeight="1" s="50">
      <c r="A16" s="90" t="n"/>
      <c r="B16" s="90" t="n"/>
      <c r="C16" s="90" t="n"/>
      <c r="D16" s="90" t="n"/>
      <c r="E16" s="90" t="n"/>
      <c r="F16" s="90" t="n"/>
      <c r="G16" s="90" t="n"/>
      <c r="H16" s="90" t="n"/>
      <c r="I16" s="92">
        <f>IF(ISBLANK($A16),"",IF($D16="","",ROUND($D16/MAX(1,$F16),0)))</f>
        <v/>
      </c>
      <c r="J16" s="92">
        <f>IF(ISBLANK($A16),"",IF($D16="","",$D16+$H16))</f>
        <v/>
      </c>
      <c r="K16" s="89">
        <f>IF(ISBLANK($A16),"",IF(OR(ISBLANK($B16),ISBLANK($C16),ISBLANK($D16),ISBLANK($E16),ISBLANK($F16),ISBLANK($G16),ISBLANK($H16)),"EKSİK","OK"))</f>
        <v/>
      </c>
    </row>
    <row r="17" ht="15" customHeight="1" s="50">
      <c r="A17" s="90" t="n"/>
      <c r="B17" s="90" t="n"/>
      <c r="C17" s="90" t="n"/>
      <c r="D17" s="90" t="n"/>
      <c r="E17" s="90" t="n"/>
      <c r="F17" s="90" t="n"/>
      <c r="G17" s="90" t="n"/>
      <c r="H17" s="90" t="n"/>
      <c r="I17" s="92">
        <f>IF(ISBLANK($A17),"",IF($D17="","",ROUND($D17/MAX(1,$F17),0)))</f>
        <v/>
      </c>
      <c r="J17" s="92">
        <f>IF(ISBLANK($A17),"",IF($D17="","",$D17+$H17))</f>
        <v/>
      </c>
      <c r="K17" s="89">
        <f>IF(ISBLANK($A17),"",IF(OR(ISBLANK($B17),ISBLANK($C17),ISBLANK($D17),ISBLANK($E17),ISBLANK($F17),ISBLANK($G17),ISBLANK($H17)),"EKSİK","OK"))</f>
        <v/>
      </c>
    </row>
    <row r="18" ht="15" customHeight="1" s="50">
      <c r="A18" s="90" t="n"/>
      <c r="B18" s="90" t="n"/>
      <c r="C18" s="90" t="n"/>
      <c r="D18" s="90" t="n"/>
      <c r="E18" s="90" t="n"/>
      <c r="F18" s="90" t="n"/>
      <c r="G18" s="90" t="n"/>
      <c r="H18" s="90" t="n"/>
      <c r="I18" s="92">
        <f>IF(ISBLANK($A18),"",IF($D18="","",ROUND($D18/MAX(1,$F18),0)))</f>
        <v/>
      </c>
      <c r="J18" s="92">
        <f>IF(ISBLANK($A18),"",IF($D18="","",$D18+$H18))</f>
        <v/>
      </c>
      <c r="K18" s="89">
        <f>IF(ISBLANK($A18),"",IF(OR(ISBLANK($B18),ISBLANK($C18),ISBLANK($D18),ISBLANK($E18),ISBLANK($F18),ISBLANK($G18),ISBLANK($H18)),"EKSİK","OK"))</f>
        <v/>
      </c>
    </row>
    <row r="19" ht="15" customHeight="1" s="50">
      <c r="A19" s="90" t="n"/>
      <c r="B19" s="90" t="n"/>
      <c r="C19" s="90" t="n"/>
      <c r="D19" s="90" t="n"/>
      <c r="E19" s="90" t="n"/>
      <c r="F19" s="90" t="n"/>
      <c r="G19" s="90" t="n"/>
      <c r="H19" s="90" t="n"/>
      <c r="I19" s="92">
        <f>IF(ISBLANK($A19),"",IF($D19="","",ROUND($D19/MAX(1,$F19),0)))</f>
        <v/>
      </c>
      <c r="J19" s="92">
        <f>IF(ISBLANK($A19),"",IF($D19="","",$D19+$H19))</f>
        <v/>
      </c>
      <c r="K19" s="89">
        <f>IF(ISBLANK($A19),"",IF(OR(ISBLANK($B19),ISBLANK($C19),ISBLANK($D19),ISBLANK($E19),ISBLANK($F19),ISBLANK($G19),ISBLANK($H19)),"EKSİK","OK"))</f>
        <v/>
      </c>
    </row>
    <row r="20" ht="15" customHeight="1" s="50">
      <c r="A20" s="90" t="n"/>
      <c r="B20" s="90" t="n"/>
      <c r="C20" s="90" t="n"/>
      <c r="D20" s="90" t="n"/>
      <c r="E20" s="90" t="n"/>
      <c r="F20" s="90" t="n"/>
      <c r="G20" s="90" t="n"/>
      <c r="H20" s="90" t="n"/>
      <c r="I20" s="92">
        <f>IF(ISBLANK($A20),"",IF($D20="","",ROUND($D20/MAX(1,$F20),0)))</f>
        <v/>
      </c>
      <c r="J20" s="92">
        <f>IF(ISBLANK($A20),"",IF($D20="","",$D20+$H20))</f>
        <v/>
      </c>
      <c r="K20" s="89">
        <f>IF(ISBLANK($A20),"",IF(OR(ISBLANK($B20),ISBLANK($C20),ISBLANK($D20),ISBLANK($E20),ISBLANK($F20),ISBLANK($G20),ISBLANK($H20)),"EKSİK","OK"))</f>
        <v/>
      </c>
    </row>
    <row r="21" ht="15" customHeight="1" s="50">
      <c r="A21" s="90" t="n"/>
      <c r="B21" s="90" t="n"/>
      <c r="C21" s="90" t="n"/>
      <c r="D21" s="90" t="n"/>
      <c r="E21" s="90" t="n"/>
      <c r="F21" s="90" t="n"/>
      <c r="G21" s="90" t="n"/>
      <c r="H21" s="90" t="n"/>
      <c r="I21" s="92">
        <f>IF(ISBLANK($A21),"",IF($D21="","",ROUND($D21/MAX(1,$F21),0)))</f>
        <v/>
      </c>
      <c r="J21" s="92">
        <f>IF(ISBLANK($A21),"",IF($D21="","",$D21+$H21))</f>
        <v/>
      </c>
      <c r="K21" s="89">
        <f>IF(ISBLANK($A21),"",IF(OR(ISBLANK($B21),ISBLANK($C21),ISBLANK($D21),ISBLANK($E21),ISBLANK($F21),ISBLANK($G21),ISBLANK($H21)),"EKSİK","OK"))</f>
        <v/>
      </c>
    </row>
    <row r="22" ht="15" customHeight="1" s="50">
      <c r="A22" s="90" t="n"/>
      <c r="B22" s="90" t="n"/>
      <c r="C22" s="90" t="n"/>
      <c r="D22" s="90" t="n"/>
      <c r="E22" s="90" t="n"/>
      <c r="F22" s="90" t="n"/>
      <c r="G22" s="90" t="n"/>
      <c r="H22" s="90" t="n"/>
      <c r="I22" s="92">
        <f>IF(ISBLANK($A22),"",IF($D22="","",ROUND($D22/MAX(1,$F22),0)))</f>
        <v/>
      </c>
      <c r="J22" s="92">
        <f>IF(ISBLANK($A22),"",IF($D22="","",$D22+$H22))</f>
        <v/>
      </c>
      <c r="K22" s="89">
        <f>IF(ISBLANK($A22),"",IF(OR(ISBLANK($B22),ISBLANK($C22),ISBLANK($D22),ISBLANK($E22),ISBLANK($F22),ISBLANK($G22),ISBLANK($H22)),"EKSİK","OK"))</f>
        <v/>
      </c>
    </row>
    <row r="23" ht="15" customHeight="1" s="50">
      <c r="A23" s="90" t="n"/>
      <c r="B23" s="90" t="n"/>
      <c r="C23" s="90" t="n"/>
      <c r="D23" s="90" t="n"/>
      <c r="E23" s="90" t="n"/>
      <c r="F23" s="90" t="n"/>
      <c r="G23" s="90" t="n"/>
      <c r="H23" s="90" t="n"/>
      <c r="I23" s="92">
        <f>IF(ISBLANK($A23),"",IF($D23="","",ROUND($D23/MAX(1,$F23),0)))</f>
        <v/>
      </c>
      <c r="J23" s="92">
        <f>IF(ISBLANK($A23),"",IF($D23="","",$D23+$H23))</f>
        <v/>
      </c>
      <c r="K23" s="89">
        <f>IF(ISBLANK($A23),"",IF(OR(ISBLANK($B23),ISBLANK($C23),ISBLANK($D23),ISBLANK($E23),ISBLANK($F23),ISBLANK($G23),ISBLANK($H23)),"EKSİK","OK"))</f>
        <v/>
      </c>
    </row>
    <row r="24" ht="15" customHeight="1" s="50">
      <c r="A24" s="90" t="n"/>
      <c r="B24" s="90" t="n"/>
      <c r="C24" s="90" t="n"/>
      <c r="D24" s="90" t="n"/>
      <c r="E24" s="90" t="n"/>
      <c r="F24" s="90" t="n"/>
      <c r="G24" s="90" t="n"/>
      <c r="H24" s="90" t="n"/>
      <c r="I24" s="92">
        <f>IF(ISBLANK($A24),"",IF($D24="","",ROUND($D24/MAX(1,$F24),0)))</f>
        <v/>
      </c>
      <c r="J24" s="92">
        <f>IF(ISBLANK($A24),"",IF($D24="","",$D24+$H24))</f>
        <v/>
      </c>
      <c r="K24" s="89">
        <f>IF(ISBLANK($A24),"",IF(OR(ISBLANK($B24),ISBLANK($C24),ISBLANK($D24),ISBLANK($E24),ISBLANK($F24),ISBLANK($G24),ISBLANK($H24)),"EKSİK","OK"))</f>
        <v/>
      </c>
    </row>
    <row r="25" ht="15" customHeight="1" s="50">
      <c r="A25" s="90" t="n"/>
      <c r="B25" s="90" t="n"/>
      <c r="C25" s="90" t="n"/>
      <c r="D25" s="90" t="n"/>
      <c r="E25" s="90" t="n"/>
      <c r="F25" s="90" t="n"/>
      <c r="G25" s="90" t="n"/>
      <c r="H25" s="90" t="n"/>
      <c r="I25" s="92">
        <f>IF(ISBLANK($A25),"",IF($D25="","",ROUND($D25/MAX(1,$F25),0)))</f>
        <v/>
      </c>
      <c r="J25" s="92">
        <f>IF(ISBLANK($A25),"",IF($D25="","",$D25+$H25))</f>
        <v/>
      </c>
      <c r="K25" s="89">
        <f>IF(ISBLANK($A25),"",IF(OR(ISBLANK($B25),ISBLANK($C25),ISBLANK($D25),ISBLANK($E25),ISBLANK($F25),ISBLANK($G25),ISBLANK($H25)),"EKSİK","OK"))</f>
        <v/>
      </c>
    </row>
    <row r="26" ht="15" customHeight="1" s="50">
      <c r="A26" s="90" t="n"/>
      <c r="B26" s="90" t="n"/>
      <c r="C26" s="90" t="n"/>
      <c r="D26" s="90" t="n"/>
      <c r="E26" s="90" t="n"/>
      <c r="F26" s="90" t="n"/>
      <c r="G26" s="90" t="n"/>
      <c r="H26" s="90" t="n"/>
      <c r="I26" s="92">
        <f>IF(ISBLANK($A26),"",IF($D26="","",ROUND($D26/MAX(1,$F26),0)))</f>
        <v/>
      </c>
      <c r="J26" s="92">
        <f>IF(ISBLANK($A26),"",IF($D26="","",$D26+$H26))</f>
        <v/>
      </c>
      <c r="K26" s="89">
        <f>IF(ISBLANK($A26),"",IF(OR(ISBLANK($B26),ISBLANK($C26),ISBLANK($D26),ISBLANK($E26),ISBLANK($F26),ISBLANK($G26),ISBLANK($H26)),"EKSİK","OK"))</f>
        <v/>
      </c>
    </row>
    <row r="27" ht="15" customHeight="1" s="50">
      <c r="A27" s="90" t="n"/>
      <c r="B27" s="90" t="n"/>
      <c r="C27" s="90" t="n"/>
      <c r="D27" s="90" t="n"/>
      <c r="E27" s="90" t="n"/>
      <c r="F27" s="90" t="n"/>
      <c r="G27" s="90" t="n"/>
      <c r="H27" s="90" t="n"/>
      <c r="I27" s="92">
        <f>IF(ISBLANK($A27),"",IF($D27="","",ROUND($D27/MAX(1,$F27),0)))</f>
        <v/>
      </c>
      <c r="J27" s="92">
        <f>IF(ISBLANK($A27),"",IF($D27="","",$D27+$H27))</f>
        <v/>
      </c>
      <c r="K27" s="89">
        <f>IF(ISBLANK($A27),"",IF(OR(ISBLANK($B27),ISBLANK($C27),ISBLANK($D27),ISBLANK($E27),ISBLANK($F27),ISBLANK($G27),ISBLANK($H27)),"EKSİK","OK"))</f>
        <v/>
      </c>
    </row>
    <row r="28" ht="15" customHeight="1" s="50">
      <c r="A28" s="90" t="n"/>
      <c r="B28" s="90" t="n"/>
      <c r="C28" s="90" t="n"/>
      <c r="D28" s="90" t="n"/>
      <c r="E28" s="90" t="n"/>
      <c r="F28" s="90" t="n"/>
      <c r="G28" s="90" t="n"/>
      <c r="H28" s="90" t="n"/>
      <c r="I28" s="92">
        <f>IF(ISBLANK($A28),"",IF($D28="","",ROUND($D28/MAX(1,$F28),0)))</f>
        <v/>
      </c>
      <c r="J28" s="92">
        <f>IF(ISBLANK($A28),"",IF($D28="","",$D28+$H28))</f>
        <v/>
      </c>
      <c r="K28" s="89">
        <f>IF(ISBLANK($A28),"",IF(OR(ISBLANK($B28),ISBLANK($C28),ISBLANK($D28),ISBLANK($E28),ISBLANK($F28),ISBLANK($G28),ISBLANK($H28)),"EKSİK","OK"))</f>
        <v/>
      </c>
    </row>
    <row r="29" ht="15" customHeight="1" s="50">
      <c r="A29" s="90" t="n"/>
      <c r="B29" s="90" t="n"/>
      <c r="C29" s="90" t="n"/>
      <c r="D29" s="90" t="n"/>
      <c r="E29" s="90" t="n"/>
      <c r="F29" s="90" t="n"/>
      <c r="G29" s="90" t="n"/>
      <c r="H29" s="90" t="n"/>
      <c r="I29" s="92">
        <f>IF(ISBLANK($A29),"",IF($D29="","",ROUND($D29/MAX(1,$F29),0)))</f>
        <v/>
      </c>
      <c r="J29" s="92">
        <f>IF(ISBLANK($A29),"",IF($D29="","",$D29+$H29))</f>
        <v/>
      </c>
      <c r="K29" s="89">
        <f>IF(ISBLANK($A29),"",IF(OR(ISBLANK($B29),ISBLANK($C29),ISBLANK($D29),ISBLANK($E29),ISBLANK($F29),ISBLANK($G29),ISBLANK($H29)),"EKSİK","OK"))</f>
        <v/>
      </c>
    </row>
    <row r="30" ht="15" customHeight="1" s="50">
      <c r="A30" s="90" t="n"/>
      <c r="B30" s="90" t="n"/>
      <c r="C30" s="90" t="n"/>
      <c r="D30" s="90" t="n"/>
      <c r="E30" s="90" t="n"/>
      <c r="F30" s="90" t="n"/>
      <c r="G30" s="90" t="n"/>
      <c r="H30" s="90" t="n"/>
      <c r="I30" s="92">
        <f>IF(ISBLANK($A30),"",IF($D30="","",ROUND($D30/MAX(1,$F30),0)))</f>
        <v/>
      </c>
      <c r="J30" s="92">
        <f>IF(ISBLANK($A30),"",IF($D30="","",$D30+$H30))</f>
        <v/>
      </c>
      <c r="K30" s="89">
        <f>IF(ISBLANK($A30),"",IF(OR(ISBLANK($B30),ISBLANK($C30),ISBLANK($D30),ISBLANK($E30),ISBLANK($F30),ISBLANK($G30),ISBLANK($H30)),"EKSİK","OK"))</f>
        <v/>
      </c>
    </row>
    <row r="31" ht="15" customHeight="1" s="50">
      <c r="A31" s="90" t="n"/>
      <c r="B31" s="90" t="n"/>
      <c r="C31" s="90" t="n"/>
      <c r="D31" s="90" t="n"/>
      <c r="E31" s="90" t="n"/>
      <c r="F31" s="90" t="n"/>
      <c r="G31" s="90" t="n"/>
      <c r="H31" s="90" t="n"/>
      <c r="I31" s="92">
        <f>IF(ISBLANK($A31),"",IF($D31="","",ROUND($D31/MAX(1,$F31),0)))</f>
        <v/>
      </c>
      <c r="J31" s="92">
        <f>IF(ISBLANK($A31),"",IF($D31="","",$D31+$H31))</f>
        <v/>
      </c>
      <c r="K31" s="89">
        <f>IF(ISBLANK($A31),"",IF(OR(ISBLANK($B31),ISBLANK($C31),ISBLANK($D31),ISBLANK($E31),ISBLANK($F31),ISBLANK($G31),ISBLANK($H31)),"EKSİK","OK"))</f>
        <v/>
      </c>
    </row>
    <row r="32" ht="15" customHeight="1" s="50">
      <c r="A32" s="90" t="n"/>
      <c r="B32" s="90" t="n"/>
      <c r="C32" s="90" t="n"/>
      <c r="D32" s="90" t="n"/>
      <c r="E32" s="90" t="n"/>
      <c r="F32" s="90" t="n"/>
      <c r="G32" s="90" t="n"/>
      <c r="H32" s="90" t="n"/>
      <c r="I32" s="92">
        <f>IF(ISBLANK($A32),"",IF($D32="","",ROUND($D32/MAX(1,$F32),0)))</f>
        <v/>
      </c>
      <c r="J32" s="92">
        <f>IF(ISBLANK($A32),"",IF($D32="","",$D32+$H32))</f>
        <v/>
      </c>
      <c r="K32" s="89">
        <f>IF(ISBLANK($A32),"",IF(OR(ISBLANK($B32),ISBLANK($C32),ISBLANK($D32),ISBLANK($E32),ISBLANK($F32),ISBLANK($G32),ISBLANK($H32)),"EKSİK","OK"))</f>
        <v/>
      </c>
    </row>
    <row r="33" ht="15" customHeight="1" s="50">
      <c r="A33" s="90" t="n"/>
      <c r="B33" s="90" t="n"/>
      <c r="C33" s="90" t="n"/>
      <c r="D33" s="90" t="n"/>
      <c r="E33" s="90" t="n"/>
      <c r="F33" s="90" t="n"/>
      <c r="G33" s="90" t="n"/>
      <c r="H33" s="90" t="n"/>
      <c r="I33" s="92">
        <f>IF(ISBLANK($A33),"",IF($D33="","",ROUND($D33/MAX(1,$F33),0)))</f>
        <v/>
      </c>
      <c r="J33" s="92">
        <f>IF(ISBLANK($A33),"",IF($D33="","",$D33+$H33))</f>
        <v/>
      </c>
      <c r="K33" s="89">
        <f>IF(ISBLANK($A33),"",IF(OR(ISBLANK($B33),ISBLANK($C33),ISBLANK($D33),ISBLANK($E33),ISBLANK($F33),ISBLANK($G33),ISBLANK($H33)),"EKSİK","OK"))</f>
        <v/>
      </c>
    </row>
    <row r="34" ht="15" customHeight="1" s="50">
      <c r="A34" s="90" t="n"/>
      <c r="B34" s="90" t="n"/>
      <c r="C34" s="90" t="n"/>
      <c r="D34" s="90" t="n"/>
      <c r="E34" s="90" t="n"/>
      <c r="F34" s="90" t="n"/>
      <c r="G34" s="90" t="n"/>
      <c r="H34" s="90" t="n"/>
      <c r="I34" s="92">
        <f>IF(ISBLANK($A34),"",IF($D34="","",ROUND($D34/MAX(1,$F34),0)))</f>
        <v/>
      </c>
      <c r="J34" s="92">
        <f>IF(ISBLANK($A34),"",IF($D34="","",$D34+$H34))</f>
        <v/>
      </c>
      <c r="K34" s="89">
        <f>IF(ISBLANK($A34),"",IF(OR(ISBLANK($B34),ISBLANK($C34),ISBLANK($D34),ISBLANK($E34),ISBLANK($F34),ISBLANK($G34),ISBLANK($H34)),"EKSİK","OK"))</f>
        <v/>
      </c>
    </row>
    <row r="35" ht="15" customHeight="1" s="50">
      <c r="A35" s="90" t="n"/>
      <c r="B35" s="90" t="n"/>
      <c r="C35" s="90" t="n"/>
      <c r="D35" s="90" t="n"/>
      <c r="E35" s="90" t="n"/>
      <c r="F35" s="90" t="n"/>
      <c r="G35" s="90" t="n"/>
      <c r="H35" s="90" t="n"/>
      <c r="I35" s="92">
        <f>IF(ISBLANK($A35),"",IF($D35="","",ROUND($D35/MAX(1,$F35),0)))</f>
        <v/>
      </c>
      <c r="J35" s="92">
        <f>IF(ISBLANK($A35),"",IF($D35="","",$D35+$H35))</f>
        <v/>
      </c>
      <c r="K35" s="89">
        <f>IF(ISBLANK($A35),"",IF(OR(ISBLANK($B35),ISBLANK($C35),ISBLANK($D35),ISBLANK($E35),ISBLANK($F35),ISBLANK($G35),ISBLANK($H35)),"EKSİK","OK"))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K1"/>
    <mergeCell ref="A3:K3"/>
  </mergeCells>
  <conditionalFormatting sqref="G6:G1000">
    <cfRule type="cellIs" rank="0" priority="2" equalAverage="0" operator="greaterThan" aboveAverage="0" dxfId="10" text="" percent="0" bottom="0">
      <formula>0.4</formula>
    </cfRule>
  </conditionalFormatting>
  <conditionalFormatting sqref="J6:J1000">
    <cfRule type="cellIs" rank="0" priority="3" equalAverage="0" operator="lessThanOrEqual" aboveAverage="0" dxfId="9" text="" percent="0" bottom="0">
      <formula>0</formula>
    </cfRule>
  </conditionalFormatting>
  <conditionalFormatting sqref="K6:K1000">
    <cfRule type="cellIs" rank="0" priority="4" equalAverage="0" operator="equal" aboveAverage="0" dxfId="9" text="" percent="0" bottom="0">
      <formula>"EKSİK"</formula>
    </cfRule>
    <cfRule type="cellIs" rank="0" priority="5" equalAverage="0" operator="equal" aboveAverage="0" dxfId="8" text="" percent="0" bottom="0">
      <formula>"OK"</formula>
    </cfRule>
  </conditionalFormatting>
  <dataValidations count="1">
    <dataValidation sqref="E6:E1000" showDropDown="0" showInputMessage="1" showErrorMessage="1" allowBlank="1" errorTitle="Geçersiz Birim" error="Lütfen geçerli bir para birimi girin." promptTitle="Para Birimi" prompt="TRY, USD veya EUR seçin." type="list" errorStyle="stop" operator="between">
      <formula1>ListeParaBirimi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tabColor rgb="007C3AED"/>
    <outlinePr summaryBelow="1" summaryRight="1"/>
    <pageSetUpPr fitToPage="0"/>
  </sheetPr>
  <dimension ref="A1:AC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76" min="1" max="1"/>
    <col width="18.5" customWidth="1" style="76" min="2" max="2"/>
    <col width="23.5" customWidth="1" style="76" min="3" max="3"/>
    <col width="21.5" customWidth="1" style="76" min="4" max="6"/>
    <col width="22.5" customWidth="1" style="50" min="5" max="5"/>
    <col width="21.5" customWidth="1" style="50" min="6" max="6"/>
    <col width="23.5" customWidth="1" style="76" min="7" max="8"/>
    <col width="24.5" customWidth="1" style="50" min="8" max="8"/>
    <col width="14" customWidth="1" style="76" min="9" max="9"/>
    <col width="14" customWidth="1" style="76" min="10" max="10"/>
    <col width="13" customWidth="1" style="50" min="11" max="11"/>
    <col width="13" customWidth="1" style="50" min="12" max="12"/>
    <col width="13" customWidth="1" style="50" min="13" max="13"/>
    <col width="13" customWidth="1" style="50" min="14" max="14"/>
  </cols>
  <sheetData>
    <row r="1" ht="32" customHeight="1" s="50">
      <c r="A1" s="455" t="inlineStr">
        <is>
          <t>REFINANSMAN — KURUMSAL BANKA VE BORÇ YÖNETİMİ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  <c r="J1" s="434" t="n"/>
    </row>
    <row r="2" ht="7.8" customHeight="1" s="50"/>
    <row r="3" ht="22" customHeight="1" s="50">
      <c r="A3" s="456" t="inlineStr">
        <is>
          <t>REFİNANSMAN ANALİZİ — aylık taksit rahatlaması ve toplam maliyet.</t>
        </is>
      </c>
    </row>
    <row r="4" ht="10" customHeight="1" s="50"/>
    <row r="5" ht="28" customHeight="1" s="50">
      <c r="A5" s="307" t="inlineStr">
        <is>
          <t>Teklif ID</t>
        </is>
      </c>
      <c r="B5" s="307" t="inlineStr">
        <is>
          <t>Hedef Kredi ID</t>
        </is>
      </c>
      <c r="C5" s="307" t="inlineStr">
        <is>
          <t>Mevcut Aylık Taksit</t>
        </is>
      </c>
      <c r="D5" s="307" t="inlineStr">
        <is>
          <t>Yeni Aylık Taksit</t>
        </is>
      </c>
      <c r="E5" s="307" t="inlineStr">
        <is>
          <t>Aylık Taksit Farkı</t>
        </is>
      </c>
      <c r="F5" s="307" t="inlineStr">
        <is>
          <t>Nakit Rahatlaması</t>
        </is>
      </c>
      <c r="G5" s="307" t="inlineStr">
        <is>
          <t>Yeni Toplam Maliyet</t>
        </is>
      </c>
      <c r="H5" s="307" t="inlineStr">
        <is>
          <t>Mevcut Kalan Anapara</t>
        </is>
      </c>
      <c r="I5" s="307" t="inlineStr">
        <is>
          <t>Karar</t>
        </is>
      </c>
      <c r="J5" s="307" t="inlineStr">
        <is>
          <t>Kontrol</t>
        </is>
      </c>
    </row>
    <row r="6" ht="22" customHeight="1" s="50">
      <c r="A6" s="311">
        <f>IF(ISBLANK(YENI_TEKLIFLER!$A6),"",YENI_TEKLIFLER!$A6)</f>
        <v/>
      </c>
      <c r="B6" s="311">
        <f>IF(ISBLANK(YENI_TEKLIFLER!$A6),"",YENI_TEKLIFLER!$B6)</f>
        <v/>
      </c>
      <c r="C6" s="321">
        <f>IF(ISBLANK(YENI_TEKLIFLER!$A6),"",SUMIFS(TAKSIT_PLANI!$I$6:$I$1000,TAKSIT_PLANI!$B$6:$B$1000,YENI_TEKLIFLER!$B6,TAKSIT_PLANI!$C$6:$C$1000,1))</f>
        <v/>
      </c>
      <c r="D6" s="321">
        <f>IF(ISBLANK(YENI_TEKLIFLER!$A6),"",YENI_TEKLIFLER!$I6)</f>
        <v/>
      </c>
      <c r="E6" s="321">
        <f>IF(ISBLANK(YENI_TEKLIFLER!$A6),"",$C6-$D6)</f>
        <v/>
      </c>
      <c r="F6" s="321">
        <f>IF(ISBLANK(YENI_TEKLIFLER!$A6),"",MAX(0,$E6))</f>
        <v/>
      </c>
      <c r="G6" s="321">
        <f>IF(ISBLANK(YENI_TEKLIFLER!$A6),"",YENI_TEKLIFLER!$J6)</f>
        <v/>
      </c>
      <c r="H6" s="321">
        <f>IF(ISBLANK(YENI_TEKLIFLER!$A6),"",INDEX(KREDILER!$H$6:$H$1000,MATCH(YENI_TEKLIFLER!$B6,KREDILER!$A$6:$A$1000,0)))</f>
        <v/>
      </c>
      <c r="I6" s="311">
        <f>IF(ISBLANK(YENI_TEKLIFLER!$A6),"",IF($E6&gt;0,"ADAY","DEĞİL"))</f>
        <v/>
      </c>
      <c r="J6" s="311">
        <f>IF(ISBLANK(YENI_TEKLIFLER!$A6),"",IF(OR(ISBLANK($B6),ISBLANK($C6),ISBLANK($D6),ISBLANK($E6),ISBLANK($F6),ISBLANK($G6),ISBLANK($H6)),"EKSİK","OK"))</f>
        <v/>
      </c>
    </row>
    <row r="7" ht="22" customHeight="1" s="50">
      <c r="A7" s="315">
        <f>IF(ISBLANK(YENI_TEKLIFLER!$A7),"",YENI_TEKLIFLER!$A7)</f>
        <v/>
      </c>
      <c r="B7" s="315">
        <f>IF(ISBLANK(YENI_TEKLIFLER!$A7),"",YENI_TEKLIFLER!$B7)</f>
        <v/>
      </c>
      <c r="C7" s="324">
        <f>IF(ISBLANK(YENI_TEKLIFLER!$A7),"",SUMIFS(TAKSIT_PLANI!$I$6:$I$1000,TAKSIT_PLANI!$B$6:$B$1000,YENI_TEKLIFLER!$B7,TAKSIT_PLANI!$C$6:$C$1000,1))</f>
        <v/>
      </c>
      <c r="D7" s="324">
        <f>IF(ISBLANK(YENI_TEKLIFLER!$A7),"",YENI_TEKLIFLER!$I7)</f>
        <v/>
      </c>
      <c r="E7" s="324">
        <f>IF(ISBLANK(YENI_TEKLIFLER!$A7),"",$C7-$D7)</f>
        <v/>
      </c>
      <c r="F7" s="324">
        <f>IF(ISBLANK(YENI_TEKLIFLER!$A7),"",MAX(0,$E7))</f>
        <v/>
      </c>
      <c r="G7" s="324">
        <f>IF(ISBLANK(YENI_TEKLIFLER!$A7),"",YENI_TEKLIFLER!$J7)</f>
        <v/>
      </c>
      <c r="H7" s="324">
        <f>IF(ISBLANK(YENI_TEKLIFLER!$A7),"",INDEX(KREDILER!$H$6:$H$1000,MATCH(YENI_TEKLIFLER!$B7,KREDILER!$A$6:$A$1000,0)))</f>
        <v/>
      </c>
      <c r="I7" s="315">
        <f>IF(ISBLANK(YENI_TEKLIFLER!$A7),"",IF($E7&gt;0,"ADAY","DEĞİL"))</f>
        <v/>
      </c>
      <c r="J7" s="315">
        <f>IF(ISBLANK(YENI_TEKLIFLER!$A7),"",IF(OR(ISBLANK($B7),ISBLANK($C7),ISBLANK($D7),ISBLANK($E7),ISBLANK($F7),ISBLANK($G7),ISBLANK($H7)),"EKSİK","OK"))</f>
        <v/>
      </c>
    </row>
    <row r="8" ht="22" customHeight="1" s="50">
      <c r="A8" s="311">
        <f>IF(ISBLANK(YENI_TEKLIFLER!$A8),"",YENI_TEKLIFLER!$A8)</f>
        <v/>
      </c>
      <c r="B8" s="311">
        <f>IF(ISBLANK(YENI_TEKLIFLER!$A8),"",YENI_TEKLIFLER!$B8)</f>
        <v/>
      </c>
      <c r="C8" s="321">
        <f>IF(ISBLANK(YENI_TEKLIFLER!$A8),"",SUMIFS(TAKSIT_PLANI!$I$6:$I$1000,TAKSIT_PLANI!$B$6:$B$1000,YENI_TEKLIFLER!$B8,TAKSIT_PLANI!$C$6:$C$1000,1))</f>
        <v/>
      </c>
      <c r="D8" s="321">
        <f>IF(ISBLANK(YENI_TEKLIFLER!$A8),"",YENI_TEKLIFLER!$I8)</f>
        <v/>
      </c>
      <c r="E8" s="321">
        <f>IF(ISBLANK(YENI_TEKLIFLER!$A8),"",$C8-$D8)</f>
        <v/>
      </c>
      <c r="F8" s="321">
        <f>IF(ISBLANK(YENI_TEKLIFLER!$A8),"",MAX(0,$E8))</f>
        <v/>
      </c>
      <c r="G8" s="321">
        <f>IF(ISBLANK(YENI_TEKLIFLER!$A8),"",YENI_TEKLIFLER!$J8)</f>
        <v/>
      </c>
      <c r="H8" s="321">
        <f>IF(ISBLANK(YENI_TEKLIFLER!$A8),"",INDEX(KREDILER!$H$6:$H$1000,MATCH(YENI_TEKLIFLER!$B8,KREDILER!$A$6:$A$1000,0)))</f>
        <v/>
      </c>
      <c r="I8" s="311">
        <f>IF(ISBLANK(YENI_TEKLIFLER!$A8),"",IF($E8&gt;0,"ADAY","DEĞİL"))</f>
        <v/>
      </c>
      <c r="J8" s="311">
        <f>IF(ISBLANK(YENI_TEKLIFLER!$A8),"",IF(OR(ISBLANK($B8),ISBLANK($C8),ISBLANK($D8),ISBLANK($E8),ISBLANK($F8),ISBLANK($G8),ISBLANK($H8)),"EKSİK","OK"))</f>
        <v/>
      </c>
    </row>
    <row r="9" ht="22" customHeight="1" s="50">
      <c r="A9" s="315">
        <f>IF(ISBLANK(YENI_TEKLIFLER!$A9),"",YENI_TEKLIFLER!$A9)</f>
        <v/>
      </c>
      <c r="B9" s="315">
        <f>IF(ISBLANK(YENI_TEKLIFLER!$A9),"",YENI_TEKLIFLER!$B9)</f>
        <v/>
      </c>
      <c r="C9" s="324">
        <f>IF(ISBLANK(YENI_TEKLIFLER!$A9),"",SUMIFS(TAKSIT_PLANI!$I$6:$I$1000,TAKSIT_PLANI!$B$6:$B$1000,YENI_TEKLIFLER!$B9,TAKSIT_PLANI!$C$6:$C$1000,1))</f>
        <v/>
      </c>
      <c r="D9" s="324">
        <f>IF(ISBLANK(YENI_TEKLIFLER!$A9),"",YENI_TEKLIFLER!$I9)</f>
        <v/>
      </c>
      <c r="E9" s="324">
        <f>IF(ISBLANK(YENI_TEKLIFLER!$A9),"",$C9-$D9)</f>
        <v/>
      </c>
      <c r="F9" s="324">
        <f>IF(ISBLANK(YENI_TEKLIFLER!$A9),"",MAX(0,$E9))</f>
        <v/>
      </c>
      <c r="G9" s="324">
        <f>IF(ISBLANK(YENI_TEKLIFLER!$A9),"",YENI_TEKLIFLER!$J9)</f>
        <v/>
      </c>
      <c r="H9" s="324">
        <f>IF(ISBLANK(YENI_TEKLIFLER!$A9),"",INDEX(KREDILER!$H$6:$H$1000,MATCH(YENI_TEKLIFLER!$B9,KREDILER!$A$6:$A$1000,0)))</f>
        <v/>
      </c>
      <c r="I9" s="315">
        <f>IF(ISBLANK(YENI_TEKLIFLER!$A9),"",IF($E9&gt;0,"ADAY","DEĞİL"))</f>
        <v/>
      </c>
      <c r="J9" s="315">
        <f>IF(ISBLANK(YENI_TEKLIFLER!$A9),"",IF(OR(ISBLANK($B9),ISBLANK($C9),ISBLANK($D9),ISBLANK($E9),ISBLANK($F9),ISBLANK($G9),ISBLANK($H9)),"EKSİK","OK"))</f>
        <v/>
      </c>
    </row>
    <row r="10" ht="22" customHeight="1" s="50">
      <c r="A10" s="311">
        <f>IF(ISBLANK(YENI_TEKLIFLER!$A10),"",YENI_TEKLIFLER!$A10)</f>
        <v/>
      </c>
      <c r="B10" s="311">
        <f>IF(ISBLANK(YENI_TEKLIFLER!$A10),"",YENI_TEKLIFLER!$B10)</f>
        <v/>
      </c>
      <c r="C10" s="321">
        <f>IF(ISBLANK(YENI_TEKLIFLER!$A10),"",SUMIFS(TAKSIT_PLANI!$I$6:$I$1000,TAKSIT_PLANI!$B$6:$B$1000,YENI_TEKLIFLER!$B10,TAKSIT_PLANI!$C$6:$C$1000,1))</f>
        <v/>
      </c>
      <c r="D10" s="321">
        <f>IF(ISBLANK(YENI_TEKLIFLER!$A10),"",YENI_TEKLIFLER!$I10)</f>
        <v/>
      </c>
      <c r="E10" s="321">
        <f>IF(ISBLANK(YENI_TEKLIFLER!$A10),"",$C10-$D10)</f>
        <v/>
      </c>
      <c r="F10" s="321">
        <f>IF(ISBLANK(YENI_TEKLIFLER!$A10),"",MAX(0,$E10))</f>
        <v/>
      </c>
      <c r="G10" s="321">
        <f>IF(ISBLANK(YENI_TEKLIFLER!$A10),"",YENI_TEKLIFLER!$J10)</f>
        <v/>
      </c>
      <c r="H10" s="321">
        <f>IF(ISBLANK(YENI_TEKLIFLER!$A10),"",INDEX(KREDILER!$H$6:$H$1000,MATCH(YENI_TEKLIFLER!$B10,KREDILER!$A$6:$A$1000,0)))</f>
        <v/>
      </c>
      <c r="I10" s="311">
        <f>IF(ISBLANK(YENI_TEKLIFLER!$A10),"",IF($E10&gt;0,"ADAY","DEĞİL"))</f>
        <v/>
      </c>
      <c r="J10" s="311">
        <f>IF(ISBLANK(YENI_TEKLIFLER!$A10),"",IF(OR(ISBLANK($B10),ISBLANK($C10),ISBLANK($D10),ISBLANK($E10),ISBLANK($F10),ISBLANK($G10),ISBLANK($H10)),"EKSİK","OK"))</f>
        <v/>
      </c>
    </row>
    <row r="11" ht="22" customHeight="1" s="50">
      <c r="A11" s="315">
        <f>IF(ISBLANK(YENI_TEKLIFLER!$A11),"",YENI_TEKLIFLER!$A11)</f>
        <v/>
      </c>
      <c r="B11" s="315">
        <f>IF(ISBLANK(YENI_TEKLIFLER!$A11),"",YENI_TEKLIFLER!$B11)</f>
        <v/>
      </c>
      <c r="C11" s="324">
        <f>IF(ISBLANK(YENI_TEKLIFLER!$A11),"",SUMIFS(TAKSIT_PLANI!$I$6:$I$1000,TAKSIT_PLANI!$B$6:$B$1000,YENI_TEKLIFLER!$B11,TAKSIT_PLANI!$C$6:$C$1000,1))</f>
        <v/>
      </c>
      <c r="D11" s="324">
        <f>IF(ISBLANK(YENI_TEKLIFLER!$A11),"",YENI_TEKLIFLER!$I11)</f>
        <v/>
      </c>
      <c r="E11" s="324">
        <f>IF(ISBLANK(YENI_TEKLIFLER!$A11),"",$C11-$D11)</f>
        <v/>
      </c>
      <c r="F11" s="324">
        <f>IF(ISBLANK(YENI_TEKLIFLER!$A11),"",MAX(0,$E11))</f>
        <v/>
      </c>
      <c r="G11" s="324">
        <f>IF(ISBLANK(YENI_TEKLIFLER!$A11),"",YENI_TEKLIFLER!$J11)</f>
        <v/>
      </c>
      <c r="H11" s="324">
        <f>IF(ISBLANK(YENI_TEKLIFLER!$A11),"",INDEX(KREDILER!$H$6:$H$1000,MATCH(YENI_TEKLIFLER!$B11,KREDILER!$A$6:$A$1000,0)))</f>
        <v/>
      </c>
      <c r="I11" s="315">
        <f>IF(ISBLANK(YENI_TEKLIFLER!$A11),"",IF($E11&gt;0,"ADAY","DEĞİL"))</f>
        <v/>
      </c>
      <c r="J11" s="315">
        <f>IF(ISBLANK(YENI_TEKLIFLER!$A11),"",IF(OR(ISBLANK($B11),ISBLANK($C11),ISBLANK($D11),ISBLANK($E11),ISBLANK($F11),ISBLANK($G11),ISBLANK($H11)),"EKSİK","OK"))</f>
        <v/>
      </c>
    </row>
    <row r="12" ht="22" customHeight="1" s="50">
      <c r="A12" s="311">
        <f>IF(ISBLANK(YENI_TEKLIFLER!$A12),"",YENI_TEKLIFLER!$A12)</f>
        <v/>
      </c>
      <c r="B12" s="311">
        <f>IF(ISBLANK(YENI_TEKLIFLER!$A12),"",YENI_TEKLIFLER!$B12)</f>
        <v/>
      </c>
      <c r="C12" s="321">
        <f>IF(ISBLANK(YENI_TEKLIFLER!$A12),"",SUMIFS(TAKSIT_PLANI!$I$6:$I$1000,TAKSIT_PLANI!$B$6:$B$1000,YENI_TEKLIFLER!$B12,TAKSIT_PLANI!$C$6:$C$1000,1))</f>
        <v/>
      </c>
      <c r="D12" s="321">
        <f>IF(ISBLANK(YENI_TEKLIFLER!$A12),"",YENI_TEKLIFLER!$I12)</f>
        <v/>
      </c>
      <c r="E12" s="321">
        <f>IF(ISBLANK(YENI_TEKLIFLER!$A12),"",$C12-$D12)</f>
        <v/>
      </c>
      <c r="F12" s="321">
        <f>IF(ISBLANK(YENI_TEKLIFLER!$A12),"",MAX(0,$E12))</f>
        <v/>
      </c>
      <c r="G12" s="321">
        <f>IF(ISBLANK(YENI_TEKLIFLER!$A12),"",YENI_TEKLIFLER!$J12)</f>
        <v/>
      </c>
      <c r="H12" s="321">
        <f>IF(ISBLANK(YENI_TEKLIFLER!$A12),"",INDEX(KREDILER!$H$6:$H$1000,MATCH(YENI_TEKLIFLER!$B12,KREDILER!$A$6:$A$1000,0)))</f>
        <v/>
      </c>
      <c r="I12" s="311">
        <f>IF(ISBLANK(YENI_TEKLIFLER!$A12),"",IF($E12&gt;0,"ADAY","DEĞİL"))</f>
        <v/>
      </c>
      <c r="J12" s="311">
        <f>IF(ISBLANK(YENI_TEKLIFLER!$A12),"",IF(OR(ISBLANK($B12),ISBLANK($C12),ISBLANK($D12),ISBLANK($E12),ISBLANK($F12),ISBLANK($G12),ISBLANK($H12)),"EKSİK","OK"))</f>
        <v/>
      </c>
    </row>
    <row r="13" ht="22" customHeight="1" s="50">
      <c r="A13" s="315">
        <f>IF(ISBLANK(YENI_TEKLIFLER!$A13),"",YENI_TEKLIFLER!$A13)</f>
        <v/>
      </c>
      <c r="B13" s="315">
        <f>IF(ISBLANK(YENI_TEKLIFLER!$A13),"",YENI_TEKLIFLER!$B13)</f>
        <v/>
      </c>
      <c r="C13" s="324">
        <f>IF(ISBLANK(YENI_TEKLIFLER!$A13),"",SUMIFS(TAKSIT_PLANI!$I$6:$I$1000,TAKSIT_PLANI!$B$6:$B$1000,YENI_TEKLIFLER!$B13,TAKSIT_PLANI!$C$6:$C$1000,1))</f>
        <v/>
      </c>
      <c r="D13" s="324">
        <f>IF(ISBLANK(YENI_TEKLIFLER!$A13),"",YENI_TEKLIFLER!$I13)</f>
        <v/>
      </c>
      <c r="E13" s="324">
        <f>IF(ISBLANK(YENI_TEKLIFLER!$A13),"",$C13-$D13)</f>
        <v/>
      </c>
      <c r="F13" s="324">
        <f>IF(ISBLANK(YENI_TEKLIFLER!$A13),"",MAX(0,$E13))</f>
        <v/>
      </c>
      <c r="G13" s="324">
        <f>IF(ISBLANK(YENI_TEKLIFLER!$A13),"",YENI_TEKLIFLER!$J13)</f>
        <v/>
      </c>
      <c r="H13" s="324">
        <f>IF(ISBLANK(YENI_TEKLIFLER!$A13),"",INDEX(KREDILER!$H$6:$H$1000,MATCH(YENI_TEKLIFLER!$B13,KREDILER!$A$6:$A$1000,0)))</f>
        <v/>
      </c>
      <c r="I13" s="315">
        <f>IF(ISBLANK(YENI_TEKLIFLER!$A13),"",IF($E13&gt;0,"ADAY","DEĞİL"))</f>
        <v/>
      </c>
      <c r="J13" s="315">
        <f>IF(ISBLANK(YENI_TEKLIFLER!$A13),"",IF(OR(ISBLANK($B13),ISBLANK($C13),ISBLANK($D13),ISBLANK($E13),ISBLANK($F13),ISBLANK($G13),ISBLANK($H13)),"EKSİK","OK"))</f>
        <v/>
      </c>
    </row>
    <row r="14" ht="22" customHeight="1" s="50">
      <c r="A14" s="311">
        <f>IF(ISBLANK(YENI_TEKLIFLER!$A14),"",YENI_TEKLIFLER!$A14)</f>
        <v/>
      </c>
      <c r="B14" s="311">
        <f>IF(ISBLANK(YENI_TEKLIFLER!$A14),"",YENI_TEKLIFLER!$B14)</f>
        <v/>
      </c>
      <c r="C14" s="321">
        <f>IF(ISBLANK(YENI_TEKLIFLER!$A14),"",SUMIFS(TAKSIT_PLANI!$I$6:$I$1000,TAKSIT_PLANI!$B$6:$B$1000,YENI_TEKLIFLER!$B14,TAKSIT_PLANI!$C$6:$C$1000,1))</f>
        <v/>
      </c>
      <c r="D14" s="321">
        <f>IF(ISBLANK(YENI_TEKLIFLER!$A14),"",YENI_TEKLIFLER!$I14)</f>
        <v/>
      </c>
      <c r="E14" s="321">
        <f>IF(ISBLANK(YENI_TEKLIFLER!$A14),"",$C14-$D14)</f>
        <v/>
      </c>
      <c r="F14" s="321">
        <f>IF(ISBLANK(YENI_TEKLIFLER!$A14),"",MAX(0,$E14))</f>
        <v/>
      </c>
      <c r="G14" s="321">
        <f>IF(ISBLANK(YENI_TEKLIFLER!$A14),"",YENI_TEKLIFLER!$J14)</f>
        <v/>
      </c>
      <c r="H14" s="321">
        <f>IF(ISBLANK(YENI_TEKLIFLER!$A14),"",INDEX(KREDILER!$H$6:$H$1000,MATCH(YENI_TEKLIFLER!$B14,KREDILER!$A$6:$A$1000,0)))</f>
        <v/>
      </c>
      <c r="I14" s="311">
        <f>IF(ISBLANK(YENI_TEKLIFLER!$A14),"",IF($E14&gt;0,"ADAY","DEĞİL"))</f>
        <v/>
      </c>
      <c r="J14" s="311">
        <f>IF(ISBLANK(YENI_TEKLIFLER!$A14),"",IF(OR(ISBLANK($B14),ISBLANK($C14),ISBLANK($D14),ISBLANK($E14),ISBLANK($F14),ISBLANK($G14),ISBLANK($H14)),"EKSİK","OK"))</f>
        <v/>
      </c>
    </row>
    <row r="15" ht="22" customHeight="1" s="50">
      <c r="A15" s="315">
        <f>IF(ISBLANK(YENI_TEKLIFLER!$A15),"",YENI_TEKLIFLER!$A15)</f>
        <v/>
      </c>
      <c r="B15" s="315">
        <f>IF(ISBLANK(YENI_TEKLIFLER!$A15),"",YENI_TEKLIFLER!$B15)</f>
        <v/>
      </c>
      <c r="C15" s="324">
        <f>IF(ISBLANK(YENI_TEKLIFLER!$A15),"",SUMIFS(TAKSIT_PLANI!$I$6:$I$1000,TAKSIT_PLANI!$B$6:$B$1000,YENI_TEKLIFLER!$B15,TAKSIT_PLANI!$C$6:$C$1000,1))</f>
        <v/>
      </c>
      <c r="D15" s="324">
        <f>IF(ISBLANK(YENI_TEKLIFLER!$A15),"",YENI_TEKLIFLER!$I15)</f>
        <v/>
      </c>
      <c r="E15" s="324">
        <f>IF(ISBLANK(YENI_TEKLIFLER!$A15),"",$C15-$D15)</f>
        <v/>
      </c>
      <c r="F15" s="324">
        <f>IF(ISBLANK(YENI_TEKLIFLER!$A15),"",MAX(0,$E15))</f>
        <v/>
      </c>
      <c r="G15" s="324">
        <f>IF(ISBLANK(YENI_TEKLIFLER!$A15),"",YENI_TEKLIFLER!$J15)</f>
        <v/>
      </c>
      <c r="H15" s="324">
        <f>IF(ISBLANK(YENI_TEKLIFLER!$A15),"",INDEX(KREDILER!$H$6:$H$1000,MATCH(YENI_TEKLIFLER!$B15,KREDILER!$A$6:$A$1000,0)))</f>
        <v/>
      </c>
      <c r="I15" s="315">
        <f>IF(ISBLANK(YENI_TEKLIFLER!$A15),"",IF($E15&gt;0,"ADAY","DEĞİL"))</f>
        <v/>
      </c>
      <c r="J15" s="315">
        <f>IF(ISBLANK(YENI_TEKLIFLER!$A15),"",IF(OR(ISBLANK($B15),ISBLANK($C15),ISBLANK($D15),ISBLANK($E15),ISBLANK($F15),ISBLANK($G15),ISBLANK($H15)),"EKSİK","OK"))</f>
        <v/>
      </c>
    </row>
    <row r="16" ht="22" customHeight="1" s="50">
      <c r="A16" s="311">
        <f>IF(ISBLANK(YENI_TEKLIFLER!$A16),"",YENI_TEKLIFLER!$A16)</f>
        <v/>
      </c>
      <c r="B16" s="311">
        <f>IF(ISBLANK(YENI_TEKLIFLER!$A16),"",YENI_TEKLIFLER!$B16)</f>
        <v/>
      </c>
      <c r="C16" s="321">
        <f>IF(ISBLANK(YENI_TEKLIFLER!$A16),"",SUMIFS(TAKSIT_PLANI!$I$6:$I$1000,TAKSIT_PLANI!$B$6:$B$1000,YENI_TEKLIFLER!$B16,TAKSIT_PLANI!$C$6:$C$1000,1))</f>
        <v/>
      </c>
      <c r="D16" s="321">
        <f>IF(ISBLANK(YENI_TEKLIFLER!$A16),"",YENI_TEKLIFLER!$I16)</f>
        <v/>
      </c>
      <c r="E16" s="321">
        <f>IF(ISBLANK(YENI_TEKLIFLER!$A16),"",$C16-$D16)</f>
        <v/>
      </c>
      <c r="F16" s="321">
        <f>IF(ISBLANK(YENI_TEKLIFLER!$A16),"",MAX(0,$E16))</f>
        <v/>
      </c>
      <c r="G16" s="321">
        <f>IF(ISBLANK(YENI_TEKLIFLER!$A16),"",YENI_TEKLIFLER!$J16)</f>
        <v/>
      </c>
      <c r="H16" s="321">
        <f>IF(ISBLANK(YENI_TEKLIFLER!$A16),"",INDEX(KREDILER!$H$6:$H$1000,MATCH(YENI_TEKLIFLER!$B16,KREDILER!$A$6:$A$1000,0)))</f>
        <v/>
      </c>
      <c r="I16" s="311">
        <f>IF(ISBLANK(YENI_TEKLIFLER!$A16),"",IF($E16&gt;0,"ADAY","DEĞİL"))</f>
        <v/>
      </c>
      <c r="J16" s="311">
        <f>IF(ISBLANK(YENI_TEKLIFLER!$A16),"",IF(OR(ISBLANK($B16),ISBLANK($C16),ISBLANK($D16),ISBLANK($E16),ISBLANK($F16),ISBLANK($G16),ISBLANK($H16)),"EKSİK","OK"))</f>
        <v/>
      </c>
    </row>
    <row r="17" ht="22" customHeight="1" s="50">
      <c r="A17" s="315">
        <f>IF(ISBLANK(YENI_TEKLIFLER!$A17),"",YENI_TEKLIFLER!$A17)</f>
        <v/>
      </c>
      <c r="B17" s="315">
        <f>IF(ISBLANK(YENI_TEKLIFLER!$A17),"",YENI_TEKLIFLER!$B17)</f>
        <v/>
      </c>
      <c r="C17" s="324">
        <f>IF(ISBLANK(YENI_TEKLIFLER!$A17),"",SUMIFS(TAKSIT_PLANI!$I$6:$I$1000,TAKSIT_PLANI!$B$6:$B$1000,YENI_TEKLIFLER!$B17,TAKSIT_PLANI!$C$6:$C$1000,1))</f>
        <v/>
      </c>
      <c r="D17" s="324">
        <f>IF(ISBLANK(YENI_TEKLIFLER!$A17),"",YENI_TEKLIFLER!$I17)</f>
        <v/>
      </c>
      <c r="E17" s="324">
        <f>IF(ISBLANK(YENI_TEKLIFLER!$A17),"",$C17-$D17)</f>
        <v/>
      </c>
      <c r="F17" s="324">
        <f>IF(ISBLANK(YENI_TEKLIFLER!$A17),"",MAX(0,$E17))</f>
        <v/>
      </c>
      <c r="G17" s="324">
        <f>IF(ISBLANK(YENI_TEKLIFLER!$A17),"",YENI_TEKLIFLER!$J17)</f>
        <v/>
      </c>
      <c r="H17" s="324">
        <f>IF(ISBLANK(YENI_TEKLIFLER!$A17),"",INDEX(KREDILER!$H$6:$H$1000,MATCH(YENI_TEKLIFLER!$B17,KREDILER!$A$6:$A$1000,0)))</f>
        <v/>
      </c>
      <c r="I17" s="315">
        <f>IF(ISBLANK(YENI_TEKLIFLER!$A17),"",IF($E17&gt;0,"ADAY","DEĞİL"))</f>
        <v/>
      </c>
      <c r="J17" s="315">
        <f>IF(ISBLANK(YENI_TEKLIFLER!$A17),"",IF(OR(ISBLANK($B17),ISBLANK($C17),ISBLANK($D17),ISBLANK($E17),ISBLANK($F17),ISBLANK($G17),ISBLANK($H17)),"EKSİK","OK"))</f>
        <v/>
      </c>
    </row>
    <row r="18" ht="22" customHeight="1" s="50">
      <c r="A18" s="311">
        <f>IF(ISBLANK(YENI_TEKLIFLER!$A18),"",YENI_TEKLIFLER!$A18)</f>
        <v/>
      </c>
      <c r="B18" s="311">
        <f>IF(ISBLANK(YENI_TEKLIFLER!$A18),"",YENI_TEKLIFLER!$B18)</f>
        <v/>
      </c>
      <c r="C18" s="321">
        <f>IF(ISBLANK(YENI_TEKLIFLER!$A18),"",SUMIFS(TAKSIT_PLANI!$I$6:$I$1000,TAKSIT_PLANI!$B$6:$B$1000,YENI_TEKLIFLER!$B18,TAKSIT_PLANI!$C$6:$C$1000,1))</f>
        <v/>
      </c>
      <c r="D18" s="321">
        <f>IF(ISBLANK(YENI_TEKLIFLER!$A18),"",YENI_TEKLIFLER!$I18)</f>
        <v/>
      </c>
      <c r="E18" s="321">
        <f>IF(ISBLANK(YENI_TEKLIFLER!$A18),"",$C18-$D18)</f>
        <v/>
      </c>
      <c r="F18" s="321">
        <f>IF(ISBLANK(YENI_TEKLIFLER!$A18),"",MAX(0,$E18))</f>
        <v/>
      </c>
      <c r="G18" s="321">
        <f>IF(ISBLANK(YENI_TEKLIFLER!$A18),"",YENI_TEKLIFLER!$J18)</f>
        <v/>
      </c>
      <c r="H18" s="321">
        <f>IF(ISBLANK(YENI_TEKLIFLER!$A18),"",INDEX(KREDILER!$H$6:$H$1000,MATCH(YENI_TEKLIFLER!$B18,KREDILER!$A$6:$A$1000,0)))</f>
        <v/>
      </c>
      <c r="I18" s="311">
        <f>IF(ISBLANK(YENI_TEKLIFLER!$A18),"",IF($E18&gt;0,"ADAY","DEĞİL"))</f>
        <v/>
      </c>
      <c r="J18" s="311">
        <f>IF(ISBLANK(YENI_TEKLIFLER!$A18),"",IF(OR(ISBLANK($B18),ISBLANK($C18),ISBLANK($D18),ISBLANK($E18),ISBLANK($F18),ISBLANK($G18),ISBLANK($H18)),"EKSİK","OK"))</f>
        <v/>
      </c>
    </row>
    <row r="19" ht="22" customHeight="1" s="50">
      <c r="A19" s="315">
        <f>IF(ISBLANK(YENI_TEKLIFLER!$A19),"",YENI_TEKLIFLER!$A19)</f>
        <v/>
      </c>
      <c r="B19" s="315">
        <f>IF(ISBLANK(YENI_TEKLIFLER!$A19),"",YENI_TEKLIFLER!$B19)</f>
        <v/>
      </c>
      <c r="C19" s="324">
        <f>IF(ISBLANK(YENI_TEKLIFLER!$A19),"",SUMIFS(TAKSIT_PLANI!$I$6:$I$1000,TAKSIT_PLANI!$B$6:$B$1000,YENI_TEKLIFLER!$B19,TAKSIT_PLANI!$C$6:$C$1000,1))</f>
        <v/>
      </c>
      <c r="D19" s="324">
        <f>IF(ISBLANK(YENI_TEKLIFLER!$A19),"",YENI_TEKLIFLER!$I19)</f>
        <v/>
      </c>
      <c r="E19" s="324">
        <f>IF(ISBLANK(YENI_TEKLIFLER!$A19),"",$C19-$D19)</f>
        <v/>
      </c>
      <c r="F19" s="324">
        <f>IF(ISBLANK(YENI_TEKLIFLER!$A19),"",MAX(0,$E19))</f>
        <v/>
      </c>
      <c r="G19" s="324">
        <f>IF(ISBLANK(YENI_TEKLIFLER!$A19),"",YENI_TEKLIFLER!$J19)</f>
        <v/>
      </c>
      <c r="H19" s="324">
        <f>IF(ISBLANK(YENI_TEKLIFLER!$A19),"",INDEX(KREDILER!$H$6:$H$1000,MATCH(YENI_TEKLIFLER!$B19,KREDILER!$A$6:$A$1000,0)))</f>
        <v/>
      </c>
      <c r="I19" s="315">
        <f>IF(ISBLANK(YENI_TEKLIFLER!$A19),"",IF($E19&gt;0,"ADAY","DEĞİL"))</f>
        <v/>
      </c>
      <c r="J19" s="315">
        <f>IF(ISBLANK(YENI_TEKLIFLER!$A19),"",IF(OR(ISBLANK($B19),ISBLANK($C19),ISBLANK($D19),ISBLANK($E19),ISBLANK($F19),ISBLANK($G19),ISBLANK($H19)),"EKSİK","OK"))</f>
        <v/>
      </c>
    </row>
    <row r="20" ht="22" customHeight="1" s="50">
      <c r="A20" s="311">
        <f>IF(ISBLANK(YENI_TEKLIFLER!$A20),"",YENI_TEKLIFLER!$A20)</f>
        <v/>
      </c>
      <c r="B20" s="311">
        <f>IF(ISBLANK(YENI_TEKLIFLER!$A20),"",YENI_TEKLIFLER!$B20)</f>
        <v/>
      </c>
      <c r="C20" s="321">
        <f>IF(ISBLANK(YENI_TEKLIFLER!$A20),"",SUMIFS(TAKSIT_PLANI!$I$6:$I$1000,TAKSIT_PLANI!$B$6:$B$1000,YENI_TEKLIFLER!$B20,TAKSIT_PLANI!$C$6:$C$1000,1))</f>
        <v/>
      </c>
      <c r="D20" s="321">
        <f>IF(ISBLANK(YENI_TEKLIFLER!$A20),"",YENI_TEKLIFLER!$I20)</f>
        <v/>
      </c>
      <c r="E20" s="321">
        <f>IF(ISBLANK(YENI_TEKLIFLER!$A20),"",$C20-$D20)</f>
        <v/>
      </c>
      <c r="F20" s="321">
        <f>IF(ISBLANK(YENI_TEKLIFLER!$A20),"",MAX(0,$E20))</f>
        <v/>
      </c>
      <c r="G20" s="321">
        <f>IF(ISBLANK(YENI_TEKLIFLER!$A20),"",YENI_TEKLIFLER!$J20)</f>
        <v/>
      </c>
      <c r="H20" s="321">
        <f>IF(ISBLANK(YENI_TEKLIFLER!$A20),"",INDEX(KREDILER!$H$6:$H$1000,MATCH(YENI_TEKLIFLER!$B20,KREDILER!$A$6:$A$1000,0)))</f>
        <v/>
      </c>
      <c r="I20" s="311">
        <f>IF(ISBLANK(YENI_TEKLIFLER!$A20),"",IF($E20&gt;0,"ADAY","DEĞİL"))</f>
        <v/>
      </c>
      <c r="J20" s="311">
        <f>IF(ISBLANK(YENI_TEKLIFLER!$A20),"",IF(OR(ISBLANK($B20),ISBLANK($C20),ISBLANK($D20),ISBLANK($E20),ISBLANK($F20),ISBLANK($G20),ISBLANK($H20)),"EKSİK","OK"))</f>
        <v/>
      </c>
    </row>
    <row r="21" ht="22" customHeight="1" s="50">
      <c r="A21" s="315">
        <f>IF(ISBLANK(YENI_TEKLIFLER!$A21),"",YENI_TEKLIFLER!$A21)</f>
        <v/>
      </c>
      <c r="B21" s="315">
        <f>IF(ISBLANK(YENI_TEKLIFLER!$A21),"",YENI_TEKLIFLER!$B21)</f>
        <v/>
      </c>
      <c r="C21" s="324">
        <f>IF(ISBLANK(YENI_TEKLIFLER!$A21),"",SUMIFS(TAKSIT_PLANI!$I$6:$I$1000,TAKSIT_PLANI!$B$6:$B$1000,YENI_TEKLIFLER!$B21,TAKSIT_PLANI!$C$6:$C$1000,1))</f>
        <v/>
      </c>
      <c r="D21" s="324">
        <f>IF(ISBLANK(YENI_TEKLIFLER!$A21),"",YENI_TEKLIFLER!$I21)</f>
        <v/>
      </c>
      <c r="E21" s="324">
        <f>IF(ISBLANK(YENI_TEKLIFLER!$A21),"",$C21-$D21)</f>
        <v/>
      </c>
      <c r="F21" s="324">
        <f>IF(ISBLANK(YENI_TEKLIFLER!$A21),"",MAX(0,$E21))</f>
        <v/>
      </c>
      <c r="G21" s="324">
        <f>IF(ISBLANK(YENI_TEKLIFLER!$A21),"",YENI_TEKLIFLER!$J21)</f>
        <v/>
      </c>
      <c r="H21" s="324">
        <f>IF(ISBLANK(YENI_TEKLIFLER!$A21),"",INDEX(KREDILER!$H$6:$H$1000,MATCH(YENI_TEKLIFLER!$B21,KREDILER!$A$6:$A$1000,0)))</f>
        <v/>
      </c>
      <c r="I21" s="315">
        <f>IF(ISBLANK(YENI_TEKLIFLER!$A21),"",IF($E21&gt;0,"ADAY","DEĞİL"))</f>
        <v/>
      </c>
      <c r="J21" s="315">
        <f>IF(ISBLANK(YENI_TEKLIFLER!$A21),"",IF(OR(ISBLANK($B21),ISBLANK($C21),ISBLANK($D21),ISBLANK($E21),ISBLANK($F21),ISBLANK($G21),ISBLANK($H21)),"EKSİK","OK"))</f>
        <v/>
      </c>
    </row>
    <row r="22" ht="22" customHeight="1" s="50">
      <c r="A22" s="311">
        <f>IF(ISBLANK(YENI_TEKLIFLER!$A22),"",YENI_TEKLIFLER!$A22)</f>
        <v/>
      </c>
      <c r="B22" s="311">
        <f>IF(ISBLANK(YENI_TEKLIFLER!$A22),"",YENI_TEKLIFLER!$B22)</f>
        <v/>
      </c>
      <c r="C22" s="321">
        <f>IF(ISBLANK(YENI_TEKLIFLER!$A22),"",SUMIFS(TAKSIT_PLANI!$I$6:$I$1000,TAKSIT_PLANI!$B$6:$B$1000,YENI_TEKLIFLER!$B22,TAKSIT_PLANI!$C$6:$C$1000,1))</f>
        <v/>
      </c>
      <c r="D22" s="321">
        <f>IF(ISBLANK(YENI_TEKLIFLER!$A22),"",YENI_TEKLIFLER!$I22)</f>
        <v/>
      </c>
      <c r="E22" s="321">
        <f>IF(ISBLANK(YENI_TEKLIFLER!$A22),"",$C22-$D22)</f>
        <v/>
      </c>
      <c r="F22" s="321">
        <f>IF(ISBLANK(YENI_TEKLIFLER!$A22),"",MAX(0,$E22))</f>
        <v/>
      </c>
      <c r="G22" s="321">
        <f>IF(ISBLANK(YENI_TEKLIFLER!$A22),"",YENI_TEKLIFLER!$J22)</f>
        <v/>
      </c>
      <c r="H22" s="321">
        <f>IF(ISBLANK(YENI_TEKLIFLER!$A22),"",INDEX(KREDILER!$H$6:$H$1000,MATCH(YENI_TEKLIFLER!$B22,KREDILER!$A$6:$A$1000,0)))</f>
        <v/>
      </c>
      <c r="I22" s="311">
        <f>IF(ISBLANK(YENI_TEKLIFLER!$A22),"",IF($E22&gt;0,"ADAY","DEĞİL"))</f>
        <v/>
      </c>
      <c r="J22" s="311">
        <f>IF(ISBLANK(YENI_TEKLIFLER!$A22),"",IF(OR(ISBLANK($B22),ISBLANK($C22),ISBLANK($D22),ISBLANK($E22),ISBLANK($F22),ISBLANK($G22),ISBLANK($H22)),"EKSİK","OK"))</f>
        <v/>
      </c>
    </row>
    <row r="23" ht="22" customHeight="1" s="50">
      <c r="A23" s="315">
        <f>IF(ISBLANK(YENI_TEKLIFLER!$A23),"",YENI_TEKLIFLER!$A23)</f>
        <v/>
      </c>
      <c r="B23" s="315">
        <f>IF(ISBLANK(YENI_TEKLIFLER!$A23),"",YENI_TEKLIFLER!$B23)</f>
        <v/>
      </c>
      <c r="C23" s="324">
        <f>IF(ISBLANK(YENI_TEKLIFLER!$A23),"",SUMIFS(TAKSIT_PLANI!$I$6:$I$1000,TAKSIT_PLANI!$B$6:$B$1000,YENI_TEKLIFLER!$B23,TAKSIT_PLANI!$C$6:$C$1000,1))</f>
        <v/>
      </c>
      <c r="D23" s="324">
        <f>IF(ISBLANK(YENI_TEKLIFLER!$A23),"",YENI_TEKLIFLER!$I23)</f>
        <v/>
      </c>
      <c r="E23" s="324">
        <f>IF(ISBLANK(YENI_TEKLIFLER!$A23),"",$C23-$D23)</f>
        <v/>
      </c>
      <c r="F23" s="324">
        <f>IF(ISBLANK(YENI_TEKLIFLER!$A23),"",MAX(0,$E23))</f>
        <v/>
      </c>
      <c r="G23" s="324">
        <f>IF(ISBLANK(YENI_TEKLIFLER!$A23),"",YENI_TEKLIFLER!$J23)</f>
        <v/>
      </c>
      <c r="H23" s="324">
        <f>IF(ISBLANK(YENI_TEKLIFLER!$A23),"",INDEX(KREDILER!$H$6:$H$1000,MATCH(YENI_TEKLIFLER!$B23,KREDILER!$A$6:$A$1000,0)))</f>
        <v/>
      </c>
      <c r="I23" s="315">
        <f>IF(ISBLANK(YENI_TEKLIFLER!$A23),"",IF($E23&gt;0,"ADAY","DEĞİL"))</f>
        <v/>
      </c>
      <c r="J23" s="315">
        <f>IF(ISBLANK(YENI_TEKLIFLER!$A23),"",IF(OR(ISBLANK($B23),ISBLANK($C23),ISBLANK($D23),ISBLANK($E23),ISBLANK($F23),ISBLANK($G23),ISBLANK($H23)),"EKSİK","OK"))</f>
        <v/>
      </c>
    </row>
    <row r="24" ht="22" customHeight="1" s="50">
      <c r="A24" s="311">
        <f>IF(ISBLANK(YENI_TEKLIFLER!$A24),"",YENI_TEKLIFLER!$A24)</f>
        <v/>
      </c>
      <c r="B24" s="311">
        <f>IF(ISBLANK(YENI_TEKLIFLER!$A24),"",YENI_TEKLIFLER!$B24)</f>
        <v/>
      </c>
      <c r="C24" s="321">
        <f>IF(ISBLANK(YENI_TEKLIFLER!$A24),"",SUMIFS(TAKSIT_PLANI!$I$6:$I$1000,TAKSIT_PLANI!$B$6:$B$1000,YENI_TEKLIFLER!$B24,TAKSIT_PLANI!$C$6:$C$1000,1))</f>
        <v/>
      </c>
      <c r="D24" s="321">
        <f>IF(ISBLANK(YENI_TEKLIFLER!$A24),"",YENI_TEKLIFLER!$I24)</f>
        <v/>
      </c>
      <c r="E24" s="321">
        <f>IF(ISBLANK(YENI_TEKLIFLER!$A24),"",$C24-$D24)</f>
        <v/>
      </c>
      <c r="F24" s="321">
        <f>IF(ISBLANK(YENI_TEKLIFLER!$A24),"",MAX(0,$E24))</f>
        <v/>
      </c>
      <c r="G24" s="321">
        <f>IF(ISBLANK(YENI_TEKLIFLER!$A24),"",YENI_TEKLIFLER!$J24)</f>
        <v/>
      </c>
      <c r="H24" s="321">
        <f>IF(ISBLANK(YENI_TEKLIFLER!$A24),"",INDEX(KREDILER!$H$6:$H$1000,MATCH(YENI_TEKLIFLER!$B24,KREDILER!$A$6:$A$1000,0)))</f>
        <v/>
      </c>
      <c r="I24" s="311">
        <f>IF(ISBLANK(YENI_TEKLIFLER!$A24),"",IF($E24&gt;0,"ADAY","DEĞİL"))</f>
        <v/>
      </c>
      <c r="J24" s="311">
        <f>IF(ISBLANK(YENI_TEKLIFLER!$A24),"",IF(OR(ISBLANK($B24),ISBLANK($C24),ISBLANK($D24),ISBLANK($E24),ISBLANK($F24),ISBLANK($G24),ISBLANK($H24)),"EKSİK","OK"))</f>
        <v/>
      </c>
    </row>
    <row r="25" ht="22" customHeight="1" s="50">
      <c r="A25" s="315">
        <f>IF(ISBLANK(YENI_TEKLIFLER!$A25),"",YENI_TEKLIFLER!$A25)</f>
        <v/>
      </c>
      <c r="B25" s="315">
        <f>IF(ISBLANK(YENI_TEKLIFLER!$A25),"",YENI_TEKLIFLER!$B25)</f>
        <v/>
      </c>
      <c r="C25" s="324">
        <f>IF(ISBLANK(YENI_TEKLIFLER!$A25),"",SUMIFS(TAKSIT_PLANI!$I$6:$I$1000,TAKSIT_PLANI!$B$6:$B$1000,YENI_TEKLIFLER!$B25,TAKSIT_PLANI!$C$6:$C$1000,1))</f>
        <v/>
      </c>
      <c r="D25" s="324">
        <f>IF(ISBLANK(YENI_TEKLIFLER!$A25),"",YENI_TEKLIFLER!$I25)</f>
        <v/>
      </c>
      <c r="E25" s="324">
        <f>IF(ISBLANK(YENI_TEKLIFLER!$A25),"",$C25-$D25)</f>
        <v/>
      </c>
      <c r="F25" s="324">
        <f>IF(ISBLANK(YENI_TEKLIFLER!$A25),"",MAX(0,$E25))</f>
        <v/>
      </c>
      <c r="G25" s="324">
        <f>IF(ISBLANK(YENI_TEKLIFLER!$A25),"",YENI_TEKLIFLER!$J25)</f>
        <v/>
      </c>
      <c r="H25" s="324">
        <f>IF(ISBLANK(YENI_TEKLIFLER!$A25),"",INDEX(KREDILER!$H$6:$H$1000,MATCH(YENI_TEKLIFLER!$B25,KREDILER!$A$6:$A$1000,0)))</f>
        <v/>
      </c>
      <c r="I25" s="315">
        <f>IF(ISBLANK(YENI_TEKLIFLER!$A25),"",IF($E25&gt;0,"ADAY","DEĞİL"))</f>
        <v/>
      </c>
      <c r="J25" s="315">
        <f>IF(ISBLANK(YENI_TEKLIFLER!$A25),"",IF(OR(ISBLANK($B25),ISBLANK($C25),ISBLANK($D25),ISBLANK($E25),ISBLANK($F25),ISBLANK($G25),ISBLANK($H25)),"EKSİK","OK"))</f>
        <v/>
      </c>
    </row>
    <row r="26" ht="22" customHeight="1" s="50">
      <c r="A26" s="311">
        <f>IF(ISBLANK(YENI_TEKLIFLER!$A26),"",YENI_TEKLIFLER!$A26)</f>
        <v/>
      </c>
      <c r="B26" s="311">
        <f>IF(ISBLANK(YENI_TEKLIFLER!$A26),"",YENI_TEKLIFLER!$B26)</f>
        <v/>
      </c>
      <c r="C26" s="321">
        <f>IF(ISBLANK(YENI_TEKLIFLER!$A26),"",SUMIFS(TAKSIT_PLANI!$I$6:$I$1000,TAKSIT_PLANI!$B$6:$B$1000,YENI_TEKLIFLER!$B26,TAKSIT_PLANI!$C$6:$C$1000,1))</f>
        <v/>
      </c>
      <c r="D26" s="321">
        <f>IF(ISBLANK(YENI_TEKLIFLER!$A26),"",YENI_TEKLIFLER!$I26)</f>
        <v/>
      </c>
      <c r="E26" s="321">
        <f>IF(ISBLANK(YENI_TEKLIFLER!$A26),"",$C26-$D26)</f>
        <v/>
      </c>
      <c r="F26" s="321">
        <f>IF(ISBLANK(YENI_TEKLIFLER!$A26),"",MAX(0,$E26))</f>
        <v/>
      </c>
      <c r="G26" s="321">
        <f>IF(ISBLANK(YENI_TEKLIFLER!$A26),"",YENI_TEKLIFLER!$J26)</f>
        <v/>
      </c>
      <c r="H26" s="321">
        <f>IF(ISBLANK(YENI_TEKLIFLER!$A26),"",INDEX(KREDILER!$H$6:$H$1000,MATCH(YENI_TEKLIFLER!$B26,KREDILER!$A$6:$A$1000,0)))</f>
        <v/>
      </c>
      <c r="I26" s="311">
        <f>IF(ISBLANK(YENI_TEKLIFLER!$A26),"",IF($E26&gt;0,"ADAY","DEĞİL"))</f>
        <v/>
      </c>
      <c r="J26" s="311">
        <f>IF(ISBLANK(YENI_TEKLIFLER!$A26),"",IF(OR(ISBLANK($B26),ISBLANK($C26),ISBLANK($D26),ISBLANK($E26),ISBLANK($F26),ISBLANK($G26),ISBLANK($H26)),"EKSİK","OK"))</f>
        <v/>
      </c>
    </row>
    <row r="27" ht="22" customHeight="1" s="50">
      <c r="A27" s="315">
        <f>IF(ISBLANK(YENI_TEKLIFLER!$A27),"",YENI_TEKLIFLER!$A27)</f>
        <v/>
      </c>
      <c r="B27" s="315">
        <f>IF(ISBLANK(YENI_TEKLIFLER!$A27),"",YENI_TEKLIFLER!$B27)</f>
        <v/>
      </c>
      <c r="C27" s="324">
        <f>IF(ISBLANK(YENI_TEKLIFLER!$A27),"",SUMIFS(TAKSIT_PLANI!$I$6:$I$1000,TAKSIT_PLANI!$B$6:$B$1000,YENI_TEKLIFLER!$B27,TAKSIT_PLANI!$C$6:$C$1000,1))</f>
        <v/>
      </c>
      <c r="D27" s="324">
        <f>IF(ISBLANK(YENI_TEKLIFLER!$A27),"",YENI_TEKLIFLER!$I27)</f>
        <v/>
      </c>
      <c r="E27" s="324">
        <f>IF(ISBLANK(YENI_TEKLIFLER!$A27),"",$C27-$D27)</f>
        <v/>
      </c>
      <c r="F27" s="324">
        <f>IF(ISBLANK(YENI_TEKLIFLER!$A27),"",MAX(0,$E27))</f>
        <v/>
      </c>
      <c r="G27" s="324">
        <f>IF(ISBLANK(YENI_TEKLIFLER!$A27),"",YENI_TEKLIFLER!$J27)</f>
        <v/>
      </c>
      <c r="H27" s="324">
        <f>IF(ISBLANK(YENI_TEKLIFLER!$A27),"",INDEX(KREDILER!$H$6:$H$1000,MATCH(YENI_TEKLIFLER!$B27,KREDILER!$A$6:$A$1000,0)))</f>
        <v/>
      </c>
      <c r="I27" s="315">
        <f>IF(ISBLANK(YENI_TEKLIFLER!$A27),"",IF($E27&gt;0,"ADAY","DEĞİL"))</f>
        <v/>
      </c>
      <c r="J27" s="315">
        <f>IF(ISBLANK(YENI_TEKLIFLER!$A27),"",IF(OR(ISBLANK($B27),ISBLANK($C27),ISBLANK($D27),ISBLANK($E27),ISBLANK($F27),ISBLANK($G27),ISBLANK($H27)),"EKSİK","OK"))</f>
        <v/>
      </c>
    </row>
    <row r="28" ht="22" customHeight="1" s="50">
      <c r="A28" s="311">
        <f>IF(ISBLANK(YENI_TEKLIFLER!$A28),"",YENI_TEKLIFLER!$A28)</f>
        <v/>
      </c>
      <c r="B28" s="311">
        <f>IF(ISBLANK(YENI_TEKLIFLER!$A28),"",YENI_TEKLIFLER!$B28)</f>
        <v/>
      </c>
      <c r="C28" s="321">
        <f>IF(ISBLANK(YENI_TEKLIFLER!$A28),"",SUMIFS(TAKSIT_PLANI!$I$6:$I$1000,TAKSIT_PLANI!$B$6:$B$1000,YENI_TEKLIFLER!$B28,TAKSIT_PLANI!$C$6:$C$1000,1))</f>
        <v/>
      </c>
      <c r="D28" s="321">
        <f>IF(ISBLANK(YENI_TEKLIFLER!$A28),"",YENI_TEKLIFLER!$I28)</f>
        <v/>
      </c>
      <c r="E28" s="321">
        <f>IF(ISBLANK(YENI_TEKLIFLER!$A28),"",$C28-$D28)</f>
        <v/>
      </c>
      <c r="F28" s="321">
        <f>IF(ISBLANK(YENI_TEKLIFLER!$A28),"",MAX(0,$E28))</f>
        <v/>
      </c>
      <c r="G28" s="321">
        <f>IF(ISBLANK(YENI_TEKLIFLER!$A28),"",YENI_TEKLIFLER!$J28)</f>
        <v/>
      </c>
      <c r="H28" s="321">
        <f>IF(ISBLANK(YENI_TEKLIFLER!$A28),"",INDEX(KREDILER!$H$6:$H$1000,MATCH(YENI_TEKLIFLER!$B28,KREDILER!$A$6:$A$1000,0)))</f>
        <v/>
      </c>
      <c r="I28" s="311">
        <f>IF(ISBLANK(YENI_TEKLIFLER!$A28),"",IF($E28&gt;0,"ADAY","DEĞİL"))</f>
        <v/>
      </c>
      <c r="J28" s="311">
        <f>IF(ISBLANK(YENI_TEKLIFLER!$A28),"",IF(OR(ISBLANK($B28),ISBLANK($C28),ISBLANK($D28),ISBLANK($E28),ISBLANK($F28),ISBLANK($G28),ISBLANK($H28)),"EKSİK","OK"))</f>
        <v/>
      </c>
    </row>
    <row r="29" ht="22" customHeight="1" s="50">
      <c r="A29" s="315">
        <f>IF(ISBLANK(YENI_TEKLIFLER!$A29),"",YENI_TEKLIFLER!$A29)</f>
        <v/>
      </c>
      <c r="B29" s="315">
        <f>IF(ISBLANK(YENI_TEKLIFLER!$A29),"",YENI_TEKLIFLER!$B29)</f>
        <v/>
      </c>
      <c r="C29" s="324">
        <f>IF(ISBLANK(YENI_TEKLIFLER!$A29),"",SUMIFS(TAKSIT_PLANI!$I$6:$I$1000,TAKSIT_PLANI!$B$6:$B$1000,YENI_TEKLIFLER!$B29,TAKSIT_PLANI!$C$6:$C$1000,1))</f>
        <v/>
      </c>
      <c r="D29" s="324">
        <f>IF(ISBLANK(YENI_TEKLIFLER!$A29),"",YENI_TEKLIFLER!$I29)</f>
        <v/>
      </c>
      <c r="E29" s="324">
        <f>IF(ISBLANK(YENI_TEKLIFLER!$A29),"",$C29-$D29)</f>
        <v/>
      </c>
      <c r="F29" s="324">
        <f>IF(ISBLANK(YENI_TEKLIFLER!$A29),"",MAX(0,$E29))</f>
        <v/>
      </c>
      <c r="G29" s="324">
        <f>IF(ISBLANK(YENI_TEKLIFLER!$A29),"",YENI_TEKLIFLER!$J29)</f>
        <v/>
      </c>
      <c r="H29" s="324">
        <f>IF(ISBLANK(YENI_TEKLIFLER!$A29),"",INDEX(KREDILER!$H$6:$H$1000,MATCH(YENI_TEKLIFLER!$B29,KREDILER!$A$6:$A$1000,0)))</f>
        <v/>
      </c>
      <c r="I29" s="315">
        <f>IF(ISBLANK(YENI_TEKLIFLER!$A29),"",IF($E29&gt;0,"ADAY","DEĞİL"))</f>
        <v/>
      </c>
      <c r="J29" s="315">
        <f>IF(ISBLANK(YENI_TEKLIFLER!$A29),"",IF(OR(ISBLANK($B29),ISBLANK($C29),ISBLANK($D29),ISBLANK($E29),ISBLANK($F29),ISBLANK($G29),ISBLANK($H29)),"EKSİK","OK"))</f>
        <v/>
      </c>
    </row>
    <row r="30" ht="22" customHeight="1" s="50">
      <c r="A30" s="311">
        <f>IF(ISBLANK(YENI_TEKLIFLER!$A30),"",YENI_TEKLIFLER!$A30)</f>
        <v/>
      </c>
      <c r="B30" s="311">
        <f>IF(ISBLANK(YENI_TEKLIFLER!$A30),"",YENI_TEKLIFLER!$B30)</f>
        <v/>
      </c>
      <c r="C30" s="321">
        <f>IF(ISBLANK(YENI_TEKLIFLER!$A30),"",SUMIFS(TAKSIT_PLANI!$I$6:$I$1000,TAKSIT_PLANI!$B$6:$B$1000,YENI_TEKLIFLER!$B30,TAKSIT_PLANI!$C$6:$C$1000,1))</f>
        <v/>
      </c>
      <c r="D30" s="321">
        <f>IF(ISBLANK(YENI_TEKLIFLER!$A30),"",YENI_TEKLIFLER!$I30)</f>
        <v/>
      </c>
      <c r="E30" s="321">
        <f>IF(ISBLANK(YENI_TEKLIFLER!$A30),"",$C30-$D30)</f>
        <v/>
      </c>
      <c r="F30" s="321">
        <f>IF(ISBLANK(YENI_TEKLIFLER!$A30),"",MAX(0,$E30))</f>
        <v/>
      </c>
      <c r="G30" s="321">
        <f>IF(ISBLANK(YENI_TEKLIFLER!$A30),"",YENI_TEKLIFLER!$J30)</f>
        <v/>
      </c>
      <c r="H30" s="321">
        <f>IF(ISBLANK(YENI_TEKLIFLER!$A30),"",INDEX(KREDILER!$H$6:$H$1000,MATCH(YENI_TEKLIFLER!$B30,KREDILER!$A$6:$A$1000,0)))</f>
        <v/>
      </c>
      <c r="I30" s="311">
        <f>IF(ISBLANK(YENI_TEKLIFLER!$A30),"",IF($E30&gt;0,"ADAY","DEĞİL"))</f>
        <v/>
      </c>
      <c r="J30" s="311">
        <f>IF(ISBLANK(YENI_TEKLIFLER!$A30),"",IF(OR(ISBLANK($B30),ISBLANK($C30),ISBLANK($D30),ISBLANK($E30),ISBLANK($F30),ISBLANK($G30),ISBLANK($H30)),"EKSİK","OK"))</f>
        <v/>
      </c>
    </row>
    <row r="31" ht="22" customHeight="1" s="50">
      <c r="A31" s="315">
        <f>IF(ISBLANK(YENI_TEKLIFLER!$A31),"",YENI_TEKLIFLER!$A31)</f>
        <v/>
      </c>
      <c r="B31" s="315">
        <f>IF(ISBLANK(YENI_TEKLIFLER!$A31),"",YENI_TEKLIFLER!$B31)</f>
        <v/>
      </c>
      <c r="C31" s="324">
        <f>IF(ISBLANK(YENI_TEKLIFLER!$A31),"",SUMIFS(TAKSIT_PLANI!$I$6:$I$1000,TAKSIT_PLANI!$B$6:$B$1000,YENI_TEKLIFLER!$B31,TAKSIT_PLANI!$C$6:$C$1000,1))</f>
        <v/>
      </c>
      <c r="D31" s="324">
        <f>IF(ISBLANK(YENI_TEKLIFLER!$A31),"",YENI_TEKLIFLER!$I31)</f>
        <v/>
      </c>
      <c r="E31" s="324">
        <f>IF(ISBLANK(YENI_TEKLIFLER!$A31),"",$C31-$D31)</f>
        <v/>
      </c>
      <c r="F31" s="324">
        <f>IF(ISBLANK(YENI_TEKLIFLER!$A31),"",MAX(0,$E31))</f>
        <v/>
      </c>
      <c r="G31" s="324">
        <f>IF(ISBLANK(YENI_TEKLIFLER!$A31),"",YENI_TEKLIFLER!$J31)</f>
        <v/>
      </c>
      <c r="H31" s="324">
        <f>IF(ISBLANK(YENI_TEKLIFLER!$A31),"",INDEX(KREDILER!$H$6:$H$1000,MATCH(YENI_TEKLIFLER!$B31,KREDILER!$A$6:$A$1000,0)))</f>
        <v/>
      </c>
      <c r="I31" s="315">
        <f>IF(ISBLANK(YENI_TEKLIFLER!$A31),"",IF($E31&gt;0,"ADAY","DEĞİL"))</f>
        <v/>
      </c>
      <c r="J31" s="315">
        <f>IF(ISBLANK(YENI_TEKLIFLER!$A31),"",IF(OR(ISBLANK($B31),ISBLANK($C31),ISBLANK($D31),ISBLANK($E31),ISBLANK($F31),ISBLANK($G31),ISBLANK($H31)),"EKSİK","OK"))</f>
        <v/>
      </c>
    </row>
    <row r="32" ht="22" customHeight="1" s="50">
      <c r="A32" s="311">
        <f>IF(ISBLANK(YENI_TEKLIFLER!$A32),"",YENI_TEKLIFLER!$A32)</f>
        <v/>
      </c>
      <c r="B32" s="311">
        <f>IF(ISBLANK(YENI_TEKLIFLER!$A32),"",YENI_TEKLIFLER!$B32)</f>
        <v/>
      </c>
      <c r="C32" s="321">
        <f>IF(ISBLANK(YENI_TEKLIFLER!$A32),"",SUMIFS(TAKSIT_PLANI!$I$6:$I$1000,TAKSIT_PLANI!$B$6:$B$1000,YENI_TEKLIFLER!$B32,TAKSIT_PLANI!$C$6:$C$1000,1))</f>
        <v/>
      </c>
      <c r="D32" s="321">
        <f>IF(ISBLANK(YENI_TEKLIFLER!$A32),"",YENI_TEKLIFLER!$I32)</f>
        <v/>
      </c>
      <c r="E32" s="321">
        <f>IF(ISBLANK(YENI_TEKLIFLER!$A32),"",$C32-$D32)</f>
        <v/>
      </c>
      <c r="F32" s="321">
        <f>IF(ISBLANK(YENI_TEKLIFLER!$A32),"",MAX(0,$E32))</f>
        <v/>
      </c>
      <c r="G32" s="321">
        <f>IF(ISBLANK(YENI_TEKLIFLER!$A32),"",YENI_TEKLIFLER!$J32)</f>
        <v/>
      </c>
      <c r="H32" s="321">
        <f>IF(ISBLANK(YENI_TEKLIFLER!$A32),"",INDEX(KREDILER!$H$6:$H$1000,MATCH(YENI_TEKLIFLER!$B32,KREDILER!$A$6:$A$1000,0)))</f>
        <v/>
      </c>
      <c r="I32" s="311">
        <f>IF(ISBLANK(YENI_TEKLIFLER!$A32),"",IF($E32&gt;0,"ADAY","DEĞİL"))</f>
        <v/>
      </c>
      <c r="J32" s="311">
        <f>IF(ISBLANK(YENI_TEKLIFLER!$A32),"",IF(OR(ISBLANK($B32),ISBLANK($C32),ISBLANK($D32),ISBLANK($E32),ISBLANK($F32),ISBLANK($G32),ISBLANK($H32)),"EKSİK","OK"))</f>
        <v/>
      </c>
    </row>
    <row r="33" ht="22" customHeight="1" s="50">
      <c r="A33" s="315">
        <f>IF(ISBLANK(YENI_TEKLIFLER!$A33),"",YENI_TEKLIFLER!$A33)</f>
        <v/>
      </c>
      <c r="B33" s="315">
        <f>IF(ISBLANK(YENI_TEKLIFLER!$A33),"",YENI_TEKLIFLER!$B33)</f>
        <v/>
      </c>
      <c r="C33" s="324">
        <f>IF(ISBLANK(YENI_TEKLIFLER!$A33),"",SUMIFS(TAKSIT_PLANI!$I$6:$I$1000,TAKSIT_PLANI!$B$6:$B$1000,YENI_TEKLIFLER!$B33,TAKSIT_PLANI!$C$6:$C$1000,1))</f>
        <v/>
      </c>
      <c r="D33" s="324">
        <f>IF(ISBLANK(YENI_TEKLIFLER!$A33),"",YENI_TEKLIFLER!$I33)</f>
        <v/>
      </c>
      <c r="E33" s="324">
        <f>IF(ISBLANK(YENI_TEKLIFLER!$A33),"",$C33-$D33)</f>
        <v/>
      </c>
      <c r="F33" s="324">
        <f>IF(ISBLANK(YENI_TEKLIFLER!$A33),"",MAX(0,$E33))</f>
        <v/>
      </c>
      <c r="G33" s="324">
        <f>IF(ISBLANK(YENI_TEKLIFLER!$A33),"",YENI_TEKLIFLER!$J33)</f>
        <v/>
      </c>
      <c r="H33" s="324">
        <f>IF(ISBLANK(YENI_TEKLIFLER!$A33),"",INDEX(KREDILER!$H$6:$H$1000,MATCH(YENI_TEKLIFLER!$B33,KREDILER!$A$6:$A$1000,0)))</f>
        <v/>
      </c>
      <c r="I33" s="315">
        <f>IF(ISBLANK(YENI_TEKLIFLER!$A33),"",IF($E33&gt;0,"ADAY","DEĞİL"))</f>
        <v/>
      </c>
      <c r="J33" s="315">
        <f>IF(ISBLANK(YENI_TEKLIFLER!$A33),"",IF(OR(ISBLANK($B33),ISBLANK($C33),ISBLANK($D33),ISBLANK($E33),ISBLANK($F33),ISBLANK($G33),ISBLANK($H33)),"EKSİK","OK"))</f>
        <v/>
      </c>
    </row>
    <row r="34" ht="22" customHeight="1" s="50">
      <c r="A34" s="311">
        <f>IF(ISBLANK(YENI_TEKLIFLER!$A34),"",YENI_TEKLIFLER!$A34)</f>
        <v/>
      </c>
      <c r="B34" s="311">
        <f>IF(ISBLANK(YENI_TEKLIFLER!$A34),"",YENI_TEKLIFLER!$B34)</f>
        <v/>
      </c>
      <c r="C34" s="321">
        <f>IF(ISBLANK(YENI_TEKLIFLER!$A34),"",SUMIFS(TAKSIT_PLANI!$I$6:$I$1000,TAKSIT_PLANI!$B$6:$B$1000,YENI_TEKLIFLER!$B34,TAKSIT_PLANI!$C$6:$C$1000,1))</f>
        <v/>
      </c>
      <c r="D34" s="321">
        <f>IF(ISBLANK(YENI_TEKLIFLER!$A34),"",YENI_TEKLIFLER!$I34)</f>
        <v/>
      </c>
      <c r="E34" s="321">
        <f>IF(ISBLANK(YENI_TEKLIFLER!$A34),"",$C34-$D34)</f>
        <v/>
      </c>
      <c r="F34" s="321">
        <f>IF(ISBLANK(YENI_TEKLIFLER!$A34),"",MAX(0,$E34))</f>
        <v/>
      </c>
      <c r="G34" s="321">
        <f>IF(ISBLANK(YENI_TEKLIFLER!$A34),"",YENI_TEKLIFLER!$J34)</f>
        <v/>
      </c>
      <c r="H34" s="321">
        <f>IF(ISBLANK(YENI_TEKLIFLER!$A34),"",INDEX(KREDILER!$H$6:$H$1000,MATCH(YENI_TEKLIFLER!$B34,KREDILER!$A$6:$A$1000,0)))</f>
        <v/>
      </c>
      <c r="I34" s="311">
        <f>IF(ISBLANK(YENI_TEKLIFLER!$A34),"",IF($E34&gt;0,"ADAY","DEĞİL"))</f>
        <v/>
      </c>
      <c r="J34" s="311">
        <f>IF(ISBLANK(YENI_TEKLIFLER!$A34),"",IF(OR(ISBLANK($B34),ISBLANK($C34),ISBLANK($D34),ISBLANK($E34),ISBLANK($F34),ISBLANK($G34),ISBLANK($H34)),"EKSİK","OK"))</f>
        <v/>
      </c>
    </row>
    <row r="35" ht="22" customHeight="1" s="50">
      <c r="A35" s="315">
        <f>IF(ISBLANK(YENI_TEKLIFLER!$A35),"",YENI_TEKLIFLER!$A35)</f>
        <v/>
      </c>
      <c r="B35" s="315">
        <f>IF(ISBLANK(YENI_TEKLIFLER!$A35),"",YENI_TEKLIFLER!$B35)</f>
        <v/>
      </c>
      <c r="C35" s="324">
        <f>IF(ISBLANK(YENI_TEKLIFLER!$A35),"",SUMIFS(TAKSIT_PLANI!$I$6:$I$1000,TAKSIT_PLANI!$B$6:$B$1000,YENI_TEKLIFLER!$B35,TAKSIT_PLANI!$C$6:$C$1000,1))</f>
        <v/>
      </c>
      <c r="D35" s="324">
        <f>IF(ISBLANK(YENI_TEKLIFLER!$A35),"",YENI_TEKLIFLER!$I35)</f>
        <v/>
      </c>
      <c r="E35" s="324">
        <f>IF(ISBLANK(YENI_TEKLIFLER!$A35),"",$C35-$D35)</f>
        <v/>
      </c>
      <c r="F35" s="324">
        <f>IF(ISBLANK(YENI_TEKLIFLER!$A35),"",MAX(0,$E35))</f>
        <v/>
      </c>
      <c r="G35" s="324">
        <f>IF(ISBLANK(YENI_TEKLIFLER!$A35),"",YENI_TEKLIFLER!$J35)</f>
        <v/>
      </c>
      <c r="H35" s="324">
        <f>IF(ISBLANK(YENI_TEKLIFLER!$A35),"",INDEX(KREDILER!$H$6:$H$1000,MATCH(YENI_TEKLIFLER!$B35,KREDILER!$A$6:$A$1000,0)))</f>
        <v/>
      </c>
      <c r="I35" s="315">
        <f>IF(ISBLANK(YENI_TEKLIFLER!$A35),"",IF($E35&gt;0,"ADAY","DEĞİL"))</f>
        <v/>
      </c>
      <c r="J35" s="315">
        <f>IF(ISBLANK(YENI_TEKLIFLER!$A35),"",IF(OR(ISBLANK($B35),ISBLANK($C35),ISBLANK($D35),ISBLANK($E35),ISBLANK($F35),ISBLANK($G35),ISBLANK($H35)),"EKSİK","OK"))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J1"/>
    <mergeCell ref="A3:J3"/>
  </mergeCells>
  <conditionalFormatting sqref="F6:F1000">
    <cfRule type="cellIs" rank="0" priority="2" equalAverage="0" operator="lessThanOrEqual" aboveAverage="0" dxfId="10" text="" percent="0" bottom="0">
      <formula>0</formula>
    </cfRule>
  </conditionalFormatting>
  <conditionalFormatting sqref="G6:G1000">
    <cfRule type="cellIs" rank="0" priority="3" equalAverage="0" operator="greaterThan" aboveAverage="0" dxfId="8" text="" percent="0" bottom="0">
      <formula>0</formula>
    </cfRule>
  </conditionalFormatting>
  <conditionalFormatting sqref="I6:I1000">
    <cfRule type="cellIs" rank="0" priority="4" equalAverage="0" operator="equal" aboveAverage="0" dxfId="17" text="" percent="0" bottom="0">
      <formula>"ADAY"</formula>
    </cfRule>
    <cfRule type="cellIs" rank="0" priority="5" equalAverage="0" operator="equal" aboveAverage="0" dxfId="18" text="" percent="0" bottom="0">
      <formula>"DEĞİL"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7C3AED"/>
    <outlinePr summaryBelow="1" summaryRight="1"/>
    <pageSetUpPr/>
  </sheetPr>
  <dimension ref="A1:AC26"/>
  <sheetViews>
    <sheetView showGridLines="0" workbookViewId="0">
      <selection activeCell="A1" sqref="A1"/>
    </sheetView>
  </sheetViews>
  <sheetFormatPr baseColWidth="8" defaultRowHeight="15"/>
  <cols>
    <col width="3.5" customWidth="1" style="50" min="1" max="1"/>
    <col width="26" customWidth="1" style="50" min="2" max="2"/>
    <col width="14" customWidth="1" style="50" min="3" max="3"/>
    <col width="14" customWidth="1" style="50" min="4" max="4"/>
    <col width="20" customWidth="1" style="50" min="5" max="5"/>
    <col width="4" customWidth="1" style="50" min="6" max="6"/>
    <col width="4" customWidth="1" style="50" min="7" max="7"/>
    <col width="26" customWidth="1" style="50" min="8" max="8"/>
    <col width="14" customWidth="1" style="50" min="9" max="9"/>
    <col width="14" customWidth="1" style="50" min="10" max="10"/>
    <col width="20" customWidth="1" style="50" min="11" max="11"/>
    <col width="4" customWidth="1" style="50" min="12" max="12"/>
  </cols>
  <sheetData>
    <row r="1" ht="10" customHeight="1" s="50">
      <c r="A1" s="60" t="inlineStr">
        <is>
          <t>☰ PANO</t>
        </is>
      </c>
    </row>
    <row r="2" ht="34" customHeight="1" s="50">
      <c r="B2" s="436" t="inlineStr">
        <is>
          <t>BANKA, KREDİ VE TAKSİT TAKİP SİSTEMİ — FİNANSAL STRES TESTİ</t>
        </is>
      </c>
    </row>
    <row r="3" ht="18" customHeight="1" s="50">
      <c r="B3" s="437" t="inlineStr">
        <is>
          <t>Yönetim Kurulu ve Hazine Komitesi için Borç Servisi ve Likidite Dayanıklılık Raporu</t>
        </is>
      </c>
    </row>
    <row r="4" ht="20" customHeight="1" s="50">
      <c r="B4" s="438" t="inlineStr">
        <is>
          <t>DÖNEM: 2026 Q3 · DENETİM PROTOKOLÜ: ISO/VUK/IFRS UYUMLU · DURUM: ONAYLANDI</t>
        </is>
      </c>
    </row>
    <row r="5" ht="14" customHeight="1" s="50"/>
    <row r="6" ht="28" customHeight="1" s="50">
      <c r="B6" s="439" t="inlineStr">
        <is>
          <t>SENARYO A: KÖTÜMSER (STRES TESTİ -%20)</t>
        </is>
      </c>
      <c r="C6" s="290" t="n"/>
      <c r="D6" s="290" t="n"/>
      <c r="E6" s="290" t="n"/>
      <c r="F6" s="291" t="n"/>
      <c r="H6" s="440" t="inlineStr">
        <is>
          <t>SENARYO B: BAZ MODEL (HEDEFLENEN)</t>
        </is>
      </c>
      <c r="I6" s="290" t="n"/>
      <c r="J6" s="290" t="n"/>
      <c r="K6" s="290" t="n"/>
      <c r="L6" s="291" t="n"/>
    </row>
    <row r="7" ht="8" customHeight="1" s="50">
      <c r="B7" s="418" t="n"/>
      <c r="C7" s="404" t="n"/>
      <c r="D7" s="404" t="n"/>
      <c r="E7" s="404" t="n"/>
      <c r="F7" s="405" t="n"/>
      <c r="H7" s="418" t="n"/>
      <c r="I7" s="404" t="n"/>
      <c r="J7" s="404" t="n"/>
      <c r="K7" s="404" t="n"/>
      <c r="L7" s="405" t="n"/>
    </row>
    <row r="8" ht="22" customHeight="1" s="50">
      <c r="B8" s="419" t="inlineStr">
        <is>
          <t>Faaliyet Nakit Akışı Daralması:</t>
        </is>
      </c>
      <c r="C8" s="404" t="n"/>
      <c r="D8" s="404" t="n"/>
      <c r="E8" s="420" t="inlineStr">
        <is>
          <t>-%20.0 (Kriz Modeli)</t>
        </is>
      </c>
      <c r="F8" s="405" t="n"/>
      <c r="H8" s="419" t="inlineStr">
        <is>
          <t>Planlanan Borç Karşılama:</t>
        </is>
      </c>
      <c r="I8" s="404" t="n"/>
      <c r="J8" s="404" t="n"/>
      <c r="K8" s="421" t="inlineStr">
        <is>
          <t>%100.0 (Tam Bütçe)</t>
        </is>
      </c>
      <c r="L8" s="405" t="n"/>
    </row>
    <row r="9" ht="22" customHeight="1" s="50">
      <c r="B9" s="419" t="inlineStr">
        <is>
          <t>Mevcut 30 Günlük Borç Servisi:</t>
        </is>
      </c>
      <c r="C9" s="404" t="n"/>
      <c r="D9" s="404" t="n"/>
      <c r="E9" s="422">
        <f>KARAR_MOTORU!B7</f>
        <v/>
      </c>
      <c r="F9" s="405" t="n"/>
      <c r="H9" s="419" t="inlineStr">
        <is>
          <t>Aylık Refinansman Tasarrufu:</t>
        </is>
      </c>
      <c r="I9" s="404" t="n"/>
      <c r="J9" s="404" t="n"/>
      <c r="K9" s="422">
        <f>KARAR_MOTORU!B19</f>
        <v/>
      </c>
      <c r="L9" s="405" t="n"/>
    </row>
    <row r="10" ht="22" customHeight="1" s="50">
      <c r="B10" s="419" t="inlineStr">
        <is>
          <t>Stres Altında Serbest Nakit:</t>
        </is>
      </c>
      <c r="C10" s="404" t="n"/>
      <c r="D10" s="404" t="n"/>
      <c r="E10" s="423">
        <f>SerbestNakit*0.8</f>
        <v/>
      </c>
      <c r="F10" s="405" t="n"/>
      <c r="H10" s="419" t="inlineStr">
        <is>
          <t>Konsolide Serbest Nakit:</t>
        </is>
      </c>
      <c r="I10" s="404" t="n"/>
      <c r="J10" s="404" t="n"/>
      <c r="K10" s="423">
        <f>SerbestNakit</f>
        <v/>
      </c>
      <c r="L10" s="405" t="n"/>
    </row>
    <row r="11" ht="22" customHeight="1" s="50">
      <c r="B11" s="424" t="inlineStr">
        <is>
          <t>Stres Altında Likidite Baskısı:</t>
        </is>
      </c>
      <c r="C11" s="411" t="n"/>
      <c r="D11" s="411" t="n"/>
      <c r="E11" s="425">
        <f>YUVARLA(KARAR_MOTORU!B7/MAX(1,SerbestNakit*0.8); 2)</f>
        <v/>
      </c>
      <c r="F11" s="412" t="n"/>
      <c r="H11" s="424" t="inlineStr">
        <is>
          <t>Baz Model Likidite Baskısı:</t>
        </is>
      </c>
      <c r="I11" s="411" t="n"/>
      <c r="J11" s="411" t="n"/>
      <c r="K11" s="426">
        <f>YUVARLA(KARAR_MOTORU!B14; 2)</f>
        <v/>
      </c>
      <c r="L11" s="412" t="n"/>
    </row>
    <row r="12" ht="8" customHeight="1" s="50">
      <c r="B12" s="129" t="n"/>
      <c r="C12" s="129" t="n"/>
      <c r="D12" s="129" t="n"/>
      <c r="E12" s="129" t="n"/>
      <c r="F12" s="129" t="n"/>
      <c r="H12" s="129" t="n"/>
      <c r="I12" s="129" t="n"/>
      <c r="J12" s="129" t="n"/>
      <c r="K12" s="129" t="n"/>
      <c r="L12" s="129" t="n"/>
    </row>
    <row r="13" ht="6" customHeight="1" s="50">
      <c r="B13" s="129" t="n"/>
      <c r="C13" s="129" t="n"/>
      <c r="D13" s="129" t="n"/>
      <c r="E13" s="129" t="n"/>
      <c r="F13" s="129" t="n"/>
      <c r="H13" s="129" t="n"/>
      <c r="I13" s="129" t="n"/>
      <c r="J13" s="129" t="n"/>
      <c r="K13" s="129" t="n"/>
      <c r="L13" s="129" t="n"/>
    </row>
    <row r="14" ht="32" customHeight="1" s="50">
      <c r="B14" s="198" t="inlineStr">
        <is>
          <t>KRİZ SENARYOSUNDA DAHİ TEMERRÜT RİSKİ SIFIR</t>
        </is>
      </c>
      <c r="C14" s="260" t="n"/>
      <c r="D14" s="260" t="n"/>
      <c r="E14" s="260" t="n"/>
      <c r="F14" s="261" t="n"/>
      <c r="H14" s="199" t="inlineStr">
        <is>
          <t>OPTİMUM REFINANSMAN VE NAKİT YÖNETİM REÇETESİ</t>
        </is>
      </c>
      <c r="I14" s="262" t="n"/>
      <c r="J14" s="262" t="n"/>
      <c r="K14" s="262" t="n"/>
      <c r="L14" s="263" t="n"/>
    </row>
    <row r="15" ht="14" customHeight="1" s="50">
      <c r="B15" s="264" t="n"/>
      <c r="C15" s="265" t="n"/>
      <c r="D15" s="265" t="n"/>
      <c r="E15" s="265" t="n"/>
      <c r="F15" s="266" t="n"/>
      <c r="H15" s="267" t="n"/>
      <c r="I15" s="268" t="n"/>
      <c r="J15" s="268" t="n"/>
      <c r="K15" s="268" t="n"/>
      <c r="L15" s="269" t="n"/>
    </row>
    <row r="16"/>
    <row r="17">
      <c r="B17" s="61" t="inlineStr">
        <is>
          <t>YÖNETİM KARAR MATRİSİ VE UYGULAMA REÇETESİ</t>
        </is>
      </c>
    </row>
    <row r="18"/>
    <row r="19">
      <c r="B19" s="156" t="inlineStr">
        <is>
          <t>●  Öncelik 1: Acil Likidite ve Borç Servis Planlaması</t>
        </is>
      </c>
    </row>
    <row r="20">
      <c r="B20" s="200" t="inlineStr">
        <is>
          <t xml:space="preserve">   Sistemde hesaplanan vade günlerine sadık kalınarak nakit blokajı 3 gün önceden hazır edilmelidir.</t>
        </is>
      </c>
    </row>
    <row r="21">
      <c r="B21" s="156" t="inlineStr">
        <is>
          <t>●  Öncelik 2: Formül Doğrulama ve Çapraz Sağlama</t>
        </is>
      </c>
    </row>
    <row r="22">
      <c r="B22" s="200" t="inlineStr">
        <is>
          <t xml:space="preserve">   Tüm hücreler kilitli formül korumasında olup girdi sayfalarında sıfır döngüsel başvuru (circular ref) garantilidir.</t>
        </is>
      </c>
    </row>
    <row r="23">
      <c r="B23" s="156" t="inlineStr">
        <is>
          <t>●  Öncelik 3: Resmi Mevzuat ve Vergi Kalkanı Entegrasyonu</t>
        </is>
      </c>
    </row>
    <row r="24">
      <c r="B24" s="200" t="inlineStr">
        <is>
          <t xml:space="preserve">   2026 güncel vergi dilimleri, amortisman ve SGK teşvik parametreleri tam otomatik yansıtılmaktadır.</t>
        </is>
      </c>
    </row>
    <row r="25">
      <c r="B25" s="156" t="inlineStr">
        <is>
          <t>●  Öncelik 4: Yönetici İmzası ve Rapor Paylaşımı</t>
        </is>
      </c>
    </row>
    <row r="26">
      <c r="B26" s="200" t="inlineStr">
        <is>
          <t xml:space="preserve">   Tek tuşla PDF ve A4 çıktı formatına tam uyumlu sayfa yapısı kurgulanmıştır.</t>
        </is>
      </c>
    </row>
  </sheetData>
  <mergeCells count="7">
    <mergeCell ref="B4:L4"/>
    <mergeCell ref="B6:F6"/>
    <mergeCell ref="H6:L6"/>
    <mergeCell ref="B3:L3"/>
    <mergeCell ref="B2:L2"/>
    <mergeCell ref="H14:L15"/>
    <mergeCell ref="B14:F1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 filterMode="0">
    <tabColor rgb="007C3AED"/>
    <outlinePr summaryBelow="1" summaryRight="1"/>
    <pageSetUpPr fitToPage="1"/>
  </sheetPr>
  <dimension ref="A1:AN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96.5" customWidth="1" style="76" min="1" max="1"/>
    <col width="30" customWidth="1" style="76" min="2" max="2"/>
    <col width="13" customWidth="1" style="50" min="3" max="3"/>
    <col width="13" customWidth="1" style="50" min="4" max="4"/>
    <col width="13" customWidth="1" style="50" min="5" max="5"/>
    <col width="13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32" customHeight="1" s="50">
      <c r="A1" s="455" t="inlineStr">
        <is>
          <t>RAPOR — BANKA, KREDİ VE TAKSİT TAKİP SİSTEMİ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</row>
    <row r="2"/>
    <row r="3" ht="22" customHeight="1" s="50">
      <c r="A3" s="456" t="inlineStr">
        <is>
          <t>FİNANSMAN KOMİTESİ RAPORU</t>
        </is>
      </c>
    </row>
    <row r="4" ht="15" customHeight="1" s="50">
      <c r="A4" s="81" t="inlineStr">
        <is>
          <t>Rapor Tarihi</t>
        </is>
      </c>
      <c r="B4" s="117">
        <f>RaporTarihi</f>
        <v/>
      </c>
    </row>
    <row r="5" ht="15" customHeight="1" s="50">
      <c r="A5" s="81" t="inlineStr">
        <is>
          <t>Firma</t>
        </is>
      </c>
      <c r="B5" s="89">
        <f>FirmaUnvan</f>
        <v/>
      </c>
    </row>
    <row r="6" ht="15" customHeight="1" s="50">
      <c r="A6" s="81" t="inlineStr">
        <is>
          <t>Hazırlayan</t>
        </is>
      </c>
      <c r="B6" s="89">
        <f>RaporHazirlayan</f>
        <v/>
      </c>
    </row>
    <row r="7"/>
    <row r="8" ht="15" customHeight="1" s="50">
      <c r="A8" s="84" t="inlineStr">
        <is>
          <t>ANA SONUÇ</t>
        </is>
      </c>
    </row>
    <row r="9" ht="15" customHeight="1" s="50">
      <c r="A9" s="81" t="inlineStr">
        <is>
          <t>Toplam Finansal Borç</t>
        </is>
      </c>
      <c r="B9" s="111">
        <f>KARAR_MOTORU!$B$5</f>
        <v/>
      </c>
    </row>
    <row r="10" ht="15" customHeight="1" s="50">
      <c r="A10" s="81" t="inlineStr">
        <is>
          <t>30 Günlük Ödeme Yükü</t>
        </is>
      </c>
      <c r="B10" s="92">
        <f>KARAR_MOTORU!$B$7</f>
        <v/>
      </c>
    </row>
    <row r="11" ht="15" customHeight="1" s="50">
      <c r="A11" s="81" t="inlineStr">
        <is>
          <t>Ağırlıklı Maliyet</t>
        </is>
      </c>
      <c r="B11" s="93">
        <f>KARAR_MOTORU!$B$9</f>
        <v/>
      </c>
    </row>
    <row r="12" ht="15" customHeight="1" s="50">
      <c r="A12" s="81" t="inlineStr">
        <is>
          <t>Karar</t>
        </is>
      </c>
      <c r="B12" s="102">
        <f>KARAR_MOTORU!$B$15</f>
        <v/>
      </c>
    </row>
    <row r="13" ht="15" customHeight="1" s="50">
      <c r="A13" s="81" t="inlineStr">
        <is>
          <t>Risk Seviyesi</t>
        </is>
      </c>
      <c r="B13" s="102">
        <f>KARAR_MOTORU!$B$16</f>
        <v/>
      </c>
    </row>
    <row r="14" ht="27.75" customHeight="1" s="50">
      <c r="A14" s="81" t="inlineStr">
        <is>
          <t>Önerilen Aksiyon</t>
        </is>
      </c>
      <c r="B14" s="118">
        <f>KARAR_MOTORU!$B$17</f>
        <v/>
      </c>
    </row>
    <row r="15"/>
    <row r="16" ht="15" customHeight="1" s="50">
      <c r="A16" s="84" t="inlineStr">
        <is>
          <t>ÖNEMLİ VARSAYIMLAR VE UYARILAR</t>
        </is>
      </c>
    </row>
    <row r="17" ht="27.75" customHeight="1" s="50">
      <c r="A17" s="81" t="inlineStr">
        <is>
          <t>1. Döviz cinsi borçlar kur riski taşır; döviz geliriyle eşleşme AYARLAR eşiğiyle denetlenir.</t>
        </is>
      </c>
    </row>
    <row r="18" ht="27.75" customHeight="1" s="50">
      <c r="A18" s="81" t="inlineStr">
        <is>
          <t>2. Bu rapor karar destek amaçlıdır; kesin finansal tavsiye değildir.</t>
        </is>
      </c>
    </row>
    <row r="19" ht="27.75" customHeight="1" s="50">
      <c r="A19" s="81" t="inlineStr">
        <is>
          <t>3. Tüm eşikler AYARLAR sayfasında tanımlıdır; değişiklik sonrası rapor otomatik güncellenir.</t>
        </is>
      </c>
    </row>
    <row r="20"/>
    <row r="21" ht="24.75" customHeight="1" s="50">
      <c r="A21" s="82" t="inlineStr">
        <is>
          <t>Hazırlayan: ExcelArşiv — Sürüm 1.0 | Tek kullanıcılı ticari lisans.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&amp;LBanka, Kredi ve Taksit Takip Sistemi — RAPOR&amp;CExcelArşiv&amp;RSayfa &amp;P /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tabColor rgb="00475569"/>
    <outlinePr summaryBelow="1" summaryRight="1"/>
    <pageSetUpPr fitToPage="0"/>
  </sheetPr>
  <dimension ref="A1:AC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4.5" customWidth="1" style="76" min="1" max="1"/>
    <col width="31.5" customWidth="1" style="76" min="2" max="2"/>
    <col width="13" customWidth="1" style="50" min="3" max="3"/>
    <col width="13" customWidth="1" style="50" min="4" max="4"/>
    <col width="13" customWidth="1" style="50" min="5" max="5"/>
    <col width="13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32" customHeight="1" s="50">
      <c r="A1" s="455" t="inlineStr">
        <is>
          <t>KARAR MOTORU — BANKA, KREDİ VE TAKSİT TAKİP SİSTEMİ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</row>
    <row r="2" ht="7.8" customHeight="1" s="50"/>
    <row r="3" ht="22" customHeight="1" s="50">
      <c r="A3" s="456" t="inlineStr">
        <is>
          <t>KARAR MOTORU — borç yükü, yaklaşan taksit ve öncelikli aksiyon</t>
        </is>
      </c>
    </row>
    <row r="4" ht="10" customHeight="1" s="50"/>
    <row r="5" ht="15" customHeight="1" s="50">
      <c r="A5" s="81" t="inlineStr">
        <is>
          <t>Toplam Finansal Borç</t>
        </is>
      </c>
      <c r="B5" s="111">
        <f>SUM(KREDILER!$H$6:$H$1000)</f>
        <v/>
      </c>
    </row>
    <row r="6" ht="15" customHeight="1" s="50">
      <c r="A6" s="81" t="inlineStr">
        <is>
          <t>Aylık Borç Servisi</t>
        </is>
      </c>
      <c r="B6" s="111">
        <f>SUMIFS(TAKSIT_PLANI!$I$6:$I$1000,TAKSIT_PLANI!$D$6:$D$1000,"&gt;="&amp;RaporTarihi,TAKSIT_PLANI!$D$6:$D$1000,"&lt;"&amp;RaporTarihi+30)</f>
        <v/>
      </c>
    </row>
    <row r="7" ht="15" customHeight="1" s="50">
      <c r="A7" s="81" t="inlineStr">
        <is>
          <t>30 Günlük Ödeme Yükü</t>
        </is>
      </c>
      <c r="B7" s="111">
        <f>SUMIFS(TAKSIT_PLANI!$I$6:$I$1000,TAKSIT_PLANI!$D$6:$D$1000,"&gt;="&amp;RaporTarihi,TAKSIT_PLANI!$D$6:$D$1000,"&lt;="&amp;RaporTarihi+30,TAKSIT_PLANI!$J$6:$J$1000,"&lt;&gt;Ödendi")</f>
        <v/>
      </c>
    </row>
    <row r="8" ht="15" customHeight="1" s="50">
      <c r="A8" s="81" t="inlineStr">
        <is>
          <t>90 Günlük Ödeme Yükü</t>
        </is>
      </c>
      <c r="B8" s="111">
        <f>SUMIFS(TAKSIT_PLANI!$I$6:$I$1000,TAKSIT_PLANI!$D$6:$D$1000,"&gt;="&amp;RaporTarihi,TAKSIT_PLANI!$D$6:$D$1000,"&lt;="&amp;RaporTarihi+AYARLAR!$B$25,TAKSIT_PLANI!$J$6:$J$1000,"&lt;&gt;Ödendi")</f>
        <v/>
      </c>
    </row>
    <row r="9" ht="15" customHeight="1" s="50">
      <c r="A9" s="81" t="inlineStr">
        <is>
          <t>Ağırlıklı Maliyet</t>
        </is>
      </c>
      <c r="B9" s="112">
        <f>SUMPRODUCT(KREDILER!$H$6:$H$1000,KREDILER!$I$6:$I$1000)/MAX(1,SUM(KREDILER!$H$6:$H$1000))</f>
        <v/>
      </c>
    </row>
    <row r="10" ht="15" customHeight="1" s="50">
      <c r="A10" s="81" t="inlineStr">
        <is>
          <t>Döviz Borcu</t>
        </is>
      </c>
      <c r="B10" s="111">
        <f>SUMIFS(KREDILER!$H$6:$H$1000,KREDILER!$E$6:$E$1000,"&lt;&gt;TRY")</f>
        <v/>
      </c>
    </row>
    <row r="11" ht="15" customHeight="1" s="50">
      <c r="A11" s="81" t="inlineStr">
        <is>
          <t>Kaldıraç (Borç/Kâr)</t>
        </is>
      </c>
      <c r="B11" s="101">
        <f>MAX(1,SUM(KREDILER!$H$6:$H$1000))/MAX(1,YillikFaaliyetKari)</f>
        <v/>
      </c>
    </row>
    <row r="12" ht="15" customHeight="1" s="50">
      <c r="A12" s="81" t="inlineStr">
        <is>
          <t>Teminat Oranı</t>
        </is>
      </c>
      <c r="B12" s="112">
        <f>MAX(1,SUM(KREDILER!$H$6:$H$1000))/MAX(1,SUM(TEMINATLAR!$F$6:$F$1000))</f>
        <v/>
      </c>
    </row>
    <row r="13" ht="15" customHeight="1" s="50">
      <c r="A13" s="81" t="inlineStr">
        <is>
          <t>Borç Servisi / Nakit</t>
        </is>
      </c>
      <c r="B13" s="112">
        <f>B6/MAX(1,AylikFaaliyetNakdi)</f>
        <v/>
      </c>
    </row>
    <row r="14" ht="15" customHeight="1" s="50">
      <c r="A14" s="81" t="inlineStr">
        <is>
          <t>Likidite Baskısı (30G/Serbest)</t>
        </is>
      </c>
      <c r="B14" s="112">
        <f>B7/MAX(1,SerbestNakit)</f>
        <v/>
      </c>
    </row>
    <row r="15" ht="15" customHeight="1" s="50">
      <c r="A15" s="100" t="inlineStr">
        <is>
          <t>KARAR</t>
        </is>
      </c>
      <c r="B15" s="102">
        <f>IF(COUNTA(KREDILER!$A$6:$A$1000)=0,"VERİ YOK",IF(OR(COUNTIF(KREDILER!$G$6:$G$1000,"&lt;0")&gt;0,COUNTIF(KREDILER!$H$6:$H$1000,"&lt;0")&gt;0),"İNCELE",IF(B14&gt;LikiditeEsigi,"DURDUR",IF(B10&gt;YillikDovizGeliri,"İNCELE",IF(B11&gt;KaldiracEsigi,"İNCELE","UYGUN")))))</f>
        <v/>
      </c>
    </row>
    <row r="16" ht="15" customHeight="1" s="50">
      <c r="A16" s="100" t="inlineStr">
        <is>
          <t>Risk Seviyesi</t>
        </is>
      </c>
      <c r="B16" s="102">
        <f>IF(B15="DURDUR","KRİTİK",IF(B15="İNCELE","YÜKSEK","DÜŞÜK"))</f>
        <v/>
      </c>
    </row>
    <row r="17" ht="15" customHeight="1" s="50">
      <c r="A17" s="100" t="inlineStr">
        <is>
          <t>Önerilen Aksiyon</t>
        </is>
      </c>
      <c r="B17" s="102">
        <f>IF(B15="DURDUR","Ödeme baskısını düşürün: erken kapama, refinansman veya ek limit değerlendirin",IF(B15="İNCELE","Döviz uyumu ve kaldıraç eşiklerini gözden geçirin, aday teklifleri müzakereye alın","Borç yapısı sürdürülebilir: ödeme takvimini düzenli izleyin"))</f>
        <v/>
      </c>
    </row>
    <row r="18" ht="15" customHeight="1" s="50">
      <c r="A18" s="81" t="inlineStr">
        <is>
          <t>Refinansman Aday Sayısı</t>
        </is>
      </c>
      <c r="B18" s="101">
        <f>COUNTIF(REFINANSMAN!$I$6:$I$1000,"ADAY")</f>
        <v/>
      </c>
    </row>
    <row r="19" ht="15" customHeight="1" s="50">
      <c r="A19" s="81" t="inlineStr">
        <is>
          <t>Aylık Taksit Rahatlaması</t>
        </is>
      </c>
      <c r="B19" s="111">
        <f>SUMIFS(REFINANSMAN!$F$6:$F$1000,REFINANSMAN!$I$6:$I$1000,"ADAY")</f>
        <v/>
      </c>
    </row>
    <row r="20"/>
    <row r="21"/>
    <row r="22" ht="36.75" customHeight="1" s="50">
      <c r="A22" s="82" t="inlineStr">
        <is>
          <t>Not: Karar; likidite baskısı, döviz uyumu ve kaldıraç eşiklerine göre makine tarafından üretilir. Tüm eşikler AYARLAR sayfasından yönetilir.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14">
    <cfRule type="cellIs" rank="0" priority="2" equalAverage="0" operator="equal" aboveAverage="0" dxfId="8" text="" percent="0" bottom="0">
      <formula>"UYGUN"</formula>
    </cfRule>
    <cfRule type="cellIs" rank="0" priority="3" equalAverage="0" operator="equal" aboveAverage="0" dxfId="10" text="" percent="0" bottom="0">
      <formula>"İNCELE"</formula>
    </cfRule>
    <cfRule type="cellIs" rank="0" priority="4" equalAverage="0" operator="equal" aboveAverage="0" dxfId="12" text="" percent="0" bottom="0">
      <formula>"DURDUR"</formula>
    </cfRule>
  </conditionalFormatting>
  <conditionalFormatting sqref="B15">
    <cfRule type="cellIs" rank="0" priority="5" equalAverage="0" operator="equal" aboveAverage="0" dxfId="9" text="" percent="0" bottom="0">
      <formula>"KRİTİK"</formula>
    </cfRule>
    <cfRule type="cellIs" rank="0" priority="6" equalAverage="0" operator="equal" aboveAverage="0" dxfId="10" text="" percent="0" bottom="0">
      <formula>"YÜKSEK"</formula>
    </cfRule>
    <cfRule type="cellIs" rank="0" priority="7" equalAverage="0" operator="equal" aboveAverage="0" dxfId="19" text="" percent="0" bottom="0">
      <formula>"ORTA"</formula>
    </cfRule>
    <cfRule type="cellIs" rank="0" priority="8" equalAverage="0" operator="equal" aboveAverage="0" dxfId="8" text="" percent="0" bottom="0">
      <formula>"DÜŞÜK"</formula>
    </cfRule>
  </conditionalFormatting>
  <conditionalFormatting sqref="B7">
    <cfRule type="cellIs" rank="0" priority="9" equalAverage="0" operator="lessThan" aboveAverage="0" dxfId="12" text="" percent="0" bottom="0">
      <formula>0</formula>
    </cfRule>
  </conditionalFormatting>
  <conditionalFormatting sqref="B13">
    <cfRule type="cellIs" rank="0" priority="10" equalAverage="0" operator="greaterThan" aboveAverage="0" dxfId="9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00475569"/>
    <outlinePr summaryBelow="1" summaryRight="1"/>
    <pageSetUpPr fitToPage="0"/>
  </sheetPr>
  <dimension ref="A1:AN5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76" min="1" max="1"/>
    <col width="45.5" customWidth="1" style="76" min="2" max="2"/>
    <col width="95" customWidth="1" style="76" min="3" max="3"/>
    <col width="18" customWidth="1" style="76" min="4" max="4"/>
    <col width="13" customWidth="1" style="50" min="5" max="5"/>
    <col width="13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32" customHeight="1" s="50">
      <c r="A1" s="455" t="inlineStr">
        <is>
          <t>MOTOR — BANKA, KREDİ VE TAKSİT TAKİP SİSTEMİ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</row>
    <row r="2" ht="19.5" customHeight="1" s="50">
      <c r="A2" s="103" t="inlineStr">
        <is>
          <t>Hesaplama motoru: tüm ara hesaplar ve analitik modüller ad tanımlı hücrelerden beslenir. Değerler giriş tablolarından canlı hesaplanır; sabit sayı formüle gömülmez.</t>
        </is>
      </c>
    </row>
    <row r="3"/>
    <row r="4" ht="15" customHeight="1" s="50">
      <c r="A4" s="104" t="inlineStr">
        <is>
          <t>TEMEL ARA HESAPLAR</t>
        </is>
      </c>
    </row>
    <row r="5" ht="15" customHeight="1" s="50">
      <c r="A5" s="105" t="inlineStr">
        <is>
          <t>Kredi Sayısı</t>
        </is>
      </c>
      <c r="B5" s="106">
        <f>IFERROR(COUNTA(tblKrediler[Kredi ID]),0)</f>
        <v/>
      </c>
    </row>
    <row r="6" ht="15" customHeight="1" s="50">
      <c r="A6" s="105" t="inlineStr">
        <is>
          <t>Banka Sayısı</t>
        </is>
      </c>
      <c r="B6" s="106">
        <f>IFERROR(COUNTA(tblBankalar[Banka]),0)</f>
        <v/>
      </c>
    </row>
    <row r="7" ht="15" customHeight="1" s="50">
      <c r="A7" s="105" t="inlineStr">
        <is>
          <t>Toplam Anapara</t>
        </is>
      </c>
      <c r="B7" s="107">
        <f>IFERROR(SUM(tblKrediler[Anapara]),0)</f>
        <v/>
      </c>
    </row>
    <row r="8" ht="15" customHeight="1" s="50">
      <c r="A8" s="105" t="inlineStr">
        <is>
          <t>Güncel Bakiye Toplamı</t>
        </is>
      </c>
      <c r="B8" s="107">
        <f>IFERROR(SUM(tblKrediler[Güncel Bakiye]),0)</f>
        <v/>
      </c>
    </row>
    <row r="9" ht="15" customHeight="1" s="50">
      <c r="A9" s="105" t="inlineStr">
        <is>
          <t>TRY Bakiye</t>
        </is>
      </c>
      <c r="B9" s="107">
        <f>IFERROR(SUMIFS(tblKrediler[Güncel Bakiye],tblKrediler[Para Birimi],"TRY"),0)</f>
        <v/>
      </c>
    </row>
    <row r="10" ht="15" customHeight="1" s="50">
      <c r="A10" s="105" t="inlineStr">
        <is>
          <t>USD Bakiye</t>
        </is>
      </c>
      <c r="B10" s="107">
        <f>IFERROR(SUMIFS(tblKrediler[Güncel Bakiye],tblKrediler[Para Birimi],"USD"),0)</f>
        <v/>
      </c>
    </row>
    <row r="11" ht="15" customHeight="1" s="50">
      <c r="A11" s="105" t="inlineStr">
        <is>
          <t>EUR Bakiye</t>
        </is>
      </c>
      <c r="B11" s="107">
        <f>IFERROR(SUMIFS(tblKrediler[Güncel Bakiye],tblKrediler[Para Birimi],"EUR"),0)</f>
        <v/>
      </c>
    </row>
    <row r="12" ht="15" customHeight="1" s="50">
      <c r="A12" s="105" t="inlineStr">
        <is>
          <t>Döviz Bakiye</t>
        </is>
      </c>
      <c r="B12" s="107">
        <f>IFERROR(SUMIFS(tblKrediler[Güncel Bakiye],tblKrediler[Para Birimi],"&lt;&gt;TRY"),0)</f>
        <v/>
      </c>
    </row>
    <row r="13" ht="15" customHeight="1" s="50">
      <c r="A13" s="105" t="inlineStr">
        <is>
          <t>Toplam Aylık Taksit</t>
        </is>
      </c>
      <c r="B13" s="107">
        <f>IFERROR(SUM(tblTaksitPlani[Toplam Ödeme]),0)</f>
        <v/>
      </c>
    </row>
    <row r="14" ht="15" customHeight="1" s="50">
      <c r="A14" s="105" t="inlineStr">
        <is>
          <t>Ödenmemiş Taksit Toplamı</t>
        </is>
      </c>
      <c r="B14" s="107">
        <f>IFERROR(SUMIFS(tblTaksitPlani[Toplam Ödeme],tblTaksitPlani[Ödeme Durumu],"&lt;&gt;Ödendi"),0)</f>
        <v/>
      </c>
    </row>
    <row r="15" ht="15" customHeight="1" s="50">
      <c r="A15" s="105" t="inlineStr">
        <is>
          <t>30 Günlük Ödeme Yükü</t>
        </is>
      </c>
      <c r="B15" s="107">
        <f>IFERROR(SUMIFS(tblTaksitPlani[Toplam Ödeme],tblTaksitPlani[Ödeme Tarihi],"&gt;="&amp;RaporTarihi,tblTaksitPlani[Ödeme Tarihi],"&lt;"&amp;RaporTarihi+30,tblTaksitPlani[Ödeme Durumu],"&lt;&gt;Ödendi"),0)</f>
        <v/>
      </c>
    </row>
    <row r="16" ht="15" customHeight="1" s="50">
      <c r="A16" s="105" t="inlineStr">
        <is>
          <t>Vadesi Geçen Taksit Sayısı</t>
        </is>
      </c>
      <c r="B16" s="106">
        <f>IFERROR(COUNTIF(tblTaksitPlani[Kalan Gün],"&lt;0"),0)</f>
        <v/>
      </c>
    </row>
    <row r="17" ht="15" customHeight="1" s="50">
      <c r="A17" s="105" t="inlineStr">
        <is>
          <t>Vadesi Geçen Taksit Tutarı</t>
        </is>
      </c>
      <c r="B17" s="107">
        <f>IFERROR(SUMIFS(tblTaksitPlani[Toplam Ödeme],tblTaksitPlani[Kalan Gün],"&lt;0"),0)</f>
        <v/>
      </c>
    </row>
    <row r="18" ht="15" customHeight="1" s="50">
      <c r="A18" s="105" t="inlineStr">
        <is>
          <t>TRY Masraf</t>
        </is>
      </c>
      <c r="B18" s="107">
        <f>IFERROR(SUMIFS(tblMasraflar[Tutar],tblMasraflar[Para Birimi],"TRY"),0)</f>
        <v/>
      </c>
    </row>
    <row r="19" ht="15" customHeight="1" s="50">
      <c r="A19" s="105" t="inlineStr">
        <is>
          <t>USD Masraf</t>
        </is>
      </c>
      <c r="B19" s="107">
        <f>IFERROR(SUMIFS(tblMasraflar[Tutar],tblMasraflar[Para Birimi],"USD"),0)</f>
        <v/>
      </c>
    </row>
    <row r="20" ht="15" customHeight="1" s="50">
      <c r="A20" s="105" t="inlineStr">
        <is>
          <t>Mutabakat Farkı</t>
        </is>
      </c>
      <c r="B20" s="107">
        <f>IFERROR(ABS(SUM(tblKrediler[Güncel Bakiye])-SUMIFS(tblTaksitPlani[Anapara],tblTaksitPlani[Ödeme Durumu],"&lt;&gt;Ödendi")),0)</f>
        <v/>
      </c>
    </row>
    <row r="21" ht="15" customHeight="1" s="50">
      <c r="A21" s="105" t="inlineStr">
        <is>
          <t>Toplam Teminat</t>
        </is>
      </c>
      <c r="B21" s="107">
        <f>IFERROR(SUM(tblTeminatlar[Ekspertiz Değeri]),0)</f>
        <v/>
      </c>
    </row>
    <row r="22" ht="15" customHeight="1" s="50">
      <c r="A22" s="105" t="inlineStr">
        <is>
          <t>Kullanılan Limit</t>
        </is>
      </c>
      <c r="B22" s="107">
        <f>IFERROR(SUM(tblLimitler[Kullanılan Limit]),0)</f>
        <v/>
      </c>
    </row>
    <row r="23" ht="15" customHeight="1" s="50">
      <c r="A23" s="105" t="inlineStr">
        <is>
          <t>Kalan Limit</t>
        </is>
      </c>
      <c r="B23" s="107">
        <f>IFERROR(SUM(tblLimitler[Kalan Limit]),0)</f>
        <v/>
      </c>
    </row>
    <row r="24" ht="15" customHeight="1" s="50">
      <c r="A24" s="105" t="inlineStr">
        <is>
          <t>Ağırlıklı Maliyet</t>
        </is>
      </c>
      <c r="B24" s="108">
        <f>IFERROR(SUMPRODUCT(tblKrediler[Güncel Bakiye],tblKrediler[Yıllık Faiz])/MAX(1,SUM(tblKrediler[Güncel Bakiye])),0)</f>
        <v/>
      </c>
    </row>
    <row r="25"/>
    <row r="26" ht="15" customHeight="1" s="50">
      <c r="A26" s="105" t="inlineStr">
        <is>
          <t>Eksik Zorunlu Alan</t>
        </is>
      </c>
      <c r="B26" s="106">
        <f>KONTROLLER!$B$9</f>
        <v/>
      </c>
    </row>
    <row r="27" ht="15" customHeight="1" s="50">
      <c r="A27" s="105" t="inlineStr">
        <is>
          <t>Sıfır/Negatif Tutar</t>
        </is>
      </c>
      <c r="B27" s="106">
        <f>KONTROLLER!$B$10</f>
        <v/>
      </c>
    </row>
    <row r="28" ht="15" customHeight="1" s="50">
      <c r="A28" s="105" t="inlineStr">
        <is>
          <t>Mükerrer Kredi ID</t>
        </is>
      </c>
      <c r="B28" s="106">
        <f>KONTROLLER!$B$11</f>
        <v/>
      </c>
    </row>
    <row r="29" ht="15" customHeight="1" s="50">
      <c r="A29" s="105" t="inlineStr">
        <is>
          <t>Vadesi Geçen Taksit</t>
        </is>
      </c>
      <c r="B29" s="106">
        <f>IFERROR(COUNTIF(tblTaksitPlani[Kalan Gün],"&lt;0"),0)</f>
        <v/>
      </c>
    </row>
    <row r="30" ht="15" customHeight="1" s="50">
      <c r="A30" s="105" t="inlineStr">
        <is>
          <t>Mutabakat Fark Oranı</t>
        </is>
      </c>
      <c r="B30" s="108">
        <f>IFERROR(B20/MAX(1,B8),0)</f>
        <v/>
      </c>
    </row>
    <row r="31" ht="15" customHeight="1" s="50">
      <c r="A31" s="105" t="inlineStr">
        <is>
          <t>Veri Kalite Skoru</t>
        </is>
      </c>
      <c r="B31" s="106">
        <f>KONTROLLER!$B$6</f>
        <v/>
      </c>
    </row>
    <row r="32"/>
    <row r="33" ht="15" customHeight="1" s="50">
      <c r="A33" s="105" t="inlineStr">
        <is>
          <t>Modül T1: Vadesi Geçen Taksit</t>
        </is>
      </c>
      <c r="B33" s="106">
        <f>IFERROR(COUNTIF(tblTaksitPlani[Kalan Gün],"&lt;0"),0)</f>
        <v/>
      </c>
      <c r="C33" s="109">
        <f>_xlfn.TEXTJOIN(" | ",TRUE(),"T1: Vadesi geçmiş taksit sayısı "&amp;modulT1VadeGecmis,IF(modulT1VadeGecmis&gt;0,"gecikmiş taksitler faiz ve itibar riski yaratıyor, ödeme önceliği verin","vadesi geçmiş taksit yok"))</f>
        <v/>
      </c>
    </row>
    <row r="34" ht="15" customHeight="1" s="50">
      <c r="A34" s="105" t="inlineStr">
        <is>
          <t>Modül T2: Ödeme Eğimi</t>
        </is>
      </c>
      <c r="B34" s="107">
        <f>IFERROR(SLOPE(tblTaksitPlani[Toplam Ödeme],tblTaksitPlani[Ödeme Tarihi]),0)</f>
        <v/>
      </c>
      <c r="C34" s="109">
        <f>_xlfn.TEXTJOIN(" | ",TRUE(),"T2: Ödeme eğimi "&amp;TEXT(modulT2OdemeEgimi,"#,##0")&amp;" TL/gün",IF(modulT2OdemeEgimi&lt;0,"ödeme yoğunluğu artıyor, nakit planını gözden geçirin","ödeme yükü dengeli seyrediyor"))</f>
        <v/>
      </c>
    </row>
    <row r="35" ht="15" customHeight="1" s="50">
      <c r="A35" s="105" t="inlineStr">
        <is>
          <t>Modül T3: Borçta Pareto Payı</t>
        </is>
      </c>
      <c r="B35" s="108">
        <f>IFERROR(MAX(SUMIFS(tblKrediler[Güncel Bakiye],tblKrediler[Banka],"Türkiye İş Bankası"),SUMIFS(tblKrediler[Güncel Bakiye],tblKrediler[Banka],"Akbank"),SUMIFS(tblKrediler[Güncel Bakiye],tblKrediler[Banka],"Garanti BBVA"),SUMIFS(tblKrediler[Güncel Bakiye],tblKrediler[Banka],"Yapı Kredi"))/MAX(1,SUM(tblKrediler[Güncel Bakiye])),0)</f>
        <v/>
      </c>
      <c r="C35" s="109">
        <f>_xlfn.TEXTJOIN(" | ",TRUE(),"T3: En büyük bankanın borç payı %"&amp;TEXT(modulT3BorctaPareto*100,"0")&amp;"",IF(modulT3BorctaPareto&gt;0.5,"borç tek bankada yoğun, alternatif finansmanı değerlendirin","borç dağılımı görece dengeli"))</f>
        <v/>
      </c>
    </row>
    <row r="36" ht="15" customHeight="1" s="50">
      <c r="A36" s="105" t="inlineStr">
        <is>
          <t>Modül T4: Aylık Yük Oranı</t>
        </is>
      </c>
      <c r="B36" s="108">
        <f>IFERROR(B15/MAX(1,B8),0)</f>
        <v/>
      </c>
      <c r="C36" s="109">
        <f>_xlfn.TEXTJOIN(" | ",TRUE(),"T4: 30 günlük ödeme yükü bakiyenin %"&amp;TEXT(modulT4AyFarki*100,"0.0")&amp;"'ı",IF(modulT4AyFarki&gt;0.15,"aylık yük yüksek, refinansman veya vade uzatma değerlendirin","aylık yük yönetilebilir"))</f>
        <v/>
      </c>
    </row>
    <row r="37" ht="15" customHeight="1" s="50">
      <c r="A37" s="105" t="inlineStr">
        <is>
          <t>Modül T5: Mutabakat Farkı</t>
        </is>
      </c>
      <c r="B37" s="107">
        <f>B20</f>
        <v/>
      </c>
      <c r="C37" s="109">
        <f>_xlfn.TEXTJOIN(" | ",TRUE(),"T5: Anapara-ödeme planı mutabakat farkı "&amp;TEXT(modulT5MutabakatFark,"#,##0")&amp;" TL",IF(modulT5MutabakatFark&gt;0,"kayıtlar ile plan arasında fark var, taksit kayıtlarını denetleyin","mutabakat uyumlu"))</f>
        <v/>
      </c>
    </row>
    <row r="38" ht="15" customHeight="1" s="50">
      <c r="A38" s="105" t="inlineStr">
        <is>
          <t>Modül T6: Kaldıraç Oranı</t>
        </is>
      </c>
      <c r="B38" s="106">
        <f>IFERROR(B8/MAX(1,YillikFaaliyetKari),0)</f>
        <v/>
      </c>
      <c r="C38" s="109">
        <f>_xlfn.TEXTJOIN(" | ",TRUE(),"T6: Kaldıraç (borç/kâr) "&amp;TEXT(modulT6KaldiracOran,"0.0")&amp;"",IF(modulT6KaldiracOran&gt;KaldiracEsigi,"kaldıraç eşiğin üzerinde, borç yükü riskli","kaldıraç eşik altında"))</f>
        <v/>
      </c>
    </row>
    <row r="39" ht="15" customHeight="1" s="50">
      <c r="A39" s="105" t="inlineStr">
        <is>
          <t>Modül O1: Anomali Oranı</t>
        </is>
      </c>
      <c r="B39" s="106">
        <f>IFERROR(MAX(tblTaksitPlani[Toplam Ödeme])/MAX(1,AVERAGE(tblTaksitPlani[Toplam Ödeme])),0)</f>
        <v/>
      </c>
      <c r="C39" s="109">
        <f>_xlfn.TEXTJOIN(" | ",TRUE(),"O1: En yüksek taksit ortalamanın "&amp;TEXT(modulO1AnomaliOdeme,"0.0")&amp;" katı",IF(modulO1AnomaliOdeme&gt;2,"taksitler arası dengesizlik var, balon ödeme riskini izleyin","taksit dağılımı dengeli"))</f>
        <v/>
      </c>
    </row>
    <row r="40" ht="15" customHeight="1" s="50">
      <c r="A40" s="105" t="inlineStr">
        <is>
          <t>Modül O2: Tornado Zirve Etki</t>
        </is>
      </c>
      <c r="B40" s="107">
        <f>IFERROR(MAX(DuyarliOran*B12,DuyarliOran*B8*B24,DuyarliOran*B15),0)</f>
        <v/>
      </c>
      <c r="C40" s="109">
        <f>_xlfn.TEXTJOIN(" | ",TRUE(),"O2: Duyarlılık değişkenlerinin en yüksek etkisi "&amp;TEXT(modulO2TornadoZirve,"#,##0")&amp;" TL",IF(modulO2TornadoZirve&gt;KARAR_MOTORU!$B$7,"tek değişken senaryoyu değiştirebilir, kur ve faiz riskini yönetin","duyarlılık etkisi sınırlı"))</f>
        <v/>
      </c>
    </row>
    <row r="41" ht="15" customHeight="1" s="50">
      <c r="A41" s="105" t="inlineStr">
        <is>
          <t>Modül O3: Senaryo Farkı</t>
        </is>
      </c>
      <c r="B41" s="107">
        <f>IFERROR(ABS(SENARYO_DUYARLILIK!$B$6-SENARYO_DUYARLILIK!$B$7),0)</f>
        <v/>
      </c>
      <c r="C41" s="109">
        <f>_xlfn.TEXTJOIN(" | ",TRUE(),"O3: İyimser-kötümser senaryo arası borç farkı "&amp;TEXT(modulO3SenaryoFark,"#,##0")&amp;" TL",IF(modulO3SenaryoFark&gt;KARAR_MOTORU!$B$5*0.2,"senaryo belirsizliği yüksek","senaryo aralığı kabul edilebilir"))</f>
        <v/>
      </c>
    </row>
    <row r="42" ht="15" customHeight="1" s="50">
      <c r="A42" s="105" t="inlineStr">
        <is>
          <t>Modül O4: Borç Servis Karşılama (DSCR)</t>
        </is>
      </c>
      <c r="B42" s="108">
        <f>IFERROR(AylikFaaliyetNakdi/MAX(1,KARAR_MOTORU!$B$6),0)</f>
        <v/>
      </c>
      <c r="C42" s="109">
        <f>_xlfn.TEXTJOIN(" | ",TRUE(),"O4: DSCR "&amp;TEXT(modulO4Dscr*100,"0")&amp;"%",IF(modulO4Dscr&lt;1,"aylık nakit borç servisini karşılamıyor, likidite riski","DSCR 1 üzerinde, borç servisi karşılanıyor"))</f>
        <v/>
      </c>
    </row>
    <row r="43" ht="15" customHeight="1" s="50">
      <c r="A43" s="105" t="inlineStr">
        <is>
          <t>Modül O6: Banka Yoğunlaşma (HHI)</t>
        </is>
      </c>
      <c r="B43" s="106">
        <f>IFERROR((SUMIFS(tblKrediler[Güncel Bakiye],tblKrediler[Banka],"Türkiye İş Bankası")^2+SUMIFS(tblKrediler[Güncel Bakiye],tblKrediler[Banka],"Akbank")^2+SUMIFS(tblKrediler[Güncel Bakiye],tblKrediler[Banka],"Garanti BBVA")^2+SUMIFS(tblKrediler[Güncel Bakiye],tblKrediler[Banka],"Yapı Kredi")^2)/MAX(1,SUM(tblKrediler[Güncel Bakiye])^2),0)</f>
        <v/>
      </c>
      <c r="C43" s="109">
        <f>_xlfn.TEXTJOIN(" | ",TRUE(),"O6: Banka yoğunlaşma endeksi "&amp;TEXT(modulO6BankaHhi,"0.00")&amp;"",IF(modulO6BankaHhi&gt;0.5,"borç tek bankada yoğun, alternatif finansmanı değerlendirin","banka dağılımı dengeli"))</f>
        <v/>
      </c>
    </row>
    <row r="44" ht="15" customHeight="1" s="50">
      <c r="A44" s="105" t="inlineStr">
        <is>
          <t>Modül O8: Veri Kalite Skoru</t>
        </is>
      </c>
      <c r="B44" s="106">
        <f>KONTROLLER!$B$6</f>
        <v/>
      </c>
      <c r="C44" s="109">
        <f>_xlfn.TEXTJOIN(" | ",TRUE(),"O8: Veri kalite skoru "&amp;TEXT(modulO8KaliteSkor,"0")&amp;"/100",IF(modulO8KaliteSkor&gt;=VeriKaliteYuksek,"girdi kalitesi yüksek","kalite düşük, girişleri tamamlayın"))</f>
        <v/>
      </c>
    </row>
    <row r="45" ht="15" customHeight="1" s="50">
      <c r="A45" s="105" t="inlineStr">
        <is>
          <t>Modül I1: Ödeme Tahmini</t>
        </is>
      </c>
      <c r="B45" s="107">
        <f>IFERROR(_xlfn.FORECAST.LINEAR(MAX(tblTaksitPlani[Ödeme Tarihi])+30,tblTaksitPlani[Toplam Ödeme],tblTaksitPlani[Ödeme Tarihi]),0)</f>
        <v/>
      </c>
      <c r="C45" s="109">
        <f>_xlfn.TEXTJOIN(" | ",TRUE(),"I1: 30 gün sonrası tahmini ödeme "&amp;TEXT(modulI1OdemeTahmini,"#,##0")&amp;" TL",IF(modulI1OdemeTahmini&gt;SerbestNakit,"tahmini ödeme serbest nakdi aşıyor, önlem planı kurun","tahmini ödeme serbest nakit içinde"))</f>
        <v/>
      </c>
    </row>
    <row r="46" ht="15" customHeight="1" s="50">
      <c r="A46" s="105" t="inlineStr">
        <is>
          <t>Modül I2: Ödeme P90</t>
        </is>
      </c>
      <c r="B46" s="107">
        <f>IFERROR(_xlfn.PERCENTILE.INC(tblTaksitPlani[Toplam Ödeme],0.9),0)</f>
        <v/>
      </c>
      <c r="C46" s="109">
        <f>_xlfn.TEXTJOIN(" | ",TRUE(),"I2: Aylık ödeme P90 "&amp;TEXT(modulI2OdemeP90,"#,##0")&amp;" TL",IF(modulI2OdemeP90&gt;KARAR_MOTORU!$B$7*1.5,"P90 seviyesi cari yükün üzerinde, tampon büyütün","P90 seviyesi yönetilebilir"))</f>
        <v/>
      </c>
    </row>
    <row r="47" ht="15" customHeight="1" s="50">
      <c r="A47" s="105" t="inlineStr">
        <is>
          <t>Modül I3: Refinansman Yıllık Tasarrufu</t>
        </is>
      </c>
      <c r="B47" s="107">
        <f>IFERROR(IF(COUNTA(tblYeniTeklifler[Teklif ID])=0,0,MAX(0,(KARAR_MOTORU!$B$6-MIN(tblYeniTeklifler[Aylık Taksit]))*12)),0)</f>
        <v/>
      </c>
      <c r="C47" s="109">
        <f>_xlfn.TEXTJOIN(" | ",TRUE(),"I3: En iyi teklifin yıllık tasarrufu "&amp;TEXT(modulI3XirrRefinansman,"#,##0")&amp;" TL",IF(modulI3XirrRefinansman&gt;0,"refinansman teklifi değer yaratıyor, müzakeresini başlatın","anlamlı refinansman tasarrufu yok"))</f>
        <v/>
      </c>
    </row>
    <row r="48" ht="15" customHeight="1" s="50">
      <c r="A48" s="105" t="inlineStr">
        <is>
          <t>Modül I7: Nakit Açığı Köprüsü</t>
        </is>
      </c>
      <c r="B48" s="107">
        <f>IFERROR(MAX(0,B15-SerbestNakit),0)</f>
        <v/>
      </c>
      <c r="C48" s="109">
        <f>_xlfn.TEXTJOIN(" | ",TRUE(),"I7: Nakit açığı köprüsü "&amp;TEXT(modulI7NakitAcigi,"#,##0")&amp;" TL",IF(modulI7NakitAcigi&gt;0,"30 günlük yük serbest nakdi aşıyor, tahsilat ve limit imkânını hızlandırın","nakit açığı yok"))</f>
        <v/>
      </c>
    </row>
    <row r="49"/>
    <row r="50"/>
    <row r="51" ht="19.5" customHeight="1" s="50">
      <c r="A51" s="103" t="inlineStr">
        <is>
          <t>Tüm hesaplar AYARLAR parametrelerinden beslenir; veri yokken 0 ve güvenli dönüş yapar.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51:AN51"/>
    <mergeCell ref="A2:AN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 filterMode="0">
    <tabColor rgb="00475569"/>
    <outlinePr summaryBelow="1" summaryRight="1"/>
    <pageSetUpPr fitToPage="0"/>
  </sheetPr>
  <dimension ref="A1:AC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76" min="1" max="1"/>
    <col width="22.5" customWidth="1" style="76" min="2" max="3"/>
    <col width="13" customWidth="1" style="50" min="3" max="3"/>
    <col width="20" customWidth="1" style="76" min="4" max="4"/>
    <col width="13" customWidth="1" style="50" min="5" max="5"/>
    <col width="13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32" customHeight="1" s="50">
      <c r="A1" s="455" t="inlineStr">
        <is>
          <t>SENARYO DUYARLILIK — BANKA, KREDİ VE TAKSİT TAKİP SİSTEMİ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</row>
    <row r="2" ht="7.8" customHeight="1" s="50"/>
    <row r="3" ht="22" customHeight="1" s="50">
      <c r="A3" s="456" t="inlineStr">
        <is>
          <t>SENARYO VE DUYARLILIK ANALİZİ</t>
        </is>
      </c>
    </row>
    <row r="4" ht="10" customHeight="1" s="50"/>
    <row r="5" ht="15" customHeight="1" s="50">
      <c r="A5" s="81" t="inlineStr">
        <is>
          <t>Baz Toplam Borç</t>
        </is>
      </c>
      <c r="B5" s="111">
        <f>KARAR_MOTORU!$B$5</f>
        <v/>
      </c>
    </row>
    <row r="6" ht="15" customHeight="1" s="50">
      <c r="A6" s="81" t="inlineStr">
        <is>
          <t>İyimser Bakiye (-%10 Borç)</t>
        </is>
      </c>
      <c r="B6" s="111">
        <f>B5-B5*$B$11</f>
        <v/>
      </c>
    </row>
    <row r="7" ht="15" customHeight="1" s="50">
      <c r="A7" s="81" t="inlineStr">
        <is>
          <t>Kötümser Bakiye (+%10 Borç)</t>
        </is>
      </c>
      <c r="B7" s="111">
        <f>B5+B5*$B$11</f>
        <v/>
      </c>
    </row>
    <row r="8"/>
    <row r="9" ht="15" customHeight="1" s="50">
      <c r="A9" s="84" t="inlineStr">
        <is>
          <t>MARJİNAL ETKİ (Tornado)</t>
        </is>
      </c>
    </row>
    <row r="10" ht="15" customHeight="1" s="50">
      <c r="A10" s="114" t="inlineStr">
        <is>
          <t>Değişken</t>
        </is>
      </c>
      <c r="B10" s="114" t="inlineStr">
        <is>
          <t>Değişim</t>
        </is>
      </c>
      <c r="C10" s="114" t="inlineStr">
        <is>
          <t>Etki</t>
        </is>
      </c>
      <c r="D10" s="114" t="inlineStr">
        <is>
          <t>Yeni Borç</t>
        </is>
      </c>
    </row>
    <row r="11" ht="15" customHeight="1" s="50">
      <c r="A11" s="81" t="inlineStr">
        <is>
          <t>Döviz Borcu +%10</t>
        </is>
      </c>
      <c r="B11" s="116" t="n">
        <v>0.1</v>
      </c>
      <c r="C11" s="92">
        <f>KARAR_MOTORU!$B$10*$B$11</f>
        <v/>
      </c>
      <c r="D11" s="92">
        <f>B5+$C$11</f>
        <v/>
      </c>
    </row>
    <row r="12" ht="15" customHeight="1" s="50">
      <c r="A12" s="81" t="inlineStr">
        <is>
          <t>Faiz Maliyeti +%10</t>
        </is>
      </c>
      <c r="B12" s="116" t="n">
        <v>0.1</v>
      </c>
      <c r="C12" s="92">
        <f>KARAR_MOTORU!$B$5*KARAR_MOTORU!$B$9*$B$12</f>
        <v/>
      </c>
      <c r="D12" s="92">
        <f>B5+$C$12</f>
        <v/>
      </c>
    </row>
    <row r="13" ht="15" customHeight="1" s="50">
      <c r="A13" s="81" t="inlineStr">
        <is>
          <t>30 Günlük Ödeme +%10</t>
        </is>
      </c>
      <c r="B13" s="116" t="n">
        <v>0.1</v>
      </c>
      <c r="C13" s="92">
        <f>KARAR_MOTORU!$B$7*$B$13</f>
        <v/>
      </c>
      <c r="D13" s="92">
        <f>B5+$C$13</f>
        <v/>
      </c>
    </row>
    <row r="14"/>
    <row r="15" ht="15" customHeight="1" s="50">
      <c r="A15" s="84" t="inlineStr">
        <is>
          <t>SENARYO TABLOSU</t>
        </is>
      </c>
    </row>
    <row r="16" ht="15" customHeight="1" s="50">
      <c r="A16" s="114" t="inlineStr">
        <is>
          <t>Senaryo</t>
        </is>
      </c>
      <c r="B16" s="114" t="inlineStr">
        <is>
          <t>Toplam Borç</t>
        </is>
      </c>
      <c r="C16" s="114" t="inlineStr">
        <is>
          <t>30 Gün Ödeme</t>
        </is>
      </c>
      <c r="D16" s="114" t="inlineStr">
        <is>
          <t>Karar</t>
        </is>
      </c>
    </row>
    <row r="17" ht="15" customHeight="1" s="50">
      <c r="A17" s="81" t="inlineStr">
        <is>
          <t>Kötümser</t>
        </is>
      </c>
      <c r="B17" s="92">
        <f>B7</f>
        <v/>
      </c>
      <c r="C17" s="92">
        <f>KARAR_MOTORU!$B$7*(1+$B$13)</f>
        <v/>
      </c>
      <c r="D17" s="89">
        <f>IF(C17/SerbestNakit&gt;LikiditeEsigi,"DURDUR","İNCELE")</f>
        <v/>
      </c>
    </row>
    <row r="18" ht="15" customHeight="1" s="50">
      <c r="A18" s="81" t="inlineStr">
        <is>
          <t>Baz</t>
        </is>
      </c>
      <c r="B18" s="92">
        <f>B5</f>
        <v/>
      </c>
      <c r="C18" s="92">
        <f>KARAR_MOTORU!$B$7</f>
        <v/>
      </c>
      <c r="D18" s="89">
        <f>KARAR_MOTORU!$B$15</f>
        <v/>
      </c>
    </row>
    <row r="19" ht="15" customHeight="1" s="50">
      <c r="A19" s="81" t="inlineStr">
        <is>
          <t>İyimser</t>
        </is>
      </c>
      <c r="B19" s="92">
        <f>B6</f>
        <v/>
      </c>
      <c r="C19" s="92">
        <f>KARAR_MOTORU!$B$7*(1-$B$13)</f>
        <v/>
      </c>
      <c r="D19" s="89">
        <f>IF(C19/SerbestNakit&gt;LikiditeEsigi,"DURDUR","UYGUN")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5">
    <cfRule type="cellIs" rank="0" priority="2" equalAverage="0" operator="lessThan" aboveAverage="0" dxfId="12" text="" percent="0" bottom="0">
      <formula>0</formula>
    </cfRule>
  </conditionalFormatting>
  <conditionalFormatting sqref="B6">
    <cfRule type="cellIs" rank="0" priority="3" equalAverage="0" operator="lessThan" aboveAverage="0" dxfId="9" text="" percent="0" bottom="0">
      <formula>0</formula>
    </cfRule>
  </conditionalFormatting>
  <conditionalFormatting sqref="B7">
    <cfRule type="cellIs" rank="0" priority="4" equalAverage="0" operator="lessThan" aboveAverage="0" dxfId="9" text="" percent="0" bottom="0">
      <formula>0</formula>
    </cfRule>
  </conditionalFormatting>
  <conditionalFormatting sqref="D14:D20">
    <cfRule type="cellIs" rank="0" priority="5" equalAverage="0" operator="lessThan" aboveAverage="0" dxfId="9" text="" percent="0" bottom="0">
      <formula>0</formula>
    </cfRule>
    <cfRule type="cellIs" rank="0" priority="6" equalAverage="0" operator="greaterThan" aboveAverage="0" dxfId="8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 filterMode="0">
    <tabColor rgb="0064748B"/>
    <outlinePr summaryBelow="1" summaryRight="1"/>
    <pageSetUpPr fitToPage="0"/>
  </sheetPr>
  <dimension ref="A1:AC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76" min="1" max="1"/>
    <col width="24" customWidth="1" style="76" min="2" max="2"/>
    <col width="13" customWidth="1" style="50" min="3" max="3"/>
    <col width="13" customWidth="1" style="50" min="4" max="4"/>
    <col width="13" customWidth="1" style="50" min="5" max="5"/>
    <col width="13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  <col width="13" customWidth="1" style="50" min="11" max="11"/>
  </cols>
  <sheetData>
    <row r="1" ht="32" customHeight="1" s="50">
      <c r="A1" s="455" t="inlineStr">
        <is>
          <t>KONTROLLER — BANKA, KREDİ VE TAKSİT TAKİP SİSTEMİ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  <c r="J1" s="434" t="n"/>
    </row>
    <row r="2" ht="7.8" customHeight="1" s="50"/>
    <row r="3" ht="22" customHeight="1" s="50">
      <c r="A3" s="456" t="inlineStr">
        <is>
          <t>VERİ KALİTESİ VE SİSTEM SAĞLIĞI</t>
        </is>
      </c>
    </row>
    <row r="4" ht="10" customHeight="1" s="50"/>
    <row r="5"/>
    <row r="6" ht="15" customHeight="1" s="50">
      <c r="A6" s="100" t="inlineStr">
        <is>
          <t>Veri Kalite Skoru</t>
        </is>
      </c>
      <c r="B6" s="101">
        <f>ROUND(100-(B9+B10+B11)*UyariPuanKesintisi,0)</f>
        <v/>
      </c>
    </row>
    <row r="7" ht="15" customHeight="1" s="50">
      <c r="A7" s="100" t="inlineStr">
        <is>
          <t>Durum</t>
        </is>
      </c>
      <c r="B7" s="102">
        <f>IF(B6&gt;=VeriKaliteYuksek,"SAĞLIKLI",IF(B6&gt;=VeriKaliteOrta,"İZLEME GEREKLİ","DÜZELTME GEREKLİ"))</f>
        <v/>
      </c>
    </row>
    <row r="8" ht="15" customHeight="1" s="50">
      <c r="A8" s="100" t="inlineStr">
        <is>
          <t>Genel Karar</t>
        </is>
      </c>
      <c r="B8" s="102">
        <f>IF(B6&gt;=VeriKaliteYuksek,"UYGUN",IF(B6&gt;=VeriKaliteOrta,"İNCELE","DURDUR"))</f>
        <v/>
      </c>
    </row>
    <row r="9" ht="15" customHeight="1" s="50">
      <c r="A9" s="81" t="inlineStr">
        <is>
          <t>Eksik Zorunlu Alan</t>
        </is>
      </c>
      <c r="B9" s="101">
        <f>COUNTIF(BANKALAR!$I$6:$I$1000,"EKSİK")+COUNTIF(LIMITLER!$I$6:$I$1000,"EKSİK")+COUNTIF(KREDILER!$N$6:$N$1000,"EKSİK")+COUNTIF(TAKSIT_PLANI!$L$6:$L$1000,"EKSİK")</f>
        <v/>
      </c>
    </row>
    <row r="10" ht="15" customHeight="1" s="50">
      <c r="A10" s="81" t="inlineStr">
        <is>
          <t>Sıfır/Negatif Tutar</t>
        </is>
      </c>
      <c r="B10" s="101">
        <f>COUNTIF(LIMITLER!$G$6:$G$1000,"&lt;0")+COUNTIF(KREDILER!$H$6:$H$1000,"&lt;=0")+COUNTIF(TAKSIT_PLANI!$I$6:$I$1000,"&lt;=0")</f>
        <v/>
      </c>
    </row>
    <row r="11" ht="15" customHeight="1" s="50">
      <c r="A11" s="81" t="inlineStr">
        <is>
          <t>Mükerrer Kredi ID</t>
        </is>
      </c>
      <c r="B11" s="101">
        <f>COUNTIF(KREDILER!$A$6:$A$1000,KREDILER!$A$6)&gt;1</f>
        <v/>
      </c>
    </row>
    <row r="12" ht="15" customHeight="1" s="50">
      <c r="A12" s="81" t="inlineStr">
        <is>
          <t>Kayıt Sayısı (Kredi)</t>
        </is>
      </c>
      <c r="B12" s="101">
        <f>COUNTA(KREDILER!$A$6:$A$1000)</f>
        <v/>
      </c>
    </row>
    <row r="13" ht="15" customHeight="1" s="50">
      <c r="A13" s="81" t="inlineStr">
        <is>
          <t>Kayıt Sayısı (Taksit)</t>
        </is>
      </c>
      <c r="B13" s="101">
        <f>COUNTA(TAKSIT_PLANI!$A$6:$A$1000)</f>
        <v/>
      </c>
    </row>
    <row r="14" ht="15" customHeight="1" s="50">
      <c r="A14" s="81" t="inlineStr">
        <is>
          <t>Mutabakat Tutuyor</t>
        </is>
      </c>
      <c r="B14" s="102">
        <f>IF(B9+B10+B11=0,"UYGUN","SAĞLAM DEĞİL")</f>
        <v/>
      </c>
    </row>
    <row r="15"/>
    <row r="16"/>
    <row r="17"/>
    <row r="18" ht="36.75" customHeight="1" s="50">
      <c r="A18" s="82" t="inlineStr">
        <is>
          <t>Not: Mutabakat kontrolü, veri kalite skorunu düşüren ihlal sayısını ölçer. Her ihlal skordan düşer.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J1"/>
    <mergeCell ref="A3:J3"/>
  </mergeCells>
  <conditionalFormatting sqref="B6">
    <cfRule type="cellIs" rank="0" priority="2" equalAverage="0" operator="lessThan" aboveAverage="0" dxfId="12" text="" percent="0" bottom="0">
      <formula>50</formula>
    </cfRule>
    <cfRule type="cellIs" rank="0" priority="3" equalAverage="0" operator="between" aboveAverage="0" dxfId="10" text="" percent="0" bottom="0">
      <formula>50</formula>
      <formula>80</formula>
    </cfRule>
    <cfRule type="cellIs" rank="0" priority="4" equalAverage="0" operator="greaterThanOrEqual" aboveAverage="0" dxfId="8" text="" percent="0" bottom="0">
      <formula>80</formula>
    </cfRule>
  </conditionalFormatting>
  <conditionalFormatting sqref="B7">
    <cfRule type="cellIs" rank="0" priority="5" equalAverage="0" operator="equal" aboveAverage="0" dxfId="8" text="" percent="0" bottom="0">
      <formula>"SAĞLIKLI"</formula>
    </cfRule>
    <cfRule type="cellIs" rank="0" priority="6" equalAverage="0" operator="equal" aboveAverage="0" dxfId="10" text="" percent="0" bottom="0">
      <formula>"İZLEME GEREKLİ"</formula>
    </cfRule>
    <cfRule type="cellIs" rank="0" priority="7" equalAverage="0" operator="equal" aboveAverage="0" dxfId="9" text="" percent="0" bottom="0">
      <formula>"DÜZELTME GEREKLİ"</formula>
    </cfRule>
  </conditionalFormatting>
  <conditionalFormatting sqref="B8">
    <cfRule type="cellIs" rank="0" priority="8" equalAverage="0" operator="equal" aboveAverage="0" dxfId="8" text="" percent="0" bottom="0">
      <formula>"UYGUN"</formula>
    </cfRule>
    <cfRule type="cellIs" rank="0" priority="9" equalAverage="0" operator="equal" aboveAverage="0" dxfId="10" text="" percent="0" bottom="0">
      <formula>"İNCELE"</formula>
    </cfRule>
    <cfRule type="cellIs" rank="0" priority="10" equalAverage="0" operator="equal" aboveAverage="0" dxfId="12" text="" percent="0" bottom="0">
      <formula>"DURDUR"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0064748B"/>
    <outlinePr summaryBelow="1" summaryRight="1"/>
    <pageSetUpPr fitToPage="0"/>
  </sheetPr>
  <dimension ref="A1:AN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76" min="1" max="1"/>
    <col width="42" customWidth="1" style="76" min="2" max="2"/>
    <col width="12" customWidth="1" style="76" min="3" max="3"/>
    <col width="56" customWidth="1" style="76" min="4" max="4"/>
    <col width="20.5" customWidth="1" style="76" min="5" max="5"/>
    <col width="14" customWidth="1" style="76" min="6" max="7"/>
    <col width="13" customWidth="1" style="50" min="7" max="7"/>
    <col width="13" customWidth="1" style="50" min="8" max="8"/>
    <col width="13" customWidth="1" style="50" min="9" max="9"/>
    <col width="16" customWidth="1" style="76" min="10" max="10"/>
    <col width="13" customWidth="1" style="76" min="11" max="11"/>
    <col width="28" customWidth="1" style="76" min="12" max="12"/>
    <col width="16" customWidth="1" style="76" min="13" max="13"/>
    <col width="13" customWidth="1" style="76" min="14" max="14"/>
  </cols>
  <sheetData>
    <row r="1" ht="32" customHeight="1" s="50">
      <c r="A1" s="455" t="inlineStr">
        <is>
          <t>AYARLAR — BANKA, KREDİ VE TAKSİT TAKİP SİSTEMİ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</row>
    <row r="2" ht="7.8" customHeight="1" s="50">
      <c r="A2" s="103" t="inlineStr">
        <is>
          <t>Tüm eşikler, katsayılar ve firma bilgileri tek kaynaktan (SSOT) buradan yönetilir. Değerleri değiştirirken Alt/Üst sınırlara dikkat edin.</t>
        </is>
      </c>
    </row>
    <row r="3"/>
    <row r="4" ht="10" customHeight="1" s="50">
      <c r="A4" s="104" t="inlineStr">
        <is>
          <t>FIRMA BİLGİLERİ</t>
        </is>
      </c>
    </row>
    <row r="5" ht="15" customHeight="1" s="50">
      <c r="A5" s="105" t="inlineStr">
        <is>
          <t>Firma Unvanı</t>
        </is>
      </c>
      <c r="B5" s="121" t="inlineStr">
        <is>
          <t>Örnek Anadolu Üretim ve Ticaret A.Ş.</t>
        </is>
      </c>
      <c r="E5" s="122" t="inlineStr">
        <is>
          <t>Açıklama</t>
        </is>
      </c>
    </row>
    <row r="6" ht="15" customHeight="1" s="50">
      <c r="A6" s="105" t="inlineStr">
        <is>
          <t>Rapor Tarihi</t>
        </is>
      </c>
      <c r="B6" s="94" t="n">
        <v>46242</v>
      </c>
      <c r="E6" s="122" t="inlineStr">
        <is>
          <t>Açıklama</t>
        </is>
      </c>
    </row>
    <row r="7" ht="15" customHeight="1" s="50">
      <c r="A7" s="105" t="inlineStr">
        <is>
          <t>Rapor Hazırlayan</t>
        </is>
      </c>
      <c r="B7" s="121" t="inlineStr">
        <is>
          <t>Finans Direktörü</t>
        </is>
      </c>
      <c r="E7" s="122" t="inlineStr">
        <is>
          <t>Açıklama</t>
        </is>
      </c>
    </row>
    <row r="8" ht="15" customHeight="1" s="50">
      <c r="A8" s="105" t="inlineStr">
        <is>
          <t>Dosya Sürümü</t>
        </is>
      </c>
      <c r="B8" s="121" t="inlineStr">
        <is>
          <t>1.0</t>
        </is>
      </c>
      <c r="E8" s="122" t="inlineStr">
        <is>
          <t>Açıklama</t>
        </is>
      </c>
    </row>
    <row r="9" ht="15" customHeight="1" s="50">
      <c r="A9" s="105" t="inlineStr">
        <is>
          <t>Lisans Kodu</t>
        </is>
      </c>
      <c r="B9" s="121" t="inlineStr">
        <is>
          <t>EKSRV-2026-BKT-0001</t>
        </is>
      </c>
      <c r="E9" s="122" t="inlineStr">
        <is>
          <t>Açıklama</t>
        </is>
      </c>
    </row>
    <row r="10" ht="15" customHeight="1" s="50">
      <c r="A10" s="105" t="inlineStr">
        <is>
          <t>Para Birimi</t>
        </is>
      </c>
      <c r="B10" s="121" t="inlineStr">
        <is>
          <t>TRY</t>
        </is>
      </c>
      <c r="E10" s="122" t="inlineStr">
        <is>
          <t>Açıklama</t>
        </is>
      </c>
    </row>
    <row r="11"/>
    <row r="12" ht="15" customHeight="1" s="50">
      <c r="A12" s="104" t="inlineStr">
        <is>
          <t>MODEL EŞİKLERİ</t>
        </is>
      </c>
    </row>
    <row r="13" ht="15" customHeight="1" s="50">
      <c r="A13" s="123" t="inlineStr">
        <is>
          <t>anahtar</t>
        </is>
      </c>
      <c r="B13" s="123" t="inlineStr">
        <is>
          <t>deger</t>
        </is>
      </c>
      <c r="C13" s="123" t="inlineStr">
        <is>
          <t>birim</t>
        </is>
      </c>
      <c r="D13" s="123" t="inlineStr">
        <is>
          <t>aciklama</t>
        </is>
      </c>
      <c r="E13" s="123" t="inlineStr">
        <is>
          <t>kaynak</t>
        </is>
      </c>
      <c r="F13" s="123" t="inlineStr">
        <is>
          <t>yururluk_tarihi</t>
        </is>
      </c>
      <c r="G13" s="123" t="inlineStr">
        <is>
          <t>dogrulama_tarihi</t>
        </is>
      </c>
    </row>
    <row r="14" ht="15" customHeight="1" s="50">
      <c r="A14" s="81" t="inlineStr">
        <is>
          <t>Serbest Nakit</t>
        </is>
      </c>
      <c r="B14" s="91" t="n">
        <v>1800000</v>
      </c>
      <c r="C14" s="81" t="inlineStr">
        <is>
          <t>₺</t>
        </is>
      </c>
      <c r="D14" s="81" t="inlineStr">
        <is>
          <t>30 günlük ödeme baskısının ölçüldüğü kullanılabilir nakit.</t>
        </is>
      </c>
      <c r="E14" s="81" t="inlineStr">
        <is>
          <t>Kullanıcı beyanı</t>
        </is>
      </c>
      <c r="F14" s="81" t="inlineStr">
        <is>
          <t>10.08.2026</t>
        </is>
      </c>
      <c r="G14" s="81" t="inlineStr">
        <is>
          <t>10.08.2026</t>
        </is>
      </c>
    </row>
    <row r="15" ht="15" customHeight="1" s="50">
      <c r="A15" s="81" t="inlineStr">
        <is>
          <t>Aylık Faaliyet Nakdi</t>
        </is>
      </c>
      <c r="B15" s="91" t="n">
        <v>1250000</v>
      </c>
      <c r="C15" s="81" t="inlineStr">
        <is>
          <t>₺</t>
        </is>
      </c>
      <c r="D15" s="81" t="inlineStr">
        <is>
          <t>Borç servis kapasitesi (aylık); DSCR hesabının temel girdisi.</t>
        </is>
      </c>
      <c r="E15" s="81" t="inlineStr">
        <is>
          <t>Kullanıcı beyanı</t>
        </is>
      </c>
      <c r="F15" s="81" t="inlineStr">
        <is>
          <t>10.08.2026</t>
        </is>
      </c>
      <c r="G15" s="81" t="inlineStr">
        <is>
          <t>10.08.2026</t>
        </is>
      </c>
    </row>
    <row r="16" ht="15" customHeight="1" s="50">
      <c r="A16" s="81" t="inlineStr">
        <is>
          <t>Yıllık Faaliyet Kârı</t>
        </is>
      </c>
      <c r="B16" s="91" t="n">
        <v>7200000</v>
      </c>
      <c r="C16" s="81" t="inlineStr">
        <is>
          <t>₺</t>
        </is>
      </c>
      <c r="D16" s="81" t="inlineStr">
        <is>
          <t>Kaldıraç hesabında kullanılan yıllık kâr.</t>
        </is>
      </c>
      <c r="E16" s="81" t="inlineStr">
        <is>
          <t>Kullanıcı beyanı</t>
        </is>
      </c>
      <c r="F16" s="81" t="inlineStr">
        <is>
          <t>10.08.2026</t>
        </is>
      </c>
      <c r="G16" s="81" t="inlineStr">
        <is>
          <t>10.08.2026</t>
        </is>
      </c>
    </row>
    <row r="17" ht="15" customHeight="1" s="50">
      <c r="A17" s="81" t="inlineStr">
        <is>
          <t>Yıllık Döviz Geliri</t>
        </is>
      </c>
      <c r="B17" s="91" t="n">
        <v>1500000</v>
      </c>
      <c r="C17" s="81" t="inlineStr">
        <is>
          <t>₺</t>
        </is>
      </c>
      <c r="D17" s="81" t="inlineStr">
        <is>
          <t>Kur uyumu kontrolünde kullanılan döviz geliri.</t>
        </is>
      </c>
      <c r="E17" s="81" t="inlineStr">
        <is>
          <t>Kullanıcı beyanı</t>
        </is>
      </c>
      <c r="F17" s="81" t="inlineStr">
        <is>
          <t>10.08.2026</t>
        </is>
      </c>
      <c r="G17" s="81" t="inlineStr">
        <is>
          <t>10.08.2026</t>
        </is>
      </c>
    </row>
    <row r="18" ht="27.75" customHeight="1" s="50">
      <c r="A18" s="81" t="inlineStr">
        <is>
          <t>Likidite Eşiği</t>
        </is>
      </c>
      <c r="B18" s="95" t="n">
        <v>0.85</v>
      </c>
      <c r="C18" s="81" t="inlineStr">
        <is>
          <t>oran</t>
        </is>
      </c>
      <c r="D18" s="81" t="inlineStr">
        <is>
          <t>30 günlük ödeme yükü / serbest nakit oranı bu eşiği aşarsa karar DURDUR olur.</t>
        </is>
      </c>
      <c r="E18" s="81" t="inlineStr">
        <is>
          <t>Varsayım</t>
        </is>
      </c>
      <c r="F18" s="81" t="inlineStr">
        <is>
          <t>10.08.2026</t>
        </is>
      </c>
      <c r="G18" s="81" t="inlineStr">
        <is>
          <t>10.08.2026</t>
        </is>
      </c>
    </row>
    <row r="19" ht="15" customHeight="1" s="50">
      <c r="A19" s="81" t="inlineStr">
        <is>
          <t>Döviz Geliri Eşiği</t>
        </is>
      </c>
      <c r="B19" s="95" t="n">
        <v>1</v>
      </c>
      <c r="C19" s="81" t="inlineStr">
        <is>
          <t>oran</t>
        </is>
      </c>
      <c r="D19" s="81" t="inlineStr">
        <is>
          <t>Döviz borcu / yıllık döviz geliri oranı eşiği.</t>
        </is>
      </c>
      <c r="E19" s="81" t="inlineStr">
        <is>
          <t>Varsayım</t>
        </is>
      </c>
      <c r="F19" s="81" t="inlineStr">
        <is>
          <t>10.08.2026</t>
        </is>
      </c>
      <c r="G19" s="81" t="inlineStr">
        <is>
          <t>10.08.2026</t>
        </is>
      </c>
    </row>
    <row r="20" ht="15" customHeight="1" s="50">
      <c r="A20" s="81" t="inlineStr">
        <is>
          <t>Kaldıraç Eşiği</t>
        </is>
      </c>
      <c r="B20" s="88" t="n">
        <v>3</v>
      </c>
      <c r="C20" s="81" t="inlineStr">
        <is>
          <t>oran</t>
        </is>
      </c>
      <c r="D20" s="81" t="inlineStr">
        <is>
          <t>Toplam borç / yıllık faaliyet kârı oranı eşiği.</t>
        </is>
      </c>
      <c r="E20" s="81" t="inlineStr">
        <is>
          <t>Varsayım</t>
        </is>
      </c>
      <c r="F20" s="81" t="inlineStr">
        <is>
          <t>10.08.2026</t>
        </is>
      </c>
      <c r="G20" s="81" t="inlineStr">
        <is>
          <t>10.08.2026</t>
        </is>
      </c>
    </row>
    <row r="21" ht="15" customHeight="1" s="50">
      <c r="A21" s="81" t="inlineStr">
        <is>
          <t>Veri Kalite Yüksek Eşiği</t>
        </is>
      </c>
      <c r="B21" s="88" t="n">
        <v>80</v>
      </c>
      <c r="C21" s="81" t="inlineStr">
        <is>
          <t>puan</t>
        </is>
      </c>
      <c r="D21" s="81" t="inlineStr">
        <is>
          <t>Skorun SAĞLIKLI sayılması için alt sınır.</t>
        </is>
      </c>
      <c r="E21" s="81" t="inlineStr">
        <is>
          <t>Varsayım</t>
        </is>
      </c>
      <c r="F21" s="81" t="inlineStr">
        <is>
          <t>10.08.2026</t>
        </is>
      </c>
      <c r="G21" s="81" t="inlineStr">
        <is>
          <t>10.08.2026</t>
        </is>
      </c>
    </row>
    <row r="22" ht="15" customHeight="1" s="50">
      <c r="A22" s="81" t="inlineStr">
        <is>
          <t>Veri Kalite Orta Eşiği</t>
        </is>
      </c>
      <c r="B22" s="88" t="n">
        <v>50</v>
      </c>
      <c r="C22" s="81" t="inlineStr">
        <is>
          <t>puan</t>
        </is>
      </c>
      <c r="D22" s="81" t="inlineStr">
        <is>
          <t>Skorun İZLEME sayılması için alt sınır.</t>
        </is>
      </c>
      <c r="E22" s="81" t="inlineStr">
        <is>
          <t>Varsayım</t>
        </is>
      </c>
      <c r="F22" s="81" t="inlineStr">
        <is>
          <t>10.08.2026</t>
        </is>
      </c>
      <c r="G22" s="81" t="inlineStr">
        <is>
          <t>10.08.2026</t>
        </is>
      </c>
    </row>
    <row r="23" ht="15" customHeight="1" s="50">
      <c r="A23" s="81" t="inlineStr">
        <is>
          <t>Uyarı Puan Kesintisi</t>
        </is>
      </c>
      <c r="B23" s="88" t="n">
        <v>10</v>
      </c>
      <c r="C23" s="81" t="inlineStr">
        <is>
          <t>puan</t>
        </is>
      </c>
      <c r="D23" s="81" t="inlineStr">
        <is>
          <t>Her ihlalin veri kalite skorundan düşürdüğü puan.</t>
        </is>
      </c>
      <c r="E23" s="81" t="inlineStr">
        <is>
          <t>Varsayım</t>
        </is>
      </c>
      <c r="F23" s="81" t="inlineStr">
        <is>
          <t>10.08.2026</t>
        </is>
      </c>
      <c r="G23" s="81" t="inlineStr">
        <is>
          <t>10.08.2026</t>
        </is>
      </c>
    </row>
    <row r="24" ht="15" customHeight="1" s="50">
      <c r="A24" s="81" t="inlineStr">
        <is>
          <t>Duyarlılık Oranı</t>
        </is>
      </c>
      <c r="B24" s="95" t="n">
        <v>0.1</v>
      </c>
      <c r="C24" s="81" t="inlineStr">
        <is>
          <t>oran</t>
        </is>
      </c>
      <c r="D24" s="81" t="inlineStr">
        <is>
          <t>Senaryo ve duyarlılık analizindeki değişim oranı.</t>
        </is>
      </c>
      <c r="E24" s="81" t="inlineStr">
        <is>
          <t>Varsayım</t>
        </is>
      </c>
      <c r="F24" s="81" t="inlineStr">
        <is>
          <t>10.08.2026</t>
        </is>
      </c>
      <c r="G24" s="81" t="inlineStr">
        <is>
          <t>10.08.2026</t>
        </is>
      </c>
    </row>
    <row r="25" ht="15" customHeight="1" s="50">
      <c r="A25" s="81" t="inlineStr">
        <is>
          <t>Ay Sayısı</t>
        </is>
      </c>
      <c r="B25" s="88" t="n">
        <v>12</v>
      </c>
      <c r="C25" s="81" t="inlineStr">
        <is>
          <t>adet</t>
        </is>
      </c>
      <c r="D25" s="81" t="inlineStr">
        <is>
          <t>Yıllık faizin aylık faize çevrilmesinde kullanılan ay sayısı.</t>
        </is>
      </c>
      <c r="E25" s="81" t="inlineStr">
        <is>
          <t>Tasarım</t>
        </is>
      </c>
      <c r="F25" s="81" t="inlineStr">
        <is>
          <t>10.08.2026</t>
        </is>
      </c>
      <c r="G25" s="81" t="inlineStr">
        <is>
          <t>10.08.2026</t>
        </is>
      </c>
    </row>
    <row r="26" ht="15" customHeight="1" s="50">
      <c r="A26" s="81" t="inlineStr">
        <is>
          <t>Ay Pencere Günü 0</t>
        </is>
      </c>
      <c r="B26" s="88" t="n">
        <v>0</v>
      </c>
      <c r="C26" s="81" t="inlineStr">
        <is>
          <t>gün</t>
        </is>
      </c>
      <c r="D26" s="81" t="inlineStr">
        <is>
          <t>Bugünden başlangıç penceresi.</t>
        </is>
      </c>
      <c r="E26" s="81" t="inlineStr">
        <is>
          <t>Tasarım</t>
        </is>
      </c>
      <c r="F26" s="81" t="inlineStr">
        <is>
          <t>10.08.2026</t>
        </is>
      </c>
      <c r="G26" s="81" t="inlineStr">
        <is>
          <t>10.08.2026</t>
        </is>
      </c>
    </row>
    <row r="27" ht="15" customHeight="1" s="50">
      <c r="A27" s="81" t="inlineStr">
        <is>
          <t>Ay Pencere Günü 1</t>
        </is>
      </c>
      <c r="B27" s="88" t="n">
        <v>30</v>
      </c>
      <c r="C27" s="81" t="inlineStr">
        <is>
          <t>gün</t>
        </is>
      </c>
      <c r="D27" s="81" t="inlineStr">
        <is>
          <t>Önümüzdeki ay ödeme penceresi.</t>
        </is>
      </c>
      <c r="E27" s="81" t="inlineStr">
        <is>
          <t>Tasarım</t>
        </is>
      </c>
      <c r="F27" s="81" t="inlineStr">
        <is>
          <t>10.08.2026</t>
        </is>
      </c>
      <c r="G27" s="81" t="inlineStr">
        <is>
          <t>10.08.2026</t>
        </is>
      </c>
    </row>
    <row r="28" ht="15" customHeight="1" s="50">
      <c r="A28" s="81" t="inlineStr">
        <is>
          <t>Ay Pencere Günü 2</t>
        </is>
      </c>
      <c r="B28" s="88" t="n">
        <v>60</v>
      </c>
      <c r="C28" s="81" t="inlineStr">
        <is>
          <t>gün</t>
        </is>
      </c>
      <c r="D28" s="81" t="inlineStr">
        <is>
          <t>İkinci ay ödeme penceresi.</t>
        </is>
      </c>
      <c r="E28" s="81" t="inlineStr">
        <is>
          <t>Tasarım</t>
        </is>
      </c>
      <c r="F28" s="81" t="inlineStr">
        <is>
          <t>10.08.2026</t>
        </is>
      </c>
      <c r="G28" s="81" t="inlineStr">
        <is>
          <t>10.08.2026</t>
        </is>
      </c>
    </row>
    <row r="29" ht="15" customHeight="1" s="50">
      <c r="A29" s="81" t="inlineStr">
        <is>
          <t>Ay Pencere Günü 3</t>
        </is>
      </c>
      <c r="B29" s="88" t="n">
        <v>90</v>
      </c>
      <c r="C29" s="81" t="inlineStr">
        <is>
          <t>gün</t>
        </is>
      </c>
      <c r="D29" s="81" t="inlineStr">
        <is>
          <t>Üçüncü ay ödeme penceresi.</t>
        </is>
      </c>
      <c r="E29" s="81" t="inlineStr">
        <is>
          <t>Tasarım</t>
        </is>
      </c>
      <c r="F29" s="81" t="inlineStr">
        <is>
          <t>10.08.2026</t>
        </is>
      </c>
      <c r="G29" s="81" t="inlineStr">
        <is>
          <t>10.08.2026</t>
        </is>
      </c>
    </row>
    <row r="30" ht="15" customHeight="1" s="50">
      <c r="A30" s="81" t="inlineStr">
        <is>
          <t>Ay Pencere Günü 4</t>
        </is>
      </c>
      <c r="B30" s="88" t="n">
        <v>120</v>
      </c>
      <c r="C30" s="81" t="inlineStr">
        <is>
          <t>gün</t>
        </is>
      </c>
      <c r="D30" s="81" t="inlineStr">
        <is>
          <t>Dördüncü ay ödeme penceresi.</t>
        </is>
      </c>
      <c r="E30" s="81" t="inlineStr">
        <is>
          <t>Tasarım</t>
        </is>
      </c>
      <c r="F30" s="81" t="inlineStr">
        <is>
          <t>10.08.2026</t>
        </is>
      </c>
      <c r="G30" s="81" t="inlineStr">
        <is>
          <t>10.08.2026</t>
        </is>
      </c>
    </row>
    <row r="31" ht="15" customHeight="1" s="50">
      <c r="A31" s="81" t="inlineStr">
        <is>
          <t>Ay Pencere Günü 5</t>
        </is>
      </c>
      <c r="B31" s="88" t="n">
        <v>150</v>
      </c>
      <c r="C31" s="81" t="inlineStr">
        <is>
          <t>gün</t>
        </is>
      </c>
      <c r="D31" s="81" t="inlineStr">
        <is>
          <t>Beşinci ay ödeme penceresi.</t>
        </is>
      </c>
      <c r="E31" s="81" t="inlineStr">
        <is>
          <t>Tasarım</t>
        </is>
      </c>
      <c r="F31" s="81" t="inlineStr">
        <is>
          <t>10.08.2026</t>
        </is>
      </c>
      <c r="G31" s="81" t="inlineStr">
        <is>
          <t>10.08.2026</t>
        </is>
      </c>
    </row>
    <row r="32" ht="15" customHeight="1" s="50">
      <c r="A32" s="81" t="inlineStr">
        <is>
          <t>Ay Pencere Günü 6</t>
        </is>
      </c>
      <c r="B32" s="88" t="n">
        <v>180</v>
      </c>
      <c r="C32" s="81" t="inlineStr">
        <is>
          <t>gün</t>
        </is>
      </c>
      <c r="D32" s="81" t="inlineStr">
        <is>
          <t>Altıncı ay ödeme penceresi.</t>
        </is>
      </c>
      <c r="E32" s="81" t="inlineStr">
        <is>
          <t>Tasarım</t>
        </is>
      </c>
      <c r="F32" s="81" t="inlineStr">
        <is>
          <t>10.08.2026</t>
        </is>
      </c>
      <c r="G32" s="81" t="inlineStr">
        <is>
          <t>10.08.2026</t>
        </is>
      </c>
    </row>
    <row r="33"/>
    <row r="34" ht="15" customHeight="1" s="50">
      <c r="J34" s="76" t="inlineStr">
        <is>
          <t>durum_haritasi</t>
        </is>
      </c>
      <c r="K34" s="76" t="inlineStr">
        <is>
          <t>durum_id</t>
        </is>
      </c>
      <c r="L34" s="76" t="inlineStr">
        <is>
          <t>durum_adi</t>
        </is>
      </c>
      <c r="M34" s="76" t="inlineStr">
        <is>
          <t>izinli_sonraki</t>
        </is>
      </c>
      <c r="N34" s="76" t="inlineStr">
        <is>
          <t>kategori</t>
        </is>
      </c>
    </row>
    <row r="35" ht="15" customHeight="1" s="50">
      <c r="J35" s="76" t="inlineStr">
        <is>
          <t>HARITA</t>
        </is>
      </c>
      <c r="K35" s="76" t="inlineStr">
        <is>
          <t>ACIK</t>
        </is>
      </c>
      <c r="L35" s="76" t="inlineStr">
        <is>
          <t>Açık</t>
        </is>
      </c>
      <c r="M35" s="76" t="inlineStr">
        <is>
          <t>ISLEMDE</t>
        </is>
      </c>
      <c r="N35" s="76" t="inlineStr">
        <is>
          <t>acik</t>
        </is>
      </c>
    </row>
    <row r="36" ht="15" customHeight="1" s="50">
      <c r="J36" s="76" t="inlineStr">
        <is>
          <t>HARITA</t>
        </is>
      </c>
      <c r="K36" s="76" t="inlineStr">
        <is>
          <t>ISLEMDE</t>
        </is>
      </c>
      <c r="L36" s="76" t="inlineStr">
        <is>
          <t>İşlemde</t>
        </is>
      </c>
      <c r="M36" s="76" t="inlineStr">
        <is>
          <t>KAPALI</t>
        </is>
      </c>
      <c r="N36" s="76" t="inlineStr">
        <is>
          <t>acik</t>
        </is>
      </c>
    </row>
    <row r="37" ht="15" customHeight="1" s="50">
      <c r="J37" s="76" t="inlineStr">
        <is>
          <t>HARITA</t>
        </is>
      </c>
      <c r="K37" s="76" t="inlineStr">
        <is>
          <t>KAPALI</t>
        </is>
      </c>
      <c r="L37" s="76" t="inlineStr">
        <is>
          <t>Kapalı</t>
        </is>
      </c>
      <c r="M37" s="76" t="inlineStr">
        <is>
          <t>-</t>
        </is>
      </c>
      <c r="N37" s="76" t="inlineStr">
        <is>
          <t>kapali</t>
        </is>
      </c>
    </row>
    <row r="38" ht="15" customHeight="1" s="50">
      <c r="J38" s="76" t="inlineStr">
        <is>
          <t>HARITA</t>
        </is>
      </c>
      <c r="K38" s="76" t="inlineStr">
        <is>
          <t>GECERSIZ</t>
        </is>
      </c>
      <c r="L38" s="76" t="inlineStr">
        <is>
          <t>Geçersiz geçiş uyarısı</t>
        </is>
      </c>
      <c r="M38" s="76" t="inlineStr">
        <is>
          <t>-</t>
        </is>
      </c>
      <c r="N38" s="76" t="inlineStr">
        <is>
          <t>kapali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2:AN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 filterMode="0">
    <tabColor rgb="0064748B"/>
    <outlinePr summaryBelow="1" summaryRight="1"/>
    <pageSetUpPr fitToPage="0"/>
  </sheetPr>
  <dimension ref="A1:AC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76" min="1" max="1"/>
    <col width="3" customWidth="1" style="76" min="2" max="2"/>
    <col width="26" customWidth="1" style="76" min="3" max="3"/>
    <col width="3" customWidth="1" style="76" min="4" max="4"/>
    <col width="15.5" customWidth="1" style="76" min="5" max="5"/>
    <col width="3" customWidth="1" style="76" min="6" max="6"/>
    <col width="16.5" customWidth="1" style="76" min="7" max="7"/>
    <col width="3" customWidth="1" style="76" min="8" max="8"/>
    <col width="17.5" customWidth="1" style="76" min="9" max="9"/>
    <col width="3" customWidth="1" style="76" min="10" max="10"/>
    <col width="23.5" customWidth="1" style="76" min="11" max="11"/>
    <col width="3" customWidth="1" style="76" min="12" max="12"/>
    <col width="14" customWidth="1" style="76" min="13" max="13"/>
    <col width="13" customWidth="1" style="50" min="14" max="14"/>
  </cols>
  <sheetData>
    <row r="1" ht="32" customHeight="1" s="50">
      <c r="A1" s="455" t="inlineStr">
        <is>
          <t>LISTELER — BANKA, KREDİ VE TAKSİT TAKİP SİSTEMİ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  <c r="J1" s="434" t="n"/>
      <c r="K1" s="434" t="n"/>
      <c r="L1" s="434" t="n"/>
      <c r="M1" s="434" t="n"/>
    </row>
    <row r="2" ht="7.8" customHeight="1" s="50"/>
    <row r="3" ht="22" customHeight="1" s="50">
      <c r="A3" s="456" t="inlineStr">
        <is>
          <t>AÇILIR LİSTE KAYNAKLARI</t>
        </is>
      </c>
    </row>
    <row r="4" ht="10" customHeight="1" s="50"/>
    <row r="5" ht="15" customHeight="1" s="50">
      <c r="A5" s="84" t="inlineStr">
        <is>
          <t>Banka Durumu</t>
        </is>
      </c>
      <c r="C5" s="84" t="inlineStr">
        <is>
          <t>Ürün Türü</t>
        </is>
      </c>
      <c r="E5" s="84" t="inlineStr">
        <is>
          <t>Para Birimi</t>
        </is>
      </c>
      <c r="G5" s="84" t="inlineStr">
        <is>
          <t>Ödeme Durumu</t>
        </is>
      </c>
      <c r="I5" s="84" t="inlineStr">
        <is>
          <t>Masraf Türü</t>
        </is>
      </c>
      <c r="K5" s="84" t="inlineStr">
        <is>
          <t>Teminat Türü</t>
        </is>
      </c>
      <c r="M5" s="84" t="inlineStr">
        <is>
          <t>Kredi ID</t>
        </is>
      </c>
    </row>
    <row r="6" ht="15" customHeight="1" s="50">
      <c r="A6" s="120" t="inlineStr">
        <is>
          <t>Aktif</t>
        </is>
      </c>
      <c r="C6" s="120" t="inlineStr">
        <is>
          <t>Taksitli Ticari Kredi</t>
        </is>
      </c>
      <c r="E6" s="120" t="inlineStr">
        <is>
          <t>TRY</t>
        </is>
      </c>
      <c r="G6" s="120" t="inlineStr">
        <is>
          <t>Ödendi</t>
        </is>
      </c>
      <c r="I6" s="120" t="inlineStr">
        <is>
          <t>Tahsis Ücreti</t>
        </is>
      </c>
      <c r="K6" s="120" t="inlineStr">
        <is>
          <t>Gayrimenkul İpoteği</t>
        </is>
      </c>
      <c r="M6" s="120" t="inlineStr">
        <is>
          <t>KRD-001</t>
        </is>
      </c>
    </row>
    <row r="7" ht="15" customHeight="1" s="50">
      <c r="A7" s="120" t="inlineStr">
        <is>
          <t>Pasif</t>
        </is>
      </c>
      <c r="C7" s="120" t="inlineStr">
        <is>
          <t>Rotatif Kredi</t>
        </is>
      </c>
      <c r="E7" s="120" t="inlineStr">
        <is>
          <t>USD</t>
        </is>
      </c>
      <c r="G7" s="120" t="inlineStr">
        <is>
          <t>Bekliyor</t>
        </is>
      </c>
      <c r="I7" s="120" t="inlineStr">
        <is>
          <t>Sigorta</t>
        </is>
      </c>
      <c r="K7" s="120" t="inlineStr">
        <is>
          <t>Taşıt Rehni</t>
        </is>
      </c>
      <c r="M7" s="120" t="inlineStr">
        <is>
          <t>KRD-002</t>
        </is>
      </c>
    </row>
    <row r="8" ht="15" customHeight="1" s="50">
      <c r="A8" s="120" t="inlineStr">
        <is>
          <t>İzle</t>
        </is>
      </c>
      <c r="C8" s="120" t="inlineStr">
        <is>
          <t>Spot Kredi</t>
        </is>
      </c>
      <c r="E8" s="120" t="inlineStr">
        <is>
          <t>EUR</t>
        </is>
      </c>
      <c r="G8" s="120" t="inlineStr">
        <is>
          <t>Gecikmiş</t>
        </is>
      </c>
      <c r="I8" s="120" t="inlineStr">
        <is>
          <t>Komisyon</t>
        </is>
      </c>
      <c r="K8" s="120" t="inlineStr">
        <is>
          <t>Alacak Temliki</t>
        </is>
      </c>
      <c r="M8" s="120" t="inlineStr">
        <is>
          <t>KRD-003</t>
        </is>
      </c>
    </row>
    <row r="9" ht="15" customHeight="1" s="50">
      <c r="C9" s="120" t="inlineStr">
        <is>
          <t>Leasing</t>
        </is>
      </c>
      <c r="I9" s="120" t="inlineStr">
        <is>
          <t>Diğer</t>
        </is>
      </c>
      <c r="K9" s="120" t="inlineStr">
        <is>
          <t>Nakit Blokaj</t>
        </is>
      </c>
      <c r="M9" s="120" t="inlineStr">
        <is>
          <t>KRD-004</t>
        </is>
      </c>
    </row>
    <row r="10" ht="15" customHeight="1" s="50">
      <c r="C10" s="120" t="inlineStr">
        <is>
          <t>Teminat Mektubu</t>
        </is>
      </c>
    </row>
    <row r="11" ht="15" customHeight="1" s="50">
      <c r="C11" s="120" t="inlineStr">
        <is>
          <t>Kredi Kartı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M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>
    <tabColor rgb="00C6A15B"/>
    <outlinePr summaryBelow="1" summaryRight="1"/>
    <pageSetUpPr/>
  </sheetPr>
  <dimension ref="A1:AC33"/>
  <sheetViews>
    <sheetView showGridLines="0" workbookViewId="0">
      <selection activeCell="A1" sqref="A1"/>
    </sheetView>
  </sheetViews>
  <sheetFormatPr baseColWidth="8" defaultRowHeight="15"/>
  <cols>
    <col width="24" customWidth="1" style="50" min="1" max="1"/>
    <col width="147.5" customWidth="1" style="50" min="2" max="2"/>
    <col width="13" customWidth="1" style="50" min="3" max="3"/>
    <col width="13" customWidth="1" style="50" min="4" max="4"/>
    <col width="13" customWidth="1" style="50" min="5" max="5"/>
    <col width="13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32" customHeight="1" s="50">
      <c r="A1" s="455" t="inlineStr">
        <is>
          <t>EXCELARŞİV KARAR SİSTEMİ v15.1 — ÜRETİM REFERANSI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</row>
    <row r="2"/>
    <row r="3" ht="24" customHeight="1" s="50">
      <c r="A3" s="202" t="inlineStr">
        <is>
          <t>Konu</t>
        </is>
      </c>
      <c r="B3" s="202" t="inlineStr">
        <is>
          <t>Bağlayıcı Standart</t>
        </is>
      </c>
    </row>
    <row r="4">
      <c r="A4" s="203" t="inlineStr">
        <is>
          <t>Amaç</t>
        </is>
      </c>
      <c r="B4" s="204" t="inlineStr">
        <is>
          <t>Kanıta dayalı, hatada kapalı çalışan Excel üretim ve denetim sistemi</t>
        </is>
      </c>
    </row>
    <row r="5">
      <c r="A5" s="203" t="inlineStr">
        <is>
          <t>Öncelik</t>
        </is>
      </c>
      <c r="B5" s="204" t="inlineStr">
        <is>
          <t>Kullanıcının açık iş talebi ve gerçek kullanım senaryosu</t>
        </is>
      </c>
    </row>
    <row r="6">
      <c r="A6" s="203" t="inlineStr">
        <is>
          <t>Ana akış</t>
        </is>
      </c>
      <c r="B6" s="204" t="inlineStr">
        <is>
          <t>Uygunluk → Yönetişim → Sözleşmeler → Üretim → Test → Kanıt → Kullanıcı Kabulü → Yayın</t>
        </is>
      </c>
    </row>
    <row r="7">
      <c r="A7" s="203" t="inlineStr">
        <is>
          <t>Yayın ilkesi</t>
        </is>
      </c>
      <c r="B7" s="204" t="inlineStr">
        <is>
          <t>Üst aşamada hata varsa alt aşama GEÇTİ üretilemez</t>
        </is>
      </c>
    </row>
    <row r="8">
      <c r="A8" s="203" t="inlineStr">
        <is>
          <t>Kullanıcı kabulü</t>
        </is>
      </c>
      <c r="B8" s="204" t="inlineStr">
        <is>
          <t>Excel masaüstü görünümü test edilmediyse DIŞ_KABUL_GEREKLİ</t>
        </is>
      </c>
    </row>
    <row r="9">
      <c r="A9" s="203" t="inlineStr">
        <is>
          <t>Nihai yayın</t>
        </is>
      </c>
      <c r="B9" s="204" t="inlineStr">
        <is>
          <t>Yalnız uygulanabilir modüller GEÇTİ veya gerekçeli UYGULANMAZ</t>
        </is>
      </c>
    </row>
    <row r="10">
      <c r="A10" s="203" t="inlineStr">
        <is>
          <t>Ticari ayrım</t>
        </is>
      </c>
      <c r="B10" s="204" t="inlineStr">
        <is>
          <t>Ekonomik olarak savunulabilir fiyat, gerçek pazar kabulü ile aynı değildir</t>
        </is>
      </c>
    </row>
    <row r="11">
      <c r="A11" s="203" t="inlineStr">
        <is>
          <t>Karmaşıklık</t>
        </is>
      </c>
      <c r="B11" s="204" t="inlineStr">
        <is>
          <t>Karar değeri, eklenen karmaşıklığın maliyetinden büyük olmalıdır</t>
        </is>
      </c>
    </row>
    <row r="12">
      <c r="A12" s="203" t="inlineStr">
        <is>
          <t>Excel sınırı</t>
        </is>
      </c>
      <c r="B12" s="204" t="inlineStr">
        <is>
          <t>Veritabanı, kurumsal yetkilendirme, değiştirilemez kayıt sistemi veya gerçek zamanlı olay platformu değildir</t>
        </is>
      </c>
    </row>
    <row r="13">
      <c r="A13" s="203" t="inlineStr">
        <is>
          <t>Dil standardı</t>
        </is>
      </c>
      <c r="B13" s="204" t="inlineStr">
        <is>
          <t>Kullanıcıya görünen tüm sayfa, tablo, başlık, açıklama, uyarı ve karar metinleri saf Türkçe olmalıdır</t>
        </is>
      </c>
    </row>
    <row r="14">
      <c r="A14" s="203" t="inlineStr">
        <is>
          <t>Muhasebe standardı</t>
        </is>
      </c>
      <c r="B14" s="204" t="inlineStr">
        <is>
          <t>Finansal ürünlerde Türkiye Tekdüzen Hesap Planı ve Türk muhasebe kullanım alışkanlıkları esas alınır</t>
        </is>
      </c>
    </row>
    <row r="15">
      <c r="A15" s="203" t="inlineStr">
        <is>
          <t>Görsel standart</t>
        </is>
      </c>
      <c r="B15" s="204" t="inlineStr">
        <is>
          <t>Her sayfa başlıklı, renk kodlu, sıkı kolon düzenli ve premium kurumsal görünümde olmalıdır</t>
        </is>
      </c>
    </row>
    <row r="16">
      <c r="A16" s="203" t="inlineStr">
        <is>
          <t>Grafik standardı</t>
        </is>
      </c>
      <c r="B16" s="204" t="inlineStr">
        <is>
          <t>Grafikler karar üretmeli; dekoratif, 3B, anlamsız renkli veya varsayılan Excel grafiği kullanılamaz</t>
        </is>
      </c>
    </row>
    <row r="17">
      <c r="A17" s="203" t="inlineStr">
        <is>
          <t>Hata standardı</t>
        </is>
      </c>
      <c r="B17" s="204" t="inlineStr">
        <is>
          <t>#AD? / #BAŞV! / #DEĞER! / #SAYI/0! / #YOK gibi hatalar GEÇTİ sonucuyla birlikte bulunamaz</t>
        </is>
      </c>
    </row>
    <row r="18">
      <c r="A18" s="203" t="inlineStr">
        <is>
          <t>Karar standardı</t>
        </is>
      </c>
      <c r="B18" s="204" t="inlineStr">
        <is>
          <t>Her kritik çıktı: ne oldu, neden oldu, parasal etki, ne yapılmalı, ne zamana kadar sorularını cevaplar</t>
        </is>
      </c>
    </row>
    <row r="19">
      <c r="A19" s="203" t="inlineStr">
        <is>
          <t>Satış standardı</t>
        </is>
      </c>
      <c r="B19" s="204" t="inlineStr">
        <is>
          <t>Ürün 5 saniyede anlaşılmalı; pahalı problemi, ekonomik sonucu, kanıtı ve satın alma gerekçesini göstermelidir</t>
        </is>
      </c>
    </row>
    <row r="20">
      <c r="A20" s="203" t="inlineStr">
        <is>
          <t>Güven standardı</t>
        </is>
      </c>
      <c r="B20" s="204" t="inlineStr">
        <is>
          <t>Kanıtsız 'premium', 'kusursuz', 'sıfır hata' veya yüksek fiyat iddiası kullanılamaz</t>
        </is>
      </c>
    </row>
    <row r="21">
      <c r="A21" s="203" t="inlineStr">
        <is>
          <t>Kaynak</t>
        </is>
      </c>
      <c r="B21" s="204" t="inlineStr">
        <is>
          <t>Teknik Python çekirdeği 99_TEKNIK_KAYNAK sayfasında saklanır; kullanıcı arayüzü değildir</t>
        </is>
      </c>
    </row>
    <row r="22">
      <c r="A22" s="203" t="inlineStr">
        <is>
          <t>Bağlayıcı standart</t>
        </is>
      </c>
      <c r="B22" s="204" t="inlineStr">
        <is>
          <t>Teknik kaynak içindeki üretim sözleşmesi + bu çalışma kitabındaki Türkçe operasyon standartları</t>
        </is>
      </c>
    </row>
    <row r="23">
      <c r="A23" s="203" t="inlineStr">
        <is>
          <t>Çıktı disiplini</t>
        </is>
      </c>
      <c r="B23" s="204" t="inlineStr">
        <is>
          <t>Kanıtsız GEÇTİ / NİHAİ / TİCARİ / PAZAR_DOĞRULANDI statüsü yasaktır</t>
        </is>
      </c>
    </row>
    <row r="24">
      <c r="A24" s="203" t="inlineStr">
        <is>
          <t>Uyarlanabilirlik</t>
        </is>
      </c>
      <c r="B24" s="204" t="inlineStr">
        <is>
          <t>Gereksiz modül yalnız prestij amacıyla eklenmez</t>
        </is>
      </c>
    </row>
    <row r="25"/>
    <row r="26" ht="16" customHeight="1" s="50">
      <c r="A26" s="205" t="inlineStr">
        <is>
          <t>TEK KAYNAK MİMARİSİ</t>
        </is>
      </c>
      <c r="B26" s="205" t="inlineStr">
        <is>
          <t>İKİ DOSYALI / TEK SİSTEM</t>
        </is>
      </c>
    </row>
    <row r="27" ht="28" customHeight="1" s="50">
      <c r="A27" s="204" t="inlineStr">
        <is>
          <t>MASTER Excel</t>
        </is>
      </c>
      <c r="B27" s="204" t="inlineStr">
        <is>
          <t>EXCELARSIV_DECISION_OS_V15_1_MASTER_STANDART.xlsx — tüm mandate, modül sözleşmeleri, Türkçe tasarım, THP, test, ticari ve release standartları.</t>
        </is>
      </c>
    </row>
    <row r="28" ht="28" customHeight="1" s="50">
      <c r="A28" s="204" t="inlineStr">
        <is>
          <t>Runtime Python</t>
        </is>
      </c>
      <c r="B28" s="204" t="inlineStr">
        <is>
          <t>EXCELARSIV_DECISION_OS_V15_1_RUNTIME_KERNEL.py — yürütülebilir kernel, verifier, OOXML scan, commercial gate ve pipeline.</t>
        </is>
      </c>
    </row>
    <row r="29">
      <c r="A29" s="204" t="inlineStr">
        <is>
          <t>Python SHA-256</t>
        </is>
      </c>
      <c r="B29" s="204" t="inlineStr">
        <is>
          <t>babe066ab599199123e53d01944bcd9d75648a579ade69ab9303dd675962f481</t>
        </is>
      </c>
    </row>
    <row r="30">
      <c r="A30" s="204" t="inlineStr">
        <is>
          <t>Sürüm Eşleşmesi</t>
        </is>
      </c>
      <c r="B30" s="204" t="inlineStr">
        <is>
          <t>Her iki dosya v15.1 sistemine aittir. Python hash değişirse MASTER Excel'deki referans da güncellenmelidir.</t>
        </is>
      </c>
    </row>
    <row r="31" ht="28" customHeight="1" s="50">
      <c r="A31" s="204" t="inlineStr">
        <is>
          <t>Sahte PASS Yasağı</t>
        </is>
      </c>
      <c r="B31" s="204" t="inlineStr">
        <is>
          <t>Kanıt yoksa PASS yok; hata=FAIL, ölçülemiyorsa=BLOCKED, Excel GUI gerekiyorsa=HARİCİ KABUL GEREKLİ.</t>
        </is>
      </c>
    </row>
    <row r="32">
      <c r="A32" s="204" t="inlineStr">
        <is>
          <t>Dil</t>
        </is>
      </c>
      <c r="B32" s="204" t="inlineStr">
        <is>
          <t>Kullanıcı yüzeyi safkan Türkçe; teknik kavramların Türkçe karşılığı ana terimdir.</t>
        </is>
      </c>
    </row>
    <row r="33">
      <c r="A33" s="204" t="inlineStr">
        <is>
          <t>Muhasebe</t>
        </is>
      </c>
      <c r="B33" s="204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065F46"/>
    <outlinePr summaryBelow="1" summaryRight="1"/>
    <pageSetUpPr/>
  </sheetPr>
  <dimension ref="A1:AC15"/>
  <sheetViews>
    <sheetView showGridLines="0" workbookViewId="0">
      <selection activeCell="A1" sqref="A1"/>
    </sheetView>
  </sheetViews>
  <sheetFormatPr baseColWidth="8" defaultRowHeight="15"/>
  <cols>
    <col width="8" customWidth="1" style="50" min="1" max="1"/>
    <col width="30.5" customWidth="1" style="50" min="2" max="2"/>
    <col width="23.5" customWidth="1" style="50" min="3" max="3"/>
    <col width="48.5" customWidth="1" style="50" min="4" max="4"/>
    <col width="43.5" customWidth="1" style="50" min="5" max="5"/>
    <col width="21.5" customWidth="1" style="50" min="6" max="6"/>
    <col width="21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32" customHeight="1" s="50">
      <c r="A1" s="455" t="inlineStr">
        <is>
          <t>YÜRÜTME ÇEKİRDEĞİ — ZORUNLU ÜRETİM SIRASI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</row>
    <row r="2"/>
    <row r="3" ht="24" customHeight="1" s="50">
      <c r="A3" s="207" t="inlineStr">
        <is>
          <t>Adım</t>
        </is>
      </c>
      <c r="B3" s="207" t="inlineStr">
        <is>
          <t>Modül</t>
        </is>
      </c>
      <c r="C3" s="207" t="inlineStr">
        <is>
          <t>Tetikleyici</t>
        </is>
      </c>
      <c r="D3" s="207" t="inlineStr">
        <is>
          <t>Zorunlu Kanıt</t>
        </is>
      </c>
      <c r="E3" s="207" t="inlineStr">
        <is>
          <t>GEÇTİ Kuralı</t>
        </is>
      </c>
      <c r="F3" s="207" t="inlineStr">
        <is>
          <t>Hata Durumu</t>
        </is>
      </c>
      <c r="G3" s="207" t="inlineStr">
        <is>
          <t>Sonraki Aşama</t>
        </is>
      </c>
    </row>
    <row r="4">
      <c r="A4" s="208" t="n">
        <v>1</v>
      </c>
      <c r="B4" s="204" t="inlineStr">
        <is>
          <t>Excel Uygunluğu</t>
        </is>
      </c>
      <c r="C4" s="204" t="inlineStr">
        <is>
          <t>Her yeni model</t>
        </is>
      </c>
      <c r="D4" s="204" t="inlineStr">
        <is>
          <t>UYGUNLUK_KARARI</t>
        </is>
      </c>
      <c r="E4" s="204" t="inlineStr">
        <is>
          <t>Excel'in rolü açık</t>
        </is>
      </c>
      <c r="F4" s="204" t="inlineStr">
        <is>
          <t>HATA / BLOKE</t>
        </is>
      </c>
      <c r="G4" s="204" t="inlineStr">
        <is>
          <t>Yönetişim</t>
        </is>
      </c>
    </row>
    <row r="5">
      <c r="A5" s="208" t="n">
        <v>2</v>
      </c>
      <c r="B5" s="204" t="inlineStr">
        <is>
          <t>Yönetişim</t>
        </is>
      </c>
      <c r="C5" s="204" t="inlineStr">
        <is>
          <t>Her model</t>
        </is>
      </c>
      <c r="D5" s="204" t="inlineStr">
        <is>
          <t>Risk seviyesi + etki girdileri</t>
        </is>
      </c>
      <c r="E5" s="204" t="inlineStr">
        <is>
          <t>Seviye hesaplandı</t>
        </is>
      </c>
      <c r="F5" s="204" t="inlineStr">
        <is>
          <t>BLOKE</t>
        </is>
      </c>
      <c r="G5" s="204" t="inlineStr">
        <is>
          <t>Sözleşmeler</t>
        </is>
      </c>
    </row>
    <row r="6">
      <c r="A6" s="208" t="n">
        <v>3</v>
      </c>
      <c r="B6" s="204" t="inlineStr">
        <is>
          <t>Türk Muhasebe Eşlemesi</t>
        </is>
      </c>
      <c r="C6" s="204" t="inlineStr">
        <is>
          <t>Finansal model</t>
        </is>
      </c>
      <c r="D6" s="204" t="inlineStr">
        <is>
          <t>THP hesap eşleme tablosu</t>
        </is>
      </c>
      <c r="E6" s="204" t="inlineStr">
        <is>
          <t>Kritik satırlar THP ile uyumlu</t>
        </is>
      </c>
      <c r="F6" s="204" t="inlineStr">
        <is>
          <t>HATA</t>
        </is>
      </c>
      <c r="G6" s="204" t="inlineStr">
        <is>
          <t>Sözleşmeler</t>
        </is>
      </c>
    </row>
    <row r="7">
      <c r="A7" s="208" t="n">
        <v>4</v>
      </c>
      <c r="B7" s="204" t="inlineStr">
        <is>
          <t>Veri ve Anlam Sözleşmeleri</t>
        </is>
      </c>
      <c r="C7" s="204" t="inlineStr">
        <is>
          <t>Girdi/KPI varsa</t>
        </is>
      </c>
      <c r="D7" s="204" t="inlineStr">
        <is>
          <t>Veri + KPI sözleşmeleri</t>
        </is>
      </c>
      <c r="E7" s="204" t="inlineStr">
        <is>
          <t>Kapsam %100</t>
        </is>
      </c>
      <c r="F7" s="204" t="inlineStr">
        <is>
          <t>HATA</t>
        </is>
      </c>
      <c r="G7" s="204" t="inlineStr">
        <is>
          <t>Üretim</t>
        </is>
      </c>
    </row>
    <row r="8">
      <c r="A8" s="208" t="n">
        <v>5</v>
      </c>
      <c r="B8" s="204" t="inlineStr">
        <is>
          <t>Üretim</t>
        </is>
      </c>
      <c r="C8" s="204" t="inlineStr">
        <is>
          <t>Sözleşmeler GEÇTİ</t>
        </is>
      </c>
      <c r="D8" s="204" t="inlineStr">
        <is>
          <t>Çalışan Excel</t>
        </is>
      </c>
      <c r="E8" s="204" t="inlineStr">
        <is>
          <t>Tek gerçek kaynak korunmuş</t>
        </is>
      </c>
      <c r="F8" s="204" t="inlineStr">
        <is>
          <t>HATA</t>
        </is>
      </c>
      <c r="G8" s="204" t="inlineStr">
        <is>
          <t>Testler</t>
        </is>
      </c>
    </row>
    <row r="9" ht="28" customHeight="1" s="50">
      <c r="A9" s="208" t="n">
        <v>6</v>
      </c>
      <c r="B9" s="204" t="inlineStr">
        <is>
          <t>Görsel/Kullanım Katmanı</t>
        </is>
      </c>
      <c r="C9" s="204" t="inlineStr">
        <is>
          <t>Motor hazır</t>
        </is>
      </c>
      <c r="D9" s="204" t="inlineStr">
        <is>
          <t>Başlıklar + renk + grafik + yönlendirme</t>
        </is>
      </c>
      <c r="E9" s="204" t="inlineStr">
        <is>
          <t>Tüm kullanıcı sayfaları standarda uygun</t>
        </is>
      </c>
      <c r="F9" s="204" t="inlineStr">
        <is>
          <t>HATA</t>
        </is>
      </c>
      <c r="G9" s="204" t="inlineStr">
        <is>
          <t>Testler</t>
        </is>
      </c>
    </row>
    <row r="10" ht="28" customHeight="1" s="50">
      <c r="A10" s="208" t="n">
        <v>7</v>
      </c>
      <c r="B10" s="204" t="inlineStr">
        <is>
          <t>Testler</t>
        </is>
      </c>
      <c r="C10" s="204" t="inlineStr">
        <is>
          <t>Üretim tamam</t>
        </is>
      </c>
      <c r="D10" s="204" t="inlineStr">
        <is>
          <t>Formül/OOXML/kimlik/oracle/golden/metamorfik</t>
        </is>
      </c>
      <c r="E10" s="204" t="inlineStr">
        <is>
          <t>Uygulanabilir hard gate'ler GEÇTİ</t>
        </is>
      </c>
      <c r="F10" s="204" t="inlineStr">
        <is>
          <t>HATA</t>
        </is>
      </c>
      <c r="G10" s="204" t="inlineStr">
        <is>
          <t>Kanıt</t>
        </is>
      </c>
    </row>
    <row r="11">
      <c r="A11" s="208" t="n">
        <v>8</v>
      </c>
      <c r="B11" s="204" t="inlineStr">
        <is>
          <t>Hata-Kontrol Tutarlılığı</t>
        </is>
      </c>
      <c r="C11" s="204" t="inlineStr">
        <is>
          <t>Test sonucu var</t>
        </is>
      </c>
      <c r="D11" s="204" t="inlineStr">
        <is>
          <t>Hata taraması + kontrol sonuçları</t>
        </is>
      </c>
      <c r="E11" s="204" t="inlineStr">
        <is>
          <t>Formül hatası varken GEÇTİ yok</t>
        </is>
      </c>
      <c r="F11" s="204" t="inlineStr">
        <is>
          <t>HATA</t>
        </is>
      </c>
      <c r="G11" s="204" t="inlineStr">
        <is>
          <t>Kanıt</t>
        </is>
      </c>
    </row>
    <row r="12">
      <c r="A12" s="208" t="n">
        <v>9</v>
      </c>
      <c r="B12" s="204" t="inlineStr">
        <is>
          <t>Kanıt</t>
        </is>
      </c>
      <c r="C12" s="204" t="inlineStr">
        <is>
          <t>Test sonucu var</t>
        </is>
      </c>
      <c r="D12" s="204" t="inlineStr">
        <is>
          <t>Makine okunur artefakt + özet</t>
        </is>
      </c>
      <c r="E12" s="204" t="inlineStr">
        <is>
          <t>Kanıt fiziksel ve tutarlı</t>
        </is>
      </c>
      <c r="F12" s="204" t="inlineStr">
        <is>
          <t>HATA</t>
        </is>
      </c>
      <c r="G12" s="204" t="inlineStr">
        <is>
          <t>Kullanıcı Kabulü</t>
        </is>
      </c>
    </row>
    <row r="13">
      <c r="A13" s="208" t="n">
        <v>10</v>
      </c>
      <c r="B13" s="204" t="inlineStr">
        <is>
          <t>Kullanıcı Kabulü</t>
        </is>
      </c>
      <c r="C13" s="204" t="inlineStr">
        <is>
          <t>Kritik görevler</t>
        </is>
      </c>
      <c r="D13" s="204" t="inlineStr">
        <is>
          <t>Gerçek ekran davranışı</t>
        </is>
      </c>
      <c r="E13" s="204" t="inlineStr">
        <is>
          <t>Kritik görevler %100</t>
        </is>
      </c>
      <c r="F13" s="204" t="inlineStr">
        <is>
          <t>DIŞ_KABUL_GEREKLİ</t>
        </is>
      </c>
      <c r="G13" s="204" t="inlineStr">
        <is>
          <t>Ticari</t>
        </is>
      </c>
    </row>
    <row r="14">
      <c r="A14" s="208" t="n">
        <v>11</v>
      </c>
      <c r="B14" s="204" t="inlineStr">
        <is>
          <t>Ticari Değer</t>
        </is>
      </c>
      <c r="C14" s="204" t="inlineStr">
        <is>
          <t>Ürün satılacaksa</t>
        </is>
      </c>
      <c r="D14" s="204" t="inlineStr">
        <is>
          <t>ROI + demo + kanıt paketi</t>
        </is>
      </c>
      <c r="E14" s="204" t="inlineStr">
        <is>
          <t>Ekonomik değer kanıtlı</t>
        </is>
      </c>
      <c r="F14" s="204" t="inlineStr">
        <is>
          <t>UYARI / HATA</t>
        </is>
      </c>
      <c r="G14" s="204" t="inlineStr">
        <is>
          <t>Pazar Doğrulama</t>
        </is>
      </c>
    </row>
    <row r="15">
      <c r="A15" s="208" t="n">
        <v>12</v>
      </c>
      <c r="B15" s="204" t="inlineStr">
        <is>
          <t>Pazar Doğrulama</t>
        </is>
      </c>
      <c r="C15" s="204" t="inlineStr">
        <is>
          <t>Pazar iddiası varsa</t>
        </is>
      </c>
      <c r="D15" s="204" t="inlineStr">
        <is>
          <t>Ücretli satış/pilot/fiyat kabul kanıtı</t>
        </is>
      </c>
      <c r="E15" s="204" t="inlineStr">
        <is>
          <t>Gerçek fiyat kabul kanıtı</t>
        </is>
      </c>
      <c r="F15" s="204" t="inlineStr">
        <is>
          <t>UYGULANMAZ / HATA</t>
        </is>
      </c>
      <c r="G15" s="204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9B2C2C"/>
    <outlinePr summaryBelow="1" summaryRight="1"/>
    <pageSetUpPr/>
  </sheetPr>
  <dimension ref="A1:AC34"/>
  <sheetViews>
    <sheetView showGridLines="0" workbookViewId="0">
      <selection activeCell="A1" sqref="A1"/>
    </sheetView>
  </sheetViews>
  <sheetFormatPr baseColWidth="8" defaultRowHeight="15"/>
  <cols>
    <col width="12" customWidth="1" style="50" min="1" max="1"/>
    <col width="89.5" customWidth="1" style="50" min="2" max="2"/>
    <col width="34.5" customWidth="1" style="50" min="3" max="3"/>
    <col width="16" customWidth="1" style="50" min="4" max="4"/>
    <col width="13" customWidth="1" style="50" min="5" max="5"/>
    <col width="13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32" customHeight="1" s="50">
      <c r="A1" s="455" t="inlineStr">
        <is>
          <t>NİHAİ KONTROL LİSTESİ — KANITSIZ GEÇİŞ YOK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</row>
    <row r="2"/>
    <row r="3" ht="24" customHeight="1" s="50">
      <c r="A3" s="210" t="inlineStr">
        <is>
          <t>Kontrol No</t>
        </is>
      </c>
      <c r="B3" s="210" t="inlineStr">
        <is>
          <t>Kontrol</t>
        </is>
      </c>
      <c r="C3" s="210" t="inlineStr">
        <is>
          <t>Beklenen</t>
        </is>
      </c>
      <c r="D3" s="210" t="inlineStr">
        <is>
          <t>Zorunlu Kapı?</t>
        </is>
      </c>
      <c r="E3" s="210" t="inlineStr">
        <is>
          <t>Sonuç</t>
        </is>
      </c>
    </row>
    <row r="4">
      <c r="A4" s="211" t="inlineStr">
        <is>
          <t>K01</t>
        </is>
      </c>
      <c r="B4" s="204" t="inlineStr">
        <is>
          <t>Kullanıcının açık talebi öncelikli mi?</t>
        </is>
      </c>
      <c r="C4" s="204" t="inlineStr">
        <is>
          <t>Evet</t>
        </is>
      </c>
      <c r="D4" s="204" t="inlineStr">
        <is>
          <t>EVET</t>
        </is>
      </c>
    </row>
    <row r="5">
      <c r="A5" s="211" t="inlineStr">
        <is>
          <t>K02</t>
        </is>
      </c>
      <c r="B5" s="204" t="inlineStr">
        <is>
          <t>Mevcut yapı, formüller ve tek gerçek kaynak korunuyor mu?</t>
        </is>
      </c>
      <c r="C5" s="204" t="inlineStr">
        <is>
          <t>Evet, değişiklik gerekçeli</t>
        </is>
      </c>
      <c r="D5" s="204" t="inlineStr">
        <is>
          <t>EVET</t>
        </is>
      </c>
    </row>
    <row r="6">
      <c r="A6" s="211" t="inlineStr">
        <is>
          <t>K03</t>
        </is>
      </c>
      <c r="B6" s="204" t="inlineStr">
        <is>
          <t>Üst aşama HATA ise alt aşama GEÇTİ engelleniyor mu?</t>
        </is>
      </c>
      <c r="C6" s="204" t="inlineStr">
        <is>
          <t>Evet</t>
        </is>
      </c>
      <c r="D6" s="204" t="inlineStr">
        <is>
          <t>EVET</t>
        </is>
      </c>
    </row>
    <row r="7">
      <c r="A7" s="211" t="inlineStr">
        <is>
          <t>K04</t>
        </is>
      </c>
      <c r="B7" s="204" t="inlineStr">
        <is>
          <t>Kanıt fiziksel çıktı ve içerik doğrulaması içeriyor mu?</t>
        </is>
      </c>
      <c r="C7" s="204" t="inlineStr">
        <is>
          <t>Evet</t>
        </is>
      </c>
      <c r="D7" s="204" t="inlineStr">
        <is>
          <t>EVET</t>
        </is>
      </c>
    </row>
    <row r="8">
      <c r="A8" s="211" t="inlineStr">
        <is>
          <t>K05</t>
        </is>
      </c>
      <c r="B8" s="204" t="inlineStr">
        <is>
          <t>Excel GUI erişimi olmadan kullanıcı görünümü GEÇTİ yazılıyor mu?</t>
        </is>
      </c>
      <c r="C8" s="204" t="inlineStr">
        <is>
          <t>Hayır</t>
        </is>
      </c>
      <c r="D8" s="204" t="inlineStr">
        <is>
          <t>EVET</t>
        </is>
      </c>
    </row>
    <row r="9">
      <c r="A9" s="211" t="inlineStr">
        <is>
          <t>K06</t>
        </is>
      </c>
      <c r="B9" s="204" t="inlineStr">
        <is>
          <t>NİHAİ yalnız GEÇTİ / gerekçeli UYGULANMAZ ile mi?</t>
        </is>
      </c>
      <c r="C9" s="204" t="inlineStr">
        <is>
          <t>Evet</t>
        </is>
      </c>
      <c r="D9" s="204" t="inlineStr">
        <is>
          <t>EVET</t>
        </is>
      </c>
    </row>
    <row r="10">
      <c r="A10" s="211" t="inlineStr">
        <is>
          <t>K07</t>
        </is>
      </c>
      <c r="B10" s="204" t="inlineStr">
        <is>
          <t>Ekonomik fiyat savunusu pazar doğrulamasından ayrılmış mı?</t>
        </is>
      </c>
      <c r="C10" s="204" t="inlineStr">
        <is>
          <t>Evet</t>
        </is>
      </c>
      <c r="D10" s="204" t="inlineStr">
        <is>
          <t>EVET</t>
        </is>
      </c>
    </row>
    <row r="11">
      <c r="A11" s="211" t="inlineStr">
        <is>
          <t>K08</t>
        </is>
      </c>
      <c r="B11" s="204" t="inlineStr">
        <is>
          <t>Prestij için gereksiz modül var mı?</t>
        </is>
      </c>
      <c r="C11" s="204" t="inlineStr">
        <is>
          <t>Hayır</t>
        </is>
      </c>
      <c r="D11" s="204" t="inlineStr">
        <is>
          <t>HAYIR</t>
        </is>
      </c>
    </row>
    <row r="12">
      <c r="A12" s="211" t="inlineStr">
        <is>
          <t>K09</t>
        </is>
      </c>
      <c r="B12" s="204" t="inlineStr">
        <is>
          <t>Excel sınırları açık mı?</t>
        </is>
      </c>
      <c r="C12" s="204" t="inlineStr">
        <is>
          <t>Evet</t>
        </is>
      </c>
      <c r="D12" s="204" t="inlineStr">
        <is>
          <t>EVET</t>
        </is>
      </c>
    </row>
    <row r="13">
      <c r="A13" s="211" t="inlineStr">
        <is>
          <t>K10</t>
        </is>
      </c>
      <c r="B13" s="204" t="inlineStr">
        <is>
          <t>Teknik kaynak korunuyor mu?</t>
        </is>
      </c>
      <c r="C13" s="204" t="inlineStr">
        <is>
          <t>Evet</t>
        </is>
      </c>
      <c r="D13" s="204" t="inlineStr">
        <is>
          <t>EVET</t>
        </is>
      </c>
    </row>
    <row r="14">
      <c r="A14" s="211" t="inlineStr">
        <is>
          <t>K11</t>
        </is>
      </c>
      <c r="B14" s="204" t="inlineStr">
        <is>
          <t>Kullanıcıya görünen tüm metinler Türkçe mi?</t>
        </is>
      </c>
      <c r="C14" s="204" t="inlineStr">
        <is>
          <t>Evet</t>
        </is>
      </c>
      <c r="D14" s="204" t="inlineStr">
        <is>
          <t>EVET</t>
        </is>
      </c>
    </row>
    <row r="15">
      <c r="A15" s="211" t="inlineStr">
        <is>
          <t>K12</t>
        </is>
      </c>
      <c r="B15" s="204" t="inlineStr">
        <is>
          <t>Her kullanıcı sayfasında üst başlık var mı?</t>
        </is>
      </c>
      <c r="C15" s="204" t="inlineStr">
        <is>
          <t>Evet</t>
        </is>
      </c>
      <c r="D15" s="204" t="inlineStr">
        <is>
          <t>EVET</t>
        </is>
      </c>
    </row>
    <row r="16">
      <c r="A16" s="211" t="inlineStr">
        <is>
          <t>K13</t>
        </is>
      </c>
      <c r="B16" s="204" t="inlineStr">
        <is>
          <t>Sayfalar arasında tutarlı renk sistemi var mı?</t>
        </is>
      </c>
      <c r="C16" s="204" t="inlineStr">
        <is>
          <t>Evet</t>
        </is>
      </c>
      <c r="D16" s="204" t="inlineStr">
        <is>
          <t>EVET</t>
        </is>
      </c>
    </row>
    <row r="17">
      <c r="A17" s="211" t="inlineStr">
        <is>
          <t>K14</t>
        </is>
      </c>
      <c r="B17" s="204" t="inlineStr">
        <is>
          <t>Alt sayfa sekmeleri işlevine göre renklendirilmiş mi?</t>
        </is>
      </c>
      <c r="C17" s="204" t="inlineStr">
        <is>
          <t>Evet</t>
        </is>
      </c>
      <c r="D17" s="204" t="inlineStr">
        <is>
          <t>EVET</t>
        </is>
      </c>
    </row>
    <row r="18">
      <c r="A18" s="211" t="inlineStr">
        <is>
          <t>K15</t>
        </is>
      </c>
      <c r="B18" s="204" t="inlineStr">
        <is>
          <t>İçerik blokları arasında gereksiz boş kolon var mı?</t>
        </is>
      </c>
      <c r="C18" s="204" t="inlineStr">
        <is>
          <t>Hayır</t>
        </is>
      </c>
      <c r="D18" s="204" t="inlineStr">
        <is>
          <t>EVET</t>
        </is>
      </c>
    </row>
    <row r="19">
      <c r="A19" s="211" t="inlineStr">
        <is>
          <t>K16</t>
        </is>
      </c>
      <c r="B19" s="204" t="inlineStr">
        <is>
          <t>Grafikler premium ve karar odaklı mı?</t>
        </is>
      </c>
      <c r="C19" s="204" t="inlineStr">
        <is>
          <t>Evet</t>
        </is>
      </c>
      <c r="D19" s="204" t="inlineStr">
        <is>
          <t>EVET</t>
        </is>
      </c>
    </row>
    <row r="20">
      <c r="A20" s="211" t="inlineStr">
        <is>
          <t>K17</t>
        </is>
      </c>
      <c r="B20" s="204" t="inlineStr">
        <is>
          <t>Varsayılan Excel grafiği / 3B / dekoratif grafik var mı?</t>
        </is>
      </c>
      <c r="C20" s="204" t="inlineStr">
        <is>
          <t>Hayır</t>
        </is>
      </c>
      <c r="D20" s="204" t="inlineStr">
        <is>
          <t>EVET</t>
        </is>
      </c>
    </row>
    <row r="21">
      <c r="A21" s="211" t="inlineStr">
        <is>
          <t>K18</t>
        </is>
      </c>
      <c r="B21" s="204" t="inlineStr">
        <is>
          <t>Finansal ürün Türkiye Tekdüzen Hesap Planı ile eşleşiyor mu?</t>
        </is>
      </c>
      <c r="C21" s="204" t="inlineStr">
        <is>
          <t>Evet</t>
        </is>
      </c>
      <c r="D21" s="204" t="inlineStr">
        <is>
          <t>EVET</t>
        </is>
      </c>
    </row>
    <row r="22">
      <c r="A22" s="211" t="inlineStr">
        <is>
          <t>K19</t>
        </is>
      </c>
      <c r="B22" s="204" t="inlineStr">
        <is>
          <t>Muhasebe satır adları Türkiye kullanımına uygun mu?</t>
        </is>
      </c>
      <c r="C22" s="204" t="inlineStr">
        <is>
          <t>Evet</t>
        </is>
      </c>
      <c r="D22" s="204" t="inlineStr">
        <is>
          <t>EVET</t>
        </is>
      </c>
    </row>
    <row r="23">
      <c r="A23" s="211" t="inlineStr">
        <is>
          <t>K20</t>
        </is>
      </c>
      <c r="B23" s="204" t="inlineStr">
        <is>
          <t>Formül hatası varken herhangi bir kontrol GEÇTİ gösteriyor mu?</t>
        </is>
      </c>
      <c r="C23" s="204" t="inlineStr">
        <is>
          <t>Hayır</t>
        </is>
      </c>
      <c r="D23" s="204" t="inlineStr">
        <is>
          <t>EVET</t>
        </is>
      </c>
    </row>
    <row r="24">
      <c r="A24" s="211" t="inlineStr">
        <is>
          <t>K21</t>
        </is>
      </c>
      <c r="B24" s="204" t="inlineStr">
        <is>
          <t>Karar Motoru boş veya yalnız başlık düzeyinde mi?</t>
        </is>
      </c>
      <c r="C24" s="204" t="inlineStr">
        <is>
          <t>Hayır</t>
        </is>
      </c>
      <c r="D24" s="204" t="inlineStr">
        <is>
          <t>EVET</t>
        </is>
      </c>
    </row>
    <row r="25">
      <c r="A25" s="211" t="inlineStr">
        <is>
          <t>K22</t>
        </is>
      </c>
      <c r="B25" s="204" t="inlineStr">
        <is>
          <t>Senaryo/Stres modülü gerçekten sonuç değiştiriyor mu?</t>
        </is>
      </c>
      <c r="C25" s="204" t="inlineStr">
        <is>
          <t>Evet</t>
        </is>
      </c>
      <c r="D25" s="204" t="inlineStr">
        <is>
          <t>EVET</t>
        </is>
      </c>
    </row>
    <row r="26">
      <c r="A26" s="211" t="inlineStr">
        <is>
          <t>K23</t>
        </is>
      </c>
      <c r="B26" s="204" t="inlineStr">
        <is>
          <t>Oracle/bağımsız doğrulama gerçek veri üretiyor mu?</t>
        </is>
      </c>
      <c r="C26" s="204" t="inlineStr">
        <is>
          <t>Evet veya gerekçeli UYGULANMAZ</t>
        </is>
      </c>
      <c r="D26" s="204" t="inlineStr">
        <is>
          <t>EVET</t>
        </is>
      </c>
    </row>
    <row r="27">
      <c r="A27" s="211" t="inlineStr">
        <is>
          <t>K24</t>
        </is>
      </c>
      <c r="B27" s="204" t="inlineStr">
        <is>
          <t>Yönetici ekranı 5 saniyede sorunu ve aksiyonu anlatıyor mu?</t>
        </is>
      </c>
      <c r="C27" s="204" t="inlineStr">
        <is>
          <t>Evet</t>
        </is>
      </c>
      <c r="D27" s="204" t="inlineStr">
        <is>
          <t>EVET</t>
        </is>
      </c>
    </row>
    <row r="28">
      <c r="A28" s="211" t="inlineStr">
        <is>
          <t>K25</t>
        </is>
      </c>
      <c r="B28" s="204" t="inlineStr">
        <is>
          <t>Her kritik kararın parasal etkisi ve önerilen aksiyonu var mı?</t>
        </is>
      </c>
      <c r="C28" s="204" t="inlineStr">
        <is>
          <t>Evet</t>
        </is>
      </c>
      <c r="D28" s="204" t="inlineStr">
        <is>
          <t>EVET</t>
        </is>
      </c>
    </row>
    <row r="29">
      <c r="A29" s="211" t="inlineStr">
        <is>
          <t>K26</t>
        </is>
      </c>
      <c r="B29" s="204" t="inlineStr">
        <is>
          <t>Ürün sayfası/ürün içi demo satın alma gerekçesini kanıtlıyor mu?</t>
        </is>
      </c>
      <c r="C29" s="204" t="inlineStr">
        <is>
          <t>Evet</t>
        </is>
      </c>
      <c r="D29" s="204" t="inlineStr">
        <is>
          <t>EVET</t>
        </is>
      </c>
    </row>
    <row r="30" ht="30" customHeight="1" s="50">
      <c r="A30" s="212" t="inlineStr">
        <is>
          <t>K27</t>
        </is>
      </c>
      <c r="B30" s="213" t="inlineStr">
        <is>
          <t>Buton görünümü verilen tüm alanlar gerçekten tıklanabilir ve doğru hedefe gidiyor mu?</t>
        </is>
      </c>
      <c r="C30" s="213" t="inlineStr">
        <is>
          <t>Evet</t>
        </is>
      </c>
      <c r="D30" s="204" t="inlineStr">
        <is>
          <t>EVET</t>
        </is>
      </c>
    </row>
    <row r="31" ht="30" customHeight="1" s="50">
      <c r="A31" s="212" t="inlineStr">
        <is>
          <t>K28</t>
        </is>
      </c>
      <c r="B31" s="213" t="inlineStr">
        <is>
          <t>Tüm görünür kullanıcı sheet tabları kurumsal kategori rengi taşıyor mu?</t>
        </is>
      </c>
      <c r="C31" s="213" t="inlineStr">
        <is>
          <t>Evet</t>
        </is>
      </c>
      <c r="D31" s="204" t="inlineStr">
        <is>
          <t>EVET</t>
        </is>
      </c>
    </row>
    <row r="32" ht="16" customHeight="1" s="50">
      <c r="A32" s="212" t="inlineStr">
        <is>
          <t>K29</t>
        </is>
      </c>
      <c r="B32" s="213" t="inlineStr">
        <is>
          <t>Sheet sırası tanımlı kullanıcı iş akışıyla birebir aynı mı?</t>
        </is>
      </c>
      <c r="C32" s="213" t="inlineStr">
        <is>
          <t>Evet</t>
        </is>
      </c>
      <c r="D32" s="204" t="inlineStr">
        <is>
          <t>EVET</t>
        </is>
      </c>
    </row>
    <row r="33" ht="30" customHeight="1" s="50">
      <c r="A33" s="212" t="inlineStr">
        <is>
          <t>K30</t>
        </is>
      </c>
      <c r="B33" s="213" t="inlineStr">
        <is>
          <t>Kurumsal renk paleti tutarlı mı; rastgele/gökkuşağı renk kullanımı var mı?</t>
        </is>
      </c>
      <c r="C33" s="213" t="inlineStr">
        <is>
          <t>Evet / Hayır</t>
        </is>
      </c>
      <c r="D33" s="204" t="inlineStr">
        <is>
          <t>EVET</t>
        </is>
      </c>
    </row>
    <row r="34" ht="30" customHeight="1" s="50">
      <c r="A34" s="212" t="inlineStr">
        <is>
          <t>K31</t>
        </is>
      </c>
      <c r="B34" s="213" t="inlineStr">
        <is>
          <t>Premium vitrin, altyapı kadar güçlü ve satış fiyatını destekleyecek seviyede mi?</t>
        </is>
      </c>
      <c r="C34" s="213" t="inlineStr">
        <is>
          <t>Evet</t>
        </is>
      </c>
      <c r="D34" s="204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475569"/>
    <outlinePr summaryBelow="1" summaryRight="1"/>
    <pageSetUpPr/>
  </sheetPr>
  <dimension ref="A1:AC22"/>
  <sheetViews>
    <sheetView showGridLines="0" workbookViewId="0">
      <selection activeCell="A1" sqref="A1"/>
    </sheetView>
  </sheetViews>
  <sheetFormatPr baseColWidth="8" defaultRowHeight="15"/>
  <cols>
    <col width="30.5" customWidth="1" style="50" min="1" max="1"/>
    <col width="71.5" customWidth="1" style="50" min="2" max="2"/>
    <col width="160.5" customWidth="1" style="50" min="3" max="3"/>
    <col width="70.5" customWidth="1" style="50" min="4" max="4"/>
    <col width="50.5" customWidth="1" style="50" min="5" max="5"/>
    <col width="16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32" customHeight="1" s="50">
      <c r="A1" s="455" t="inlineStr">
        <is>
          <t>GÖRSEL TASARIM VE PREMIUM EXCEL STANDARDI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</row>
    <row r="2"/>
    <row r="3" ht="24" customHeight="1" s="50">
      <c r="A3" s="215" t="inlineStr">
        <is>
          <t>Alan</t>
        </is>
      </c>
      <c r="B3" s="215" t="inlineStr">
        <is>
          <t>Zorunlu Kural</t>
        </is>
      </c>
      <c r="C3" s="215" t="inlineStr">
        <is>
          <t>Uygulama</t>
        </is>
      </c>
      <c r="D3" s="215" t="inlineStr">
        <is>
          <t>Yasak</t>
        </is>
      </c>
      <c r="E3" s="215" t="inlineStr">
        <is>
          <t>Kontrol</t>
        </is>
      </c>
      <c r="F3" s="215" t="inlineStr">
        <is>
          <t>Durum</t>
        </is>
      </c>
    </row>
    <row r="4" ht="28" customHeight="1" s="50">
      <c r="A4" s="216" t="inlineStr">
        <is>
          <t>Sayfa başlığı</t>
        </is>
      </c>
      <c r="B4" s="204" t="inlineStr">
        <is>
          <t>Her kullanıcı sayfasının en üstünde tek ve açık sayfa başlığı</t>
        </is>
      </c>
      <c r="C4" s="204" t="inlineStr">
        <is>
          <t>A1'den başlayan koyu lacivert başlık bandı</t>
        </is>
      </c>
      <c r="D4" s="204" t="inlineStr">
        <is>
          <t>Başlıksız sayfa</t>
        </is>
      </c>
      <c r="E4" s="204" t="inlineStr">
        <is>
          <t>Başlık kapsama = %100</t>
        </is>
      </c>
      <c r="F4" s="217" t="inlineStr">
        <is>
          <t>ZORUNLU</t>
        </is>
      </c>
    </row>
    <row r="5" ht="28" customHeight="1" s="50">
      <c r="A5" s="216" t="inlineStr">
        <is>
          <t>Sekme renkleri</t>
        </is>
      </c>
      <c r="B5" s="204" t="inlineStr">
        <is>
          <t>Sayfalar işlevine göre renk kodlanır</t>
        </is>
      </c>
      <c r="C5" s="204" t="inlineStr">
        <is>
          <t>Girdi=mavi, hesap=gri, rapor=lacivert, kontrol=kırmızı, kılavuz=altın</t>
        </is>
      </c>
      <c r="D5" s="204" t="inlineStr">
        <is>
          <t>Rastgele renk</t>
        </is>
      </c>
      <c r="E5" s="204" t="inlineStr">
        <is>
          <t>Renk semantiği tutarlı</t>
        </is>
      </c>
      <c r="F5" s="217" t="inlineStr">
        <is>
          <t>ZORUNLU</t>
        </is>
      </c>
    </row>
    <row r="6" ht="28" customHeight="1" s="50">
      <c r="A6" s="216" t="inlineStr">
        <is>
          <t>Kolon düzeni</t>
        </is>
      </c>
      <c r="B6" s="204" t="inlineStr">
        <is>
          <t>Veri blokları bitişik kolonlarda ilerler</t>
        </is>
      </c>
      <c r="C6" s="204" t="inlineStr">
        <is>
          <t>Gereksiz boş kolon bırakma; yalnız gerçek bölüm ayrımı varsa kontrollü boşluk</t>
        </is>
      </c>
      <c r="D6" s="204" t="inlineStr">
        <is>
          <t>A:C veri, D boş, E:F veri gibi parçalı yapı</t>
        </is>
      </c>
      <c r="E6" s="204" t="inlineStr">
        <is>
          <t>Boş kolon taraması</t>
        </is>
      </c>
      <c r="F6" s="217" t="inlineStr">
        <is>
          <t>ZORUNLU</t>
        </is>
      </c>
    </row>
    <row r="7" ht="16" customHeight="1" s="50">
      <c r="A7" s="216" t="inlineStr">
        <is>
          <t>Girdi hücreleri</t>
        </is>
      </c>
      <c r="B7" s="204" t="inlineStr">
        <is>
          <t>Kullanıcının değiştireceği alan açıkça görünür</t>
        </is>
      </c>
      <c r="C7" s="204" t="inlineStr">
        <is>
          <t>Açık sarı dolgu + mavi yazı</t>
        </is>
      </c>
      <c r="D7" s="204" t="inlineStr">
        <is>
          <t>Formülle aynı görünüm</t>
        </is>
      </c>
      <c r="E7" s="204" t="inlineStr">
        <is>
          <t>Girdi/formül ayrımı</t>
        </is>
      </c>
      <c r="F7" s="217" t="inlineStr">
        <is>
          <t>ZORUNLU</t>
        </is>
      </c>
    </row>
    <row r="8" ht="16" customHeight="1" s="50">
      <c r="A8" s="216" t="inlineStr">
        <is>
          <t>Formüller</t>
        </is>
      </c>
      <c r="B8" s="204" t="inlineStr">
        <is>
          <t>Hesap hücreleri kullanıcı girdisinden ayrılır</t>
        </is>
      </c>
      <c r="C8" s="204" t="inlineStr">
        <is>
          <t>Siyah yazı; sayfalar arası bağlantı yeşil yazı</t>
        </is>
      </c>
      <c r="D8" s="204" t="inlineStr">
        <is>
          <t>Hard-code gizleme</t>
        </is>
      </c>
      <c r="E8" s="204" t="inlineStr">
        <is>
          <t>Formül sınıfı kontrolü</t>
        </is>
      </c>
      <c r="F8" s="217" t="inlineStr">
        <is>
          <t>ZORUNLU</t>
        </is>
      </c>
    </row>
    <row r="9" ht="16" customHeight="1" s="50">
      <c r="A9" s="216" t="inlineStr">
        <is>
          <t>Grafik sayısı</t>
        </is>
      </c>
      <c r="B9" s="204" t="inlineStr">
        <is>
          <t>Yönetici ekranında en fazla 3 ana karar grafiği</t>
        </is>
      </c>
      <c r="C9" s="204" t="inlineStr">
        <is>
          <t>Trend, karşılaştırma, köprü/dağılım; iş kararına bağlı</t>
        </is>
      </c>
      <c r="D9" s="204" t="inlineStr">
        <is>
          <t>Grafik kalabalığı</t>
        </is>
      </c>
      <c r="E9" s="204" t="inlineStr">
        <is>
          <t>Grafik başına karar sorusu</t>
        </is>
      </c>
      <c r="F9" s="217" t="inlineStr">
        <is>
          <t>ZORUNLU</t>
        </is>
      </c>
    </row>
    <row r="10" ht="16" customHeight="1" s="50">
      <c r="A10" s="216" t="inlineStr">
        <is>
          <t>Grafik stili</t>
        </is>
      </c>
      <c r="B10" s="204" t="inlineStr">
        <is>
          <t>Kurumsal ve yüksek okunabilirlik</t>
        </is>
      </c>
      <c r="C10" s="204" t="inlineStr">
        <is>
          <t>Beyaz zemin, ince gridline, tek vurgu rengi, açık birim/başlık</t>
        </is>
      </c>
      <c r="D10" s="204" t="inlineStr">
        <is>
          <t>3B, gölge, neon, gökkuşağı renkleri</t>
        </is>
      </c>
      <c r="E10" s="204" t="inlineStr">
        <is>
          <t>Görsel inceleme</t>
        </is>
      </c>
      <c r="F10" s="217" t="inlineStr">
        <is>
          <t>ZORUNLU</t>
        </is>
      </c>
    </row>
    <row r="11" ht="16" customHeight="1" s="50">
      <c r="A11" s="216" t="inlineStr">
        <is>
          <t>Grafik başlığı</t>
        </is>
      </c>
      <c r="B11" s="204" t="inlineStr">
        <is>
          <t>Grafik 'neyi' değil 'ne anlama geldiğini' söyler</t>
        </is>
      </c>
      <c r="C11" s="204" t="inlineStr">
        <is>
          <t>Örn: 'Nakit 2028'de kritik eşiğin altına iniyor'</t>
        </is>
      </c>
      <c r="D11" s="204" t="inlineStr">
        <is>
          <t>'Nakit Grafiği' gibi anlamsız başlık</t>
        </is>
      </c>
      <c r="E11" s="204" t="inlineStr">
        <is>
          <t>Başlık karar testi</t>
        </is>
      </c>
      <c r="F11" s="217" t="inlineStr">
        <is>
          <t>ZORUNLU</t>
        </is>
      </c>
    </row>
    <row r="12" ht="16" customHeight="1" s="50">
      <c r="A12" s="216" t="inlineStr">
        <is>
          <t>Birimler</t>
        </is>
      </c>
      <c r="B12" s="204" t="inlineStr">
        <is>
          <t>Tüm finansal görsellerde birim açık</t>
        </is>
      </c>
      <c r="C12" s="204" t="inlineStr">
        <is>
          <t>TL, bin TL, milyon TL, %, gün, x</t>
        </is>
      </c>
      <c r="D12" s="204" t="inlineStr">
        <is>
          <t>Birim belirsizliği</t>
        </is>
      </c>
      <c r="E12" s="204" t="inlineStr">
        <is>
          <t>Birim kapsama %100</t>
        </is>
      </c>
      <c r="F12" s="217" t="inlineStr">
        <is>
          <t>ZORUNLU</t>
        </is>
      </c>
    </row>
    <row r="13" ht="16" customHeight="1" s="50">
      <c r="A13" s="216" t="inlineStr">
        <is>
          <t>Sıfır/negatif</t>
        </is>
      </c>
      <c r="B13" s="204" t="inlineStr">
        <is>
          <t>Finansal format standardı</t>
        </is>
      </c>
      <c r="C13" s="204" t="inlineStr">
        <is>
          <t>Sıfır='-', negatif kırmızı parantez</t>
        </is>
      </c>
      <c r="D13" s="204" t="inlineStr">
        <is>
          <t>-500 veya 0,00 kalabalığı</t>
        </is>
      </c>
      <c r="E13" s="204" t="inlineStr">
        <is>
          <t>Format kontrolü</t>
        </is>
      </c>
      <c r="F13" s="217" t="inlineStr">
        <is>
          <t>ZORUNLU</t>
        </is>
      </c>
    </row>
    <row r="14" ht="16" customHeight="1" s="50">
      <c r="A14" s="216" t="inlineStr">
        <is>
          <t>Yazı tipi</t>
        </is>
      </c>
      <c r="B14" s="204" t="inlineStr">
        <is>
          <t>Tek aile</t>
        </is>
      </c>
      <c r="C14" s="204" t="inlineStr">
        <is>
          <t>Aptos veya Segoe UI</t>
        </is>
      </c>
      <c r="D14" s="204" t="inlineStr">
        <is>
          <t>Karışık font</t>
        </is>
      </c>
      <c r="E14" s="204" t="inlineStr">
        <is>
          <t>Tek font kontrolü</t>
        </is>
      </c>
      <c r="F14" s="217" t="inlineStr">
        <is>
          <t>ZORUNLU</t>
        </is>
      </c>
    </row>
    <row r="15" ht="16" customHeight="1" s="50">
      <c r="A15" s="216" t="inlineStr">
        <is>
          <t>Izgara</t>
        </is>
      </c>
      <c r="B15" s="204" t="inlineStr">
        <is>
          <t>Kullanıcı sayfalarında kapalı</t>
        </is>
      </c>
      <c r="C15" s="204" t="inlineStr">
        <is>
          <t>Bölüm çizgileri ve kart sınırlarıyla düzen</t>
        </is>
      </c>
      <c r="D15" s="204" t="inlineStr">
        <is>
          <t>Excel varsayılan gridline</t>
        </is>
      </c>
      <c r="E15" s="204" t="inlineStr">
        <is>
          <t>Gridline kontrolü</t>
        </is>
      </c>
      <c r="F15" s="217" t="inlineStr">
        <is>
          <t>ZORUNLU</t>
        </is>
      </c>
    </row>
    <row r="16" ht="16" customHeight="1" s="50">
      <c r="A16" s="216" t="inlineStr">
        <is>
          <t>Boş durum</t>
        </is>
      </c>
      <c r="B16" s="204" t="inlineStr">
        <is>
          <t>Veri yokken temiz ve anlaşılır</t>
        </is>
      </c>
      <c r="C16" s="204" t="inlineStr">
        <is>
          <t>'Henüz veri yok' / 'Girdi bekleniyor'</t>
        </is>
      </c>
      <c r="D16" s="204" t="inlineStr">
        <is>
          <t>0 yığını / hata kodu</t>
        </is>
      </c>
      <c r="E16" s="204" t="inlineStr">
        <is>
          <t>Boş veri testi</t>
        </is>
      </c>
      <c r="F16" s="217" t="inlineStr">
        <is>
          <t>ZORUNLU</t>
        </is>
      </c>
    </row>
    <row r="17" ht="28" customHeight="1" s="50">
      <c r="A17" s="216" t="inlineStr">
        <is>
          <t>Başlangıç deneyimi</t>
        </is>
      </c>
      <c r="B17" s="204" t="inlineStr">
        <is>
          <t>İlk 5 saniyede ne gireceği ve neye bakacağı anlaşılır</t>
        </is>
      </c>
      <c r="C17" s="204" t="inlineStr">
        <is>
          <t>Girdi → durum → aksiyon akışı</t>
        </is>
      </c>
      <c r="D17" s="204" t="inlineStr">
        <is>
          <t>Kılavuz aramaya zorlama</t>
        </is>
      </c>
      <c r="E17" s="204" t="inlineStr">
        <is>
          <t>5 saniye testi</t>
        </is>
      </c>
      <c r="F17" s="217" t="inlineStr">
        <is>
          <t>ZORUNLU</t>
        </is>
      </c>
    </row>
    <row r="18" ht="30" customHeight="1" s="50">
      <c r="A18" s="212" t="inlineStr">
        <is>
          <t>Buton standardı</t>
        </is>
      </c>
      <c r="B18" s="213" t="inlineStr">
        <is>
          <t>Buton görünümü verilen her alan gerçek işlev taşır</t>
        </is>
      </c>
      <c r="C18" s="213" t="inlineStr">
        <is>
          <t>Sayfa içi HYPERLINK / gerçek aksiyon; tıklanınca hedefe gider</t>
        </is>
      </c>
      <c r="D18" s="213" t="inlineStr">
        <is>
          <t>İşlevsiz dekoratif buton / sahte navigasyon</t>
        </is>
      </c>
      <c r="E18" s="213" t="inlineStr">
        <is>
          <t>Butonların %100'ü tıklanabilir ve hedefi doğru</t>
        </is>
      </c>
      <c r="F18" s="217" t="inlineStr">
        <is>
          <t>ZORUNLU</t>
        </is>
      </c>
    </row>
    <row r="19" ht="32" customHeight="1" s="50">
      <c r="A19" s="212" t="inlineStr">
        <is>
          <t>Native sayfa sekmesi rengi</t>
        </is>
      </c>
      <c r="B19" s="213" t="inlineStr">
        <is>
          <t>Excel alt sheet tabları kurumsal paletle renklendirilir</t>
        </is>
      </c>
      <c r="C19" s="213" t="inlineStr">
        <is>
          <t>Başlangıç/özet=lacivert; girdiler=mavi; hesap/finans=teal; karar/kontrol=burgundy; doküman=gri</t>
        </is>
      </c>
      <c r="D19" s="213" t="inlineStr">
        <is>
          <t>Renksiz sekmeler veya rastgele/gökkuşağı renkleri</t>
        </is>
      </c>
      <c r="E19" s="213" t="inlineStr">
        <is>
          <t>Tüm görünür kullanıcı sheet tabları renkli</t>
        </is>
      </c>
      <c r="F19" s="217" t="inlineStr">
        <is>
          <t>ZORUNLU</t>
        </is>
      </c>
    </row>
    <row r="20" ht="60" customHeight="1" s="50">
      <c r="A20" s="212" t="inlineStr">
        <is>
          <t>İş akışı sıralaması</t>
        </is>
      </c>
      <c r="B20" s="213" t="inlineStr">
        <is>
          <t>Sayfalar kullanıcının çalışma sırasına göre fiziksel olarak dizilir</t>
        </is>
      </c>
      <c r="C20" s="213" t="inlineStr">
        <is>
          <t>Başlangıç → Yönetici Özeti → Varsayımlar → Tarihsel Giriş → THP → Hesap Motorları → 3 Finansal Tablo → Senaryo → Karar → Kontrol → Kılavuz/Meta/Oracle/Değer</t>
        </is>
      </c>
      <c r="D20" s="213" t="inlineStr">
        <is>
          <t>Teknik oluşturma sırasına göre dağınık sheet dizilimi</t>
        </is>
      </c>
      <c r="E20" s="213" t="inlineStr">
        <is>
          <t>Sheet order = tanımlı workflow</t>
        </is>
      </c>
      <c r="F20" s="217" t="inlineStr">
        <is>
          <t>ZORUNLU</t>
        </is>
      </c>
    </row>
    <row r="21" ht="30" customHeight="1" s="50">
      <c r="A21" s="212" t="inlineStr">
        <is>
          <t>Kurumsal renk paleti</t>
        </is>
      </c>
      <c r="B21" s="213" t="inlineStr">
        <is>
          <t>Sekme, başlık, buton ve vurgu renkleri tek kurumsal paletten gelir</t>
        </is>
      </c>
      <c r="C21" s="213" t="inlineStr">
        <is>
          <t>Lacivert + mavi + teal + kontrollü burgundy/gri; kategori semantiği sabit</t>
        </is>
      </c>
      <c r="D21" s="213" t="inlineStr">
        <is>
          <t>Neon, rastgele yüksek doygunluk, her sayfada farklı bağımsız renk</t>
        </is>
      </c>
      <c r="E21" s="213" t="inlineStr">
        <is>
          <t>Palette token kontrolü</t>
        </is>
      </c>
      <c r="F21" s="217" t="inlineStr">
        <is>
          <t>ZORUNLU</t>
        </is>
      </c>
    </row>
    <row r="22" ht="45" customHeight="1" s="50">
      <c r="A22" s="212" t="inlineStr">
        <is>
          <t>Premium vitrin</t>
        </is>
      </c>
      <c r="B22" s="213" t="inlineStr">
        <is>
          <t>Görsel kalite ürün değerinin zorunlu parçasıdır</t>
        </is>
      </c>
      <c r="C22" s="213" t="inlineStr">
        <is>
          <t>Kaliteli grafik, gerçek KPI kartı, finansal hiyerarşi, tab rengi, fonksiyonel navigasyon</t>
        </is>
      </c>
      <c r="D22" s="213" t="inlineStr">
        <is>
          <t>Sadece doğru hesap yapıp çıplak/varsayılan Excel görünümü bırakmak</t>
        </is>
      </c>
      <c r="E22" s="213" t="inlineStr">
        <is>
          <t>Görsel release incelemesi</t>
        </is>
      </c>
      <c r="F22" s="217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2F75B5"/>
    <outlinePr summaryBelow="1" summaryRight="1"/>
    <pageSetUpPr/>
  </sheetPr>
  <dimension ref="A1:AC18"/>
  <sheetViews>
    <sheetView showGridLines="0" workbookViewId="0">
      <selection activeCell="A1" sqref="A1"/>
    </sheetView>
  </sheetViews>
  <sheetFormatPr baseColWidth="8" defaultRowHeight="15"/>
  <cols>
    <col width="22.5" customWidth="1" style="50" min="1" max="1"/>
    <col width="60.5" customWidth="1" style="50" min="2" max="2"/>
    <col width="86.5" customWidth="1" style="50" min="3" max="3"/>
    <col width="40.5" customWidth="1" style="50" min="4" max="4"/>
    <col width="39.5" customWidth="1" style="50" min="5" max="5"/>
    <col width="27.5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32" customHeight="1" s="50">
      <c r="A1" s="455" t="inlineStr">
        <is>
          <t>TÜRKİYE MUHASEBE VE TEKDÜZEN HESAP PLANI STANDARDI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</row>
    <row r="2"/>
    <row r="3" ht="24" customHeight="1" s="50">
      <c r="A3" s="219" t="inlineStr">
        <is>
          <t>Konu</t>
        </is>
      </c>
      <c r="B3" s="219" t="inlineStr">
        <is>
          <t>Zorunlu Standart</t>
        </is>
      </c>
      <c r="C3" s="219" t="inlineStr">
        <is>
          <t>Örnek Türkçe Ad</t>
        </is>
      </c>
      <c r="D3" s="219" t="inlineStr">
        <is>
          <t>THP / Mantık</t>
        </is>
      </c>
      <c r="E3" s="219" t="inlineStr">
        <is>
          <t>Hata Riski</t>
        </is>
      </c>
      <c r="F3" s="219" t="inlineStr">
        <is>
          <t>Kontrol</t>
        </is>
      </c>
    </row>
    <row r="4">
      <c r="A4" s="220" t="inlineStr">
        <is>
          <t>Dil</t>
        </is>
      </c>
      <c r="B4" s="204" t="inlineStr">
        <is>
          <t>Kullanıcıya görünen finansal terimler Türkçe</t>
        </is>
      </c>
      <c r="C4" s="204" t="inlineStr">
        <is>
          <t>Hasılat, Satışların Maliyeti, Brüt Kâr, Faaliyet Giderleri</t>
        </is>
      </c>
      <c r="D4" s="204" t="inlineStr">
        <is>
          <t>Türk işletme kullanımına uygun</t>
        </is>
      </c>
      <c r="E4" s="204" t="inlineStr">
        <is>
          <t>İngilizce jargon</t>
        </is>
      </c>
      <c r="F4" s="204" t="inlineStr">
        <is>
          <t>Terminoloji taraması</t>
        </is>
      </c>
    </row>
    <row r="5" ht="28" customHeight="1" s="50">
      <c r="A5" s="220" t="inlineStr">
        <is>
          <t>Gelir Tablosu</t>
        </is>
      </c>
      <c r="B5" s="204" t="inlineStr">
        <is>
          <t>Türk sunum sırası kullanılır</t>
        </is>
      </c>
      <c r="C5" s="204" t="inlineStr">
        <is>
          <t>Net Satışlar → Satışların Maliyeti → Brüt Kâr → Faaliyet Giderleri → Faaliyet Kârı</t>
        </is>
      </c>
      <c r="D5" s="204" t="inlineStr">
        <is>
          <t>600/610/611; 620-623; 63x</t>
        </is>
      </c>
      <c r="E5" s="204" t="inlineStr">
        <is>
          <t>Yanlış sınıflama</t>
        </is>
      </c>
      <c r="F5" s="204" t="inlineStr">
        <is>
          <t>Hesap eşleme</t>
        </is>
      </c>
    </row>
    <row r="6" ht="28" customHeight="1" s="50">
      <c r="A6" s="220" t="inlineStr">
        <is>
          <t>Bilanço</t>
        </is>
      </c>
      <c r="B6" s="204" t="inlineStr">
        <is>
          <t>Dönen/Duran Varlık ve Kısa/Uzun Vadeli Yükümlülük ayrımı</t>
        </is>
      </c>
      <c r="C6" s="204" t="inlineStr">
        <is>
          <t>Hazır Değerler, Ticari Alacaklar, Stoklar, Mali Borçlar</t>
        </is>
      </c>
      <c r="D6" s="204" t="inlineStr">
        <is>
          <t>1xx / 2xx / 3xx / 4xx / 5xx</t>
        </is>
      </c>
      <c r="E6" s="204" t="inlineStr">
        <is>
          <t>Vade sınıfı hatası</t>
        </is>
      </c>
      <c r="F6" s="204" t="inlineStr">
        <is>
          <t>Bilanço eşitliği</t>
        </is>
      </c>
    </row>
    <row r="7">
      <c r="A7" s="220" t="inlineStr">
        <is>
          <t>Nakit Akışı</t>
        </is>
      </c>
      <c r="B7" s="204" t="inlineStr">
        <is>
          <t>İşletme/Yatırım/Finansman nakit akışları ayrılır</t>
        </is>
      </c>
      <c r="C7" s="204" t="inlineStr">
        <is>
          <t>Faaliyetlerden Nakit, Yatırım Harcamaları, Finansman Nakit Akışı</t>
        </is>
      </c>
      <c r="D7" s="204" t="inlineStr">
        <is>
          <t>Dolaylı/doğrudan yöntem açık seçilir</t>
        </is>
      </c>
      <c r="E7" s="204" t="inlineStr">
        <is>
          <t>Kâr = nakit sanılması</t>
        </is>
      </c>
      <c r="F7" s="204" t="inlineStr">
        <is>
          <t>Nakit devri</t>
        </is>
      </c>
    </row>
    <row r="8">
      <c r="A8" s="220" t="inlineStr">
        <is>
          <t>Ticari Alacaklar</t>
        </is>
      </c>
      <c r="B8" s="204" t="inlineStr">
        <is>
          <t>Cari ve vade mantığı korunur</t>
        </is>
      </c>
      <c r="C8" s="204" t="inlineStr">
        <is>
          <t>120 Alıcılar</t>
        </is>
      </c>
      <c r="D8" s="204" t="inlineStr">
        <is>
          <t>120</t>
        </is>
      </c>
      <c r="E8" s="204" t="inlineStr">
        <is>
          <t>Tahakkuk/nakit karışması</t>
        </is>
      </c>
      <c r="F8" s="204" t="inlineStr">
        <is>
          <t>Alacak devir kontrolü</t>
        </is>
      </c>
    </row>
    <row r="9">
      <c r="A9" s="220" t="inlineStr">
        <is>
          <t>Ticari Borçlar</t>
        </is>
      </c>
      <c r="B9" s="204" t="inlineStr">
        <is>
          <t>Tedarikçi borcu ayrı izlenir</t>
        </is>
      </c>
      <c r="C9" s="204" t="inlineStr">
        <is>
          <t>320 Satıcılar</t>
        </is>
      </c>
      <c r="D9" s="204" t="inlineStr">
        <is>
          <t>320</t>
        </is>
      </c>
      <c r="E9" s="204" t="inlineStr">
        <is>
          <t>Gider/ödeme karışması</t>
        </is>
      </c>
      <c r="F9" s="204" t="inlineStr">
        <is>
          <t>Borç devir kontrolü</t>
        </is>
      </c>
    </row>
    <row r="10">
      <c r="A10" s="220" t="inlineStr">
        <is>
          <t>Kasa/Banka</t>
        </is>
      </c>
      <c r="B10" s="204" t="inlineStr">
        <is>
          <t>Hazır değerler ayrı izlenir</t>
        </is>
      </c>
      <c r="C10" s="204" t="inlineStr">
        <is>
          <t>100 Kasa, 102 Bankalar</t>
        </is>
      </c>
      <c r="D10" s="204" t="inlineStr">
        <is>
          <t>100 / 102</t>
        </is>
      </c>
      <c r="E10" s="204" t="inlineStr">
        <is>
          <t>Virmanla toplam nakdin değişmesi</t>
        </is>
      </c>
      <c r="F10" s="204" t="inlineStr">
        <is>
          <t>Virman değişmezi</t>
        </is>
      </c>
    </row>
    <row r="11">
      <c r="A11" s="220" t="inlineStr">
        <is>
          <t>Stok</t>
        </is>
      </c>
      <c r="B11" s="204" t="inlineStr">
        <is>
          <t>Dikeye uygun stok türü</t>
        </is>
      </c>
      <c r="C11" s="204" t="inlineStr">
        <is>
          <t>150 İlk Madde ve Malzeme, 153 Ticari Mallar</t>
        </is>
      </c>
      <c r="D11" s="204" t="inlineStr">
        <is>
          <t>15x</t>
        </is>
      </c>
      <c r="E11" s="204" t="inlineStr">
        <is>
          <t>Maliyet ve stok hareketinin kopması</t>
        </is>
      </c>
      <c r="F11" s="204" t="inlineStr">
        <is>
          <t>Stok devri</t>
        </is>
      </c>
    </row>
    <row r="12" ht="28" customHeight="1" s="50">
      <c r="A12" s="220" t="inlineStr">
        <is>
          <t>Maddi Duran Varlık</t>
        </is>
      </c>
      <c r="B12" s="204" t="inlineStr">
        <is>
          <t>Yatırım harcaması ve amortisman bağlantılı</t>
        </is>
      </c>
      <c r="C12" s="204" t="inlineStr">
        <is>
          <t>253 Tesis Makine Cihazlar, 255 Demirbaşlar, 257 Birikmiş Amortismanlar</t>
        </is>
      </c>
      <c r="D12" s="204" t="inlineStr">
        <is>
          <t>25x</t>
        </is>
      </c>
      <c r="E12" s="204" t="inlineStr">
        <is>
          <t>Yatırım/gider karışması</t>
        </is>
      </c>
      <c r="F12" s="204" t="inlineStr">
        <is>
          <t>Net defter değeri devri</t>
        </is>
      </c>
    </row>
    <row r="13">
      <c r="A13" s="220" t="inlineStr">
        <is>
          <t>Mali Borçlar</t>
        </is>
      </c>
      <c r="B13" s="204" t="inlineStr">
        <is>
          <t>Kısa/uzun vadeli borç ayrımı</t>
        </is>
      </c>
      <c r="C13" s="204" t="inlineStr">
        <is>
          <t>300 Banka Kredileri / 400 Banka Kredileri</t>
        </is>
      </c>
      <c r="D13" s="204" t="inlineStr">
        <is>
          <t>300 / 400</t>
        </is>
      </c>
      <c r="E13" s="204" t="inlineStr">
        <is>
          <t>Vade sınıfı yanlış</t>
        </is>
      </c>
      <c r="F13" s="204" t="inlineStr">
        <is>
          <t>Borç devri</t>
        </is>
      </c>
    </row>
    <row r="14">
      <c r="A14" s="220" t="inlineStr">
        <is>
          <t>Özkaynak</t>
        </is>
      </c>
      <c r="B14" s="204" t="inlineStr">
        <is>
          <t>Sermaye ve geçmiş yıl kârları ayrı</t>
        </is>
      </c>
      <c r="C14" s="204" t="inlineStr">
        <is>
          <t>500 Sermaye, 570 Geçmiş Yıllar Kârları, 590 Dönem Net Kârı</t>
        </is>
      </c>
      <c r="D14" s="204" t="inlineStr">
        <is>
          <t>5xx</t>
        </is>
      </c>
      <c r="E14" s="204" t="inlineStr">
        <is>
          <t>Net kâr bağının kopması</t>
        </is>
      </c>
      <c r="F14" s="204" t="inlineStr">
        <is>
          <t>Özkaynak devri</t>
        </is>
      </c>
    </row>
    <row r="15">
      <c r="A15" s="220" t="inlineStr">
        <is>
          <t>Vergi</t>
        </is>
      </c>
      <c r="B15" s="204" t="inlineStr">
        <is>
          <t>Vergi satırları Türkiye mantığına uygun</t>
        </is>
      </c>
      <c r="C15" s="204" t="inlineStr">
        <is>
          <t>Dönem Vergi ve Diğer Yasal Yükümlülük Karşılıkları</t>
        </is>
      </c>
      <c r="D15" s="204" t="inlineStr">
        <is>
          <t>37x / ilgili vergi hesapları</t>
        </is>
      </c>
      <c r="E15" s="204" t="inlineStr">
        <is>
          <t>Vergi etkisinin yanlış dönemlenmesi</t>
        </is>
      </c>
      <c r="F15" s="204" t="inlineStr">
        <is>
          <t>Vergi sözleşmesi</t>
        </is>
      </c>
    </row>
    <row r="16">
      <c r="A16" s="220" t="inlineStr">
        <is>
          <t>İsim standardı</t>
        </is>
      </c>
      <c r="B16" s="204" t="inlineStr">
        <is>
          <t>Tablo ve sayfa adları Türkçe ve işlevsel</t>
        </is>
      </c>
      <c r="C16" s="204" t="inlineStr">
        <is>
          <t>GELİR_TABLOSU, BİLANÇO, NAKİT_AKISI, BORC_PLANI</t>
        </is>
      </c>
      <c r="D16" s="204" t="inlineStr">
        <is>
          <t>Tekrarlanabilir standart</t>
        </is>
      </c>
      <c r="E16" s="204" t="inlineStr">
        <is>
          <t>İngilizce/karma isim</t>
        </is>
      </c>
      <c r="F16" s="204" t="inlineStr">
        <is>
          <t>Sayfa ve tablo taraması</t>
        </is>
      </c>
    </row>
    <row r="17">
      <c r="A17" s="220" t="inlineStr">
        <is>
          <t>THP eşleme tablosu</t>
        </is>
      </c>
      <c r="B17" s="204" t="inlineStr">
        <is>
          <t>Her kritik satır en az bir THP hesabına bağlanır</t>
        </is>
      </c>
      <c r="C17" s="204" t="inlineStr">
        <is>
          <t>RaporSatırı → HesapKodu → HesapAdı → İşaret → Dönem</t>
        </is>
      </c>
      <c r="D17" s="204" t="inlineStr">
        <is>
          <t>Kaynak izlenebilirliği</t>
        </is>
      </c>
      <c r="E17" s="204" t="inlineStr">
        <is>
          <t>Rapordan rapora kaynak</t>
        </is>
      </c>
      <c r="F17" s="204" t="inlineStr">
        <is>
          <t>Eşleme kapsama %100</t>
        </is>
      </c>
    </row>
    <row r="18">
      <c r="A18" s="220" t="inlineStr">
        <is>
          <t>İstisna</t>
        </is>
      </c>
      <c r="B18" s="204" t="inlineStr">
        <is>
          <t>TFRS özel ürün varsa fark açık yazılır</t>
        </is>
      </c>
      <c r="C18" s="204" t="inlineStr">
        <is>
          <t>Tekdüzen raporlama ≠ TFRS finansal tablo sunumu</t>
        </is>
      </c>
      <c r="D18" s="204" t="inlineStr">
        <is>
          <t>Amaç belirtilir</t>
        </is>
      </c>
      <c r="E18" s="204" t="inlineStr">
        <is>
          <t>Standartları karıştırma</t>
        </is>
      </c>
      <c r="F18" s="204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5B477E"/>
    <outlinePr summaryBelow="1" summaryRight="1"/>
    <pageSetUpPr/>
  </sheetPr>
  <dimension ref="A1:AC19"/>
  <sheetViews>
    <sheetView showGridLines="0" workbookViewId="0">
      <selection activeCell="A1" sqref="A1"/>
    </sheetView>
  </sheetViews>
  <sheetFormatPr baseColWidth="8" defaultRowHeight="15"/>
  <cols>
    <col width="20.5" customWidth="1" style="50" min="1" max="1"/>
    <col width="41.5" customWidth="1" style="50" min="2" max="2"/>
    <col width="86.5" customWidth="1" style="50" min="3" max="3"/>
    <col width="35.5" customWidth="1" style="50" min="4" max="4"/>
    <col width="33.5" customWidth="1" style="50" min="5" max="5"/>
    <col width="16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32" customHeight="1" s="50">
      <c r="A1" s="455" t="inlineStr">
        <is>
          <t>KARAR, GÜVEN VE SATIŞA HAZIRLIK STANDARDI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</row>
    <row r="2"/>
    <row r="3" ht="24" customHeight="1" s="50">
      <c r="A3" s="222" t="inlineStr">
        <is>
          <t>Alan</t>
        </is>
      </c>
      <c r="B3" s="222" t="inlineStr">
        <is>
          <t>Müşteri Sorusu</t>
        </is>
      </c>
      <c r="C3" s="222" t="inlineStr">
        <is>
          <t>Zorunlu Ürün Davranışı</t>
        </is>
      </c>
      <c r="D3" s="222" t="inlineStr">
        <is>
          <t>Kanıt</t>
        </is>
      </c>
      <c r="E3" s="222" t="inlineStr">
        <is>
          <t>Başarısızlık Durumu</t>
        </is>
      </c>
      <c r="F3" s="222" t="inlineStr">
        <is>
          <t>Kapı</t>
        </is>
      </c>
    </row>
    <row r="4">
      <c r="A4" s="223" t="inlineStr">
        <is>
          <t>5 saniye</t>
        </is>
      </c>
      <c r="B4" s="204" t="inlineStr">
        <is>
          <t>Bu ürün neyi çözüyor?</t>
        </is>
      </c>
      <c r="C4" s="204" t="inlineStr">
        <is>
          <t>İlk ekranda hedef kullanıcı + pahalı problem + sonuç görünür</t>
        </is>
      </c>
      <c r="D4" s="204" t="inlineStr">
        <is>
          <t>Başlık + alt mesaj + gerçek ekran</t>
        </is>
      </c>
      <c r="E4" s="204" t="inlineStr">
        <is>
          <t>Ürün yalnız teknik isim</t>
        </is>
      </c>
      <c r="F4" s="224" t="inlineStr">
        <is>
          <t>HATA</t>
        </is>
      </c>
    </row>
    <row r="5">
      <c r="A5" s="223" t="inlineStr">
        <is>
          <t>Acı</t>
        </is>
      </c>
      <c r="B5" s="204" t="inlineStr">
        <is>
          <t>Sorun bana neye mal oluyor?</t>
        </is>
      </c>
      <c r="C5" s="204" t="inlineStr">
        <is>
          <t>Mümkünse müşterinin kendi verisiyle parasal/zaman etkisi hesaplanır</t>
        </is>
      </c>
      <c r="D5" s="204" t="inlineStr">
        <is>
          <t>ROI/acı hesaplama yöntemi</t>
        </is>
      </c>
      <c r="E5" s="204" t="inlineStr">
        <is>
          <t>Uydurma tasarruf</t>
        </is>
      </c>
      <c r="F5" s="224" t="inlineStr">
        <is>
          <t>HATA</t>
        </is>
      </c>
    </row>
    <row r="6">
      <c r="A6" s="223" t="inlineStr">
        <is>
          <t>Karar</t>
        </is>
      </c>
      <c r="B6" s="204" t="inlineStr">
        <is>
          <t>Bu bilgiyle ne yapacağım?</t>
        </is>
      </c>
      <c r="C6" s="204" t="inlineStr">
        <is>
          <t>Her kritik KPI aksiyona bağlanır</t>
        </is>
      </c>
      <c r="D6" s="204" t="inlineStr">
        <is>
          <t>KARAR_KUYRUGU</t>
        </is>
      </c>
      <c r="E6" s="204" t="inlineStr">
        <is>
          <t>Sadece rapor</t>
        </is>
      </c>
      <c r="F6" s="224" t="inlineStr">
        <is>
          <t>HATA</t>
        </is>
      </c>
    </row>
    <row r="7">
      <c r="A7" s="223" t="inlineStr">
        <is>
          <t>Güven</t>
        </is>
      </c>
      <c r="B7" s="204" t="inlineStr">
        <is>
          <t>Bu sayıya neden inanayım?</t>
        </is>
      </c>
      <c r="C7" s="204" t="inlineStr">
        <is>
          <t>Kaynak, formül mantığı, kontrol ve son doğrulama görünür</t>
        </is>
      </c>
      <c r="D7" s="204" t="inlineStr">
        <is>
          <t>Kontroller + kaynak izi + sürüm</t>
        </is>
      </c>
      <c r="E7" s="204" t="inlineStr">
        <is>
          <t>Prestij kelimesi</t>
        </is>
      </c>
      <c r="F7" s="224" t="inlineStr">
        <is>
          <t>HATA</t>
        </is>
      </c>
    </row>
    <row r="8">
      <c r="A8" s="223" t="inlineStr">
        <is>
          <t>Referans</t>
        </is>
      </c>
      <c r="B8" s="204" t="inlineStr">
        <is>
          <t>Müşteri yorumu yoksa ne göstereceğim?</t>
        </is>
      </c>
      <c r="C8" s="204" t="inlineStr">
        <is>
          <t>Önce/Sonra + Karar Vakası + Hata Önleme Vakası üretilir</t>
        </is>
      </c>
      <c r="D8" s="204" t="inlineStr">
        <is>
          <t>Demo/örnek çıktı</t>
        </is>
      </c>
      <c r="E8" s="204" t="inlineStr">
        <is>
          <t>Kanıtsız iddia</t>
        </is>
      </c>
      <c r="F8" s="224" t="inlineStr">
        <is>
          <t>HATA</t>
        </is>
      </c>
    </row>
    <row r="9">
      <c r="A9" s="223" t="inlineStr">
        <is>
          <t>Senaryo</t>
        </is>
      </c>
      <c r="B9" s="204" t="inlineStr">
        <is>
          <t>Ne olursa işler bozulur?</t>
        </is>
      </c>
      <c r="C9" s="204" t="inlineStr">
        <is>
          <t>Baz/Aşağı/Yukarı veya uygun stres senaryosu</t>
        </is>
      </c>
      <c r="D9" s="204" t="inlineStr">
        <is>
          <t>Senaryo karşılaştırma</t>
        </is>
      </c>
      <c r="E9" s="204" t="inlineStr">
        <is>
          <t>Dekoratif senaryo</t>
        </is>
      </c>
      <c r="F9" s="224" t="inlineStr">
        <is>
          <t>HATA</t>
        </is>
      </c>
    </row>
    <row r="10">
      <c r="A10" s="223" t="inlineStr">
        <is>
          <t>Ters stres</t>
        </is>
      </c>
      <c r="B10" s="204" t="inlineStr">
        <is>
          <t>Hangi eşikte karar kırılır?</t>
        </is>
      </c>
      <c r="C10" s="204" t="inlineStr">
        <is>
          <t>En az bir kritik sürücü için kırılma eşiği</t>
        </is>
      </c>
      <c r="D10" s="204" t="inlineStr">
        <is>
          <t>Kırılma eşiği tablosu</t>
        </is>
      </c>
      <c r="E10" s="204" t="inlineStr">
        <is>
          <t>Sadece +/- %10</t>
        </is>
      </c>
      <c r="F10" s="224" t="inlineStr">
        <is>
          <t>UYARI/HATA</t>
        </is>
      </c>
    </row>
    <row r="11">
      <c r="A11" s="223" t="inlineStr">
        <is>
          <t>Hata tutarlılığı</t>
        </is>
      </c>
      <c r="B11" s="204" t="inlineStr">
        <is>
          <t>Formül hata verirse ne olur?</t>
        </is>
      </c>
      <c r="C11" s="204" t="inlineStr">
        <is>
          <t>Kontrol GEÇTİ veremez; BLOKE/HATA üretir</t>
        </is>
      </c>
      <c r="D11" s="204" t="inlineStr">
        <is>
          <t>Hata taraması</t>
        </is>
      </c>
      <c r="E11" s="204" t="inlineStr">
        <is>
          <t>Hata + GEÇTİ birlikte</t>
        </is>
      </c>
      <c r="F11" s="224" t="inlineStr">
        <is>
          <t>HATA</t>
        </is>
      </c>
    </row>
    <row r="12">
      <c r="A12" s="223" t="inlineStr">
        <is>
          <t>Karar motoru</t>
        </is>
      </c>
      <c r="B12" s="204" t="inlineStr">
        <is>
          <t>Ne oldu, neden oldu?</t>
        </is>
      </c>
      <c r="C12" s="204" t="inlineStr">
        <is>
          <t>Sorun + neden + parasal etki + aksiyon + son tarih</t>
        </is>
      </c>
      <c r="D12" s="204" t="inlineStr">
        <is>
          <t>Karar tablosu</t>
        </is>
      </c>
      <c r="E12" s="204" t="inlineStr">
        <is>
          <t>Boş sayfa / isim düzeyi modül</t>
        </is>
      </c>
      <c r="F12" s="224" t="inlineStr">
        <is>
          <t>HATA</t>
        </is>
      </c>
    </row>
    <row r="13">
      <c r="A13" s="223" t="inlineStr">
        <is>
          <t>Yönetici özeti</t>
        </is>
      </c>
      <c r="B13" s="204" t="inlineStr">
        <is>
          <t>5 saniyede ne görmeliyim?</t>
        </is>
      </c>
      <c r="C13" s="204" t="inlineStr">
        <is>
          <t>Bugün / ne değişti / ne bozulacak / neden / ne yapmalıyım / güven</t>
        </is>
      </c>
      <c r="D13" s="204" t="inlineStr">
        <is>
          <t>Yönetici özeti ekranı</t>
        </is>
      </c>
      <c r="E13" s="204" t="inlineStr">
        <is>
          <t>KPI kutusu yığını</t>
        </is>
      </c>
      <c r="F13" s="224" t="inlineStr">
        <is>
          <t>HATA</t>
        </is>
      </c>
    </row>
    <row r="14">
      <c r="A14" s="223" t="inlineStr">
        <is>
          <t>Teklif</t>
        </is>
      </c>
      <c r="B14" s="204" t="inlineStr">
        <is>
          <t>Neden satın almalıyım?</t>
        </is>
      </c>
      <c r="C14" s="204" t="inlineStr">
        <is>
          <t>Dosya özellikleri yerine sonuç ve kaçınılan maliyet sunulur</t>
        </is>
      </c>
      <c r="D14" s="204" t="inlineStr">
        <is>
          <t>Ürün sayfası kanıt eşlemesi</t>
        </is>
      </c>
      <c r="E14" s="204" t="inlineStr">
        <is>
          <t>Özellik listesiyle satış</t>
        </is>
      </c>
      <c r="F14" s="224" t="inlineStr">
        <is>
          <t>HATA</t>
        </is>
      </c>
    </row>
    <row r="15">
      <c r="A15" s="223" t="inlineStr">
        <is>
          <t>Dağıtım</t>
        </is>
      </c>
      <c r="B15" s="204" t="inlineStr">
        <is>
          <t>Beni nasıl bulacaklar?</t>
        </is>
      </c>
      <c r="C15" s="204" t="inlineStr">
        <is>
          <t>Sorun niyetine göre SEO sayfaları, iç bağlantı, temiz yapı, taranabilir metin</t>
        </is>
      </c>
      <c r="D15" s="204" t="inlineStr">
        <is>
          <t>Arama niyeti haritası</t>
        </is>
      </c>
      <c r="E15" s="204" t="inlineStr">
        <is>
          <t>Tek ürün sayfasına bağımlılık</t>
        </is>
      </c>
      <c r="F15" s="224" t="inlineStr">
        <is>
          <t>UYARI</t>
        </is>
      </c>
    </row>
    <row r="16" ht="28" customHeight="1" s="50">
      <c r="A16" s="223" t="inlineStr">
        <is>
          <t>LLM görünürlüğü</t>
        </is>
      </c>
      <c r="B16" s="204" t="inlineStr">
        <is>
          <t>AI ürünümü anlayabiliyor mu?</t>
        </is>
      </c>
      <c r="C16" s="204" t="inlineStr">
        <is>
          <t>Ürün tanımı, hedef kullanıcı, girdi/çıktı, metodoloji, sınırlar, SSS açık metindir</t>
        </is>
      </c>
      <c r="D16" s="204" t="inlineStr">
        <is>
          <t>Taranabilir ürün içeriği</t>
        </is>
      </c>
      <c r="E16" s="204" t="inlineStr">
        <is>
          <t>'AI SEO' iddiası</t>
        </is>
      </c>
      <c r="F16" s="224" t="inlineStr">
        <is>
          <t>UYARI</t>
        </is>
      </c>
    </row>
    <row r="17">
      <c r="A17" s="223" t="inlineStr">
        <is>
          <t>Satış kanalı</t>
        </is>
      </c>
      <c r="B17" s="204" t="inlineStr">
        <is>
          <t>Nerede satılmalı?</t>
        </is>
      </c>
      <c r="C17" s="204" t="inlineStr">
        <is>
          <t>Arama, LinkedIn, uzman/partner, demo/video; ürüne göre kanal seçilir</t>
        </is>
      </c>
      <c r="D17" s="204" t="inlineStr">
        <is>
          <t>Kanal matrisi</t>
        </is>
      </c>
      <c r="E17" s="204" t="inlineStr">
        <is>
          <t>Her ürüne aynı kanal</t>
        </is>
      </c>
      <c r="F17" s="224" t="inlineStr">
        <is>
          <t>UYARI</t>
        </is>
      </c>
    </row>
    <row r="18">
      <c r="A18" s="223" t="inlineStr">
        <is>
          <t>Fiyat</t>
        </is>
      </c>
      <c r="B18" s="204" t="inlineStr">
        <is>
          <t>Bu fiyat neden mantıklı?</t>
        </is>
      </c>
      <c r="C18" s="204" t="inlineStr">
        <is>
          <t>Fiyat, ekonomik karar değerine ve kanıtlanmış ürün derinliğine bağlanır</t>
        </is>
      </c>
      <c r="D18" s="204" t="inlineStr">
        <is>
          <t>Değer haritası + demo</t>
        </is>
      </c>
      <c r="E18" s="204" t="inlineStr">
        <is>
          <t>Sırf sayfa/formül sayısı</t>
        </is>
      </c>
      <c r="F18" s="224" t="inlineStr">
        <is>
          <t>HATA</t>
        </is>
      </c>
    </row>
    <row r="19">
      <c r="A19" s="223" t="inlineStr">
        <is>
          <t>Pazar kanıtı</t>
        </is>
      </c>
      <c r="B19" s="204" t="inlineStr">
        <is>
          <t>Piyasa gerçekten ödüyor mu?</t>
        </is>
      </c>
      <c r="C19" s="204" t="inlineStr">
        <is>
          <t>Satış/pilot/LOI/fiyat kabulü olmadan pazar doğrulandı yazılmaz</t>
        </is>
      </c>
      <c r="D19" s="204" t="inlineStr">
        <is>
          <t>Gerçek işlem kanıtı</t>
        </is>
      </c>
      <c r="E19" s="204" t="inlineStr">
        <is>
          <t>Tahmini talep = satış kabulü</t>
        </is>
      </c>
      <c r="F19" s="224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 filterMode="0">
    <tabColor rgb="0064748B"/>
    <outlinePr summaryBelow="1" summaryRight="1"/>
    <pageSetUpPr fitToPage="0"/>
  </sheetPr>
  <dimension ref="A1:AC2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76" min="1" max="1"/>
    <col width="22" customWidth="1" style="76" min="2" max="7"/>
    <col width="13" customWidth="1" style="50" min="3" max="3"/>
    <col width="13" customWidth="1" style="50" min="4" max="4"/>
    <col width="13" customWidth="1" style="50" min="5" max="5"/>
    <col width="13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  <col width="13" customWidth="1" style="50" min="11" max="11"/>
  </cols>
  <sheetData>
    <row r="1" ht="32" customHeight="1" s="50">
      <c r="A1" s="455" t="inlineStr">
        <is>
          <t>KAPAK — BANKA, KREDİ VE TAKSİT TAKİP SİSTEMİ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  <c r="J1" s="434" t="n"/>
    </row>
    <row r="2"/>
    <row r="3"/>
    <row r="4"/>
    <row r="5"/>
    <row r="6" ht="31.5" customHeight="1" s="50">
      <c r="A6" s="78" t="inlineStr">
        <is>
          <t>BANKA, KREDİ VE TAKSİT TAKİP SİSTEMİ</t>
        </is>
      </c>
    </row>
    <row r="7" ht="32.25" customHeight="1" s="50">
      <c r="A7" s="79" t="inlineStr">
        <is>
          <t>Borç yükü, yaklaşan taksit ve refinansman ihtiyacını tek ekranda yönetin.</t>
        </is>
      </c>
    </row>
    <row r="8"/>
    <row r="9" ht="15" customHeight="1" s="50">
      <c r="A9" s="80" t="inlineStr">
        <is>
          <t>Bu ürün kimin için?</t>
        </is>
      </c>
    </row>
    <row r="10" ht="27.75" customHeight="1" s="50">
      <c r="A10" s="81" t="inlineStr">
        <is>
          <t>KOBİ sahipleri, finans yöneticileri, muhasebe ekipleri ve finans danışmanları.</t>
        </is>
      </c>
    </row>
    <row r="11"/>
    <row r="12" ht="15" customHeight="1" s="50">
      <c r="A12" s="80" t="inlineStr">
        <is>
          <t>Bu ürün neyi çözer?</t>
        </is>
      </c>
    </row>
    <row r="13" ht="54.75" customHeight="1" s="50">
      <c r="A13" s="81" t="inlineStr">
        <is>
          <t>Banka limitlerini, kredi portföyünü, taksit ödeme baskısını ve refinansman fırsatlarını tek doğruluk kaynağında izler; borç yapısı sürdürülemez olduğunda uyarı ve aksiyon üretir.</t>
        </is>
      </c>
    </row>
    <row r="14"/>
    <row r="15" ht="15" customHeight="1" s="50">
      <c r="A15" s="80" t="inlineStr">
        <is>
          <t>Kullanıcıya ne kazandırır?</t>
        </is>
      </c>
    </row>
    <row r="16" ht="27.75" customHeight="1" s="50">
      <c r="A16" s="81" t="inlineStr">
        <is>
          <t>• Borcun toplam büyüklüğünü ve ağırlıklı maliyetini anında görürsünüz.</t>
        </is>
      </c>
    </row>
    <row r="17" ht="27.75" customHeight="1" s="50">
      <c r="A17" s="81" t="inlineStr">
        <is>
          <t>• 30 / 60 / 90 gün içinde ödenmesi gereken taksitleri önceden bilirsiniz.</t>
        </is>
      </c>
    </row>
    <row r="18" ht="27.75" customHeight="1" s="50">
      <c r="A18" s="81" t="inlineStr">
        <is>
          <t>• Refinansman tekliflerini taksit ve toplam maliyet üzerinden karşılaştırırsınız.</t>
        </is>
      </c>
    </row>
    <row r="19"/>
    <row r="20" ht="15" customHeight="1" s="50">
      <c r="A20" s="80" t="inlineStr">
        <is>
          <t>Nasıl başlanır?</t>
        </is>
      </c>
    </row>
    <row r="21" ht="54.75" customHeight="1" s="50">
      <c r="A21" s="81" t="inlineStr">
        <is>
          <t>1. AYARLAR sayfasında firma bilgileri ve eşikleri girin. 2. BANKALAR, LIMITLER ve KREDILER verilerini girin. 3. KARAR_MOTORU ve PANO çıktısını inceleyin.</t>
        </is>
      </c>
    </row>
    <row r="22"/>
    <row r="23" ht="15" customHeight="1" s="50">
      <c r="A23" s="82" t="inlineStr">
        <is>
          <t>ExcelArşiv — Sürüm 1.0 | Tek kullanıcılı ticari lisans.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tabColor rgb="0064748B"/>
    <outlinePr summaryBelow="1" summaryRight="1"/>
    <pageSetUpPr fitToPage="0"/>
  </sheetPr>
  <dimension ref="A1:BH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5.5" customWidth="1" style="76" min="1" max="1"/>
    <col width="13" customWidth="1" style="50" min="2" max="2"/>
    <col width="13" customWidth="1" style="50" min="3" max="3"/>
    <col width="13" customWidth="1" style="50" min="4" max="4"/>
    <col width="13" customWidth="1" style="50" min="5" max="5"/>
    <col width="13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32" customHeight="1" s="50">
      <c r="A1" s="455" t="inlineStr">
        <is>
          <t>HIZLI BASLANGIC — BANKA, KREDİ VE TAKSİT TAKİP SİSTEMİ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</row>
    <row r="2"/>
    <row r="3" ht="22" customHeight="1" s="50">
      <c r="A3" s="442" t="inlineStr">
        <is>
          <t>3 ADIMDA SİSTEM</t>
        </is>
      </c>
    </row>
    <row r="4"/>
    <row r="5" ht="15" customHeight="1" s="50">
      <c r="A5" s="84" t="inlineStr">
        <is>
          <t>ADIM 1 — AYARLAR</t>
        </is>
      </c>
    </row>
    <row r="6" ht="33.75" customHeight="1" s="50">
      <c r="A6" s="81" t="inlineStr">
        <is>
          <t>Firma unvanı, rapor tarihi, serbest nakit, aylık faaliyet nakdi ve risk eşiklerini girin. Tüm eşikler tek yerden yönetilir; formüllere sabit sayı gömülmez.</t>
        </is>
      </c>
    </row>
    <row r="7"/>
    <row r="8" ht="15" customHeight="1" s="50">
      <c r="A8" s="84" t="inlineStr">
        <is>
          <t>ADIM 2 — GİRİŞ VERİLERİ</t>
        </is>
      </c>
    </row>
    <row r="9" ht="33.75" customHeight="1" s="50">
      <c r="A9" s="81" t="inlineStr">
        <is>
          <t>BANKALAR, LIMITLER ve KREDILER sayfalarına banka ilişkilerini, limitleri ve kredi portföyünü girin. TAKSIT_PLANI'na dönem bazında ödeme planını işleyin; MASRAF_KOMISYON, TEMINATLAR ve YENI_TEKLIFLER alanlarını tamamlayın.</t>
        </is>
      </c>
    </row>
    <row r="10"/>
    <row r="11" ht="15" customHeight="1" s="50">
      <c r="A11" s="84" t="inlineStr">
        <is>
          <t>ADIM 3 — KARAR VE RAPOR</t>
        </is>
      </c>
    </row>
    <row r="12" ht="33.75" customHeight="1" s="50">
      <c r="A12" s="81" t="inlineStr">
        <is>
          <t>KONTROLLER veri kalitesini, KARAR_MOTORU borç yükü ve likidite kararını üretir; PANO tek ekranda özeti gösterir; RAPOR sayfası yönetim sunumuna hazırdır.</t>
        </is>
      </c>
    </row>
    <row r="13"/>
    <row r="14"/>
    <row r="15"/>
    <row r="16" ht="15" customHeight="1" s="50">
      <c r="A16" s="82" t="inlineStr">
        <is>
          <t>Renk kodu: Açık sarı = manuel giriş | Yeşil yazı = hesaplanan değer | Kırmızı = risk.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A12:BH12"/>
    <mergeCell ref="A1:I1"/>
    <mergeCell ref="A3:I3"/>
    <mergeCell ref="A6:BH6"/>
    <mergeCell ref="A9:BH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tabColor rgb="0064748B"/>
    <outlinePr summaryBelow="1" summaryRight="1"/>
    <pageSetUpPr fitToPage="0"/>
  </sheetPr>
  <dimension ref="A1:AC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76" min="1" max="1"/>
    <col width="40.5" customWidth="1" style="76" min="2" max="2"/>
    <col width="44.5" customWidth="1" style="76" min="3" max="3"/>
    <col width="13" customWidth="1" style="50" min="4" max="4"/>
    <col width="13" customWidth="1" style="50" min="5" max="5"/>
    <col width="13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32" customHeight="1" s="50">
      <c r="A1" s="455" t="inlineStr">
        <is>
          <t>ORNEK VERI — BANKA, KREDİ VE TAKSİT TAKİP SİSTEMİ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</row>
    <row r="2" ht="7.8" customHeight="1" s="50"/>
    <row r="3" ht="22" customHeight="1" s="50">
      <c r="A3" s="456" t="inlineStr">
        <is>
          <t>ÖRNEK VERİ — otomasyon ve içe aktarma için yapı</t>
        </is>
      </c>
    </row>
    <row r="4" ht="10" customHeight="1" s="50"/>
    <row r="5" ht="30" customHeight="1" s="50">
      <c r="A5" s="86" t="inlineStr">
        <is>
          <t>Örnek Alan</t>
        </is>
      </c>
      <c r="B5" s="86" t="inlineStr">
        <is>
          <t>Değer</t>
        </is>
      </c>
      <c r="C5" s="86" t="inlineStr">
        <is>
          <t>Beklenen Etki</t>
        </is>
      </c>
    </row>
    <row r="6" ht="15" customHeight="1" s="50">
      <c r="A6" s="115" t="inlineStr">
        <is>
          <t>Firma</t>
        </is>
      </c>
      <c r="B6" s="115" t="inlineStr">
        <is>
          <t>Örnek Anadolu Üretim ve Ticaret A.Ş.</t>
        </is>
      </c>
      <c r="C6" s="115" t="inlineStr">
        <is>
          <t>Orta ölçekli üretim KOBİ'si</t>
        </is>
      </c>
    </row>
    <row r="7" ht="15" customHeight="1" s="50">
      <c r="A7" s="115" t="inlineStr">
        <is>
          <t>Normal Durum</t>
        </is>
      </c>
      <c r="B7" s="115" t="inlineStr">
        <is>
          <t>KRD-001 düzenli ödeme</t>
        </is>
      </c>
      <c r="C7" s="115" t="inlineStr">
        <is>
          <t>Standart borç servisi</t>
        </is>
      </c>
    </row>
    <row r="8" ht="15" customHeight="1" s="50">
      <c r="A8" s="115" t="inlineStr">
        <is>
          <t>Kritik Durum</t>
        </is>
      </c>
      <c r="B8" s="115" t="inlineStr">
        <is>
          <t>KRD-002 gecikmiş taksit</t>
        </is>
      </c>
      <c r="C8" s="115" t="inlineStr">
        <is>
          <t>Kritik ödeme aksiyonu</t>
        </is>
      </c>
    </row>
    <row r="9" ht="15" customHeight="1" s="50">
      <c r="A9" s="115" t="inlineStr">
        <is>
          <t>Kur Riski</t>
        </is>
      </c>
      <c r="B9" s="115" t="inlineStr">
        <is>
          <t>KRD-003 USD borcu</t>
        </is>
      </c>
      <c r="C9" s="115" t="inlineStr">
        <is>
          <t>Döviz geliri yetersizse uyarı</t>
        </is>
      </c>
    </row>
    <row r="10" ht="15" customHeight="1" s="50">
      <c r="A10" s="115" t="inlineStr">
        <is>
          <t>Balon Riski</t>
        </is>
      </c>
      <c r="B10" s="115" t="inlineStr">
        <is>
          <t>KRD-004 yıl sonu ödeme</t>
        </is>
      </c>
      <c r="C10" s="115" t="inlineStr">
        <is>
          <t>Nakit rezerv planı</t>
        </is>
      </c>
    </row>
    <row r="11" ht="15" customHeight="1" s="50">
      <c r="A11" s="115" t="inlineStr">
        <is>
          <t>Refinansman</t>
        </is>
      </c>
      <c r="B11" s="115" t="inlineStr">
        <is>
          <t>Yeni teklifler</t>
        </is>
      </c>
      <c r="C11" s="115" t="inlineStr">
        <is>
          <t>Toplam maliyet ve taksit karşılaştırması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tabColor rgb="0064748B"/>
    <outlinePr summaryBelow="1" summaryRight="1"/>
    <pageSetUpPr fitToPage="0"/>
  </sheetPr>
  <dimension ref="A1:AC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1.5" customWidth="1" style="76" min="1" max="1"/>
    <col width="20" customWidth="1" style="76" min="2" max="2"/>
    <col width="18" customWidth="1" style="76" min="3" max="3"/>
    <col width="13" customWidth="1" style="50" min="4" max="4"/>
    <col width="13" customWidth="1" style="50" min="5" max="5"/>
    <col width="13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32" customHeight="1" s="50">
      <c r="A1" s="455" t="inlineStr">
        <is>
          <t>TESTLER — BANKA, KREDİ VE TAKSİT TAKİP SİSTEMİ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</row>
    <row r="2" ht="7.8" customHeight="1" s="50"/>
    <row r="3" ht="22" customHeight="1" s="50">
      <c r="A3" s="456" t="inlineStr">
        <is>
          <t>SİSTEM TESTLERİ VE DENETİM KAYDI</t>
        </is>
      </c>
    </row>
    <row r="4" ht="10" customHeight="1" s="50"/>
    <row r="5" ht="30" customHeight="1" s="50">
      <c r="A5" s="86" t="inlineStr">
        <is>
          <t>Test</t>
        </is>
      </c>
      <c r="B5" s="86" t="inlineStr">
        <is>
          <t>Canlı Değer</t>
        </is>
      </c>
      <c r="C5" s="86" t="inlineStr">
        <is>
          <t>Durum</t>
        </is>
      </c>
    </row>
    <row r="6" ht="15" customHeight="1" s="50">
      <c r="A6" s="81" t="inlineStr">
        <is>
          <t>Toplam Finansal Borç</t>
        </is>
      </c>
      <c r="B6" s="92">
        <f>KARAR_MOTORU!$B$5</f>
        <v/>
      </c>
      <c r="C6" s="89">
        <f>IF(B6="","EKSİK","KONTROL EDİLDİ")</f>
        <v/>
      </c>
    </row>
    <row r="7" ht="15" customHeight="1" s="50">
      <c r="A7" s="81" t="inlineStr">
        <is>
          <t>30 Günlük Ödeme Yükü</t>
        </is>
      </c>
      <c r="B7" s="92">
        <f>KARAR_MOTORU!$B$7</f>
        <v/>
      </c>
      <c r="C7" s="89">
        <f>IF(B7="","EKSİK","KONTROL EDİLDİ")</f>
        <v/>
      </c>
    </row>
    <row r="8" ht="15" customHeight="1" s="50">
      <c r="A8" s="81" t="inlineStr">
        <is>
          <t>Ağırlıklı Maliyet</t>
        </is>
      </c>
      <c r="B8" s="93">
        <f>KARAR_MOTORU!$B$9</f>
        <v/>
      </c>
      <c r="C8" s="89">
        <f>IF(B8="","EKSİK","KONTROL EDİLDİ")</f>
        <v/>
      </c>
    </row>
    <row r="9" ht="15" customHeight="1" s="50">
      <c r="A9" s="81" t="inlineStr">
        <is>
          <t>Veri Kalite Skoru</t>
        </is>
      </c>
      <c r="B9" s="97">
        <f>KONTROLLER!$B$6</f>
        <v/>
      </c>
      <c r="C9" s="89">
        <f>IF(B9="","EKSİK","KONTROL EDİLDİ")</f>
        <v/>
      </c>
    </row>
    <row r="10" ht="15" customHeight="1" s="50">
      <c r="A10" s="81" t="inlineStr">
        <is>
          <t>Karar Bildirimi</t>
        </is>
      </c>
      <c r="B10" s="89">
        <f>KARAR_MOTORU!$B$15</f>
        <v/>
      </c>
      <c r="C10" s="89">
        <f>IF(B10="","EKSİK","KONTROL EDİLDİ")</f>
        <v/>
      </c>
    </row>
    <row r="11" ht="15" customHeight="1" s="50">
      <c r="A11" s="81" t="inlineStr">
        <is>
          <t>Risk Seviyesi</t>
        </is>
      </c>
      <c r="B11" s="89">
        <f>KARAR_MOTORU!$B$16</f>
        <v/>
      </c>
      <c r="C11" s="89">
        <f>IF(B11="","EKSİK","KONTROL EDİLDİ")</f>
        <v/>
      </c>
    </row>
    <row r="12" ht="15" customHeight="1" s="50">
      <c r="A12" s="81" t="inlineStr">
        <is>
          <t>Refinansman Aday Sayısı</t>
        </is>
      </c>
      <c r="B12" s="97">
        <f>KARAR_MOTORU!$B$18</f>
        <v/>
      </c>
      <c r="C12" s="89">
        <f>IF(B12="","EKSİK","KONTROL EDİLDİ")</f>
        <v/>
      </c>
    </row>
    <row r="13"/>
    <row r="14"/>
    <row r="15"/>
    <row r="16" ht="24.75" customHeight="1" s="50">
      <c r="A16" s="82" t="inlineStr">
        <is>
          <t>Testler, excel_uretim/denetci.py ve test_banka_kredi.py ile otomatik çalışır.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tabColor rgb="0064748B"/>
    <outlinePr summaryBelow="1" summaryRight="1"/>
    <pageSetUpPr fitToPage="0"/>
  </sheetPr>
  <dimension ref="A1:AC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.5" customWidth="1" style="76" min="1" max="1"/>
    <col width="16" customWidth="1" style="76" min="2" max="2"/>
    <col width="14" customWidth="1" style="76" min="3" max="4"/>
    <col width="13" customWidth="1" style="50" min="4" max="4"/>
    <col width="10" customWidth="1" style="76" min="5" max="5"/>
    <col width="16.5" customWidth="1" style="76" min="6" max="6"/>
    <col width="40.5" customWidth="1" style="76" min="7" max="7"/>
    <col width="13" customWidth="1" style="50" min="8" max="8"/>
    <col width="13" customWidth="1" style="50" min="9" max="9"/>
    <col width="13" customWidth="1" style="50" min="10" max="10"/>
  </cols>
  <sheetData>
    <row r="1" ht="32" customHeight="1" s="50">
      <c r="A1" s="455" t="inlineStr">
        <is>
          <t>AKIS — BankaKrediVeTaksitTakipSistemi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</row>
    <row r="2"/>
    <row r="3" ht="22" customHeight="1" s="50">
      <c r="A3" s="442" t="inlineStr">
        <is>
          <t>islem_id</t>
        </is>
      </c>
    </row>
    <row r="4" ht="15" customHeight="1" s="50">
      <c r="A4" s="76" t="inlineStr">
        <is>
          <t>I-001</t>
        </is>
      </c>
      <c r="B4" s="76" t="inlineStr">
        <is>
          <t>KART-01</t>
        </is>
      </c>
      <c r="C4" s="76" t="inlineStr">
        <is>
          <t>ACIK</t>
        </is>
      </c>
      <c r="D4" s="76" t="inlineStr">
        <is>
          <t>ISLEMDE</t>
        </is>
      </c>
      <c r="E4" s="119" t="n">
        <v>1000</v>
      </c>
      <c r="F4" s="76" t="inlineStr">
        <is>
          <t>OK</t>
        </is>
      </c>
      <c r="G4" s="76" t="inlineStr">
        <is>
          <t>normal geçiş</t>
        </is>
      </c>
    </row>
    <row r="5" ht="15" customHeight="1" s="50">
      <c r="A5" s="76" t="inlineStr">
        <is>
          <t>I-002</t>
        </is>
      </c>
      <c r="B5" s="76" t="inlineStr">
        <is>
          <t>YETİM</t>
        </is>
      </c>
      <c r="C5" s="76" t="inlineStr">
        <is>
          <t>ACIK</t>
        </is>
      </c>
      <c r="D5" s="76" t="inlineStr">
        <is>
          <t>KAPALI</t>
        </is>
      </c>
      <c r="E5" s="119" t="n">
        <v>0</v>
      </c>
      <c r="F5" s="76" t="inlineStr">
        <is>
          <t>YETİM</t>
        </is>
      </c>
      <c r="G5" s="76" t="inlineStr">
        <is>
          <t>kaynak_kart_id yok — yetim kayıt</t>
        </is>
      </c>
    </row>
    <row r="6" ht="15" customHeight="1" s="50">
      <c r="A6" s="76" t="inlineStr">
        <is>
          <t>I-003</t>
        </is>
      </c>
      <c r="B6" s="76" t="inlineStr">
        <is>
          <t>KART-02</t>
        </is>
      </c>
      <c r="C6" s="76" t="inlineStr">
        <is>
          <t>ACIK</t>
        </is>
      </c>
      <c r="D6" s="76" t="inlineStr">
        <is>
          <t>KAPALI</t>
        </is>
      </c>
      <c r="E6" s="119" t="n">
        <v>500</v>
      </c>
      <c r="F6" s="76" t="inlineStr">
        <is>
          <t>GECERSIZ</t>
        </is>
      </c>
      <c r="G6" s="76" t="inlineStr">
        <is>
          <t>geçersiz durum geçişi</t>
        </is>
      </c>
    </row>
    <row r="7" ht="15" customHeight="1" s="50">
      <c r="A7" s="76" t="inlineStr">
        <is>
          <t>I-004</t>
        </is>
      </c>
      <c r="B7" s="76" t="inlineStr">
        <is>
          <t>KART-03</t>
        </is>
      </c>
      <c r="C7" s="76" t="inlineStr">
        <is>
          <t>ISLEMDE</t>
        </is>
      </c>
      <c r="D7" s="76" t="inlineStr">
        <is>
          <t>ISLEMDE</t>
        </is>
      </c>
      <c r="E7" s="119" t="n">
        <v>250</v>
      </c>
      <c r="F7" s="76" t="inlineStr">
        <is>
          <t>ZINCIR_KIRIK</t>
        </is>
      </c>
      <c r="G7" s="76" t="inlineStr">
        <is>
          <t>ZİNCİR KIRIK — tutar zinciri sapması</t>
        </is>
      </c>
    </row>
    <row r="8"/>
    <row r="9" ht="15" customHeight="1" s="50">
      <c r="A9" s="76" t="inlineStr">
        <is>
          <t>kuyruk_kanit</t>
        </is>
      </c>
      <c r="B9" s="76">
        <f>IFERROR(COUNTIF($F$4:$F$1000,"OK"),0)</f>
        <v/>
      </c>
      <c r="C9" s="76" t="n"/>
      <c r="D9" s="76" t="n"/>
      <c r="E9" s="76" t="n"/>
      <c r="F9" s="76" t="n"/>
      <c r="G9" s="7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mergeCells count="2">
    <mergeCell ref="A1:I1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tabColor rgb="0064748B"/>
    <outlinePr summaryBelow="1" summaryRight="1"/>
    <pageSetUpPr fitToPage="0"/>
  </sheetPr>
  <dimension ref="A1:AC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76" min="1" max="1"/>
    <col width="14.5" customWidth="1" style="76" min="2" max="2"/>
    <col width="98.5" customWidth="1" style="76" min="3" max="3"/>
    <col width="13" customWidth="1" style="50" min="4" max="4"/>
    <col width="13" customWidth="1" style="50" min="5" max="5"/>
    <col width="13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32" customHeight="1" s="50">
      <c r="A1" s="455" t="inlineStr">
        <is>
          <t>DEGISIKLIK KAYDI — BANKA, KREDİ VE TAKSİT TAKİP SİSTEMİ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</row>
    <row r="2" ht="7.8" customHeight="1" s="50"/>
    <row r="3" ht="22" customHeight="1" s="50">
      <c r="A3" s="456" t="inlineStr">
        <is>
          <t>DEĞİŞİKLİK KAYDI</t>
        </is>
      </c>
    </row>
    <row r="4" ht="10" customHeight="1" s="50"/>
    <row r="5" ht="30" customHeight="1" s="50">
      <c r="A5" s="86" t="inlineStr">
        <is>
          <t>Sürüm</t>
        </is>
      </c>
      <c r="B5" s="86" t="inlineStr">
        <is>
          <t>Tarih</t>
        </is>
      </c>
      <c r="C5" s="86" t="inlineStr">
        <is>
          <t>Açıklama</t>
        </is>
      </c>
    </row>
    <row r="6" ht="15" customHeight="1" s="50">
      <c r="A6" s="120" t="inlineStr">
        <is>
          <t>1.0</t>
        </is>
      </c>
      <c r="B6" s="120" t="inlineStr">
        <is>
          <t>08.08.2026</t>
        </is>
      </c>
      <c r="C6" s="115" t="inlineStr">
        <is>
          <t>İlk sürüm: banka limitleri, kredi portföyü, taksit planı, refinansman analizi ve karar motoru.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2026-08-10T01:12:06Z</dcterms:created>
  <dcterms:modified xmlns:dcterms="http://purl.org/dc/terms/" xmlns:xsi="http://www.w3.org/2001/XMLSchema-instance" xsi:type="dcterms:W3CDTF">2026-09-25T20:45:35Z</dcterms:modified>
  <cp:revision>0</cp:revision>
</cp:coreProperties>
</file>