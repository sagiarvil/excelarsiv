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BANKALAR" sheetId="4" state="visible" r:id="rId4"/>
    <sheet xmlns:r="http://schemas.openxmlformats.org/officeDocument/2006/relationships" name="LIMITLER" sheetId="5" state="visible" r:id="rId5"/>
    <sheet xmlns:r="http://schemas.openxmlformats.org/officeDocument/2006/relationships" name="KREDILER" sheetId="6" state="visible" r:id="rId6"/>
    <sheet xmlns:r="http://schemas.openxmlformats.org/officeDocument/2006/relationships" name="TAKSIT_PLANI" sheetId="7" state="visible" r:id="rId7"/>
    <sheet xmlns:r="http://schemas.openxmlformats.org/officeDocument/2006/relationships" name="ODEME_TAKVIMI" sheetId="8" state="visible" r:id="rId8"/>
    <sheet xmlns:r="http://schemas.openxmlformats.org/officeDocument/2006/relationships" name="MASRAF_KOMISYON" sheetId="9" state="visible" r:id="rId9"/>
    <sheet xmlns:r="http://schemas.openxmlformats.org/officeDocument/2006/relationships" name="TEMINATLAR" sheetId="10" state="visible" r:id="rId10"/>
    <sheet xmlns:r="http://schemas.openxmlformats.org/officeDocument/2006/relationships" name="YENI_TEKLIFLER" sheetId="11" state="visible" r:id="rId11"/>
    <sheet xmlns:r="http://schemas.openxmlformats.org/officeDocument/2006/relationships" name="REFINANSMAN" sheetId="12" state="visible" r:id="rId12"/>
    <sheet xmlns:r="http://schemas.openxmlformats.org/officeDocument/2006/relationships" name="YÖNETİM_RAPORU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KARAR_MOTORU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00_BASLANGIC" sheetId="21" state="visible" r:id="rId21"/>
    <sheet xmlns:r="http://schemas.openxmlformats.org/officeDocument/2006/relationships" name="01_YURUTME_CEKIRDEGI" sheetId="22" state="visible" r:id="rId22"/>
    <sheet xmlns:r="http://schemas.openxmlformats.org/officeDocument/2006/relationships" name="02_KONTROL_LISTESI" sheetId="23" state="visible" r:id="rId23"/>
    <sheet xmlns:r="http://schemas.openxmlformats.org/officeDocument/2006/relationships" name="03_GORSEL_TASARIM" sheetId="24" state="visible" r:id="rId24"/>
    <sheet xmlns:r="http://schemas.openxmlformats.org/officeDocument/2006/relationships" name="04_MUHASEBE_THP" sheetId="25" state="visible" r:id="rId25"/>
    <sheet xmlns:r="http://schemas.openxmlformats.org/officeDocument/2006/relationships" name="05_KARAR_SATIS" sheetId="26" state="visible" r:id="rId26"/>
    <sheet xmlns:r="http://schemas.openxmlformats.org/officeDocument/2006/relationships" name="KAPAK" sheetId="27" state="visible" r:id="rId27"/>
    <sheet xmlns:r="http://schemas.openxmlformats.org/officeDocument/2006/relationships" name="HIZLI_BASLANGIC" sheetId="28" state="visible" r:id="rId28"/>
    <sheet xmlns:r="http://schemas.openxmlformats.org/officeDocument/2006/relationships" name="ORNEK_VERI" sheetId="29" state="visible" r:id="rId29"/>
    <sheet xmlns:r="http://schemas.openxmlformats.org/officeDocument/2006/relationships" name="TESTLER" sheetId="30" state="visible" r:id="rId30"/>
    <sheet xmlns:r="http://schemas.openxmlformats.org/officeDocument/2006/relationships" name="AKIS" sheetId="31" state="visible" r:id="rId31"/>
    <sheet xmlns:r="http://schemas.openxmlformats.org/officeDocument/2006/relationships" name="DEGISIKLIK_KAYDI" sheetId="32" state="visible" r:id="rId32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3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</fonts>
  <fills count="37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</fills>
  <borders count="4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2.xml.rels><Relationships xmlns="http://schemas.openxmlformats.org/package/2006/relationships"><Relationship Type="http://schemas.openxmlformats.org/officeDocument/2006/relationships/hyperlink" Target="#REFINANSMAN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3.7" customWidth="1" style="50" min="2" max="2"/>
    <col width="10.4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353" t="inlineStr">
        <is>
          <t>Banka, Kredi ve Taksit Takip Sistemi — C-Level Borç Portföyü ve Likidite Karar Kokpiti</t>
        </is>
      </c>
    </row>
    <row r="5" ht="17.4" customHeight="1" s="50">
      <c r="B5" s="354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EĞİTİM VİDEOSU</t>
        </is>
      </c>
      <c r="D7" s="357" t="n"/>
      <c r="E7" s="357" t="n"/>
      <c r="F7" s="355" t="n"/>
      <c r="H7" s="355" t="n"/>
      <c r="I7" s="356" t="inlineStr">
        <is>
          <t>KULLANICI KILAVUZU</t>
        </is>
      </c>
      <c r="J7" s="357" t="n"/>
      <c r="K7" s="357" t="n"/>
      <c r="L7" s="355" t="n"/>
      <c r="N7" s="355" t="n"/>
      <c r="O7" s="356" t="inlineStr">
        <is>
          <t>EXCEL ARŞİV HİZMETLERİ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Bu şablonun nasıl kullanıldığını videolu ve detaylı bir şekilde öğrenmek için aşağıdaki düğmeye tıklayabilirsiniz.</t>
        </is>
      </c>
      <c r="F9" s="355" t="n"/>
      <c r="H9" s="355" t="n"/>
      <c r="I9" s="358" t="inlineStr">
        <is>
          <t>Excel Şablonlarımızı nasıl kullanmanız gerektiğini öğrenmek için buraya tıklayarak Kullanıcı Kılavuzunu indirebilirsiniz.</t>
        </is>
      </c>
      <c r="L9" s="355" t="n"/>
      <c r="N9" s="355" t="n"/>
      <c r="O9" s="358" t="inlineStr">
        <is>
          <t>EXCELARŞİV olarak finansal modelleme, kurumsal danışmanlık ve karar destek sistemleri sunmaktayız. Daha fazlası için tıklayınız.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▶ KULLANIM VİDEOSUNU İZLE</t>
        </is>
      </c>
      <c r="D14" s="360" t="n"/>
      <c r="E14" s="360" t="n"/>
      <c r="F14" s="355" t="n"/>
      <c r="H14" s="355" t="n"/>
      <c r="I14" s="359" t="inlineStr">
        <is>
          <t>📥 KULLANICI KILAVUZUNU İNDİR</t>
        </is>
      </c>
      <c r="J14" s="360" t="n"/>
      <c r="K14" s="360" t="n"/>
      <c r="L14" s="355" t="n"/>
      <c r="N14" s="355" t="n"/>
      <c r="O14" s="359" t="inlineStr">
        <is>
          <t>🌐 WEB SİTEMİZİ ZİYARET EDİN</t>
        </is>
      </c>
      <c r="P14" s="360" t="n"/>
      <c r="Q14" s="36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362" t="inlineStr">
        <is>
          <t>AŞAMA NO</t>
        </is>
      </c>
      <c r="C21" s="362" t="inlineStr">
        <is>
          <t>AŞAMA ADI &amp; KAPSAM</t>
        </is>
      </c>
      <c r="D21" s="362" t="inlineStr">
        <is>
          <t>İŞLEM DETAYI VE MANTIK</t>
        </is>
      </c>
      <c r="E21" s="362" t="inlineStr">
        <is>
          <t>KULLANILAN SAYFALAR</t>
        </is>
      </c>
      <c r="F21" s="362" t="inlineStr">
        <is>
          <t>DOĞRUDAN ERİŞİM BUTONU</t>
        </is>
      </c>
    </row>
    <row r="22" ht="36" customHeight="1" s="50">
      <c r="B22" s="363" t="inlineStr">
        <is>
          <t>AŞAMA 1</t>
        </is>
      </c>
      <c r="C22" s="341" t="inlineStr">
        <is>
          <t>SİSTEM KURULUMU &amp; PARAMETRELER</t>
        </is>
      </c>
      <c r="D22" s="364" t="inlineStr">
        <is>
          <t>Şirket unvanı, raporlama tarihi, serbest nakit ve risk toleranslarını AYARLAR sekmesinden tanımlayın.</t>
        </is>
      </c>
      <c r="E22" s="365" t="n"/>
      <c r="F22" s="365" t="n"/>
      <c r="G22" s="365" t="n"/>
      <c r="H22" s="365" t="n"/>
      <c r="I22" s="365" t="n"/>
      <c r="J22" s="365" t="n"/>
      <c r="K22" s="365" t="n"/>
      <c r="L22" s="365" t="n"/>
      <c r="M22" s="365" t="n"/>
      <c r="N22" s="343" t="inlineStr">
        <is>
          <t>AYARLAR, LISTELER</t>
        </is>
      </c>
      <c r="O22" s="365" t="n"/>
      <c r="P22" s="344" t="inlineStr">
        <is>
          <t>⚙ AYARLAR (#AYARLAR!A1)</t>
        </is>
      </c>
      <c r="Q22" s="303" t="n"/>
      <c r="R22" s="303" t="n"/>
    </row>
    <row r="23" ht="36" customHeight="1" s="50">
      <c r="B23" s="366" t="inlineStr">
        <is>
          <t>AŞAMA 2</t>
        </is>
      </c>
      <c r="C23" s="346" t="inlineStr">
        <is>
          <t>STRATEJİK KOKPİT &amp; İZLEME</t>
        </is>
      </c>
      <c r="D23" s="367" t="inlineStr">
        <is>
          <t>Kredi portföy büyüklüğü, 30 günlük ödeme baskısı ve likidite erken uyarı radarını tek ekrandan izleyin.</t>
        </is>
      </c>
      <c r="E23" s="368" t="n"/>
      <c r="F23" s="368" t="n"/>
      <c r="G23" s="368" t="n"/>
      <c r="H23" s="368" t="n"/>
      <c r="I23" s="368" t="n"/>
      <c r="J23" s="368" t="n"/>
      <c r="K23" s="368" t="n"/>
      <c r="L23" s="368" t="n"/>
      <c r="M23" s="368" t="n"/>
      <c r="N23" s="348" t="inlineStr">
        <is>
          <t>PANO</t>
        </is>
      </c>
      <c r="O23" s="368" t="n"/>
      <c r="P23" s="344" t="inlineStr">
        <is>
          <t>▶ PANO KOKPİTİ (#PANO!A1)</t>
        </is>
      </c>
      <c r="Q23" s="303" t="n"/>
      <c r="R23" s="303" t="n"/>
    </row>
    <row r="24" ht="36" customHeight="1" s="50">
      <c r="B24" s="363" t="inlineStr">
        <is>
          <t>AŞAMA 3</t>
        </is>
      </c>
      <c r="C24" s="341" t="inlineStr">
        <is>
          <t>PORTFÖY VE TAKSİT GİRİŞİ</t>
        </is>
      </c>
      <c r="D24" s="364" t="inlineStr">
        <is>
          <t>Banka limitlerini, çekilen kredileri ve sözleşme amortisman takvimlerini ilgili sayfalara girin.</t>
        </is>
      </c>
      <c r="E24" s="365" t="n"/>
      <c r="F24" s="365" t="n"/>
      <c r="G24" s="365" t="n"/>
      <c r="H24" s="365" t="n"/>
      <c r="I24" s="365" t="n"/>
      <c r="J24" s="365" t="n"/>
      <c r="K24" s="365" t="n"/>
      <c r="L24" s="365" t="n"/>
      <c r="M24" s="365" t="n"/>
      <c r="N24" s="343" t="inlineStr">
        <is>
          <t>GİRDİLER, KREDILER, TAKSIT_PLANI</t>
        </is>
      </c>
      <c r="O24" s="365" t="n"/>
      <c r="P24" s="344" t="inlineStr">
        <is>
          <t>📋 GİRİŞLERİ DÜZENLE (#GİRDİLER!A1)</t>
        </is>
      </c>
      <c r="Q24" s="303" t="n"/>
      <c r="R24" s="303" t="n"/>
    </row>
    <row r="25" ht="36" customHeight="1" s="50">
      <c r="B25" s="366" t="inlineStr">
        <is>
          <t>AŞAMA 4</t>
        </is>
      </c>
      <c r="C25" s="346" t="inlineStr">
        <is>
          <t>REFİNANSMAN VE STRES TESTİ</t>
        </is>
      </c>
      <c r="D25" s="367" t="inlineStr">
        <is>
          <t>Krediyi başka bankaya taşıma durumunda net faiz kârını hesaplayın. -%20 nakit daralması stres testini inceleyin.</t>
        </is>
      </c>
      <c r="E25" s="368" t="n"/>
      <c r="F25" s="368" t="n"/>
      <c r="G25" s="368" t="n"/>
      <c r="H25" s="368" t="n"/>
      <c r="I25" s="368" t="n"/>
      <c r="J25" s="368" t="n"/>
      <c r="K25" s="368" t="n"/>
      <c r="L25" s="368" t="n"/>
      <c r="M25" s="368" t="n"/>
      <c r="N25" s="348" t="inlineStr">
        <is>
          <t>REFINANSMAN, YÖNETİM_RAPORU</t>
        </is>
      </c>
      <c r="O25" s="368" t="n"/>
      <c r="P25" s="344" t="inlineStr">
        <is>
          <t>📊 STRES TESTİ (#YÖNETİM_RAPORU!A1)</t>
        </is>
      </c>
      <c r="Q25" s="303" t="n"/>
      <c r="R25" s="303" t="n"/>
    </row>
    <row r="26" ht="36" customHeight="1" s="50">
      <c r="B26" s="363" t="inlineStr">
        <is>
          <t>AŞAMA 5</t>
        </is>
      </c>
      <c r="C26" s="341" t="inlineStr">
        <is>
          <t>YÖNETİM KURULU VE BANKA ÇIKTISI</t>
        </is>
      </c>
      <c r="D26" s="364" t="inlineStr">
        <is>
          <t>Kredi komiteleri ve yönetim kuruluna sunulacak A4 dikey baskıya hazır kurumsal rapor çıktısını alın.</t>
        </is>
      </c>
      <c r="E26" s="365" t="n"/>
      <c r="F26" s="365" t="n"/>
      <c r="G26" s="365" t="n"/>
      <c r="H26" s="365" t="n"/>
      <c r="I26" s="365" t="n"/>
      <c r="J26" s="365" t="n"/>
      <c r="K26" s="365" t="n"/>
      <c r="L26" s="365" t="n"/>
      <c r="M26" s="365" t="n"/>
      <c r="N26" s="343" t="inlineStr">
        <is>
          <t>RAPOR</t>
        </is>
      </c>
      <c r="O26" s="365" t="n"/>
      <c r="P26" s="344" t="inlineStr">
        <is>
          <t>📄 A4 RAPORU (#RAPOR!A1)</t>
        </is>
      </c>
      <c r="Q26" s="303" t="n"/>
      <c r="R26" s="303" t="n"/>
    </row>
  </sheetData>
  <mergeCells count="22">
    <mergeCell ref="N26:O26"/>
    <mergeCell ref="B2:M2"/>
    <mergeCell ref="N25:O25"/>
    <mergeCell ref="D25:M25"/>
    <mergeCell ref="P23:R23"/>
    <mergeCell ref="I9:K12"/>
    <mergeCell ref="D24:M24"/>
    <mergeCell ref="N22:O22"/>
    <mergeCell ref="D23:M23"/>
    <mergeCell ref="I14:K14"/>
    <mergeCell ref="D26:M26"/>
    <mergeCell ref="O9:Q12"/>
    <mergeCell ref="N23:O23"/>
    <mergeCell ref="O14:Q14"/>
    <mergeCell ref="D22:M22"/>
    <mergeCell ref="P24:R24"/>
    <mergeCell ref="C9:E12"/>
    <mergeCell ref="P26:R26"/>
    <mergeCell ref="C14:E14"/>
    <mergeCell ref="P25:R25"/>
    <mergeCell ref="N24:O24"/>
    <mergeCell ref="P22:R22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14" customWidth="1" style="50" min="8" max="8"/>
    <col width="14" customWidth="1" style="50" min="9" max="9"/>
    <col width="10" customWidth="1" style="50" min="10" max="10"/>
    <col width="14" customWidth="1" style="50" min="11" max="11"/>
    <col width="14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242" t="inlineStr">
        <is>
          <t>BANKA, KREDİ VE TAKSİT YÖNETİM MERKEZİ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 ht="18" customHeight="1" s="50">
      <c r="B3" s="237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128" t="inlineStr">
        <is>
          <t>TOPLAM KREDİ PORTFÖYÜ</t>
        </is>
      </c>
      <c r="C5" s="129" t="n"/>
      <c r="D5" s="130" t="inlineStr">
        <is>
          <t>CANLI BAKİYE</t>
        </is>
      </c>
      <c r="E5" s="131" t="inlineStr">
        <is>
          <t>AYLIK BORÇ SERVİSİ (30 GÜN)</t>
        </is>
      </c>
      <c r="F5" s="129" t="n"/>
      <c r="G5" s="132" t="inlineStr">
        <is>
          <t>ÖDEME BASKISI</t>
        </is>
      </c>
      <c r="H5" s="128" t="inlineStr">
        <is>
          <t>REFİNANSMAN AYLIK RAHATLAMA</t>
        </is>
      </c>
      <c r="I5" s="129" t="n"/>
      <c r="J5" s="133">
        <f>KARAR_MOTORU!B18&amp;" ADAY"</f>
        <v/>
      </c>
      <c r="K5" s="134" t="inlineStr">
        <is>
          <t>BORÇLANMA SÜRDÜRÜLEBİLİRLİĞİ</t>
        </is>
      </c>
      <c r="L5" s="129" t="n"/>
      <c r="M5" s="130">
        <f>KARAR_MOTORU!B16</f>
        <v/>
      </c>
    </row>
    <row r="6" ht="6" customHeight="1" s="50">
      <c r="B6" s="135" t="n"/>
      <c r="C6" s="129" t="n"/>
      <c r="D6" s="129" t="n"/>
      <c r="E6" s="136" t="n"/>
      <c r="F6" s="129" t="n"/>
      <c r="G6" s="129" t="n"/>
      <c r="H6" s="135" t="n"/>
      <c r="I6" s="129" t="n"/>
      <c r="J6" s="129" t="n"/>
      <c r="K6" s="137" t="n"/>
      <c r="L6" s="129" t="n"/>
      <c r="M6" s="129" t="n"/>
    </row>
    <row r="7" ht="34" customHeight="1" s="50">
      <c r="B7" s="297">
        <f>KARAR_MOTORU!B5</f>
        <v/>
      </c>
      <c r="C7" s="129" t="n"/>
      <c r="D7" s="129" t="n"/>
      <c r="E7" s="298">
        <f>KARAR_MOTORU!B7</f>
        <v/>
      </c>
      <c r="F7" s="129" t="n"/>
      <c r="G7" s="129" t="n"/>
      <c r="H7" s="299">
        <f>KARAR_MOTORU!B19</f>
        <v/>
      </c>
      <c r="I7" s="129" t="n"/>
      <c r="J7" s="129" t="n"/>
      <c r="K7" s="300">
        <f>KARAR_MOTORU!B15</f>
        <v/>
      </c>
      <c r="L7" s="129" t="n"/>
      <c r="M7" s="129" t="n"/>
    </row>
    <row r="8" ht="6" customHeight="1" s="50">
      <c r="B8" s="135" t="n"/>
      <c r="C8" s="129" t="n"/>
      <c r="D8" s="129" t="n"/>
      <c r="E8" s="136" t="n"/>
      <c r="F8" s="129" t="n"/>
      <c r="G8" s="129" t="n"/>
      <c r="H8" s="135" t="n"/>
      <c r="I8" s="129" t="n"/>
      <c r="J8" s="129" t="n"/>
      <c r="K8" s="137" t="n"/>
      <c r="L8" s="129" t="n"/>
      <c r="M8" s="129" t="n"/>
    </row>
    <row r="9" ht="20" customHeight="1" s="50">
      <c r="B9" s="141" t="inlineStr">
        <is>
          <t>↑ Aktif portföy risk hacmi</t>
        </is>
      </c>
      <c r="C9" s="129" t="n"/>
      <c r="D9" s="129" t="n"/>
      <c r="E9" s="142" t="inlineStr">
        <is>
          <t>● 30 gün içinde vadesi gelen taksitler</t>
        </is>
      </c>
      <c r="F9" s="129" t="n"/>
      <c r="G9" s="129" t="n"/>
      <c r="H9" s="141" t="inlineStr">
        <is>
          <t>✓ Yapılandırma ile aylık nakit kazanımı</t>
        </is>
      </c>
      <c r="I9" s="129" t="n"/>
      <c r="J9" s="129" t="n"/>
      <c r="K9" s="246">
        <f>KARAR_MOTORU!B17</f>
        <v/>
      </c>
      <c r="L9" s="129" t="n"/>
      <c r="M9" s="129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TOPLA(I15:I18)</f>
        <v/>
      </c>
      <c r="J19" s="230">
        <f>TOPLA(J15:J18)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3">
    <mergeCell ref="K26:M27"/>
    <mergeCell ref="K24:M25"/>
    <mergeCell ref="F26:I27"/>
  </mergeCells>
  <hyperlinks>
    <hyperlink xmlns:r="http://schemas.openxmlformats.org/officeDocument/2006/relationships" ref="K26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TOPLA(E6:E15)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4" customHeight="1" s="50">
      <c r="A1" s="305" t="inlineStr">
        <is>
          <t>BANKALAR — KURUMSAL BANKA VE BORÇ YÖNETİMİ</t>
        </is>
      </c>
    </row>
    <row r="2" ht="6" customHeight="1" s="50"/>
    <row r="3" ht="20" customHeight="1" s="50">
      <c r="A3" s="306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4" customHeight="1" s="50">
      <c r="A1" s="305" t="inlineStr">
        <is>
          <t>LIMITLER — KURUMSAL BANKA VE BORÇ YÖNETİMİ</t>
        </is>
      </c>
    </row>
    <row r="2" ht="6" customHeight="1" s="50"/>
    <row r="3" ht="20" customHeight="1" s="50">
      <c r="A3" s="306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4" customHeight="1" s="50">
      <c r="A1" s="305" t="inlineStr">
        <is>
          <t>KREDILER — KURUMSAL BANKA VE BORÇ YÖNETİMİ</t>
        </is>
      </c>
    </row>
    <row r="2" ht="6" customHeight="1" s="50"/>
    <row r="3" ht="20" customHeight="1" s="50">
      <c r="A3" s="306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4" customHeight="1" s="50">
      <c r="A1" s="305" t="inlineStr">
        <is>
          <t>TAKSIT_PLANI — KURUMSAL BANKA VE BORÇ YÖNETİMİ</t>
        </is>
      </c>
    </row>
    <row r="2" ht="6" customHeight="1" s="50"/>
    <row r="3" ht="20" customHeight="1" s="50">
      <c r="A3" s="306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4" customHeight="1" s="50">
      <c r="A1" s="305" t="inlineStr">
        <is>
          <t>ODEME_TAKVIMI — KURUMSAL BANKA VE BORÇ YÖNETİMİ</t>
        </is>
      </c>
    </row>
    <row r="2" ht="6" customHeight="1" s="50"/>
    <row r="3" ht="20" customHeight="1" s="50">
      <c r="A3" s="306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4" customHeight="1" s="50">
      <c r="A1" s="305" t="inlineStr">
        <is>
          <t>REFINANSMAN — KURUMSAL BANKA VE BORÇ YÖNETİMİ</t>
        </is>
      </c>
    </row>
    <row r="2" ht="6" customHeight="1" s="50"/>
    <row r="3" ht="20" customHeight="1" s="50">
      <c r="A3" s="306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188" t="inlineStr">
        <is>
          <t>BANKA, KREDİ VE TAKSİT TAKİP SİSTEMİ — FİNANSAL STRES TESTİ</t>
        </is>
      </c>
    </row>
    <row r="3" ht="18" customHeight="1" s="50">
      <c r="B3" s="189" t="inlineStr">
        <is>
          <t>Yönetim Kurulu ve Hazine Komitesi için Borç Servisi ve Likidite Dayanıklılık Raporu</t>
        </is>
      </c>
    </row>
    <row r="4" ht="20" customHeight="1" s="50">
      <c r="B4" s="190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191" t="inlineStr">
        <is>
          <t>SENARYO A: KÖTÜMSER (STRES TESTİ -%20)</t>
        </is>
      </c>
      <c r="C6" s="252" t="n"/>
      <c r="D6" s="252" t="n"/>
      <c r="E6" s="252" t="n"/>
      <c r="F6" s="253" t="n"/>
      <c r="H6" s="192" t="inlineStr">
        <is>
          <t>SENARYO B: BAZ MODEL (HEDEFLENEN)</t>
        </is>
      </c>
      <c r="I6" s="252" t="n"/>
      <c r="J6" s="252" t="n"/>
      <c r="K6" s="252" t="n"/>
      <c r="L6" s="253" t="n"/>
    </row>
    <row r="7" ht="8" customHeight="1" s="50">
      <c r="B7" s="129" t="n"/>
      <c r="C7" s="129" t="n"/>
      <c r="D7" s="129" t="n"/>
      <c r="E7" s="129" t="n"/>
      <c r="F7" s="129" t="n"/>
      <c r="H7" s="129" t="n"/>
      <c r="I7" s="129" t="n"/>
      <c r="J7" s="129" t="n"/>
      <c r="K7" s="129" t="n"/>
      <c r="L7" s="129" t="n"/>
    </row>
    <row r="8" ht="22" customHeight="1" s="50">
      <c r="B8" s="193" t="inlineStr">
        <is>
          <t>Faaliyet Nakit Akışı Daralması:</t>
        </is>
      </c>
      <c r="C8" s="129" t="n"/>
      <c r="D8" s="129" t="n"/>
      <c r="E8" s="194" t="inlineStr">
        <is>
          <t>-%20.0 (Kriz Modeli)</t>
        </is>
      </c>
      <c r="F8" s="129" t="n"/>
      <c r="H8" s="193" t="inlineStr">
        <is>
          <t>Planlanan Borç Karşılama:</t>
        </is>
      </c>
      <c r="I8" s="129" t="n"/>
      <c r="J8" s="129" t="n"/>
      <c r="K8" s="195" t="inlineStr">
        <is>
          <t>%100.0 (Tam Bütçe)</t>
        </is>
      </c>
      <c r="L8" s="129" t="n"/>
    </row>
    <row r="9" ht="22" customHeight="1" s="50">
      <c r="B9" s="193" t="inlineStr">
        <is>
          <t>Mevcut 30 Günlük Borç Servisi:</t>
        </is>
      </c>
      <c r="C9" s="129" t="n"/>
      <c r="D9" s="129" t="n"/>
      <c r="E9" s="232">
        <f>KARAR_MOTORU!B7</f>
        <v/>
      </c>
      <c r="F9" s="129" t="n"/>
      <c r="H9" s="193" t="inlineStr">
        <is>
          <t>Aylık Refinansman Tasarrufu:</t>
        </is>
      </c>
      <c r="I9" s="129" t="n"/>
      <c r="J9" s="129" t="n"/>
      <c r="K9" s="232">
        <f>KARAR_MOTORU!B19</f>
        <v/>
      </c>
      <c r="L9" s="129" t="n"/>
    </row>
    <row r="10" ht="22" customHeight="1" s="50">
      <c r="B10" s="193" t="inlineStr">
        <is>
          <t>Stres Altında Serbest Nakit:</t>
        </is>
      </c>
      <c r="C10" s="129" t="n"/>
      <c r="D10" s="129" t="n"/>
      <c r="E10" s="233">
        <f>SerbestNakit*0.8</f>
        <v/>
      </c>
      <c r="F10" s="129" t="n"/>
      <c r="H10" s="193" t="inlineStr">
        <is>
          <t>Konsolide Serbest Nakit:</t>
        </is>
      </c>
      <c r="I10" s="129" t="n"/>
      <c r="J10" s="129" t="n"/>
      <c r="K10" s="233">
        <f>SerbestNakit</f>
        <v/>
      </c>
      <c r="L10" s="129" t="n"/>
    </row>
    <row r="11" ht="22" customHeight="1" s="50">
      <c r="B11" s="193" t="inlineStr">
        <is>
          <t>Stres Altında Likidite Baskısı:</t>
        </is>
      </c>
      <c r="C11" s="129" t="n"/>
      <c r="D11" s="129" t="n"/>
      <c r="E11" s="234">
        <f>YUVARLA(KARAR_MOTORU!B7/MAX(1,SerbestNakit*0.8); 2)</f>
        <v/>
      </c>
      <c r="F11" s="129" t="n"/>
      <c r="H11" s="193" t="inlineStr">
        <is>
          <t>Baz Model Likidite Baskısı:</t>
        </is>
      </c>
      <c r="I11" s="129" t="n"/>
      <c r="J11" s="129" t="n"/>
      <c r="K11" s="197">
        <f>YUVARLA(KARAR_MOTORU!B14; 2)</f>
        <v/>
      </c>
      <c r="L11" s="129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2026-09-25T19:22:28Z</dcterms:modified>
  <cp:revision>0</cp:revision>
</cp:coreProperties>
</file>