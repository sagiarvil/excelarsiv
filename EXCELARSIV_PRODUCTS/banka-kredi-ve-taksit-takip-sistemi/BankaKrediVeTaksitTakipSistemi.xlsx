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PANO" sheetId="3" state="visible" r:id="rId3"/>
    <sheet xmlns:r="http://schemas.openxmlformats.org/officeDocument/2006/relationships" name="GİRDİLER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REFINANSMAN" sheetId="13" state="visible" r:id="rId13"/>
    <sheet xmlns:r="http://schemas.openxmlformats.org/officeDocument/2006/relationships" name="YÖNETİM_RAPORU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ARAR_MOTORU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00_BASLANGIC" sheetId="22" state="visible" r:id="rId22"/>
    <sheet xmlns:r="http://schemas.openxmlformats.org/officeDocument/2006/relationships" name="01_YURUTME_CEKIRDEGI" sheetId="23" state="visible" r:id="rId23"/>
    <sheet xmlns:r="http://schemas.openxmlformats.org/officeDocument/2006/relationships" name="02_KONTROL_LISTESI" sheetId="24" state="visible" r:id="rId24"/>
    <sheet xmlns:r="http://schemas.openxmlformats.org/officeDocument/2006/relationships" name="03_GORSEL_TASARIM" sheetId="25" state="visible" r:id="rId25"/>
    <sheet xmlns:r="http://schemas.openxmlformats.org/officeDocument/2006/relationships" name="04_MUHASEBE_THP" sheetId="26" state="visible" r:id="rId26"/>
    <sheet xmlns:r="http://schemas.openxmlformats.org/officeDocument/2006/relationships" name="05_KARAR_SATIS" sheetId="27" state="visible" r:id="rId27"/>
    <sheet xmlns:r="http://schemas.openxmlformats.org/officeDocument/2006/relationships" name="KAPAK" sheetId="28" state="visible" r:id="rId28"/>
    <sheet xmlns:r="http://schemas.openxmlformats.org/officeDocument/2006/relationships" name="HIZLI_BASLANGIC" sheetId="29" state="visible" r:id="rId29"/>
    <sheet xmlns:r="http://schemas.openxmlformats.org/officeDocument/2006/relationships" name="ORNEK_VERI" sheetId="30" state="visible" r:id="rId30"/>
    <sheet xmlns:r="http://schemas.openxmlformats.org/officeDocument/2006/relationships" name="TESTLER" sheetId="31" state="visible" r:id="rId31"/>
    <sheet xmlns:r="http://schemas.openxmlformats.org/officeDocument/2006/relationships" name="AKIS" sheetId="32" state="visible" r:id="rId32"/>
    <sheet xmlns:r="http://schemas.openxmlformats.org/officeDocument/2006/relationships" name="DEGISIKLIK_KAYDI" sheetId="33" state="visible" r:id="rId33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0F172A"/>
      <sz val="9.5"/>
    </font>
    <font>
      <name val="Segoe UI"/>
      <color rgb="00334155"/>
      <sz val="9"/>
    </font>
    <font>
      <name val="Segoe UI"/>
      <b val="1"/>
      <color rgb="00059669"/>
      <sz val="9"/>
    </font>
    <font>
      <name val="Segoe UI"/>
      <color rgb="002563EB"/>
      <sz val="9"/>
    </font>
  </fonts>
  <fills count="38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1E3A8A"/>
        <bgColor rgb="001E3A8A"/>
      </patternFill>
    </fill>
  </fills>
  <borders count="6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  <xf numFmtId="0" fontId="119" fillId="0" borderId="0" pivotButton="0" quotePrefix="0" xfId="0"/>
    <xf numFmtId="0" fontId="120" fillId="0" borderId="0" pivotButton="0" quotePrefix="0" xfId="0"/>
    <xf numFmtId="0" fontId="121" fillId="0" borderId="0" pivotButton="0" quotePrefix="0" xfId="0"/>
    <xf numFmtId="0" fontId="38" fillId="37" borderId="0" applyAlignment="1" pivotButton="0" quotePrefix="0" xfId="0">
      <alignment horizontal="center" vertical="center"/>
    </xf>
    <xf numFmtId="0" fontId="38" fillId="37" borderId="0" applyAlignment="1" pivotButton="0" quotePrefix="0" xfId="0">
      <alignment horizontal="left" vertical="center"/>
    </xf>
    <xf numFmtId="0" fontId="122" fillId="19" borderId="1" applyAlignment="1" pivotButton="0" quotePrefix="0" xfId="0">
      <alignment horizontal="center" vertical="center" wrapText="1"/>
    </xf>
    <xf numFmtId="0" fontId="123" fillId="19" borderId="1" applyAlignment="1" pivotButton="0" quotePrefix="0" xfId="0">
      <alignment horizontal="left" vertical="center" wrapText="1"/>
    </xf>
    <xf numFmtId="0" fontId="124" fillId="19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center" vertical="center" wrapText="1"/>
    </xf>
    <xf numFmtId="0" fontId="12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left" vertical="center" wrapText="1"/>
    </xf>
    <xf numFmtId="0" fontId="124" fillId="18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center" vertical="center" wrapText="1"/>
    </xf>
    <xf numFmtId="0" fontId="41" fillId="19" borderId="1" applyAlignment="1" pivotButton="0" quotePrefix="0" xfId="0">
      <alignment horizontal="left" vertical="center" wrapText="1"/>
    </xf>
    <xf numFmtId="0" fontId="109" fillId="19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left" vertical="center" wrapText="1"/>
    </xf>
    <xf numFmtId="0" fontId="109" fillId="18" borderId="1" applyAlignment="1" pivotButton="0" quotePrefix="0" xfId="0">
      <alignment horizontal="left" vertical="center" wrapText="1"/>
    </xf>
    <xf numFmtId="0" fontId="10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left" vertical="center"/>
    </xf>
    <xf numFmtId="0" fontId="125" fillId="18" borderId="1" applyAlignment="1" pivotButton="0" quotePrefix="0" xfId="0">
      <alignment horizontal="center" vertical="center"/>
    </xf>
    <xf numFmtId="0" fontId="96" fillId="18" borderId="1" applyAlignment="1" pivotButton="0" quotePrefix="0" xfId="0">
      <alignment horizontal="left" vertical="center"/>
    </xf>
    <xf numFmtId="0" fontId="124" fillId="18" borderId="1" applyAlignment="1" pivotButton="0" quotePrefix="0" xfId="0">
      <alignment horizontal="left" vertical="center"/>
    </xf>
    <xf numFmtId="0" fontId="107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left" vertical="center"/>
    </xf>
    <xf numFmtId="0" fontId="125" fillId="19" borderId="1" applyAlignment="1" pivotButton="0" quotePrefix="0" xfId="0">
      <alignment horizontal="center" vertical="center"/>
    </xf>
    <xf numFmtId="0" fontId="96" fillId="19" borderId="1" applyAlignment="1" pivotButton="0" quotePrefix="0" xfId="0">
      <alignment horizontal="left" vertical="center"/>
    </xf>
    <xf numFmtId="0" fontId="124" fillId="19" borderId="1" applyAlignment="1" pivotButton="0" quotePrefix="0" xfId="0">
      <alignment horizontal="left" vertical="center"/>
    </xf>
    <xf numFmtId="0" fontId="35" fillId="0" borderId="51" pivotButton="0" quotePrefix="0" xfId="0"/>
    <xf numFmtId="0" fontId="0" fillId="0" borderId="52" pivotButton="0" quotePrefix="0" xfId="0"/>
    <xf numFmtId="0" fontId="49" fillId="11" borderId="53" applyAlignment="1" pivotButton="0" quotePrefix="0" xfId="0">
      <alignment horizontal="center"/>
    </xf>
    <xf numFmtId="0" fontId="51" fillId="12" borderId="53" applyAlignment="1" pivotButton="0" quotePrefix="0" xfId="0">
      <alignment horizontal="center"/>
    </xf>
    <xf numFmtId="0" fontId="50" fillId="13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169" fontId="31" fillId="0" borderId="54" applyAlignment="1" pivotButton="0" quotePrefix="0" xfId="0">
      <alignment horizontal="left" vertical="center" indent="1"/>
    </xf>
    <xf numFmtId="169" fontId="98" fillId="0" borderId="54" applyAlignment="1" pivotButton="0" quotePrefix="0" xfId="0">
      <alignment horizontal="left" vertical="center" indent="1"/>
    </xf>
    <xf numFmtId="169" fontId="99" fillId="0" borderId="54" applyAlignment="1" pivotButton="0" quotePrefix="0" xfId="0">
      <alignment horizontal="left" vertical="center" indent="1"/>
    </xf>
    <xf numFmtId="0" fontId="100" fillId="0" borderId="54" applyAlignment="1" pivotButton="0" quotePrefix="0" xfId="0">
      <alignment horizontal="left" vertical="center" indent="1"/>
    </xf>
    <xf numFmtId="0" fontId="5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45" fillId="0" borderId="57" pivotButton="0" quotePrefix="0" xfId="0"/>
    <xf numFmtId="0" fontId="101" fillId="0" borderId="57" pivotButton="0" quotePrefix="0" xfId="0"/>
    <xf numFmtId="0" fontId="73" fillId="20" borderId="60" applyAlignment="1" pivotButton="0" quotePrefix="0" xfId="0">
      <alignment horizontal="center" vertical="center"/>
    </xf>
    <xf numFmtId="0" fontId="0" fillId="0" borderId="53" pivotButton="0" quotePrefix="0" xfId="0"/>
    <xf numFmtId="0" fontId="77" fillId="11" borderId="60" applyAlignment="1" pivotButton="0" quotePrefix="0" xfId="0">
      <alignment horizontal="center" vertical="center"/>
    </xf>
    <xf numFmtId="0" fontId="0" fillId="0" borderId="61" pivotButton="0" quotePrefix="0" xfId="0"/>
    <xf numFmtId="0" fontId="74" fillId="0" borderId="61" pivotButton="0" quotePrefix="0" xfId="0"/>
    <xf numFmtId="0" fontId="73" fillId="0" borderId="55" applyAlignment="1" pivotButton="0" quotePrefix="0" xfId="0">
      <alignment horizontal="right"/>
    </xf>
    <xf numFmtId="0" fontId="77" fillId="0" borderId="55" applyAlignment="1" pivotButton="0" quotePrefix="0" xfId="0">
      <alignment horizontal="right"/>
    </xf>
    <xf numFmtId="169" fontId="48" fillId="0" borderId="55" applyAlignment="1" pivotButton="0" quotePrefix="0" xfId="0">
      <alignment horizontal="right"/>
    </xf>
    <xf numFmtId="169" fontId="75" fillId="0" borderId="55" applyAlignment="1" pivotButton="0" quotePrefix="0" xfId="0">
      <alignment horizontal="right"/>
    </xf>
    <xf numFmtId="0" fontId="74" fillId="0" borderId="62" pivotButton="0" quotePrefix="0" xfId="0"/>
    <xf numFmtId="170" fontId="75" fillId="0" borderId="58" applyAlignment="1" pivotButton="0" quotePrefix="0" xfId="0">
      <alignment horizontal="right"/>
    </xf>
    <xf numFmtId="0" fontId="75" fillId="0" borderId="58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#REFINANSMAN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3.7" customWidth="1" style="50" min="2" max="2"/>
    <col width="10.4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353" t="inlineStr">
        <is>
          <t>Banka, Kredi ve Taksit Takip Sistemi — C-Level Borç Portföyü ve Likidite Karar Kokpiti</t>
        </is>
      </c>
    </row>
    <row r="5" ht="17.4" customHeight="1" s="50">
      <c r="B5" s="354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EĞİTİM VİDEOSU</t>
        </is>
      </c>
      <c r="D7" s="357" t="n"/>
      <c r="E7" s="357" t="n"/>
      <c r="F7" s="355" t="n"/>
      <c r="H7" s="355" t="n"/>
      <c r="I7" s="356" t="inlineStr">
        <is>
          <t>KULLANIM REHBERİ &amp; SÖZLÜK</t>
        </is>
      </c>
      <c r="J7" s="357" t="n"/>
      <c r="K7" s="357" t="n"/>
      <c r="L7" s="355" t="n"/>
      <c r="N7" s="355" t="n"/>
      <c r="O7" s="356" t="inlineStr">
        <is>
          <t>EXCEL ARŞİV HİZMETLERİ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Bu şablonun nasıl kullanıldığını videolu ve detaylı bir şekilde öğrenmek için aşağıdaki düğmeye tıklayabilirsiniz.</t>
        </is>
      </c>
      <c r="F9" s="355" t="n"/>
      <c r="H9" s="355" t="n"/>
      <c r="I9" s="358" t="inlineStr">
        <is>
          <t>5 yaşındaki birine anlatır gibi sadeleştirilmiş sistem özeti, kullanım kılavuzu ve finans terimleri sözlüğü için tıklayınız.</t>
        </is>
      </c>
      <c r="L9" s="355" t="n"/>
      <c r="N9" s="355" t="n"/>
      <c r="O9" s="358" t="inlineStr">
        <is>
          <t>EXCELARŞİV olarak finansal modelleme, kurumsal danışmanlık ve karar destek sistemleri sunmaktayız. Daha fazlası için tıklayınız.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▶ KULLANIM VİDEOSUNU İZLE</t>
        </is>
      </c>
      <c r="D14" s="369" t="n"/>
      <c r="E14" s="370" t="n"/>
      <c r="F14" s="355" t="n"/>
      <c r="H14" s="355" t="n"/>
      <c r="I14" s="359" t="inlineStr">
        <is>
          <t>📖 REHBERİ VE SÖZLÜĞÜ AÇ (#00_HAKKINDA_VE_REHBER!A1)</t>
        </is>
      </c>
      <c r="J14" s="369" t="n"/>
      <c r="K14" s="370" t="n"/>
      <c r="L14" s="355" t="n"/>
      <c r="N14" s="355" t="n"/>
      <c r="O14" s="359" t="inlineStr">
        <is>
          <t>🌐 WEB SİTEMİZİ ZİYARET EDİN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362" t="inlineStr">
        <is>
          <t>AŞAMA NO</t>
        </is>
      </c>
      <c r="C21" s="362" t="inlineStr">
        <is>
          <t>AŞAMA ADI &amp; KAPSAM</t>
        </is>
      </c>
      <c r="D21" s="362" t="inlineStr">
        <is>
          <t>İŞLEM DETAYI VE MANTIK</t>
        </is>
      </c>
      <c r="E21" s="362" t="inlineStr">
        <is>
          <t>KULLANILAN SAYFALAR</t>
        </is>
      </c>
      <c r="F21" s="362" t="inlineStr">
        <is>
          <t>DOĞRUDAN ERİŞİM BUTONU</t>
        </is>
      </c>
    </row>
    <row r="22" ht="36" customHeight="1" s="50">
      <c r="B22" s="363" t="inlineStr">
        <is>
          <t>AŞAMA 1</t>
        </is>
      </c>
      <c r="C22" s="341" t="inlineStr">
        <is>
          <t>SİSTEM KURULUMU &amp; PARAMETRELER</t>
        </is>
      </c>
      <c r="D22" s="364" t="inlineStr">
        <is>
          <t>Şirket unvanı, raporlama tarihi, serbest nakit ve risk toleranslarını AYARLAR sekmesinden tanımlayın.</t>
        </is>
      </c>
      <c r="E22" s="336" t="n"/>
      <c r="F22" s="336" t="n"/>
      <c r="G22" s="336" t="n"/>
      <c r="H22" s="336" t="n"/>
      <c r="I22" s="336" t="n"/>
      <c r="J22" s="336" t="n"/>
      <c r="K22" s="336" t="n"/>
      <c r="L22" s="336" t="n"/>
      <c r="M22" s="337" t="n"/>
      <c r="N22" s="343" t="inlineStr">
        <is>
          <t>AYARLAR, LISTELER</t>
        </is>
      </c>
      <c r="O22" s="337" t="n"/>
      <c r="P22" s="344" t="inlineStr">
        <is>
          <t>⚙ AYARLAR (#AYARLAR!A1)</t>
        </is>
      </c>
      <c r="Q22" s="336" t="n"/>
      <c r="R22" s="337" t="n"/>
    </row>
    <row r="23" ht="36" customHeight="1" s="50">
      <c r="B23" s="366" t="inlineStr">
        <is>
          <t>AŞAMA 2</t>
        </is>
      </c>
      <c r="C23" s="346" t="inlineStr">
        <is>
          <t>STRATEJİK KOKPİT &amp; İZLEME</t>
        </is>
      </c>
      <c r="D23" s="367" t="inlineStr">
        <is>
          <t>Kredi portföy büyüklüğü, 30 günlük ödeme baskısı ve likidite erken uyarı radarını tek ekrandan izleyin.</t>
        </is>
      </c>
      <c r="E23" s="336" t="n"/>
      <c r="F23" s="336" t="n"/>
      <c r="G23" s="336" t="n"/>
      <c r="H23" s="336" t="n"/>
      <c r="I23" s="336" t="n"/>
      <c r="J23" s="336" t="n"/>
      <c r="K23" s="336" t="n"/>
      <c r="L23" s="336" t="n"/>
      <c r="M23" s="337" t="n"/>
      <c r="N23" s="348" t="inlineStr">
        <is>
          <t>PANO</t>
        </is>
      </c>
      <c r="O23" s="337" t="n"/>
      <c r="P23" s="344" t="inlineStr">
        <is>
          <t>▶ PANO KOKPİTİ (#PANO!A1)</t>
        </is>
      </c>
      <c r="Q23" s="336" t="n"/>
      <c r="R23" s="337" t="n"/>
    </row>
    <row r="24" ht="36" customHeight="1" s="50">
      <c r="B24" s="363" t="inlineStr">
        <is>
          <t>AŞAMA 3</t>
        </is>
      </c>
      <c r="C24" s="341" t="inlineStr">
        <is>
          <t>PORTFÖY VE TAKSİT GİRİŞİ</t>
        </is>
      </c>
      <c r="D24" s="364" t="inlineStr">
        <is>
          <t>Banka limitlerini, çekilen kredileri ve sözleşme amortisman takvimlerini ilgili sayfalara girin.</t>
        </is>
      </c>
      <c r="E24" s="336" t="n"/>
      <c r="F24" s="336" t="n"/>
      <c r="G24" s="336" t="n"/>
      <c r="H24" s="336" t="n"/>
      <c r="I24" s="336" t="n"/>
      <c r="J24" s="336" t="n"/>
      <c r="K24" s="336" t="n"/>
      <c r="L24" s="336" t="n"/>
      <c r="M24" s="337" t="n"/>
      <c r="N24" s="343" t="inlineStr">
        <is>
          <t>GİRDİLER, KREDILER, TAKSIT_PLANI</t>
        </is>
      </c>
      <c r="O24" s="337" t="n"/>
      <c r="P24" s="344" t="inlineStr">
        <is>
          <t>📋 GİRİŞLERİ DÜZENLE (#GİRDİLER!A1)</t>
        </is>
      </c>
      <c r="Q24" s="336" t="n"/>
      <c r="R24" s="337" t="n"/>
    </row>
    <row r="25" ht="36" customHeight="1" s="50">
      <c r="B25" s="366" t="inlineStr">
        <is>
          <t>AŞAMA 4</t>
        </is>
      </c>
      <c r="C25" s="346" t="inlineStr">
        <is>
          <t>REFİNANSMAN VE STRES TESTİ</t>
        </is>
      </c>
      <c r="D25" s="367" t="inlineStr">
        <is>
          <t>Krediyi başka bankaya taşıma durumunda net faiz kârını hesaplayın. -%20 nakit daralması stres testini inceleyin.</t>
        </is>
      </c>
      <c r="E25" s="336" t="n"/>
      <c r="F25" s="336" t="n"/>
      <c r="G25" s="336" t="n"/>
      <c r="H25" s="336" t="n"/>
      <c r="I25" s="336" t="n"/>
      <c r="J25" s="336" t="n"/>
      <c r="K25" s="336" t="n"/>
      <c r="L25" s="336" t="n"/>
      <c r="M25" s="337" t="n"/>
      <c r="N25" s="348" t="inlineStr">
        <is>
          <t>REFINANSMAN, YÖNETİM_RAPORU</t>
        </is>
      </c>
      <c r="O25" s="337" t="n"/>
      <c r="P25" s="344" t="inlineStr">
        <is>
          <t>📊 STRES TESTİ (#YÖNETİM_RAPORU!A1)</t>
        </is>
      </c>
      <c r="Q25" s="336" t="n"/>
      <c r="R25" s="337" t="n"/>
    </row>
    <row r="26" ht="36" customHeight="1" s="50">
      <c r="B26" s="363" t="inlineStr">
        <is>
          <t>AŞAMA 5</t>
        </is>
      </c>
      <c r="C26" s="341" t="inlineStr">
        <is>
          <t>YÖNETİM KURULU VE BANKA ÇIKTISI</t>
        </is>
      </c>
      <c r="D26" s="364" t="inlineStr">
        <is>
          <t>Kredi komiteleri ve yönetim kuruluna sunulacak A4 dikey baskıya hazır kurumsal rapor çıktısını alın.</t>
        </is>
      </c>
      <c r="E26" s="336" t="n"/>
      <c r="F26" s="336" t="n"/>
      <c r="G26" s="336" t="n"/>
      <c r="H26" s="336" t="n"/>
      <c r="I26" s="336" t="n"/>
      <c r="J26" s="336" t="n"/>
      <c r="K26" s="336" t="n"/>
      <c r="L26" s="336" t="n"/>
      <c r="M26" s="337" t="n"/>
      <c r="N26" s="343" t="inlineStr">
        <is>
          <t>RAPOR</t>
        </is>
      </c>
      <c r="O26" s="337" t="n"/>
      <c r="P26" s="344" t="inlineStr">
        <is>
          <t>📄 A4 RAPORU (#RAPOR!A1)</t>
        </is>
      </c>
      <c r="Q26" s="336" t="n"/>
      <c r="R26" s="337" t="n"/>
    </row>
  </sheetData>
  <mergeCells count="22">
    <mergeCell ref="N26:O26"/>
    <mergeCell ref="B2:M2"/>
    <mergeCell ref="N25:O25"/>
    <mergeCell ref="D25:M25"/>
    <mergeCell ref="P23:R23"/>
    <mergeCell ref="I9:K12"/>
    <mergeCell ref="D24:M24"/>
    <mergeCell ref="N22:O22"/>
    <mergeCell ref="D23:M23"/>
    <mergeCell ref="I14:K14"/>
    <mergeCell ref="D26:M26"/>
    <mergeCell ref="O9:Q12"/>
    <mergeCell ref="N23:O23"/>
    <mergeCell ref="O14:Q14"/>
    <mergeCell ref="D22:M22"/>
    <mergeCell ref="P24:R24"/>
    <mergeCell ref="C9:E12"/>
    <mergeCell ref="P26:R26"/>
    <mergeCell ref="C14:E14"/>
    <mergeCell ref="P25:R25"/>
    <mergeCell ref="N24:O24"/>
    <mergeCell ref="P22:R22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4" customWidth="1" style="50" min="2" max="2"/>
    <col width="32" customWidth="1" style="50" min="3" max="3"/>
    <col width="40" customWidth="1" style="50" min="4" max="4"/>
    <col width="24" customWidth="1" style="50" min="5" max="5"/>
    <col width="18" customWidth="1" style="50" min="6" max="6"/>
  </cols>
  <sheetData>
    <row r="2" ht="36" customHeight="1" s="50">
      <c r="B2" s="371" t="inlineStr">
        <is>
          <t>SİSTEM HAKKINDA, KULLANIM REHBERİ VE TERİMLER SÖZLÜĞÜ</t>
        </is>
      </c>
    </row>
    <row r="3" ht="20" customHeight="1" s="50">
      <c r="B3" s="372" t="inlineStr">
        <is>
          <t>5 Yaşındaki Birine Anlatır Gibi Basit, Sade ve Eksiksiz Finansal Karar Mimarisi · Siemens &amp; Enterprise Standartları</t>
        </is>
      </c>
    </row>
    <row r="5" ht="24" customHeight="1" s="50">
      <c r="B5" s="373" t="inlineStr">
        <is>
          <t>1. TEMEL MANTIK — 3 DAKİKADA SİSTEMİN ÖZÜ</t>
        </is>
      </c>
    </row>
    <row r="7" ht="24" customHeight="1" s="50">
      <c r="B7" s="374" t="inlineStr">
        <is>
          <t>SORU</t>
        </is>
      </c>
      <c r="C7" s="375" t="inlineStr">
        <is>
          <t>GÜNLÜK DİLLE CEVAP (5 YAŞINDA ÇOCUĞA ANLATIR GİBİ)</t>
        </is>
      </c>
      <c r="D7" s="375" t="inlineStr">
        <is>
          <t>ŞİRKETİNİZE FAYDASI NE?</t>
        </is>
      </c>
      <c r="E7" s="374" t="inlineStr">
        <is>
          <t>İLGİLİ SAYFA</t>
        </is>
      </c>
    </row>
    <row r="8" ht="42" customHeight="1" s="50">
      <c r="B8" s="376" t="inlineStr">
        <is>
          <t>1. Bu dosya ne işe yarar?</t>
        </is>
      </c>
      <c r="C8" s="377" t="inlineStr">
        <is>
          <t>Tıpkı arabanın gösterge paneli gibidir. Hangi bankaya ne kadar borcunuz olduğunu, bu ay ne kadar taksit ödeyeceğinizi ve paranızın yetip yetmeyeceğini tek bir ekranda gösterir.</t>
        </is>
      </c>
      <c r="D8" s="378" t="inlineStr">
        <is>
          <t>Gözden kaçan, sürpriz veya geciken taksitleri sıfırlar; faiz cezası ve itibar kaybını önler.</t>
        </is>
      </c>
      <c r="E8" s="379" t="inlineStr">
        <is>
          <t>PANO, YÖNETİM_RAPORU</t>
        </is>
      </c>
    </row>
    <row r="9" ht="42" customHeight="1" s="50">
      <c r="B9" s="380" t="inlineStr">
        <is>
          <t>2. Kullanıcı olarak ben ne yapacağım?</t>
        </is>
      </c>
      <c r="C9" s="381" t="inlineStr">
        <is>
          <t>Çok kolay! Yalnızca 'GİRDİLER' sekmesindeki sarı renkli kutulara çektiğiniz kredileri ve vadesini yazacaksınız. Geri kalan tüm hesapları sistem kendi yapar.</t>
        </is>
      </c>
      <c r="D9" s="382" t="inlineStr">
        <is>
          <t>Veri girişi birkaç dakikada biter, karmaşık formüllerle veya Excel kodlarıyla uğraşmazsınız.</t>
        </is>
      </c>
      <c r="E9" s="383" t="inlineStr">
        <is>
          <t>GİRDİLER, KREDILER</t>
        </is>
      </c>
    </row>
    <row r="10" ht="42" customHeight="1" s="50">
      <c r="B10" s="376" t="inlineStr">
        <is>
          <t>3. Sistem bana ne kazandırır?</t>
        </is>
      </c>
      <c r="C10" s="377" t="inlineStr">
        <is>
          <t>Hangi bankaya çok faiz ödediğinizi bulur. 'Şu krediyi kapatıp şuraya taşırsan ayda 495.000 TL tasarruf edersin' diyerek şirketinize somut nakit kazandırır.</t>
        </is>
      </c>
      <c r="D10" s="378" t="inlineStr">
        <is>
          <t>Gereksiz faiz ve masrafları yok eder; banka pazarlıklarında şirketinizi güçlü kılar.</t>
        </is>
      </c>
      <c r="E10" s="379" t="inlineStr">
        <is>
          <t>REFINANSMAN, KARAR_MOTORU</t>
        </is>
      </c>
    </row>
    <row r="13" ht="24" customHeight="1" s="50">
      <c r="B13" s="373" t="inlineStr">
        <is>
          <t>2. SÖZLÜK — BU KELİMELER NE ANLAMA GELİYOR?</t>
        </is>
      </c>
    </row>
    <row r="15" ht="24" customHeight="1" s="50">
      <c r="B15" s="374" t="inlineStr">
        <is>
          <t>TERİM / KAVRAM</t>
        </is>
      </c>
      <c r="C15" s="374" t="inlineStr">
        <is>
          <t>ÇOK BASİT AÇIKLAMASI</t>
        </is>
      </c>
      <c r="D15" s="375" t="inlineStr">
        <is>
          <t>BU ŞABLONDA NEREDE HESAPLANIR?</t>
        </is>
      </c>
      <c r="E15" s="375" t="inlineStr">
        <is>
          <t>ÖRNEK / İPUCU</t>
        </is>
      </c>
    </row>
    <row r="16" ht="36" customHeight="1" s="50">
      <c r="B16" s="376" t="inlineStr">
        <is>
          <t>Refinansman</t>
        </is>
      </c>
      <c r="C16" s="377" t="inlineStr">
        <is>
          <t>Pahalı olan eski krediyi kapatıp yerine daha düşük faizli yeni kredi çekmek. Yani borcu ucuza taşımak.</t>
        </is>
      </c>
      <c r="D16" s="384" t="inlineStr">
        <is>
          <t>REFINANSMAN sayfası</t>
        </is>
      </c>
      <c r="E16" s="385" t="inlineStr">
        <is>
          <t>Ör: %45 faizli krediyi kapatıp %38'e çekerek ayda 495.714 TL kâr etmek.</t>
        </is>
      </c>
    </row>
    <row r="17" ht="36" customHeight="1" s="50">
      <c r="B17" s="380" t="inlineStr">
        <is>
          <t>Borç Servisi</t>
        </is>
      </c>
      <c r="C17" s="381" t="inlineStr">
        <is>
          <t>Gelecek 30 gün içinde bankalara tıkır tıkır ödemeniz gereken anapara ve faiz taksitlerinin toplamı.</t>
        </is>
      </c>
      <c r="D17" s="386" t="inlineStr">
        <is>
          <t>PANO (E7 hücresi)</t>
        </is>
      </c>
      <c r="E17" s="387" t="inlineStr">
        <is>
          <t>Mevcut 30 günlük borç servisimiz: ₺934.864</t>
        </is>
      </c>
    </row>
    <row r="18" ht="36" customHeight="1" s="50">
      <c r="B18" s="376" t="inlineStr">
        <is>
          <t>Stres Testi</t>
        </is>
      </c>
      <c r="C18" s="377" t="inlineStr">
        <is>
          <t>'Gelecek ay işler çok kötü giderse ve kasaya %20 daha az para girerse borcumuzu ödeyebilir miyiz?' provası.</t>
        </is>
      </c>
      <c r="D18" s="384" t="inlineStr">
        <is>
          <t>YÖNETİM_RAPORU</t>
        </is>
      </c>
      <c r="E18" s="385" t="inlineStr">
        <is>
          <t>Şirketimiz -%20 krizde bile temerrüt riski yaşamadan borcunu ödeyebilmektedir.</t>
        </is>
      </c>
    </row>
    <row r="19" ht="36" customHeight="1" s="50">
      <c r="B19" s="380" t="inlineStr">
        <is>
          <t>Temerrüt Riski</t>
        </is>
      </c>
      <c r="C19" s="381" t="inlineStr">
        <is>
          <t>Taksit gününde kasada para bulunamaması ve borcun icralık / takipli hale gelme tehlikesi.</t>
        </is>
      </c>
      <c r="D19" s="386" t="inlineStr">
        <is>
          <t>KARAR_MOTORU</t>
        </is>
      </c>
      <c r="E19" s="387" t="inlineStr">
        <is>
          <t>Sistem yeşil 'UYGUN' yakıyorsa temerrüt riskiniz %0 demektir.</t>
        </is>
      </c>
    </row>
    <row r="20" ht="36" customHeight="1" s="50">
      <c r="B20" s="376" t="inlineStr">
        <is>
          <t>DSCR (Borç Karşılama)</t>
        </is>
      </c>
      <c r="C20" s="377" t="inlineStr">
        <is>
          <t>Kasaya giren serbest paranın taksitlere olan oranı. 1.0 üzerindeyse şirket rahat nefes alır.</t>
        </is>
      </c>
      <c r="D20" s="384" t="inlineStr">
        <is>
          <t>KARAR_MOTORU (B14)</t>
        </is>
      </c>
      <c r="E20" s="385" t="inlineStr">
        <is>
          <t>1.25 üstü = Mükemmel Güvenlik Bölgesi.</t>
        </is>
      </c>
    </row>
    <row r="21" ht="36" customHeight="1" s="50">
      <c r="B21" s="380" t="inlineStr">
        <is>
          <t>Amortisman Takvimi</t>
        </is>
      </c>
      <c r="C21" s="381" t="inlineStr">
        <is>
          <t>Kredinin ilk gününden son gününe kadar her ay kaç para faiz, kaç para anapara ödeneceğini gösteren liste.</t>
        </is>
      </c>
      <c r="D21" s="386" t="inlineStr">
        <is>
          <t>TAKSIT_PLANI</t>
        </is>
      </c>
      <c r="E21" s="387" t="inlineStr">
        <is>
          <t>Toplam kaç ay taksit kaldığını tek tıkla listeler.</t>
        </is>
      </c>
    </row>
    <row r="24" ht="24" customHeight="1" s="50">
      <c r="B24" s="373" t="inlineStr">
        <is>
          <t>3. SİSTEMİN 5 AŞAMALI AKIŞ ŞEMASI</t>
        </is>
      </c>
    </row>
    <row r="26" ht="24" customHeight="1" s="50">
      <c r="B26" s="374" t="inlineStr">
        <is>
          <t>AŞAMA</t>
        </is>
      </c>
      <c r="C26" s="375" t="inlineStr">
        <is>
          <t>GÖREVİ</t>
        </is>
      </c>
      <c r="D26" s="374" t="inlineStr">
        <is>
          <t>KULLANILACAK SEKME</t>
        </is>
      </c>
      <c r="E26" s="375" t="inlineStr">
        <is>
          <t>GİRİLECEK VERİ</t>
        </is>
      </c>
      <c r="F26" s="375" t="inlineStr">
        <is>
          <t>ÜRETİLEN SONUÇ</t>
        </is>
      </c>
    </row>
    <row r="27" ht="32" customHeight="1" s="50">
      <c r="B27" s="388" t="inlineStr">
        <is>
          <t>1. Hazırlık</t>
        </is>
      </c>
      <c r="C27" s="389" t="inlineStr">
        <is>
          <t>Şirket parametrelerini ve nakit durumunu tanıtma</t>
        </is>
      </c>
      <c r="D27" s="390" t="inlineStr">
        <is>
          <t>AYARLAR, LISTELER</t>
        </is>
      </c>
      <c r="E27" s="391" t="inlineStr">
        <is>
          <t>Firma adı, serbest nakit miktarı</t>
        </is>
      </c>
      <c r="F27" s="392" t="inlineStr">
        <is>
          <t>Tüm formüllerin eşik değerleri hazır olur</t>
        </is>
      </c>
    </row>
    <row r="28" ht="32" customHeight="1" s="50">
      <c r="B28" s="393" t="inlineStr">
        <is>
          <t>2. Veri Girişi</t>
        </is>
      </c>
      <c r="C28" s="394" t="inlineStr">
        <is>
          <t>Bankalardaki borçları ve kredi takvimini yazma</t>
        </is>
      </c>
      <c r="D28" s="395" t="inlineStr">
        <is>
          <t>GİRDİLER, KREDILER, LIMITLER</t>
        </is>
      </c>
      <c r="E28" s="396" t="inlineStr">
        <is>
          <t>Kredi tutarı, faiz, taksit tarihi</t>
        </is>
      </c>
      <c r="F28" s="397" t="inlineStr">
        <is>
          <t>Ödeme takvimi otomatik üretilir</t>
        </is>
      </c>
    </row>
    <row r="29" ht="32" customHeight="1" s="50">
      <c r="B29" s="388" t="inlineStr">
        <is>
          <t>3. Anlık Takip</t>
        </is>
      </c>
      <c r="C29" s="389" t="inlineStr">
        <is>
          <t>Borç yükünü ve 30 günlük ödemeleri izleme</t>
        </is>
      </c>
      <c r="D29" s="390" t="inlineStr">
        <is>
          <t>PANO</t>
        </is>
      </c>
      <c r="E29" s="391" t="inlineStr">
        <is>
          <t>Otomatik hesaplanır</t>
        </is>
      </c>
      <c r="F29" s="392" t="inlineStr">
        <is>
          <t>Gözden kaçan taksit riski kalmaz</t>
        </is>
      </c>
    </row>
    <row r="30" ht="32" customHeight="1" s="50">
      <c r="B30" s="393" t="inlineStr">
        <is>
          <t>4. Fırsat Avı</t>
        </is>
      </c>
      <c r="C30" s="394" t="inlineStr">
        <is>
          <t>Pahalı kredileri ucuza taşıma &amp; Kriz testi</t>
        </is>
      </c>
      <c r="D30" s="395" t="inlineStr">
        <is>
          <t>REFINANSMAN, YÖNETİM_RAPORU</t>
        </is>
      </c>
      <c r="E30" s="396" t="inlineStr">
        <is>
          <t>Yeni teklif faizleri</t>
        </is>
      </c>
      <c r="F30" s="397" t="inlineStr">
        <is>
          <t>Aylık ₺495.714'ye varan nakit tasarrufu</t>
        </is>
      </c>
    </row>
    <row r="31" ht="32" customHeight="1" s="50">
      <c r="B31" s="388" t="inlineStr">
        <is>
          <t>5. Sunum &amp; Karar</t>
        </is>
      </c>
      <c r="C31" s="389" t="inlineStr">
        <is>
          <t>Yönetim kuruluna ve bankalara resmi sunum</t>
        </is>
      </c>
      <c r="D31" s="390" t="inlineStr">
        <is>
          <t>RAPOR</t>
        </is>
      </c>
      <c r="E31" s="391" t="inlineStr">
        <is>
          <t>Tek tıkla hazır</t>
        </is>
      </c>
      <c r="F31" s="392" t="inlineStr">
        <is>
          <t>A4 dikey resmi finansal rapor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30" customWidth="1" style="50" min="8" max="8"/>
    <col width="16" customWidth="1" style="50" min="9" max="9"/>
    <col width="16" customWidth="1" style="50" min="10" max="10"/>
    <col width="10" customWidth="1" style="50" min="11" max="11"/>
    <col width="26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242" t="inlineStr">
        <is>
          <t>BANKA, KREDİ VE TAKSİT YÖNETİM MERKEZİ</t>
        </is>
      </c>
      <c r="L2" s="125" t="inlineStr">
        <is>
          <t>Dönem: 2026 / Tam ▼</t>
        </is>
      </c>
      <c r="M2" s="126" t="inlineStr">
        <is>
          <t>★ DOĞRULANMIŞ</t>
        </is>
      </c>
    </row>
    <row r="3" ht="18" customHeight="1" s="50">
      <c r="B3" s="237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398" t="inlineStr">
        <is>
          <t>TOPLAM KREDİ PORTFÖYÜ</t>
        </is>
      </c>
      <c r="C5" s="399" t="n"/>
      <c r="D5" s="400" t="inlineStr">
        <is>
          <t>CANLI BAKİYE</t>
        </is>
      </c>
      <c r="E5" s="398" t="inlineStr">
        <is>
          <t>AYLIK BORÇ SERVİSİ (30 GÜN)</t>
        </is>
      </c>
      <c r="F5" s="399" t="n"/>
      <c r="G5" s="401" t="inlineStr">
        <is>
          <t>ÖDEME BASKISI</t>
        </is>
      </c>
      <c r="H5" s="398" t="inlineStr">
        <is>
          <t>REFİNANSMAN AYLIK RAHATLAMA</t>
        </is>
      </c>
      <c r="I5" s="399" t="n"/>
      <c r="J5" s="402">
        <f>KARAR_MOTORU!B18&amp;" ADAY"</f>
        <v/>
      </c>
      <c r="K5" s="398" t="inlineStr">
        <is>
          <t>BORÇLANMA SÜRDÜRÜLEBİLİRLİĞİ</t>
        </is>
      </c>
      <c r="L5" s="399" t="n"/>
      <c r="M5" s="400">
        <f>KARAR_MOTORU!B16</f>
        <v/>
      </c>
    </row>
    <row r="6" ht="6" customHeight="1" s="50">
      <c r="B6" s="403" t="n"/>
      <c r="C6" s="404" t="n"/>
      <c r="D6" s="405" t="n"/>
      <c r="E6" s="403" t="n"/>
      <c r="F6" s="404" t="n"/>
      <c r="G6" s="405" t="n"/>
      <c r="H6" s="403" t="n"/>
      <c r="I6" s="404" t="n"/>
      <c r="J6" s="405" t="n"/>
      <c r="K6" s="403" t="n"/>
      <c r="L6" s="404" t="n"/>
      <c r="M6" s="405" t="n"/>
    </row>
    <row r="7" ht="34" customHeight="1" s="50">
      <c r="B7" s="406">
        <f>KARAR_MOTORU!B5</f>
        <v/>
      </c>
      <c r="C7" s="404" t="n"/>
      <c r="D7" s="405" t="n"/>
      <c r="E7" s="407">
        <f>KARAR_MOTORU!B7</f>
        <v/>
      </c>
      <c r="F7" s="404" t="n"/>
      <c r="G7" s="405" t="n"/>
      <c r="H7" s="408">
        <f>KARAR_MOTORU!B19</f>
        <v/>
      </c>
      <c r="I7" s="404" t="n"/>
      <c r="J7" s="405" t="n"/>
      <c r="K7" s="409">
        <f>KARAR_MOTORU!B15</f>
        <v/>
      </c>
      <c r="L7" s="404" t="n"/>
      <c r="M7" s="405" t="n"/>
    </row>
    <row r="8" ht="6" customHeight="1" s="50">
      <c r="B8" s="403" t="n"/>
      <c r="C8" s="404" t="n"/>
      <c r="D8" s="405" t="n"/>
      <c r="E8" s="403" t="n"/>
      <c r="F8" s="404" t="n"/>
      <c r="G8" s="405" t="n"/>
      <c r="H8" s="403" t="n"/>
      <c r="I8" s="404" t="n"/>
      <c r="J8" s="405" t="n"/>
      <c r="K8" s="403" t="n"/>
      <c r="L8" s="404" t="n"/>
      <c r="M8" s="405" t="n"/>
    </row>
    <row r="9" ht="20" customHeight="1" s="50">
      <c r="B9" s="410" t="inlineStr">
        <is>
          <t>↑ Aktif portföy risk hacmi</t>
        </is>
      </c>
      <c r="C9" s="411" t="n"/>
      <c r="D9" s="412" t="n"/>
      <c r="E9" s="413" t="inlineStr">
        <is>
          <t>● 30 gün içinde vadesi gelen taksitler</t>
        </is>
      </c>
      <c r="F9" s="411" t="n"/>
      <c r="G9" s="412" t="n"/>
      <c r="H9" s="410" t="inlineStr">
        <is>
          <t>✓ Yapılandırma ile aylık nakit kazanımı</t>
        </is>
      </c>
      <c r="I9" s="411" t="n"/>
      <c r="J9" s="412" t="n"/>
      <c r="K9" s="414">
        <f>KARAR_MOTORU!B17</f>
        <v/>
      </c>
      <c r="L9" s="411" t="n"/>
      <c r="M9" s="412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SUM(I15:I18)</f>
        <v/>
      </c>
      <c r="J19" s="230">
        <f>SUM(J15:J18)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</sheetData>
  <mergeCells count="3">
    <mergeCell ref="K26:M27"/>
    <mergeCell ref="K24:M25"/>
    <mergeCell ref="F26:I27"/>
  </mergeCells>
  <hyperlinks>
    <hyperlink xmlns:r="http://schemas.openxmlformats.org/officeDocument/2006/relationships" ref="K26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18" customWidth="1" style="76" min="4" max="4"/>
    <col width="32" customWidth="1" style="76" min="5" max="5"/>
    <col width="14" customWidth="1" style="76" min="6" max="6"/>
    <col width="20" customWidth="1" style="76" min="7" max="7"/>
    <col width="18" customWidth="1" style="76" min="8" max="8"/>
    <col width="14" customWidth="1" style="76" min="9" max="9"/>
  </cols>
  <sheetData>
    <row r="1" ht="34" customHeight="1" s="50">
      <c r="A1" s="305" t="inlineStr">
        <is>
          <t>BANKALAR — KURUMSAL BANKA VE BORÇ YÖNETİMİ</t>
        </is>
      </c>
    </row>
    <row r="2" ht="6" customHeight="1" s="50"/>
    <row r="3" ht="20" customHeight="1" s="50">
      <c r="A3" s="306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2" customWidth="1" style="76" min="3" max="3"/>
    <col width="14" customWidth="1" style="76" min="4" max="4"/>
    <col width="18" customWidth="1" style="76" min="5" max="5"/>
    <col width="18" customWidth="1" style="76" min="6" max="6"/>
    <col width="18" customWidth="1" style="76" min="7" max="7"/>
    <col width="16" customWidth="1" style="76" min="8" max="8"/>
    <col width="14" customWidth="1" style="76" min="9" max="9"/>
  </cols>
  <sheetData>
    <row r="1" ht="34" customHeight="1" s="50">
      <c r="A1" s="305" t="inlineStr">
        <is>
          <t>LIMITLER — KURUMSAL BANKA VE BORÇ YÖNETİMİ</t>
        </is>
      </c>
    </row>
    <row r="2" ht="6" customHeight="1" s="50"/>
    <row r="3" ht="20" customHeight="1" s="50">
      <c r="A3" s="306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24" customWidth="1" style="76" min="4" max="4"/>
    <col width="14" customWidth="1" style="76" min="5" max="5"/>
    <col width="18" customWidth="1" style="76" min="6" max="7"/>
    <col width="18" customWidth="1" style="50" min="7" max="7"/>
    <col width="18" customWidth="1" style="76" min="8" max="8"/>
    <col width="14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4" customHeight="1" s="50">
      <c r="A1" s="305" t="inlineStr">
        <is>
          <t>KREDILER — KURUMSAL BANKA VE BORÇ YÖNETİMİ</t>
        </is>
      </c>
    </row>
    <row r="2" ht="6" customHeight="1" s="50"/>
    <row r="3" ht="20" customHeight="1" s="50">
      <c r="A3" s="306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18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5" customWidth="1" style="76" min="10" max="10"/>
    <col width="14" customWidth="1" style="76" min="11" max="11"/>
    <col width="14" customWidth="1" style="76" min="12" max="12"/>
  </cols>
  <sheetData>
    <row r="1" ht="34" customHeight="1" s="50">
      <c r="A1" s="305" t="inlineStr">
        <is>
          <t>TAKSIT_PLANI — KURUMSAL BANKA VE BORÇ YÖNETİMİ</t>
        </is>
      </c>
    </row>
    <row r="2" ht="6" customHeight="1" s="50"/>
    <row r="3" ht="20" customHeight="1" s="50">
      <c r="A3" s="306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5" customWidth="1" style="76" min="7" max="7"/>
  </cols>
  <sheetData>
    <row r="1" ht="34" customHeight="1" s="50">
      <c r="A1" s="305" t="inlineStr">
        <is>
          <t>ODEME_TAKVIMI — KURUMSAL BANKA VE BORÇ YÖNETİMİ</t>
        </is>
      </c>
    </row>
    <row r="2" ht="6" customHeight="1" s="50"/>
    <row r="3" ht="20" customHeight="1" s="50">
      <c r="A3" s="306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5" customWidth="1" style="76" min="2" max="2"/>
    <col width="20" customWidth="1" style="76" min="3" max="3"/>
    <col width="20" customWidth="1" style="76" min="4" max="6"/>
    <col width="18" customWidth="1" style="50" min="5" max="5"/>
    <col width="18" customWidth="1" style="50" min="6" max="6"/>
    <col width="20" customWidth="1" style="76" min="7" max="8"/>
    <col width="20" customWidth="1" style="50" min="8" max="8"/>
    <col width="14" customWidth="1" style="76" min="9" max="9"/>
    <col width="14" customWidth="1" style="76" min="10" max="10"/>
  </cols>
  <sheetData>
    <row r="1" ht="34" customHeight="1" s="50">
      <c r="A1" s="305" t="inlineStr">
        <is>
          <t>REFINANSMAN — KURUMSAL BANKA VE BORÇ YÖNETİMİ</t>
        </is>
      </c>
    </row>
    <row r="2" ht="6" customHeight="1" s="50"/>
    <row r="3" ht="20" customHeight="1" s="50">
      <c r="A3" s="306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188" t="inlineStr">
        <is>
          <t>BANKA, KREDİ VE TAKSİT TAKİP SİSTEMİ — FİNANSAL STRES TESTİ</t>
        </is>
      </c>
    </row>
    <row r="3" ht="18" customHeight="1" s="50">
      <c r="B3" s="189" t="inlineStr">
        <is>
          <t>Yönetim Kurulu ve Hazine Komitesi için Borç Servisi ve Likidite Dayanıklılık Raporu</t>
        </is>
      </c>
    </row>
    <row r="4" ht="20" customHeight="1" s="50">
      <c r="B4" s="190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415" t="inlineStr">
        <is>
          <t>SENARYO A: KÖTÜMSER (STRES TESTİ -%20)</t>
        </is>
      </c>
      <c r="C6" s="399" t="n"/>
      <c r="D6" s="399" t="n"/>
      <c r="E6" s="399" t="n"/>
      <c r="F6" s="416" t="n"/>
      <c r="H6" s="417" t="inlineStr">
        <is>
          <t>SENARYO B: BAZ MODEL (HEDEFLENEN)</t>
        </is>
      </c>
      <c r="I6" s="399" t="n"/>
      <c r="J6" s="399" t="n"/>
      <c r="K6" s="399" t="n"/>
      <c r="L6" s="416" t="n"/>
    </row>
    <row r="7" ht="8" customHeight="1" s="50">
      <c r="B7" s="418" t="n"/>
      <c r="C7" s="404" t="n"/>
      <c r="D7" s="404" t="n"/>
      <c r="E7" s="404" t="n"/>
      <c r="F7" s="405" t="n"/>
      <c r="H7" s="418" t="n"/>
      <c r="I7" s="404" t="n"/>
      <c r="J7" s="404" t="n"/>
      <c r="K7" s="404" t="n"/>
      <c r="L7" s="405" t="n"/>
    </row>
    <row r="8" ht="22" customHeight="1" s="50">
      <c r="B8" s="419" t="inlineStr">
        <is>
          <t>Faaliyet Nakit Akışı Daralması:</t>
        </is>
      </c>
      <c r="C8" s="404" t="n"/>
      <c r="D8" s="404" t="n"/>
      <c r="E8" s="420" t="inlineStr">
        <is>
          <t>-%20.0 (Kriz Modeli)</t>
        </is>
      </c>
      <c r="F8" s="405" t="n"/>
      <c r="H8" s="419" t="inlineStr">
        <is>
          <t>Planlanan Borç Karşılama:</t>
        </is>
      </c>
      <c r="I8" s="404" t="n"/>
      <c r="J8" s="404" t="n"/>
      <c r="K8" s="421" t="inlineStr">
        <is>
          <t>%100.0 (Tam Bütçe)</t>
        </is>
      </c>
      <c r="L8" s="405" t="n"/>
    </row>
    <row r="9" ht="22" customHeight="1" s="50">
      <c r="B9" s="419" t="inlineStr">
        <is>
          <t>Mevcut 30 Günlük Borç Servisi:</t>
        </is>
      </c>
      <c r="C9" s="404" t="n"/>
      <c r="D9" s="404" t="n"/>
      <c r="E9" s="422">
        <f>KARAR_MOTORU!B7</f>
        <v/>
      </c>
      <c r="F9" s="405" t="n"/>
      <c r="H9" s="419" t="inlineStr">
        <is>
          <t>Aylık Refinansman Tasarrufu:</t>
        </is>
      </c>
      <c r="I9" s="404" t="n"/>
      <c r="J9" s="404" t="n"/>
      <c r="K9" s="422">
        <f>KARAR_MOTORU!B19</f>
        <v/>
      </c>
      <c r="L9" s="405" t="n"/>
    </row>
    <row r="10" ht="22" customHeight="1" s="50">
      <c r="B10" s="419" t="inlineStr">
        <is>
          <t>Stres Altında Serbest Nakit:</t>
        </is>
      </c>
      <c r="C10" s="404" t="n"/>
      <c r="D10" s="404" t="n"/>
      <c r="E10" s="423">
        <f>SerbestNakit*0.8</f>
        <v/>
      </c>
      <c r="F10" s="405" t="n"/>
      <c r="H10" s="419" t="inlineStr">
        <is>
          <t>Konsolide Serbest Nakit:</t>
        </is>
      </c>
      <c r="I10" s="404" t="n"/>
      <c r="J10" s="404" t="n"/>
      <c r="K10" s="423">
        <f>SerbestNakit</f>
        <v/>
      </c>
      <c r="L10" s="405" t="n"/>
    </row>
    <row r="11" ht="22" customHeight="1" s="50">
      <c r="B11" s="424" t="inlineStr">
        <is>
          <t>Stres Altında Likidite Baskısı:</t>
        </is>
      </c>
      <c r="C11" s="411" t="n"/>
      <c r="D11" s="411" t="n"/>
      <c r="E11" s="425">
        <f>YUVARLA(KARAR_MOTORU!B7/MAX(1,SerbestNakit*0.8); 2)</f>
        <v/>
      </c>
      <c r="F11" s="412" t="n"/>
      <c r="H11" s="424" t="inlineStr">
        <is>
          <t>Baz Model Likidite Baskısı:</t>
        </is>
      </c>
      <c r="I11" s="411" t="n"/>
      <c r="J11" s="411" t="n"/>
      <c r="K11" s="426">
        <f>YUVARLA(KARAR_MOTORU!B14; 2)</f>
        <v/>
      </c>
      <c r="L11" s="412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2026-09-25T19:43:39Z</dcterms:modified>
  <cp:revision>0</cp:revision>
</cp:coreProperties>
</file>